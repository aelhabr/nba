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codeName="ThisWorkbook" defaultThemeVersion="166925"/>
  <mc:AlternateContent xmlns:mc="http://schemas.openxmlformats.org/markup-compatibility/2006">
    <mc:Choice Requires="x15">
      <x15ac:absPath xmlns:x15ac="http://schemas.microsoft.com/office/spreadsheetml/2010/11/ac" url="C:\Users\aelhabr\Dropbox\data_science\projects\nba_python\"/>
    </mc:Choice>
  </mc:AlternateContent>
  <bookViews>
    <workbookView xWindow="0" yWindow="0" windowWidth="28770" windowHeight="12180" tabRatio="944" activeTab="2"/>
  </bookViews>
  <sheets>
    <sheet name="instructions" sheetId="9" r:id="rId1"/>
    <sheet name="d_rs_sched" sheetId="2" r:id="rId2"/>
    <sheet name="d_win_totals" sheetId="4" r:id="rId3"/>
    <sheet name="p_rs_win_totals" sheetId="5" r:id="rId4"/>
    <sheet name="a_h2h_wins" sheetId="1" r:id="rId5"/>
    <sheet name="a_h2h_apm" sheetId="8" r:id="rId6"/>
  </sheets>
  <functionGroups builtInGroupCount="18"/>
  <definedNames>
    <definedName name="_xlnm.Criteria" localSheetId="1">d_rs_sched!$D$1:$D$2457</definedName>
    <definedName name="_xlnm.Extract" localSheetId="1">d_rs_sched!#REF!</definedName>
    <definedName name="power_rankings" localSheetId="5">a_h2h_apm!$AG$2:$AH$31</definedName>
    <definedName name="power_rankings">a_h2h_wins!$A$36:$B$65</definedName>
    <definedName name="solver_adj" localSheetId="5" hidden="1">a_h2h_apm!$AH$3:$AH$31</definedName>
    <definedName name="solver_adj" localSheetId="4" hidden="1">a_h2h_wins!$D$36:$D$65</definedName>
    <definedName name="solver_cvg" localSheetId="5" hidden="1">0.0001</definedName>
    <definedName name="solver_cvg" localSheetId="4" hidden="1">0.0001</definedName>
    <definedName name="solver_drv" localSheetId="5" hidden="1">1</definedName>
    <definedName name="solver_drv" localSheetId="4" hidden="1">1</definedName>
    <definedName name="solver_eng" localSheetId="5" hidden="1">1</definedName>
    <definedName name="solver_eng" localSheetId="4" hidden="1">1</definedName>
    <definedName name="solver_est" localSheetId="5" hidden="1">1</definedName>
    <definedName name="solver_est" localSheetId="4" hidden="1">1</definedName>
    <definedName name="solver_itr" localSheetId="5" hidden="1">2147483647</definedName>
    <definedName name="solver_itr" localSheetId="4" hidden="1">2147483647</definedName>
    <definedName name="solver_lhs1" localSheetId="4" hidden="1">a_h2h_wins!$D$36:$D$65</definedName>
    <definedName name="solver_lhs2" localSheetId="4" hidden="1">a_h2h_wins!$D$36:$D$65</definedName>
    <definedName name="solver_lin" localSheetId="4" hidden="1">2</definedName>
    <definedName name="solver_mip" localSheetId="5" hidden="1">2147483647</definedName>
    <definedName name="solver_mip" localSheetId="4" hidden="1">2147483647</definedName>
    <definedName name="solver_mni" localSheetId="5" hidden="1">30</definedName>
    <definedName name="solver_mni" localSheetId="4" hidden="1">30</definedName>
    <definedName name="solver_mrt" localSheetId="5" hidden="1">0.075</definedName>
    <definedName name="solver_mrt" localSheetId="4" hidden="1">0.075</definedName>
    <definedName name="solver_msl" localSheetId="5" hidden="1">2</definedName>
    <definedName name="solver_msl" localSheetId="4" hidden="1">2</definedName>
    <definedName name="solver_neg" localSheetId="5" hidden="1">1</definedName>
    <definedName name="solver_neg" localSheetId="4" hidden="1">1</definedName>
    <definedName name="solver_nod" localSheetId="5" hidden="1">2147483647</definedName>
    <definedName name="solver_nod" localSheetId="4" hidden="1">2147483647</definedName>
    <definedName name="solver_num" localSheetId="5" hidden="1">0</definedName>
    <definedName name="solver_num" localSheetId="4" hidden="1">2</definedName>
    <definedName name="solver_nwt" localSheetId="5" hidden="1">1</definedName>
    <definedName name="solver_nwt" localSheetId="4" hidden="1">1</definedName>
    <definedName name="solver_opt" localSheetId="5" hidden="1">a_h2h_apm!$A$98</definedName>
    <definedName name="solver_opt" localSheetId="4" hidden="1">a_h2h_wins!$D$66</definedName>
    <definedName name="solver_pre" localSheetId="5" hidden="1">0.000001</definedName>
    <definedName name="solver_pre" localSheetId="4" hidden="1">0.000001</definedName>
    <definedName name="solver_rbv" localSheetId="5" hidden="1">1</definedName>
    <definedName name="solver_rbv" localSheetId="4" hidden="1">1</definedName>
    <definedName name="solver_rel1" localSheetId="4" hidden="1">1</definedName>
    <definedName name="solver_rel2" localSheetId="4" hidden="1">3</definedName>
    <definedName name="solver_rhs1" localSheetId="4" hidden="1">73</definedName>
    <definedName name="solver_rhs2" localSheetId="4" hidden="1">11</definedName>
    <definedName name="solver_rlx" localSheetId="5" hidden="1">1</definedName>
    <definedName name="solver_rlx" localSheetId="4" hidden="1">2</definedName>
    <definedName name="solver_rsd" localSheetId="5" hidden="1">0</definedName>
    <definedName name="solver_rsd" localSheetId="4" hidden="1">0</definedName>
    <definedName name="solver_scl" localSheetId="5" hidden="1">1</definedName>
    <definedName name="solver_scl" localSheetId="4" hidden="1">1</definedName>
    <definedName name="solver_sho" localSheetId="5" hidden="1">2</definedName>
    <definedName name="solver_sho" localSheetId="4" hidden="1">2</definedName>
    <definedName name="solver_ssz" localSheetId="5" hidden="1">100</definedName>
    <definedName name="solver_ssz" localSheetId="4" hidden="1">100</definedName>
    <definedName name="solver_tim" localSheetId="5" hidden="1">2147483647</definedName>
    <definedName name="solver_tim" localSheetId="4" hidden="1">2147483647</definedName>
    <definedName name="solver_tol" localSheetId="5" hidden="1">0.01</definedName>
    <definedName name="solver_tol" localSheetId="4" hidden="1">0.01</definedName>
    <definedName name="solver_typ" localSheetId="5" hidden="1">3</definedName>
    <definedName name="solver_typ" localSheetId="4" hidden="1">3</definedName>
    <definedName name="solver_val" localSheetId="5" hidden="1">0</definedName>
    <definedName name="solver_val" localSheetId="4" hidden="1">1210</definedName>
    <definedName name="solver_ver" localSheetId="5" hidden="1">3</definedName>
    <definedName name="solver_ver" localSheetId="4" hidden="1">3</definedName>
    <definedName name="table_pm_h2h">a_h2h_apm!$B$1:$AE$31</definedName>
    <definedName name="table_wins_h2h" localSheetId="5">a_h2h_apm!$B$1:$AE$31</definedName>
    <definedName name="table_wins_h2h">a_h2h_wins!$B$2:$AE$32</definedName>
  </definedNames>
  <calcPr calcId="171027"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G72" i="1" l="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71" i="1"/>
  <c r="AG101" i="1" s="1"/>
  <c r="AI74" i="1"/>
  <c r="AI75" i="1"/>
  <c r="AI78" i="1"/>
  <c r="AI79" i="1"/>
  <c r="AI82" i="1"/>
  <c r="AI83" i="1"/>
  <c r="AI86" i="1"/>
  <c r="AI87" i="1"/>
  <c r="AI90" i="1"/>
  <c r="AI91" i="1"/>
  <c r="AI94" i="1"/>
  <c r="AI95" i="1"/>
  <c r="AI98" i="1"/>
  <c r="AI99" i="1"/>
  <c r="AH72" i="1"/>
  <c r="AI72" i="1" s="1"/>
  <c r="AH73" i="1"/>
  <c r="AI73" i="1" s="1"/>
  <c r="AH74" i="1"/>
  <c r="AH75" i="1"/>
  <c r="AH76" i="1"/>
  <c r="AI76" i="1" s="1"/>
  <c r="AH77" i="1"/>
  <c r="AI77" i="1" s="1"/>
  <c r="AH78" i="1"/>
  <c r="AH79" i="1"/>
  <c r="AH80" i="1"/>
  <c r="AI80" i="1" s="1"/>
  <c r="AH81" i="1"/>
  <c r="AI81" i="1" s="1"/>
  <c r="AH82" i="1"/>
  <c r="AH83" i="1"/>
  <c r="AH84" i="1"/>
  <c r="AI84" i="1" s="1"/>
  <c r="AH85" i="1"/>
  <c r="AI85" i="1" s="1"/>
  <c r="AH86" i="1"/>
  <c r="AH87" i="1"/>
  <c r="AH88" i="1"/>
  <c r="AI88" i="1" s="1"/>
  <c r="AH89" i="1"/>
  <c r="AI89" i="1" s="1"/>
  <c r="AH90" i="1"/>
  <c r="AH91" i="1"/>
  <c r="AH92" i="1"/>
  <c r="AI92" i="1" s="1"/>
  <c r="AH93" i="1"/>
  <c r="AI93" i="1" s="1"/>
  <c r="AH94" i="1"/>
  <c r="AH95" i="1"/>
  <c r="AH96" i="1"/>
  <c r="AI96" i="1" s="1"/>
  <c r="AH97" i="1"/>
  <c r="AI97" i="1" s="1"/>
  <c r="AH98" i="1"/>
  <c r="AH99" i="1"/>
  <c r="AH100" i="1"/>
  <c r="AI100" i="1" s="1"/>
  <c r="AH71" i="1"/>
  <c r="AH101" i="1" s="1"/>
  <c r="D66" i="1"/>
  <c r="C36" i="1"/>
  <c r="AJ39" i="1"/>
  <c r="AJ38" i="1"/>
  <c r="AJ37" i="1"/>
  <c r="AH41" i="1"/>
  <c r="AH40"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36" i="1"/>
  <c r="B71" i="1"/>
  <c r="AI71" i="1" l="1"/>
  <c r="AI101" i="1" s="1"/>
  <c r="F3" i="5"/>
  <c r="G3" i="5" s="1"/>
  <c r="F4" i="5"/>
  <c r="F5" i="5"/>
  <c r="F6" i="5"/>
  <c r="G5" i="5" s="1"/>
  <c r="F7" i="5"/>
  <c r="G7" i="5" s="1"/>
  <c r="F8" i="5"/>
  <c r="F9" i="5"/>
  <c r="F10" i="5"/>
  <c r="G10" i="5" s="1"/>
  <c r="F11" i="5"/>
  <c r="G11" i="5" s="1"/>
  <c r="F12" i="5"/>
  <c r="F13" i="5"/>
  <c r="F14" i="5"/>
  <c r="G14" i="5" s="1"/>
  <c r="F15" i="5"/>
  <c r="G15" i="5" s="1"/>
  <c r="F16" i="5"/>
  <c r="F17" i="5"/>
  <c r="F18" i="5"/>
  <c r="G18" i="5" s="1"/>
  <c r="F19" i="5"/>
  <c r="G19" i="5" s="1"/>
  <c r="F20" i="5"/>
  <c r="F21" i="5"/>
  <c r="F22" i="5"/>
  <c r="G22" i="5" s="1"/>
  <c r="F23" i="5"/>
  <c r="G23" i="5" s="1"/>
  <c r="F24" i="5"/>
  <c r="F25" i="5"/>
  <c r="F26" i="5"/>
  <c r="G26" i="5" s="1"/>
  <c r="F27" i="5"/>
  <c r="G27" i="5" s="1"/>
  <c r="F28" i="5"/>
  <c r="F29" i="5"/>
  <c r="F30" i="5"/>
  <c r="G30" i="5" s="1"/>
  <c r="F31" i="5"/>
  <c r="G31" i="5" s="1"/>
  <c r="F2" i="5"/>
  <c r="G28" i="5"/>
  <c r="G2" i="5"/>
  <c r="C34" i="8"/>
  <c r="C66" i="8" s="1"/>
  <c r="D34" i="8"/>
  <c r="E34" i="8"/>
  <c r="F34" i="8"/>
  <c r="F66" i="8" s="1"/>
  <c r="G34" i="8"/>
  <c r="G66" i="8" s="1"/>
  <c r="H34" i="8"/>
  <c r="I34" i="8"/>
  <c r="J34" i="8"/>
  <c r="J66" i="8" s="1"/>
  <c r="K34" i="8"/>
  <c r="K66" i="8" s="1"/>
  <c r="L34" i="8"/>
  <c r="M34" i="8"/>
  <c r="N34" i="8"/>
  <c r="N66" i="8" s="1"/>
  <c r="O34" i="8"/>
  <c r="P34" i="8"/>
  <c r="Q34" i="8"/>
  <c r="R34" i="8"/>
  <c r="R66" i="8" s="1"/>
  <c r="S34" i="8"/>
  <c r="S66" i="8" s="1"/>
  <c r="T34" i="8"/>
  <c r="U34" i="8"/>
  <c r="V34" i="8"/>
  <c r="V66" i="8" s="1"/>
  <c r="W34" i="8"/>
  <c r="W66" i="8" s="1"/>
  <c r="X34" i="8"/>
  <c r="Y34" i="8"/>
  <c r="Z34" i="8"/>
  <c r="Z66" i="8" s="1"/>
  <c r="AA34" i="8"/>
  <c r="AA66" i="8" s="1"/>
  <c r="AB34" i="8"/>
  <c r="AC34" i="8"/>
  <c r="AD34" i="8"/>
  <c r="AD66" i="8" s="1"/>
  <c r="AE34" i="8"/>
  <c r="C35" i="8"/>
  <c r="D35" i="8"/>
  <c r="E35" i="8"/>
  <c r="E67" i="8" s="1"/>
  <c r="F35" i="8"/>
  <c r="F67" i="8" s="1"/>
  <c r="G35" i="8"/>
  <c r="H35" i="8"/>
  <c r="I35" i="8"/>
  <c r="I67" i="8" s="1"/>
  <c r="J35" i="8"/>
  <c r="J67" i="8" s="1"/>
  <c r="K35" i="8"/>
  <c r="L35" i="8"/>
  <c r="M35" i="8"/>
  <c r="M67" i="8" s="1"/>
  <c r="N35" i="8"/>
  <c r="N67" i="8" s="1"/>
  <c r="O35" i="8"/>
  <c r="P35" i="8"/>
  <c r="Q35" i="8"/>
  <c r="Q67" i="8" s="1"/>
  <c r="R35" i="8"/>
  <c r="R67" i="8" s="1"/>
  <c r="S35" i="8"/>
  <c r="T35" i="8"/>
  <c r="U35" i="8"/>
  <c r="U67" i="8" s="1"/>
  <c r="V35" i="8"/>
  <c r="W35" i="8"/>
  <c r="X35" i="8"/>
  <c r="Y35" i="8"/>
  <c r="Y67" i="8" s="1"/>
  <c r="Z35" i="8"/>
  <c r="Z67" i="8" s="1"/>
  <c r="AA35" i="8"/>
  <c r="AB35" i="8"/>
  <c r="AC35" i="8"/>
  <c r="AC67" i="8" s="1"/>
  <c r="AD35" i="8"/>
  <c r="AD67" i="8" s="1"/>
  <c r="AE35" i="8"/>
  <c r="C36" i="8"/>
  <c r="D36" i="8"/>
  <c r="D68" i="8" s="1"/>
  <c r="E36" i="8"/>
  <c r="F36" i="8"/>
  <c r="G36" i="8"/>
  <c r="H36" i="8"/>
  <c r="H68" i="8" s="1"/>
  <c r="I36" i="8"/>
  <c r="I68" i="8" s="1"/>
  <c r="J36" i="8"/>
  <c r="K36" i="8"/>
  <c r="L36" i="8"/>
  <c r="L68" i="8" s="1"/>
  <c r="M36" i="8"/>
  <c r="N36" i="8"/>
  <c r="O36" i="8"/>
  <c r="P36" i="8"/>
  <c r="P68" i="8" s="1"/>
  <c r="Q36" i="8"/>
  <c r="Q68" i="8" s="1"/>
  <c r="R36" i="8"/>
  <c r="S36" i="8"/>
  <c r="T36" i="8"/>
  <c r="T68" i="8" s="1"/>
  <c r="U36" i="8"/>
  <c r="U68" i="8" s="1"/>
  <c r="V36" i="8"/>
  <c r="W36" i="8"/>
  <c r="X36" i="8"/>
  <c r="X68" i="8" s="1"/>
  <c r="Y36" i="8"/>
  <c r="Y68" i="8" s="1"/>
  <c r="Z36" i="8"/>
  <c r="AA36" i="8"/>
  <c r="AB36" i="8"/>
  <c r="AB68" i="8" s="1"/>
  <c r="AC36" i="8"/>
  <c r="AD36" i="8"/>
  <c r="AE36" i="8"/>
  <c r="C37" i="8"/>
  <c r="C69" i="8" s="1"/>
  <c r="D37" i="8"/>
  <c r="D69" i="8" s="1"/>
  <c r="E37" i="8"/>
  <c r="F37" i="8"/>
  <c r="G37" i="8"/>
  <c r="G69" i="8" s="1"/>
  <c r="H37" i="8"/>
  <c r="H69" i="8" s="1"/>
  <c r="I37" i="8"/>
  <c r="J37" i="8"/>
  <c r="K37" i="8"/>
  <c r="K69" i="8" s="1"/>
  <c r="L37" i="8"/>
  <c r="L69" i="8" s="1"/>
  <c r="M37" i="8"/>
  <c r="N37" i="8"/>
  <c r="O37" i="8"/>
  <c r="O69" i="8" s="1"/>
  <c r="P37" i="8"/>
  <c r="P69" i="8" s="1"/>
  <c r="Q37" i="8"/>
  <c r="R37" i="8"/>
  <c r="S37" i="8"/>
  <c r="S69" i="8" s="1"/>
  <c r="T37" i="8"/>
  <c r="U37" i="8"/>
  <c r="V37" i="8"/>
  <c r="W37" i="8"/>
  <c r="W69" i="8" s="1"/>
  <c r="X37" i="8"/>
  <c r="X69" i="8" s="1"/>
  <c r="Y37" i="8"/>
  <c r="Z37" i="8"/>
  <c r="AA37" i="8"/>
  <c r="AA69" i="8" s="1"/>
  <c r="AB37" i="8"/>
  <c r="AB69" i="8" s="1"/>
  <c r="AC37" i="8"/>
  <c r="AD37" i="8"/>
  <c r="AE37" i="8"/>
  <c r="AE69" i="8" s="1"/>
  <c r="C38" i="8"/>
  <c r="C70" i="8" s="1"/>
  <c r="D38" i="8"/>
  <c r="E38" i="8"/>
  <c r="F38" i="8"/>
  <c r="F70" i="8" s="1"/>
  <c r="G38" i="8"/>
  <c r="G70" i="8" s="1"/>
  <c r="H38" i="8"/>
  <c r="I38" i="8"/>
  <c r="J38" i="8"/>
  <c r="J70" i="8" s="1"/>
  <c r="K38" i="8"/>
  <c r="L38" i="8"/>
  <c r="M38" i="8"/>
  <c r="N38" i="8"/>
  <c r="N70" i="8" s="1"/>
  <c r="O38" i="8"/>
  <c r="O70" i="8" s="1"/>
  <c r="P38" i="8"/>
  <c r="Q38" i="8"/>
  <c r="R38" i="8"/>
  <c r="R70" i="8" s="1"/>
  <c r="S38" i="8"/>
  <c r="S70" i="8" s="1"/>
  <c r="T38" i="8"/>
  <c r="U38" i="8"/>
  <c r="V38" i="8"/>
  <c r="V70" i="8" s="1"/>
  <c r="W38" i="8"/>
  <c r="W70" i="8" s="1"/>
  <c r="X38" i="8"/>
  <c r="Y38" i="8"/>
  <c r="Z38" i="8"/>
  <c r="Z70" i="8" s="1"/>
  <c r="AA38" i="8"/>
  <c r="AB38" i="8"/>
  <c r="AC38" i="8"/>
  <c r="AD38" i="8"/>
  <c r="AD70" i="8" s="1"/>
  <c r="AE38" i="8"/>
  <c r="AE70" i="8" s="1"/>
  <c r="C39" i="8"/>
  <c r="D39" i="8"/>
  <c r="E39" i="8"/>
  <c r="E71" i="8" s="1"/>
  <c r="F39" i="8"/>
  <c r="F71" i="8" s="1"/>
  <c r="G39" i="8"/>
  <c r="H39" i="8"/>
  <c r="I39" i="8"/>
  <c r="I71" i="8" s="1"/>
  <c r="J39" i="8"/>
  <c r="J71" i="8" s="1"/>
  <c r="K39" i="8"/>
  <c r="L39" i="8"/>
  <c r="M39" i="8"/>
  <c r="M71" i="8" s="1"/>
  <c r="N39" i="8"/>
  <c r="N71" i="8" s="1"/>
  <c r="O39" i="8"/>
  <c r="P39" i="8"/>
  <c r="Q39" i="8"/>
  <c r="Q71" i="8" s="1"/>
  <c r="R39" i="8"/>
  <c r="S39" i="8"/>
  <c r="T39" i="8"/>
  <c r="T71" i="8" s="1"/>
  <c r="U39" i="8"/>
  <c r="U71" i="8" s="1"/>
  <c r="V39" i="8"/>
  <c r="V71" i="8" s="1"/>
  <c r="W39" i="8"/>
  <c r="X39" i="8"/>
  <c r="Y39" i="8"/>
  <c r="Y71" i="8" s="1"/>
  <c r="Z39" i="8"/>
  <c r="Z71" i="8" s="1"/>
  <c r="AA39" i="8"/>
  <c r="AB39" i="8"/>
  <c r="AB71" i="8" s="1"/>
  <c r="AC39" i="8"/>
  <c r="AC71" i="8" s="1"/>
  <c r="AD39" i="8"/>
  <c r="AD71" i="8" s="1"/>
  <c r="AE39" i="8"/>
  <c r="C40" i="8"/>
  <c r="D40" i="8"/>
  <c r="D72" i="8" s="1"/>
  <c r="E40" i="8"/>
  <c r="E72" i="8" s="1"/>
  <c r="F40" i="8"/>
  <c r="G40" i="8"/>
  <c r="H40" i="8"/>
  <c r="H72" i="8" s="1"/>
  <c r="I40" i="8"/>
  <c r="J40" i="8"/>
  <c r="K40" i="8"/>
  <c r="L40" i="8"/>
  <c r="L72" i="8" s="1"/>
  <c r="M40" i="8"/>
  <c r="M72" i="8" s="1"/>
  <c r="N40" i="8"/>
  <c r="O40" i="8"/>
  <c r="P40" i="8"/>
  <c r="P72" i="8" s="1"/>
  <c r="Q40" i="8"/>
  <c r="Q72" i="8" s="1"/>
  <c r="R40" i="8"/>
  <c r="S40" i="8"/>
  <c r="T40" i="8"/>
  <c r="T72" i="8" s="1"/>
  <c r="U40" i="8"/>
  <c r="U72" i="8" s="1"/>
  <c r="V40" i="8"/>
  <c r="W40" i="8"/>
  <c r="X40" i="8"/>
  <c r="X72" i="8" s="1"/>
  <c r="Y40" i="8"/>
  <c r="Z40" i="8"/>
  <c r="AA40" i="8"/>
  <c r="AB40" i="8"/>
  <c r="AB72" i="8" s="1"/>
  <c r="AC40" i="8"/>
  <c r="AC72" i="8" s="1"/>
  <c r="AD40" i="8"/>
  <c r="AE40" i="8"/>
  <c r="AE72" i="8" s="1"/>
  <c r="C41" i="8"/>
  <c r="C73" i="8" s="1"/>
  <c r="D41" i="8"/>
  <c r="D73" i="8" s="1"/>
  <c r="E41" i="8"/>
  <c r="F41" i="8"/>
  <c r="G41" i="8"/>
  <c r="G73" i="8" s="1"/>
  <c r="H41" i="8"/>
  <c r="H73" i="8" s="1"/>
  <c r="I41" i="8"/>
  <c r="J41" i="8"/>
  <c r="K41" i="8"/>
  <c r="K73" i="8" s="1"/>
  <c r="L41" i="8"/>
  <c r="L73" i="8" s="1"/>
  <c r="M41" i="8"/>
  <c r="N41" i="8"/>
  <c r="N73" i="8" s="1"/>
  <c r="O41" i="8"/>
  <c r="O73" i="8" s="1"/>
  <c r="P41" i="8"/>
  <c r="Q41" i="8"/>
  <c r="R41" i="8"/>
  <c r="S41" i="8"/>
  <c r="S73" i="8" s="1"/>
  <c r="T41" i="8"/>
  <c r="T73" i="8" s="1"/>
  <c r="U41" i="8"/>
  <c r="V41" i="8"/>
  <c r="W41" i="8"/>
  <c r="W73" i="8" s="1"/>
  <c r="X41" i="8"/>
  <c r="X73" i="8" s="1"/>
  <c r="Y41" i="8"/>
  <c r="Z41" i="8"/>
  <c r="AA41" i="8"/>
  <c r="AA73" i="8" s="1"/>
  <c r="AB41" i="8"/>
  <c r="AB73" i="8" s="1"/>
  <c r="AC41" i="8"/>
  <c r="AD41" i="8"/>
  <c r="AE41" i="8"/>
  <c r="AE73" i="8" s="1"/>
  <c r="C42" i="8"/>
  <c r="D42" i="8"/>
  <c r="E42" i="8"/>
  <c r="F42" i="8"/>
  <c r="F74" i="8" s="1"/>
  <c r="G42" i="8"/>
  <c r="H42" i="8"/>
  <c r="I42" i="8"/>
  <c r="I74" i="8" s="1"/>
  <c r="J42" i="8"/>
  <c r="J74" i="8" s="1"/>
  <c r="K42" i="8"/>
  <c r="K74" i="8" s="1"/>
  <c r="L42" i="8"/>
  <c r="M42" i="8"/>
  <c r="N42" i="8"/>
  <c r="N74" i="8" s="1"/>
  <c r="O42" i="8"/>
  <c r="O74" i="8" s="1"/>
  <c r="P42" i="8"/>
  <c r="Q42" i="8"/>
  <c r="Q74" i="8" s="1"/>
  <c r="R42" i="8"/>
  <c r="R74" i="8" s="1"/>
  <c r="S42" i="8"/>
  <c r="S74" i="8" s="1"/>
  <c r="T42" i="8"/>
  <c r="U42" i="8"/>
  <c r="V42" i="8"/>
  <c r="V74" i="8" s="1"/>
  <c r="W42" i="8"/>
  <c r="X42" i="8"/>
  <c r="Y42" i="8"/>
  <c r="Z42" i="8"/>
  <c r="Z74" i="8" s="1"/>
  <c r="AA42" i="8"/>
  <c r="AA74" i="8" s="1"/>
  <c r="AB42" i="8"/>
  <c r="AC42" i="8"/>
  <c r="AD42" i="8"/>
  <c r="AD74" i="8" s="1"/>
  <c r="AE42" i="8"/>
  <c r="AE74" i="8" s="1"/>
  <c r="C43" i="8"/>
  <c r="D43" i="8"/>
  <c r="D75" i="8" s="1"/>
  <c r="E43" i="8"/>
  <c r="E75" i="8" s="1"/>
  <c r="F43" i="8"/>
  <c r="F75" i="8" s="1"/>
  <c r="G43" i="8"/>
  <c r="H43" i="8"/>
  <c r="I43" i="8"/>
  <c r="I75" i="8" s="1"/>
  <c r="J43" i="8"/>
  <c r="J75" i="8" s="1"/>
  <c r="K43" i="8"/>
  <c r="L43" i="8"/>
  <c r="L75" i="8" s="1"/>
  <c r="M43" i="8"/>
  <c r="M75" i="8" s="1"/>
  <c r="N43" i="8"/>
  <c r="N75" i="8" s="1"/>
  <c r="O43" i="8"/>
  <c r="P43" i="8"/>
  <c r="Q43" i="8"/>
  <c r="Q75" i="8" s="1"/>
  <c r="R43" i="8"/>
  <c r="S43" i="8"/>
  <c r="T43" i="8"/>
  <c r="U43" i="8"/>
  <c r="U75" i="8" s="1"/>
  <c r="V43" i="8"/>
  <c r="V75" i="8" s="1"/>
  <c r="W43" i="8"/>
  <c r="X43" i="8"/>
  <c r="Y43" i="8"/>
  <c r="Y75" i="8" s="1"/>
  <c r="Z43" i="8"/>
  <c r="Z75" i="8" s="1"/>
  <c r="AA43" i="8"/>
  <c r="AB43" i="8"/>
  <c r="AC43" i="8"/>
  <c r="AC75" i="8" s="1"/>
  <c r="AD43" i="8"/>
  <c r="AD75" i="8" s="1"/>
  <c r="AE43" i="8"/>
  <c r="C44" i="8"/>
  <c r="D44" i="8"/>
  <c r="D76" i="8" s="1"/>
  <c r="E44" i="8"/>
  <c r="F44" i="8"/>
  <c r="G44" i="8"/>
  <c r="H44" i="8"/>
  <c r="H76" i="8" s="1"/>
  <c r="I44" i="8"/>
  <c r="I76" i="8" s="1"/>
  <c r="J44" i="8"/>
  <c r="K44" i="8"/>
  <c r="K76" i="8" s="1"/>
  <c r="L44" i="8"/>
  <c r="L76" i="8" s="1"/>
  <c r="M44" i="8"/>
  <c r="M76" i="8" s="1"/>
  <c r="N44" i="8"/>
  <c r="O44" i="8"/>
  <c r="P44" i="8"/>
  <c r="P76" i="8" s="1"/>
  <c r="Q44" i="8"/>
  <c r="Q76" i="8" s="1"/>
  <c r="R44" i="8"/>
  <c r="S44" i="8"/>
  <c r="S76" i="8" s="1"/>
  <c r="T44" i="8"/>
  <c r="T76" i="8" s="1"/>
  <c r="U44" i="8"/>
  <c r="V44" i="8"/>
  <c r="W44" i="8"/>
  <c r="X44" i="8"/>
  <c r="X76" i="8" s="1"/>
  <c r="Y44" i="8"/>
  <c r="Y76" i="8" s="1"/>
  <c r="Z44" i="8"/>
  <c r="AA44" i="8"/>
  <c r="AB44" i="8"/>
  <c r="AB76" i="8" s="1"/>
  <c r="AC44" i="8"/>
  <c r="AC76" i="8" s="1"/>
  <c r="AD44" i="8"/>
  <c r="AE44" i="8"/>
  <c r="C45" i="8"/>
  <c r="C77" i="8" s="1"/>
  <c r="D45" i="8"/>
  <c r="D77" i="8" s="1"/>
  <c r="E45" i="8"/>
  <c r="F45" i="8"/>
  <c r="G45" i="8"/>
  <c r="G77" i="8" s="1"/>
  <c r="H45" i="8"/>
  <c r="I45" i="8"/>
  <c r="J45" i="8"/>
  <c r="J77" i="8" s="1"/>
  <c r="K45" i="8"/>
  <c r="K77" i="8" s="1"/>
  <c r="L45" i="8"/>
  <c r="L77" i="8" s="1"/>
  <c r="M45" i="8"/>
  <c r="N45" i="8"/>
  <c r="O45" i="8"/>
  <c r="O77" i="8" s="1"/>
  <c r="P45" i="8"/>
  <c r="P77" i="8" s="1"/>
  <c r="Q45" i="8"/>
  <c r="R45" i="8"/>
  <c r="R77" i="8" s="1"/>
  <c r="S45" i="8"/>
  <c r="S77" i="8" s="1"/>
  <c r="T45" i="8"/>
  <c r="T77" i="8" s="1"/>
  <c r="U45" i="8"/>
  <c r="V45" i="8"/>
  <c r="W45" i="8"/>
  <c r="W77" i="8" s="1"/>
  <c r="X45" i="8"/>
  <c r="Y45" i="8"/>
  <c r="Z45" i="8"/>
  <c r="AA45" i="8"/>
  <c r="AA77" i="8" s="1"/>
  <c r="AB45" i="8"/>
  <c r="AB77" i="8" s="1"/>
  <c r="AC45" i="8"/>
  <c r="AD45" i="8"/>
  <c r="AE45" i="8"/>
  <c r="AE77" i="8" s="1"/>
  <c r="C46" i="8"/>
  <c r="C78" i="8" s="1"/>
  <c r="D46" i="8"/>
  <c r="E46" i="8"/>
  <c r="F46" i="8"/>
  <c r="F78" i="8" s="1"/>
  <c r="G46" i="8"/>
  <c r="G78" i="8" s="1"/>
  <c r="H46" i="8"/>
  <c r="I46" i="8"/>
  <c r="J46" i="8"/>
  <c r="J78" i="8" s="1"/>
  <c r="K46" i="8"/>
  <c r="L46" i="8"/>
  <c r="M46" i="8"/>
  <c r="N46" i="8"/>
  <c r="N78" i="8" s="1"/>
  <c r="O46" i="8"/>
  <c r="O78" i="8" s="1"/>
  <c r="P46" i="8"/>
  <c r="Q46" i="8"/>
  <c r="Q78" i="8" s="1"/>
  <c r="R46" i="8"/>
  <c r="R78" i="8" s="1"/>
  <c r="S46" i="8"/>
  <c r="S78" i="8" s="1"/>
  <c r="T46" i="8"/>
  <c r="U46" i="8"/>
  <c r="V46" i="8"/>
  <c r="V78" i="8" s="1"/>
  <c r="W46" i="8"/>
  <c r="W78" i="8" s="1"/>
  <c r="X46" i="8"/>
  <c r="Y46" i="8"/>
  <c r="Y78" i="8" s="1"/>
  <c r="Z46" i="8"/>
  <c r="Z78" i="8" s="1"/>
  <c r="AA46" i="8"/>
  <c r="AB46" i="8"/>
  <c r="AC46" i="8"/>
  <c r="AD46" i="8"/>
  <c r="AD78" i="8" s="1"/>
  <c r="AE46" i="8"/>
  <c r="AE78" i="8" s="1"/>
  <c r="C47" i="8"/>
  <c r="C79" i="8" s="1"/>
  <c r="D47" i="8"/>
  <c r="D79" i="8" s="1"/>
  <c r="E47" i="8"/>
  <c r="E79" i="8" s="1"/>
  <c r="F47" i="8"/>
  <c r="F79" i="8" s="1"/>
  <c r="G47" i="8"/>
  <c r="H47" i="8"/>
  <c r="I47" i="8"/>
  <c r="I79" i="8" s="1"/>
  <c r="J47" i="8"/>
  <c r="K47" i="8"/>
  <c r="L47" i="8"/>
  <c r="M47" i="8"/>
  <c r="M79" i="8" s="1"/>
  <c r="N47" i="8"/>
  <c r="N79" i="8" s="1"/>
  <c r="O47" i="8"/>
  <c r="P47" i="8"/>
  <c r="Q47" i="8"/>
  <c r="Q79" i="8" s="1"/>
  <c r="R47" i="8"/>
  <c r="R79" i="8" s="1"/>
  <c r="S47" i="8"/>
  <c r="S79" i="8" s="1"/>
  <c r="T47" i="8"/>
  <c r="T79" i="8" s="1"/>
  <c r="U47" i="8"/>
  <c r="U79" i="8" s="1"/>
  <c r="V47" i="8"/>
  <c r="W47" i="8"/>
  <c r="X47" i="8"/>
  <c r="Y47" i="8"/>
  <c r="Y79" i="8" s="1"/>
  <c r="Z47" i="8"/>
  <c r="Z79" i="8" s="1"/>
  <c r="AA47" i="8"/>
  <c r="AB47" i="8"/>
  <c r="AC47" i="8"/>
  <c r="AC79" i="8" s="1"/>
  <c r="AD47" i="8"/>
  <c r="AD79" i="8" s="1"/>
  <c r="AE47" i="8"/>
  <c r="C48" i="8"/>
  <c r="D48" i="8"/>
  <c r="D80" i="8" s="1"/>
  <c r="E48" i="8"/>
  <c r="E80" i="8" s="1"/>
  <c r="F48" i="8"/>
  <c r="F80" i="8" s="1"/>
  <c r="G48" i="8"/>
  <c r="G80" i="8" s="1"/>
  <c r="H48" i="8"/>
  <c r="H80" i="8" s="1"/>
  <c r="I48" i="8"/>
  <c r="I80" i="8" s="1"/>
  <c r="J48" i="8"/>
  <c r="K48" i="8"/>
  <c r="L48" i="8"/>
  <c r="L80" i="8" s="1"/>
  <c r="M48" i="8"/>
  <c r="M80" i="8" s="1"/>
  <c r="N48" i="8"/>
  <c r="O48" i="8"/>
  <c r="O80" i="8" s="1"/>
  <c r="P48" i="8"/>
  <c r="P80" i="8" s="1"/>
  <c r="Q48" i="8"/>
  <c r="Q80" i="8" s="1"/>
  <c r="R48" i="8"/>
  <c r="R80" i="8" s="1"/>
  <c r="S48" i="8"/>
  <c r="T48" i="8"/>
  <c r="T80" i="8" s="1"/>
  <c r="U48" i="8"/>
  <c r="V48" i="8"/>
  <c r="V80" i="8" s="1"/>
  <c r="W48" i="8"/>
  <c r="W80" i="8" s="1"/>
  <c r="X48" i="8"/>
  <c r="X80" i="8" s="1"/>
  <c r="Y48" i="8"/>
  <c r="Y80" i="8" s="1"/>
  <c r="Z48" i="8"/>
  <c r="AA48" i="8"/>
  <c r="AB48" i="8"/>
  <c r="AB80" i="8" s="1"/>
  <c r="AC48" i="8"/>
  <c r="AC80" i="8" s="1"/>
  <c r="AD48" i="8"/>
  <c r="AD80" i="8" s="1"/>
  <c r="AE48" i="8"/>
  <c r="AE80" i="8" s="1"/>
  <c r="C49" i="8"/>
  <c r="C81" i="8" s="1"/>
  <c r="D49" i="8"/>
  <c r="E49" i="8"/>
  <c r="F49" i="8"/>
  <c r="G49" i="8"/>
  <c r="G81" i="8" s="1"/>
  <c r="H49" i="8"/>
  <c r="H81" i="8" s="1"/>
  <c r="I49" i="8"/>
  <c r="I81" i="8" s="1"/>
  <c r="J49" i="8"/>
  <c r="J81" i="8" s="1"/>
  <c r="K49" i="8"/>
  <c r="K81" i="8" s="1"/>
  <c r="L49" i="8"/>
  <c r="L81" i="8" s="1"/>
  <c r="M49" i="8"/>
  <c r="M81" i="8" s="1"/>
  <c r="N49" i="8"/>
  <c r="O49" i="8"/>
  <c r="O81" i="8" s="1"/>
  <c r="P49" i="8"/>
  <c r="Q49" i="8"/>
  <c r="Q81" i="8" s="1"/>
  <c r="R49" i="8"/>
  <c r="S49" i="8"/>
  <c r="S81" i="8" s="1"/>
  <c r="T49" i="8"/>
  <c r="T81" i="8" s="1"/>
  <c r="U49" i="8"/>
  <c r="U81" i="8" s="1"/>
  <c r="V49" i="8"/>
  <c r="W49" i="8"/>
  <c r="W81" i="8" s="1"/>
  <c r="X49" i="8"/>
  <c r="X81" i="8" s="1"/>
  <c r="Y49" i="8"/>
  <c r="Y81" i="8" s="1"/>
  <c r="Z49" i="8"/>
  <c r="Z81" i="8" s="1"/>
  <c r="AA49" i="8"/>
  <c r="AA81" i="8" s="1"/>
  <c r="AB49" i="8"/>
  <c r="AB81" i="8" s="1"/>
  <c r="AC49" i="8"/>
  <c r="AC81" i="8" s="1"/>
  <c r="AD49" i="8"/>
  <c r="AE49" i="8"/>
  <c r="AE81" i="8" s="1"/>
  <c r="C50" i="8"/>
  <c r="C82" i="8" s="1"/>
  <c r="D50" i="8"/>
  <c r="D82" i="8" s="1"/>
  <c r="E50" i="8"/>
  <c r="E82" i="8" s="1"/>
  <c r="F50" i="8"/>
  <c r="F82" i="8" s="1"/>
  <c r="G50" i="8"/>
  <c r="H50" i="8"/>
  <c r="H82" i="8" s="1"/>
  <c r="I50" i="8"/>
  <c r="I82" i="8" s="1"/>
  <c r="J50" i="8"/>
  <c r="J82" i="8" s="1"/>
  <c r="K50" i="8"/>
  <c r="K82" i="8" s="1"/>
  <c r="L50" i="8"/>
  <c r="L82" i="8" s="1"/>
  <c r="M50" i="8"/>
  <c r="N50" i="8"/>
  <c r="N82" i="8" s="1"/>
  <c r="O50" i="8"/>
  <c r="O82" i="8" s="1"/>
  <c r="P50" i="8"/>
  <c r="P82" i="8" s="1"/>
  <c r="Q50" i="8"/>
  <c r="Q82" i="8" s="1"/>
  <c r="R50" i="8"/>
  <c r="R82" i="8" s="1"/>
  <c r="S50" i="8"/>
  <c r="S82" i="8" s="1"/>
  <c r="T50" i="8"/>
  <c r="T82" i="8" s="1"/>
  <c r="U50" i="8"/>
  <c r="U82" i="8" s="1"/>
  <c r="V50" i="8"/>
  <c r="V82" i="8" s="1"/>
  <c r="W50" i="8"/>
  <c r="W82" i="8" s="1"/>
  <c r="X50" i="8"/>
  <c r="X82" i="8" s="1"/>
  <c r="Y50" i="8"/>
  <c r="Z50" i="8"/>
  <c r="Z82" i="8" s="1"/>
  <c r="AA50" i="8"/>
  <c r="AA82" i="8" s="1"/>
  <c r="AB50" i="8"/>
  <c r="AB82" i="8" s="1"/>
  <c r="AC50" i="8"/>
  <c r="AC82" i="8" s="1"/>
  <c r="AD50" i="8"/>
  <c r="AD82" i="8" s="1"/>
  <c r="AE50" i="8"/>
  <c r="AE82" i="8" s="1"/>
  <c r="C51" i="8"/>
  <c r="C83" i="8" s="1"/>
  <c r="D51" i="8"/>
  <c r="D83" i="8" s="1"/>
  <c r="E51" i="8"/>
  <c r="E83" i="8" s="1"/>
  <c r="F51" i="8"/>
  <c r="F83" i="8" s="1"/>
  <c r="G51" i="8"/>
  <c r="G83" i="8" s="1"/>
  <c r="H51" i="8"/>
  <c r="H83" i="8" s="1"/>
  <c r="I51" i="8"/>
  <c r="I83" i="8" s="1"/>
  <c r="J51" i="8"/>
  <c r="J83" i="8" s="1"/>
  <c r="K51" i="8"/>
  <c r="K83" i="8" s="1"/>
  <c r="L51" i="8"/>
  <c r="M51" i="8"/>
  <c r="M83" i="8" s="1"/>
  <c r="N51" i="8"/>
  <c r="N83" i="8" s="1"/>
  <c r="O51" i="8"/>
  <c r="O83" i="8" s="1"/>
  <c r="P51" i="8"/>
  <c r="P83" i="8" s="1"/>
  <c r="Q51" i="8"/>
  <c r="Q83" i="8" s="1"/>
  <c r="R51" i="8"/>
  <c r="R83" i="8" s="1"/>
  <c r="S51" i="8"/>
  <c r="S83" i="8" s="1"/>
  <c r="T51" i="8"/>
  <c r="T83" i="8" s="1"/>
  <c r="U51" i="8"/>
  <c r="U83" i="8" s="1"/>
  <c r="V51" i="8"/>
  <c r="V83" i="8" s="1"/>
  <c r="W51" i="8"/>
  <c r="W83" i="8" s="1"/>
  <c r="X51" i="8"/>
  <c r="X83" i="8" s="1"/>
  <c r="Y51" i="8"/>
  <c r="Y83" i="8" s="1"/>
  <c r="Z51" i="8"/>
  <c r="Z83" i="8" s="1"/>
  <c r="AA51" i="8"/>
  <c r="AA83" i="8" s="1"/>
  <c r="AB51" i="8"/>
  <c r="AC51" i="8"/>
  <c r="AC83" i="8" s="1"/>
  <c r="AD51" i="8"/>
  <c r="AD83" i="8" s="1"/>
  <c r="AE51" i="8"/>
  <c r="AE83" i="8" s="1"/>
  <c r="C52" i="8"/>
  <c r="D52" i="8"/>
  <c r="D84" i="8" s="1"/>
  <c r="E52" i="8"/>
  <c r="E84" i="8" s="1"/>
  <c r="F52" i="8"/>
  <c r="F84" i="8" s="1"/>
  <c r="G52" i="8"/>
  <c r="G84" i="8" s="1"/>
  <c r="H52" i="8"/>
  <c r="H84" i="8" s="1"/>
  <c r="I52" i="8"/>
  <c r="I84" i="8" s="1"/>
  <c r="J52" i="8"/>
  <c r="J84" i="8" s="1"/>
  <c r="K52" i="8"/>
  <c r="K84" i="8" s="1"/>
  <c r="L52" i="8"/>
  <c r="L84" i="8" s="1"/>
  <c r="M52" i="8"/>
  <c r="M84" i="8" s="1"/>
  <c r="N52" i="8"/>
  <c r="N84" i="8" s="1"/>
  <c r="O52" i="8"/>
  <c r="P52" i="8"/>
  <c r="P84" i="8" s="1"/>
  <c r="Q52" i="8"/>
  <c r="Q84" i="8" s="1"/>
  <c r="R52" i="8"/>
  <c r="R84" i="8" s="1"/>
  <c r="S52" i="8"/>
  <c r="S84" i="8" s="1"/>
  <c r="T52" i="8"/>
  <c r="T84" i="8" s="1"/>
  <c r="U52" i="8"/>
  <c r="U84" i="8" s="1"/>
  <c r="V52" i="8"/>
  <c r="V84" i="8" s="1"/>
  <c r="W52" i="8"/>
  <c r="W84" i="8" s="1"/>
  <c r="X52" i="8"/>
  <c r="X84" i="8" s="1"/>
  <c r="Y52" i="8"/>
  <c r="Y84" i="8" s="1"/>
  <c r="Z52" i="8"/>
  <c r="Z84" i="8" s="1"/>
  <c r="AA52" i="8"/>
  <c r="AA84" i="8" s="1"/>
  <c r="AB52" i="8"/>
  <c r="AB84" i="8" s="1"/>
  <c r="AC52" i="8"/>
  <c r="AC84" i="8" s="1"/>
  <c r="AD52" i="8"/>
  <c r="AD84" i="8" s="1"/>
  <c r="AE52" i="8"/>
  <c r="AE84" i="8" s="1"/>
  <c r="C53" i="8"/>
  <c r="C85" i="8" s="1"/>
  <c r="D53" i="8"/>
  <c r="D85" i="8" s="1"/>
  <c r="E53" i="8"/>
  <c r="E85" i="8" s="1"/>
  <c r="F53" i="8"/>
  <c r="F85" i="8" s="1"/>
  <c r="G53" i="8"/>
  <c r="G85" i="8" s="1"/>
  <c r="H53" i="8"/>
  <c r="H85" i="8" s="1"/>
  <c r="I53" i="8"/>
  <c r="I85" i="8" s="1"/>
  <c r="J53" i="8"/>
  <c r="J85" i="8" s="1"/>
  <c r="K53" i="8"/>
  <c r="K85" i="8" s="1"/>
  <c r="L53" i="8"/>
  <c r="L85" i="8" s="1"/>
  <c r="M53" i="8"/>
  <c r="M85" i="8" s="1"/>
  <c r="N53" i="8"/>
  <c r="N85" i="8" s="1"/>
  <c r="O53" i="8"/>
  <c r="O85" i="8" s="1"/>
  <c r="P53" i="8"/>
  <c r="P85" i="8" s="1"/>
  <c r="Q53" i="8"/>
  <c r="Q85" i="8" s="1"/>
  <c r="R53" i="8"/>
  <c r="S53" i="8"/>
  <c r="S85" i="8" s="1"/>
  <c r="T53" i="8"/>
  <c r="T85" i="8" s="1"/>
  <c r="U53" i="8"/>
  <c r="U85" i="8" s="1"/>
  <c r="V53" i="8"/>
  <c r="V85" i="8" s="1"/>
  <c r="W53" i="8"/>
  <c r="W85" i="8" s="1"/>
  <c r="X53" i="8"/>
  <c r="X85" i="8" s="1"/>
  <c r="Y53" i="8"/>
  <c r="Y85" i="8" s="1"/>
  <c r="Z53" i="8"/>
  <c r="Z85" i="8" s="1"/>
  <c r="AA53" i="8"/>
  <c r="AA85" i="8" s="1"/>
  <c r="AB53" i="8"/>
  <c r="AB85" i="8" s="1"/>
  <c r="AC53" i="8"/>
  <c r="AC85" i="8" s="1"/>
  <c r="AD53" i="8"/>
  <c r="AD85" i="8" s="1"/>
  <c r="AE53" i="8"/>
  <c r="AE85" i="8" s="1"/>
  <c r="C54" i="8"/>
  <c r="C86" i="8" s="1"/>
  <c r="D54" i="8"/>
  <c r="D86" i="8" s="1"/>
  <c r="E54" i="8"/>
  <c r="E86" i="8" s="1"/>
  <c r="F54" i="8"/>
  <c r="F86" i="8" s="1"/>
  <c r="G54" i="8"/>
  <c r="G86" i="8" s="1"/>
  <c r="H54" i="8"/>
  <c r="H86" i="8" s="1"/>
  <c r="I54" i="8"/>
  <c r="I86" i="8" s="1"/>
  <c r="J54" i="8"/>
  <c r="J86" i="8" s="1"/>
  <c r="K54" i="8"/>
  <c r="K86" i="8" s="1"/>
  <c r="L54" i="8"/>
  <c r="L86" i="8" s="1"/>
  <c r="M54" i="8"/>
  <c r="M86" i="8" s="1"/>
  <c r="N54" i="8"/>
  <c r="N86" i="8" s="1"/>
  <c r="O54" i="8"/>
  <c r="O86" i="8" s="1"/>
  <c r="P54" i="8"/>
  <c r="P86" i="8" s="1"/>
  <c r="Q54" i="8"/>
  <c r="Q86" i="8" s="1"/>
  <c r="R54" i="8"/>
  <c r="R86" i="8" s="1"/>
  <c r="S54" i="8"/>
  <c r="S86" i="8" s="1"/>
  <c r="T54" i="8"/>
  <c r="T86" i="8" s="1"/>
  <c r="U54" i="8"/>
  <c r="U86" i="8" s="1"/>
  <c r="V54" i="8"/>
  <c r="V86" i="8" s="1"/>
  <c r="W54" i="8"/>
  <c r="W86" i="8" s="1"/>
  <c r="X54" i="8"/>
  <c r="X86" i="8" s="1"/>
  <c r="Y54" i="8"/>
  <c r="Y86" i="8" s="1"/>
  <c r="Z54" i="8"/>
  <c r="Z86" i="8" s="1"/>
  <c r="AA54" i="8"/>
  <c r="AA86" i="8" s="1"/>
  <c r="AB54" i="8"/>
  <c r="AB86" i="8" s="1"/>
  <c r="AC54" i="8"/>
  <c r="AC86" i="8" s="1"/>
  <c r="AD54" i="8"/>
  <c r="AD86" i="8" s="1"/>
  <c r="AE54" i="8"/>
  <c r="AE86" i="8" s="1"/>
  <c r="C55" i="8"/>
  <c r="C87" i="8" s="1"/>
  <c r="D55" i="8"/>
  <c r="D87" i="8" s="1"/>
  <c r="E55" i="8"/>
  <c r="E87" i="8" s="1"/>
  <c r="F55" i="8"/>
  <c r="F87" i="8" s="1"/>
  <c r="G55" i="8"/>
  <c r="G87" i="8" s="1"/>
  <c r="H55" i="8"/>
  <c r="H87" i="8" s="1"/>
  <c r="I55" i="8"/>
  <c r="I87" i="8" s="1"/>
  <c r="J55" i="8"/>
  <c r="J87" i="8" s="1"/>
  <c r="K55" i="8"/>
  <c r="K87" i="8" s="1"/>
  <c r="L55" i="8"/>
  <c r="L87" i="8" s="1"/>
  <c r="M55" i="8"/>
  <c r="M87" i="8" s="1"/>
  <c r="N55" i="8"/>
  <c r="N87" i="8" s="1"/>
  <c r="O55" i="8"/>
  <c r="O87" i="8" s="1"/>
  <c r="P55" i="8"/>
  <c r="P87" i="8" s="1"/>
  <c r="Q55" i="8"/>
  <c r="Q87" i="8" s="1"/>
  <c r="R55" i="8"/>
  <c r="R87" i="8" s="1"/>
  <c r="S55" i="8"/>
  <c r="S87" i="8" s="1"/>
  <c r="T55" i="8"/>
  <c r="T87" i="8" s="1"/>
  <c r="U55" i="8"/>
  <c r="U87" i="8" s="1"/>
  <c r="V55" i="8"/>
  <c r="V87" i="8" s="1"/>
  <c r="W55" i="8"/>
  <c r="W87" i="8" s="1"/>
  <c r="X55" i="8"/>
  <c r="X87" i="8" s="1"/>
  <c r="Y55" i="8"/>
  <c r="Y87" i="8" s="1"/>
  <c r="Z55" i="8"/>
  <c r="Z87" i="8" s="1"/>
  <c r="AA55" i="8"/>
  <c r="AA87" i="8" s="1"/>
  <c r="AB55" i="8"/>
  <c r="AB87" i="8" s="1"/>
  <c r="AC55" i="8"/>
  <c r="AC87" i="8" s="1"/>
  <c r="AD55" i="8"/>
  <c r="AD87" i="8" s="1"/>
  <c r="AE55" i="8"/>
  <c r="AE87" i="8" s="1"/>
  <c r="C56" i="8"/>
  <c r="C88" i="8" s="1"/>
  <c r="D56" i="8"/>
  <c r="D88" i="8" s="1"/>
  <c r="E56" i="8"/>
  <c r="E88" i="8" s="1"/>
  <c r="F56" i="8"/>
  <c r="F88" i="8" s="1"/>
  <c r="G56" i="8"/>
  <c r="G88" i="8" s="1"/>
  <c r="H56" i="8"/>
  <c r="H88" i="8" s="1"/>
  <c r="I56" i="8"/>
  <c r="I88" i="8" s="1"/>
  <c r="J56" i="8"/>
  <c r="J88" i="8" s="1"/>
  <c r="K56" i="8"/>
  <c r="K88" i="8" s="1"/>
  <c r="L56" i="8"/>
  <c r="L88" i="8" s="1"/>
  <c r="M56" i="8"/>
  <c r="M88" i="8" s="1"/>
  <c r="N56" i="8"/>
  <c r="N88" i="8" s="1"/>
  <c r="O56" i="8"/>
  <c r="O88" i="8" s="1"/>
  <c r="P56" i="8"/>
  <c r="P88" i="8" s="1"/>
  <c r="Q56" i="8"/>
  <c r="Q88" i="8" s="1"/>
  <c r="R56" i="8"/>
  <c r="R88" i="8" s="1"/>
  <c r="S56" i="8"/>
  <c r="S88" i="8" s="1"/>
  <c r="T56" i="8"/>
  <c r="T88" i="8" s="1"/>
  <c r="U56" i="8"/>
  <c r="U88" i="8" s="1"/>
  <c r="V56" i="8"/>
  <c r="V88" i="8" s="1"/>
  <c r="W56" i="8"/>
  <c r="W88" i="8" s="1"/>
  <c r="X56" i="8"/>
  <c r="X88" i="8" s="1"/>
  <c r="Y56" i="8"/>
  <c r="Y88" i="8" s="1"/>
  <c r="Z56" i="8"/>
  <c r="Z88" i="8" s="1"/>
  <c r="AA56" i="8"/>
  <c r="AA88" i="8" s="1"/>
  <c r="AB56" i="8"/>
  <c r="AB88" i="8" s="1"/>
  <c r="AC56" i="8"/>
  <c r="AC88" i="8" s="1"/>
  <c r="AD56" i="8"/>
  <c r="AD88" i="8" s="1"/>
  <c r="AE56" i="8"/>
  <c r="AE88" i="8" s="1"/>
  <c r="C57" i="8"/>
  <c r="C89" i="8" s="1"/>
  <c r="D57" i="8"/>
  <c r="D89" i="8" s="1"/>
  <c r="E57" i="8"/>
  <c r="E89" i="8" s="1"/>
  <c r="F57" i="8"/>
  <c r="F89" i="8" s="1"/>
  <c r="G57" i="8"/>
  <c r="G89" i="8" s="1"/>
  <c r="H57" i="8"/>
  <c r="H89" i="8" s="1"/>
  <c r="I57" i="8"/>
  <c r="I89" i="8" s="1"/>
  <c r="J57" i="8"/>
  <c r="J89" i="8" s="1"/>
  <c r="K57" i="8"/>
  <c r="K89" i="8" s="1"/>
  <c r="L57" i="8"/>
  <c r="L89" i="8" s="1"/>
  <c r="M57" i="8"/>
  <c r="M89" i="8" s="1"/>
  <c r="N57" i="8"/>
  <c r="N89" i="8" s="1"/>
  <c r="O57" i="8"/>
  <c r="O89" i="8" s="1"/>
  <c r="P57" i="8"/>
  <c r="P89" i="8" s="1"/>
  <c r="Q57" i="8"/>
  <c r="Q89" i="8" s="1"/>
  <c r="R57" i="8"/>
  <c r="R89" i="8" s="1"/>
  <c r="S57" i="8"/>
  <c r="S89" i="8" s="1"/>
  <c r="T57" i="8"/>
  <c r="T89" i="8" s="1"/>
  <c r="U57" i="8"/>
  <c r="U89" i="8" s="1"/>
  <c r="V57" i="8"/>
  <c r="V89" i="8" s="1"/>
  <c r="W57" i="8"/>
  <c r="W89" i="8" s="1"/>
  <c r="X57" i="8"/>
  <c r="X89" i="8" s="1"/>
  <c r="Y57" i="8"/>
  <c r="Y89" i="8" s="1"/>
  <c r="Z57" i="8"/>
  <c r="Z89" i="8" s="1"/>
  <c r="AA57" i="8"/>
  <c r="AA89" i="8" s="1"/>
  <c r="AB57" i="8"/>
  <c r="AB89" i="8" s="1"/>
  <c r="AC57" i="8"/>
  <c r="AC89" i="8" s="1"/>
  <c r="AD57" i="8"/>
  <c r="AD89" i="8" s="1"/>
  <c r="AE57" i="8"/>
  <c r="AE89" i="8" s="1"/>
  <c r="C58" i="8"/>
  <c r="C90" i="8" s="1"/>
  <c r="D58" i="8"/>
  <c r="D90" i="8" s="1"/>
  <c r="E58" i="8"/>
  <c r="E90" i="8" s="1"/>
  <c r="F58" i="8"/>
  <c r="F90" i="8" s="1"/>
  <c r="G58" i="8"/>
  <c r="G90" i="8" s="1"/>
  <c r="H58" i="8"/>
  <c r="H90" i="8" s="1"/>
  <c r="I58" i="8"/>
  <c r="I90" i="8" s="1"/>
  <c r="J58" i="8"/>
  <c r="J90" i="8" s="1"/>
  <c r="K58" i="8"/>
  <c r="K90" i="8" s="1"/>
  <c r="L58" i="8"/>
  <c r="L90" i="8" s="1"/>
  <c r="M58" i="8"/>
  <c r="M90" i="8" s="1"/>
  <c r="N58" i="8"/>
  <c r="N90" i="8" s="1"/>
  <c r="O58" i="8"/>
  <c r="O90" i="8" s="1"/>
  <c r="P58" i="8"/>
  <c r="P90" i="8" s="1"/>
  <c r="Q58" i="8"/>
  <c r="Q90" i="8" s="1"/>
  <c r="R58" i="8"/>
  <c r="R90" i="8" s="1"/>
  <c r="S58" i="8"/>
  <c r="S90" i="8" s="1"/>
  <c r="T58" i="8"/>
  <c r="T90" i="8" s="1"/>
  <c r="U58" i="8"/>
  <c r="U90" i="8" s="1"/>
  <c r="V58" i="8"/>
  <c r="V90" i="8" s="1"/>
  <c r="W58" i="8"/>
  <c r="W90" i="8" s="1"/>
  <c r="X58" i="8"/>
  <c r="X90" i="8" s="1"/>
  <c r="Y58" i="8"/>
  <c r="Y90" i="8" s="1"/>
  <c r="Z58" i="8"/>
  <c r="Z90" i="8" s="1"/>
  <c r="AA58" i="8"/>
  <c r="AA90" i="8" s="1"/>
  <c r="AB58" i="8"/>
  <c r="AB90" i="8" s="1"/>
  <c r="AC58" i="8"/>
  <c r="AC90" i="8" s="1"/>
  <c r="AD58" i="8"/>
  <c r="AD90" i="8" s="1"/>
  <c r="AE58" i="8"/>
  <c r="AE90" i="8" s="1"/>
  <c r="C59" i="8"/>
  <c r="C91" i="8" s="1"/>
  <c r="D59" i="8"/>
  <c r="D91" i="8" s="1"/>
  <c r="E59" i="8"/>
  <c r="E91" i="8" s="1"/>
  <c r="F59" i="8"/>
  <c r="F91" i="8" s="1"/>
  <c r="G59" i="8"/>
  <c r="G91" i="8" s="1"/>
  <c r="H59" i="8"/>
  <c r="H91" i="8" s="1"/>
  <c r="I59" i="8"/>
  <c r="I91" i="8" s="1"/>
  <c r="J59" i="8"/>
  <c r="J91" i="8" s="1"/>
  <c r="K59" i="8"/>
  <c r="K91" i="8" s="1"/>
  <c r="L59" i="8"/>
  <c r="L91" i="8" s="1"/>
  <c r="M59" i="8"/>
  <c r="M91" i="8" s="1"/>
  <c r="N59" i="8"/>
  <c r="N91" i="8" s="1"/>
  <c r="O59" i="8"/>
  <c r="O91" i="8" s="1"/>
  <c r="P59" i="8"/>
  <c r="P91" i="8" s="1"/>
  <c r="Q59" i="8"/>
  <c r="Q91" i="8" s="1"/>
  <c r="R59" i="8"/>
  <c r="R91" i="8" s="1"/>
  <c r="S59" i="8"/>
  <c r="S91" i="8" s="1"/>
  <c r="T59" i="8"/>
  <c r="T91" i="8" s="1"/>
  <c r="U59" i="8"/>
  <c r="U91" i="8" s="1"/>
  <c r="V59" i="8"/>
  <c r="V91" i="8" s="1"/>
  <c r="W59" i="8"/>
  <c r="W91" i="8" s="1"/>
  <c r="X59" i="8"/>
  <c r="X91" i="8" s="1"/>
  <c r="Y59" i="8"/>
  <c r="Y91" i="8" s="1"/>
  <c r="Z59" i="8"/>
  <c r="Z91" i="8" s="1"/>
  <c r="AA59" i="8"/>
  <c r="AA91" i="8" s="1"/>
  <c r="AB59" i="8"/>
  <c r="AB91" i="8" s="1"/>
  <c r="AC59" i="8"/>
  <c r="AC91" i="8" s="1"/>
  <c r="AD59" i="8"/>
  <c r="AD91" i="8" s="1"/>
  <c r="AE59" i="8"/>
  <c r="AE91" i="8" s="1"/>
  <c r="C60" i="8"/>
  <c r="C92" i="8" s="1"/>
  <c r="D60" i="8"/>
  <c r="D92" i="8" s="1"/>
  <c r="E60" i="8"/>
  <c r="E92" i="8" s="1"/>
  <c r="F60" i="8"/>
  <c r="F92" i="8" s="1"/>
  <c r="G60" i="8"/>
  <c r="G92" i="8" s="1"/>
  <c r="H60" i="8"/>
  <c r="H92" i="8" s="1"/>
  <c r="I60" i="8"/>
  <c r="I92" i="8" s="1"/>
  <c r="J60" i="8"/>
  <c r="J92" i="8" s="1"/>
  <c r="K60" i="8"/>
  <c r="K92" i="8" s="1"/>
  <c r="L60" i="8"/>
  <c r="L92" i="8" s="1"/>
  <c r="M60" i="8"/>
  <c r="M92" i="8" s="1"/>
  <c r="N60" i="8"/>
  <c r="N92" i="8" s="1"/>
  <c r="O60" i="8"/>
  <c r="O92" i="8" s="1"/>
  <c r="P60" i="8"/>
  <c r="P92" i="8" s="1"/>
  <c r="Q60" i="8"/>
  <c r="Q92" i="8" s="1"/>
  <c r="R60" i="8"/>
  <c r="R92" i="8" s="1"/>
  <c r="S60" i="8"/>
  <c r="S92" i="8" s="1"/>
  <c r="T60" i="8"/>
  <c r="T92" i="8" s="1"/>
  <c r="U60" i="8"/>
  <c r="U92" i="8" s="1"/>
  <c r="V60" i="8"/>
  <c r="V92" i="8" s="1"/>
  <c r="W60" i="8"/>
  <c r="W92" i="8" s="1"/>
  <c r="X60" i="8"/>
  <c r="X92" i="8" s="1"/>
  <c r="Y60" i="8"/>
  <c r="Y92" i="8" s="1"/>
  <c r="Z60" i="8"/>
  <c r="Z92" i="8" s="1"/>
  <c r="AA60" i="8"/>
  <c r="AA92" i="8" s="1"/>
  <c r="AB60" i="8"/>
  <c r="AB92" i="8" s="1"/>
  <c r="AC60" i="8"/>
  <c r="AC92" i="8" s="1"/>
  <c r="AD60" i="8"/>
  <c r="AD92" i="8" s="1"/>
  <c r="AE60" i="8"/>
  <c r="AE92" i="8" s="1"/>
  <c r="C61" i="8"/>
  <c r="C93" i="8" s="1"/>
  <c r="D61" i="8"/>
  <c r="D93" i="8" s="1"/>
  <c r="E61" i="8"/>
  <c r="E93" i="8" s="1"/>
  <c r="F61" i="8"/>
  <c r="F93" i="8" s="1"/>
  <c r="G61" i="8"/>
  <c r="G93" i="8" s="1"/>
  <c r="H61" i="8"/>
  <c r="H93" i="8" s="1"/>
  <c r="I61" i="8"/>
  <c r="I93" i="8" s="1"/>
  <c r="J61" i="8"/>
  <c r="J93" i="8" s="1"/>
  <c r="K61" i="8"/>
  <c r="K93" i="8" s="1"/>
  <c r="L61" i="8"/>
  <c r="L93" i="8" s="1"/>
  <c r="M61" i="8"/>
  <c r="M93" i="8" s="1"/>
  <c r="N61" i="8"/>
  <c r="N93" i="8" s="1"/>
  <c r="O61" i="8"/>
  <c r="O93" i="8" s="1"/>
  <c r="P61" i="8"/>
  <c r="P93" i="8" s="1"/>
  <c r="Q61" i="8"/>
  <c r="Q93" i="8" s="1"/>
  <c r="R61" i="8"/>
  <c r="R93" i="8" s="1"/>
  <c r="S61" i="8"/>
  <c r="S93" i="8" s="1"/>
  <c r="T61" i="8"/>
  <c r="T93" i="8" s="1"/>
  <c r="U61" i="8"/>
  <c r="U93" i="8" s="1"/>
  <c r="V61" i="8"/>
  <c r="V93" i="8" s="1"/>
  <c r="W61" i="8"/>
  <c r="W93" i="8" s="1"/>
  <c r="X61" i="8"/>
  <c r="X93" i="8" s="1"/>
  <c r="Y61" i="8"/>
  <c r="Y93" i="8" s="1"/>
  <c r="Z61" i="8"/>
  <c r="Z93" i="8" s="1"/>
  <c r="AA61" i="8"/>
  <c r="AA93" i="8" s="1"/>
  <c r="AB61" i="8"/>
  <c r="AB93" i="8" s="1"/>
  <c r="AC61" i="8"/>
  <c r="AC93" i="8" s="1"/>
  <c r="AD61" i="8"/>
  <c r="AD93" i="8" s="1"/>
  <c r="AE61" i="8"/>
  <c r="AE93" i="8" s="1"/>
  <c r="C62" i="8"/>
  <c r="C94" i="8" s="1"/>
  <c r="D62" i="8"/>
  <c r="D94" i="8" s="1"/>
  <c r="E62" i="8"/>
  <c r="E94" i="8" s="1"/>
  <c r="F62" i="8"/>
  <c r="F94" i="8" s="1"/>
  <c r="G62" i="8"/>
  <c r="G94" i="8" s="1"/>
  <c r="H62" i="8"/>
  <c r="H94" i="8" s="1"/>
  <c r="I62" i="8"/>
  <c r="I94" i="8" s="1"/>
  <c r="J62" i="8"/>
  <c r="J94" i="8" s="1"/>
  <c r="K62" i="8"/>
  <c r="K94" i="8" s="1"/>
  <c r="L62" i="8"/>
  <c r="L94" i="8" s="1"/>
  <c r="M62" i="8"/>
  <c r="M94" i="8" s="1"/>
  <c r="N62" i="8"/>
  <c r="N94" i="8" s="1"/>
  <c r="O62" i="8"/>
  <c r="O94" i="8" s="1"/>
  <c r="P62" i="8"/>
  <c r="P94" i="8" s="1"/>
  <c r="Q62" i="8"/>
  <c r="Q94" i="8" s="1"/>
  <c r="R62" i="8"/>
  <c r="R94" i="8" s="1"/>
  <c r="S62" i="8"/>
  <c r="S94" i="8" s="1"/>
  <c r="T62" i="8"/>
  <c r="T94" i="8" s="1"/>
  <c r="U62" i="8"/>
  <c r="U94" i="8" s="1"/>
  <c r="V62" i="8"/>
  <c r="V94" i="8" s="1"/>
  <c r="W62" i="8"/>
  <c r="W94" i="8" s="1"/>
  <c r="X62" i="8"/>
  <c r="X94" i="8" s="1"/>
  <c r="Y62" i="8"/>
  <c r="Y94" i="8" s="1"/>
  <c r="Z62" i="8"/>
  <c r="Z94" i="8" s="1"/>
  <c r="AA62" i="8"/>
  <c r="AA94" i="8" s="1"/>
  <c r="AB62" i="8"/>
  <c r="AB94" i="8" s="1"/>
  <c r="AC62" i="8"/>
  <c r="AC94" i="8" s="1"/>
  <c r="AD62" i="8"/>
  <c r="AD94" i="8" s="1"/>
  <c r="AE62" i="8"/>
  <c r="AE94" i="8" s="1"/>
  <c r="C63" i="8"/>
  <c r="C95" i="8" s="1"/>
  <c r="D63" i="8"/>
  <c r="D95" i="8" s="1"/>
  <c r="E63" i="8"/>
  <c r="E95" i="8" s="1"/>
  <c r="F63" i="8"/>
  <c r="F95" i="8" s="1"/>
  <c r="G63" i="8"/>
  <c r="G95" i="8" s="1"/>
  <c r="H63" i="8"/>
  <c r="H95" i="8" s="1"/>
  <c r="I63" i="8"/>
  <c r="I95" i="8" s="1"/>
  <c r="J63" i="8"/>
  <c r="J95" i="8" s="1"/>
  <c r="K63" i="8"/>
  <c r="K95" i="8" s="1"/>
  <c r="L63" i="8"/>
  <c r="L95" i="8" s="1"/>
  <c r="M63" i="8"/>
  <c r="M95" i="8" s="1"/>
  <c r="N63" i="8"/>
  <c r="N95" i="8" s="1"/>
  <c r="O63" i="8"/>
  <c r="O95" i="8" s="1"/>
  <c r="P63" i="8"/>
  <c r="P95" i="8" s="1"/>
  <c r="Q63" i="8"/>
  <c r="Q95" i="8" s="1"/>
  <c r="R63" i="8"/>
  <c r="R95" i="8" s="1"/>
  <c r="S63" i="8"/>
  <c r="S95" i="8" s="1"/>
  <c r="T63" i="8"/>
  <c r="T95" i="8" s="1"/>
  <c r="U63" i="8"/>
  <c r="U95" i="8" s="1"/>
  <c r="V63" i="8"/>
  <c r="V95" i="8" s="1"/>
  <c r="W63" i="8"/>
  <c r="W95" i="8" s="1"/>
  <c r="X63" i="8"/>
  <c r="X95" i="8" s="1"/>
  <c r="Y63" i="8"/>
  <c r="Y95" i="8" s="1"/>
  <c r="Z63" i="8"/>
  <c r="Z95" i="8" s="1"/>
  <c r="AA63" i="8"/>
  <c r="AA95" i="8" s="1"/>
  <c r="AB63" i="8"/>
  <c r="AB95" i="8" s="1"/>
  <c r="AC63" i="8"/>
  <c r="AC95" i="8" s="1"/>
  <c r="AD63" i="8"/>
  <c r="AD95" i="8" s="1"/>
  <c r="AE63" i="8"/>
  <c r="AE95" i="8" s="1"/>
  <c r="B35" i="8"/>
  <c r="B67" i="8" s="1"/>
  <c r="B36" i="8"/>
  <c r="B68" i="8" s="1"/>
  <c r="B37" i="8"/>
  <c r="B69" i="8" s="1"/>
  <c r="B38" i="8"/>
  <c r="B70" i="8" s="1"/>
  <c r="B39" i="8"/>
  <c r="B71" i="8" s="1"/>
  <c r="B40" i="8"/>
  <c r="B72" i="8" s="1"/>
  <c r="B41" i="8"/>
  <c r="B73" i="8" s="1"/>
  <c r="B42" i="8"/>
  <c r="B74" i="8" s="1"/>
  <c r="B43" i="8"/>
  <c r="B75" i="8" s="1"/>
  <c r="B44" i="8"/>
  <c r="B76" i="8" s="1"/>
  <c r="B45" i="8"/>
  <c r="B77" i="8" s="1"/>
  <c r="B46" i="8"/>
  <c r="B78" i="8" s="1"/>
  <c r="B47" i="8"/>
  <c r="B79" i="8" s="1"/>
  <c r="B48" i="8"/>
  <c r="B80" i="8" s="1"/>
  <c r="B49" i="8"/>
  <c r="B81" i="8" s="1"/>
  <c r="B50" i="8"/>
  <c r="B82" i="8" s="1"/>
  <c r="B51" i="8"/>
  <c r="B83" i="8" s="1"/>
  <c r="B52" i="8"/>
  <c r="B84" i="8" s="1"/>
  <c r="B53" i="8"/>
  <c r="B85" i="8" s="1"/>
  <c r="B54" i="8"/>
  <c r="B86" i="8" s="1"/>
  <c r="B55" i="8"/>
  <c r="B87" i="8" s="1"/>
  <c r="B56" i="8"/>
  <c r="B88" i="8" s="1"/>
  <c r="B57" i="8"/>
  <c r="B89" i="8" s="1"/>
  <c r="B58" i="8"/>
  <c r="B90" i="8" s="1"/>
  <c r="B59" i="8"/>
  <c r="B91" i="8" s="1"/>
  <c r="B60" i="8"/>
  <c r="B92" i="8" s="1"/>
  <c r="B61" i="8"/>
  <c r="B93" i="8" s="1"/>
  <c r="B62" i="8"/>
  <c r="B94" i="8" s="1"/>
  <c r="B63" i="8"/>
  <c r="B95" i="8" s="1"/>
  <c r="B34" i="8"/>
  <c r="B66" i="8" s="1"/>
  <c r="C75" i="8"/>
  <c r="G75" i="8"/>
  <c r="H75" i="8"/>
  <c r="K75" i="8"/>
  <c r="O75" i="8"/>
  <c r="P75" i="8"/>
  <c r="R75" i="8"/>
  <c r="S75" i="8"/>
  <c r="T75" i="8"/>
  <c r="W75" i="8"/>
  <c r="X75" i="8"/>
  <c r="AA75" i="8"/>
  <c r="AB75" i="8"/>
  <c r="AE75" i="8"/>
  <c r="C76" i="8"/>
  <c r="E76" i="8"/>
  <c r="F76" i="8"/>
  <c r="G76" i="8"/>
  <c r="J76" i="8"/>
  <c r="N76" i="8"/>
  <c r="O76" i="8"/>
  <c r="R76" i="8"/>
  <c r="U76" i="8"/>
  <c r="V76" i="8"/>
  <c r="W76" i="8"/>
  <c r="Z76" i="8"/>
  <c r="AA76" i="8"/>
  <c r="AD76" i="8"/>
  <c r="AE76" i="8"/>
  <c r="E77" i="8"/>
  <c r="F77" i="8"/>
  <c r="H77" i="8"/>
  <c r="I77" i="8"/>
  <c r="M77" i="8"/>
  <c r="N77" i="8"/>
  <c r="Q77" i="8"/>
  <c r="U77" i="8"/>
  <c r="V77" i="8"/>
  <c r="X77" i="8"/>
  <c r="Y77" i="8"/>
  <c r="Z77" i="8"/>
  <c r="AC77" i="8"/>
  <c r="AD77" i="8"/>
  <c r="D78" i="8"/>
  <c r="E78" i="8"/>
  <c r="H78" i="8"/>
  <c r="I78" i="8"/>
  <c r="K78" i="8"/>
  <c r="L78" i="8"/>
  <c r="M78" i="8"/>
  <c r="P78" i="8"/>
  <c r="T78" i="8"/>
  <c r="U78" i="8"/>
  <c r="X78" i="8"/>
  <c r="AA78" i="8"/>
  <c r="AB78" i="8"/>
  <c r="AC78" i="8"/>
  <c r="G79" i="8"/>
  <c r="H79" i="8"/>
  <c r="J79" i="8"/>
  <c r="K79" i="8"/>
  <c r="L79" i="8"/>
  <c r="O79" i="8"/>
  <c r="P79" i="8"/>
  <c r="V79" i="8"/>
  <c r="W79" i="8"/>
  <c r="X79" i="8"/>
  <c r="AA79" i="8"/>
  <c r="AB79" i="8"/>
  <c r="AE79" i="8"/>
  <c r="C80" i="8"/>
  <c r="J80" i="8"/>
  <c r="K80" i="8"/>
  <c r="N80" i="8"/>
  <c r="S80" i="8"/>
  <c r="U80" i="8"/>
  <c r="Z80" i="8"/>
  <c r="AA80" i="8"/>
  <c r="D81" i="8"/>
  <c r="E81" i="8"/>
  <c r="F81" i="8"/>
  <c r="N81" i="8"/>
  <c r="P81" i="8"/>
  <c r="R81" i="8"/>
  <c r="V81" i="8"/>
  <c r="AD81" i="8"/>
  <c r="G82" i="8"/>
  <c r="M82" i="8"/>
  <c r="Y82" i="8"/>
  <c r="L83" i="8"/>
  <c r="AB83" i="8"/>
  <c r="C84" i="8"/>
  <c r="O84" i="8"/>
  <c r="R85" i="8"/>
  <c r="H66" i="8"/>
  <c r="I66" i="8"/>
  <c r="L66" i="8"/>
  <c r="M66" i="8"/>
  <c r="O66" i="8"/>
  <c r="P66" i="8"/>
  <c r="Q66" i="8"/>
  <c r="T66" i="8"/>
  <c r="U66" i="8"/>
  <c r="X66" i="8"/>
  <c r="Y66" i="8"/>
  <c r="AB66" i="8"/>
  <c r="AC66" i="8"/>
  <c r="AE66" i="8"/>
  <c r="G67" i="8"/>
  <c r="H67" i="8"/>
  <c r="K67" i="8"/>
  <c r="L67" i="8"/>
  <c r="O67" i="8"/>
  <c r="P67" i="8"/>
  <c r="S67" i="8"/>
  <c r="T67" i="8"/>
  <c r="V67" i="8"/>
  <c r="W67" i="8"/>
  <c r="X67" i="8"/>
  <c r="AA67" i="8"/>
  <c r="AB67" i="8"/>
  <c r="AE67" i="8"/>
  <c r="G68" i="8"/>
  <c r="J68" i="8"/>
  <c r="K68" i="8"/>
  <c r="M68" i="8"/>
  <c r="N68" i="8"/>
  <c r="O68" i="8"/>
  <c r="R68" i="8"/>
  <c r="S68" i="8"/>
  <c r="V68" i="8"/>
  <c r="W68" i="8"/>
  <c r="Z68" i="8"/>
  <c r="AA68" i="8"/>
  <c r="AC68" i="8"/>
  <c r="AD68" i="8"/>
  <c r="AE68" i="8"/>
  <c r="I69" i="8"/>
  <c r="J69" i="8"/>
  <c r="M69" i="8"/>
  <c r="N69" i="8"/>
  <c r="Q69" i="8"/>
  <c r="R69" i="8"/>
  <c r="T69" i="8"/>
  <c r="U69" i="8"/>
  <c r="V69" i="8"/>
  <c r="Y69" i="8"/>
  <c r="Z69" i="8"/>
  <c r="AC69" i="8"/>
  <c r="AD69" i="8"/>
  <c r="H70" i="8"/>
  <c r="I70" i="8"/>
  <c r="K70" i="8"/>
  <c r="L70" i="8"/>
  <c r="M70" i="8"/>
  <c r="P70" i="8"/>
  <c r="Q70" i="8"/>
  <c r="T70" i="8"/>
  <c r="U70" i="8"/>
  <c r="X70" i="8"/>
  <c r="Y70" i="8"/>
  <c r="AA70" i="8"/>
  <c r="AB70" i="8"/>
  <c r="AC70" i="8"/>
  <c r="G71" i="8"/>
  <c r="H71" i="8"/>
  <c r="K71" i="8"/>
  <c r="L71" i="8"/>
  <c r="O71" i="8"/>
  <c r="P71" i="8"/>
  <c r="R71" i="8"/>
  <c r="S71" i="8"/>
  <c r="W71" i="8"/>
  <c r="X71" i="8"/>
  <c r="AA71" i="8"/>
  <c r="AE71" i="8"/>
  <c r="G72" i="8"/>
  <c r="I72" i="8"/>
  <c r="J72" i="8"/>
  <c r="K72" i="8"/>
  <c r="N72" i="8"/>
  <c r="O72" i="8"/>
  <c r="R72" i="8"/>
  <c r="S72" i="8"/>
  <c r="V72" i="8"/>
  <c r="W72" i="8"/>
  <c r="Y72" i="8"/>
  <c r="Z72" i="8"/>
  <c r="AA72" i="8"/>
  <c r="AD72" i="8"/>
  <c r="I73" i="8"/>
  <c r="J73" i="8"/>
  <c r="M73" i="8"/>
  <c r="P73" i="8"/>
  <c r="Q73" i="8"/>
  <c r="R73" i="8"/>
  <c r="U73" i="8"/>
  <c r="V73" i="8"/>
  <c r="Y73" i="8"/>
  <c r="Z73" i="8"/>
  <c r="AC73" i="8"/>
  <c r="AD73" i="8"/>
  <c r="G74" i="8"/>
  <c r="H74" i="8"/>
  <c r="L74" i="8"/>
  <c r="M74" i="8"/>
  <c r="P74" i="8"/>
  <c r="T74" i="8"/>
  <c r="U74" i="8"/>
  <c r="W74" i="8"/>
  <c r="X74" i="8"/>
  <c r="Y74" i="8"/>
  <c r="AB74" i="8"/>
  <c r="AC74" i="8"/>
  <c r="D66" i="8"/>
  <c r="E66" i="8"/>
  <c r="C67" i="8"/>
  <c r="D67" i="8"/>
  <c r="C68" i="8"/>
  <c r="E68" i="8"/>
  <c r="E69" i="8"/>
  <c r="D70" i="8"/>
  <c r="E70" i="8"/>
  <c r="C71" i="8"/>
  <c r="D71" i="8"/>
  <c r="C72" i="8"/>
  <c r="E73" i="8"/>
  <c r="C74" i="8"/>
  <c r="D74" i="8"/>
  <c r="E74" i="8"/>
  <c r="F68" i="8"/>
  <c r="F69" i="8"/>
  <c r="F72" i="8"/>
  <c r="F73" i="8"/>
  <c r="B3" i="8"/>
  <c r="C3" i="8"/>
  <c r="D3" i="8"/>
  <c r="E3" i="8"/>
  <c r="F3" i="8"/>
  <c r="G3" i="8"/>
  <c r="H3" i="8"/>
  <c r="I3" i="8"/>
  <c r="J3" i="8"/>
  <c r="K3" i="8"/>
  <c r="L3" i="8"/>
  <c r="M3" i="8"/>
  <c r="N3" i="8"/>
  <c r="O3" i="8"/>
  <c r="P3" i="8"/>
  <c r="Q3" i="8"/>
  <c r="R3" i="8"/>
  <c r="S3" i="8"/>
  <c r="T3" i="8"/>
  <c r="U3" i="8"/>
  <c r="V3" i="8"/>
  <c r="W3" i="8"/>
  <c r="X3" i="8"/>
  <c r="Y3" i="8"/>
  <c r="Z3" i="8"/>
  <c r="AA3" i="8"/>
  <c r="AB3" i="8"/>
  <c r="AC3" i="8"/>
  <c r="AD3" i="8"/>
  <c r="AE3" i="8"/>
  <c r="B4" i="8"/>
  <c r="C4" i="8"/>
  <c r="D4" i="8"/>
  <c r="E4" i="8"/>
  <c r="F4" i="8"/>
  <c r="G4" i="8"/>
  <c r="H4" i="8"/>
  <c r="I4" i="8"/>
  <c r="J4" i="8"/>
  <c r="K4" i="8"/>
  <c r="L4" i="8"/>
  <c r="M4" i="8"/>
  <c r="N4" i="8"/>
  <c r="O4" i="8"/>
  <c r="P4" i="8"/>
  <c r="Q4" i="8"/>
  <c r="R4" i="8"/>
  <c r="S4" i="8"/>
  <c r="T4" i="8"/>
  <c r="U4" i="8"/>
  <c r="V4" i="8"/>
  <c r="W4" i="8"/>
  <c r="X4" i="8"/>
  <c r="Y4" i="8"/>
  <c r="Z4" i="8"/>
  <c r="AA4" i="8"/>
  <c r="AB4" i="8"/>
  <c r="AC4" i="8"/>
  <c r="AD4" i="8"/>
  <c r="AE4" i="8"/>
  <c r="B5" i="8"/>
  <c r="C5" i="8"/>
  <c r="D5" i="8"/>
  <c r="E5" i="8"/>
  <c r="F5" i="8"/>
  <c r="G5" i="8"/>
  <c r="H5" i="8"/>
  <c r="I5" i="8"/>
  <c r="J5" i="8"/>
  <c r="K5" i="8"/>
  <c r="L5" i="8"/>
  <c r="M5" i="8"/>
  <c r="N5" i="8"/>
  <c r="O5" i="8"/>
  <c r="P5" i="8"/>
  <c r="Q5" i="8"/>
  <c r="R5" i="8"/>
  <c r="S5" i="8"/>
  <c r="T5" i="8"/>
  <c r="U5" i="8"/>
  <c r="V5" i="8"/>
  <c r="W5" i="8"/>
  <c r="X5" i="8"/>
  <c r="Y5" i="8"/>
  <c r="Z5" i="8"/>
  <c r="AA5" i="8"/>
  <c r="AB5" i="8"/>
  <c r="AC5" i="8"/>
  <c r="AD5" i="8"/>
  <c r="AE5" i="8"/>
  <c r="B6" i="8"/>
  <c r="C6" i="8"/>
  <c r="D6" i="8"/>
  <c r="E6" i="8"/>
  <c r="F6" i="8"/>
  <c r="G6" i="8"/>
  <c r="H6" i="8"/>
  <c r="I6" i="8"/>
  <c r="J6" i="8"/>
  <c r="K6" i="8"/>
  <c r="L6" i="8"/>
  <c r="M6" i="8"/>
  <c r="N6" i="8"/>
  <c r="O6" i="8"/>
  <c r="P6" i="8"/>
  <c r="Q6" i="8"/>
  <c r="R6" i="8"/>
  <c r="S6" i="8"/>
  <c r="T6" i="8"/>
  <c r="U6" i="8"/>
  <c r="V6" i="8"/>
  <c r="W6" i="8"/>
  <c r="X6" i="8"/>
  <c r="Y6" i="8"/>
  <c r="Z6" i="8"/>
  <c r="AA6" i="8"/>
  <c r="AB6" i="8"/>
  <c r="AC6" i="8"/>
  <c r="AD6" i="8"/>
  <c r="AE6" i="8"/>
  <c r="B7" i="8"/>
  <c r="C7" i="8"/>
  <c r="D7" i="8"/>
  <c r="E7" i="8"/>
  <c r="F7" i="8"/>
  <c r="G7" i="8"/>
  <c r="H7" i="8"/>
  <c r="I7" i="8"/>
  <c r="J7" i="8"/>
  <c r="K7" i="8"/>
  <c r="L7" i="8"/>
  <c r="M7" i="8"/>
  <c r="N7" i="8"/>
  <c r="O7" i="8"/>
  <c r="P7" i="8"/>
  <c r="Q7" i="8"/>
  <c r="R7" i="8"/>
  <c r="S7" i="8"/>
  <c r="T7" i="8"/>
  <c r="U7" i="8"/>
  <c r="V7" i="8"/>
  <c r="W7" i="8"/>
  <c r="X7" i="8"/>
  <c r="Y7" i="8"/>
  <c r="Z7" i="8"/>
  <c r="AA7" i="8"/>
  <c r="AB7" i="8"/>
  <c r="AC7" i="8"/>
  <c r="AD7" i="8"/>
  <c r="AE7" i="8"/>
  <c r="B8" i="8"/>
  <c r="C8" i="8"/>
  <c r="D8" i="8"/>
  <c r="E8" i="8"/>
  <c r="F8" i="8"/>
  <c r="G8" i="8"/>
  <c r="H8" i="8"/>
  <c r="I8" i="8"/>
  <c r="J8" i="8"/>
  <c r="K8" i="8"/>
  <c r="L8" i="8"/>
  <c r="M8" i="8"/>
  <c r="N8" i="8"/>
  <c r="O8" i="8"/>
  <c r="P8" i="8"/>
  <c r="Q8" i="8"/>
  <c r="R8" i="8"/>
  <c r="S8" i="8"/>
  <c r="T8" i="8"/>
  <c r="U8" i="8"/>
  <c r="V8" i="8"/>
  <c r="W8" i="8"/>
  <c r="X8" i="8"/>
  <c r="Y8" i="8"/>
  <c r="Z8" i="8"/>
  <c r="AA8" i="8"/>
  <c r="AB8" i="8"/>
  <c r="AC8" i="8"/>
  <c r="AD8" i="8"/>
  <c r="AE8" i="8"/>
  <c r="B9" i="8"/>
  <c r="C9" i="8"/>
  <c r="D9" i="8"/>
  <c r="E9" i="8"/>
  <c r="F9" i="8"/>
  <c r="G9" i="8"/>
  <c r="H9" i="8"/>
  <c r="I9" i="8"/>
  <c r="J9" i="8"/>
  <c r="K9" i="8"/>
  <c r="L9" i="8"/>
  <c r="M9" i="8"/>
  <c r="N9" i="8"/>
  <c r="O9" i="8"/>
  <c r="P9" i="8"/>
  <c r="Q9" i="8"/>
  <c r="R9" i="8"/>
  <c r="S9" i="8"/>
  <c r="T9" i="8"/>
  <c r="U9" i="8"/>
  <c r="V9" i="8"/>
  <c r="W9" i="8"/>
  <c r="X9" i="8"/>
  <c r="Y9" i="8"/>
  <c r="Z9" i="8"/>
  <c r="AA9" i="8"/>
  <c r="AB9" i="8"/>
  <c r="AC9" i="8"/>
  <c r="AD9" i="8"/>
  <c r="AE9" i="8"/>
  <c r="B10" i="8"/>
  <c r="C10" i="8"/>
  <c r="D10" i="8"/>
  <c r="E10" i="8"/>
  <c r="F10" i="8"/>
  <c r="G10" i="8"/>
  <c r="H10" i="8"/>
  <c r="I10" i="8"/>
  <c r="J10" i="8"/>
  <c r="K10" i="8"/>
  <c r="L10" i="8"/>
  <c r="M10" i="8"/>
  <c r="N10" i="8"/>
  <c r="O10" i="8"/>
  <c r="P10" i="8"/>
  <c r="Q10" i="8"/>
  <c r="R10" i="8"/>
  <c r="S10" i="8"/>
  <c r="T10" i="8"/>
  <c r="U10" i="8"/>
  <c r="V10" i="8"/>
  <c r="W10" i="8"/>
  <c r="X10" i="8"/>
  <c r="Y10" i="8"/>
  <c r="Z10" i="8"/>
  <c r="AA10" i="8"/>
  <c r="AB10" i="8"/>
  <c r="AC10" i="8"/>
  <c r="AD10" i="8"/>
  <c r="AE10" i="8"/>
  <c r="B11" i="8"/>
  <c r="C11" i="8"/>
  <c r="D11" i="8"/>
  <c r="E11" i="8"/>
  <c r="F11" i="8"/>
  <c r="G11" i="8"/>
  <c r="H11" i="8"/>
  <c r="I11" i="8"/>
  <c r="J11" i="8"/>
  <c r="K11" i="8"/>
  <c r="L11" i="8"/>
  <c r="M11" i="8"/>
  <c r="N11" i="8"/>
  <c r="O11" i="8"/>
  <c r="P11" i="8"/>
  <c r="Q11" i="8"/>
  <c r="R11" i="8"/>
  <c r="S11" i="8"/>
  <c r="T11" i="8"/>
  <c r="U11" i="8"/>
  <c r="V11" i="8"/>
  <c r="W11" i="8"/>
  <c r="X11" i="8"/>
  <c r="Y11" i="8"/>
  <c r="Z11" i="8"/>
  <c r="AA11" i="8"/>
  <c r="AB11" i="8"/>
  <c r="AC11" i="8"/>
  <c r="AD11" i="8"/>
  <c r="AE11" i="8"/>
  <c r="B12" i="8"/>
  <c r="C12" i="8"/>
  <c r="D12" i="8"/>
  <c r="E12" i="8"/>
  <c r="F12" i="8"/>
  <c r="G12" i="8"/>
  <c r="H12" i="8"/>
  <c r="I12" i="8"/>
  <c r="J12" i="8"/>
  <c r="K12" i="8"/>
  <c r="L12" i="8"/>
  <c r="M12" i="8"/>
  <c r="N12" i="8"/>
  <c r="O12" i="8"/>
  <c r="P12" i="8"/>
  <c r="Q12" i="8"/>
  <c r="R12" i="8"/>
  <c r="S12" i="8"/>
  <c r="T12" i="8"/>
  <c r="U12" i="8"/>
  <c r="V12" i="8"/>
  <c r="W12" i="8"/>
  <c r="X12" i="8"/>
  <c r="Y12" i="8"/>
  <c r="Z12" i="8"/>
  <c r="AA12" i="8"/>
  <c r="AB12" i="8"/>
  <c r="AC12" i="8"/>
  <c r="AD12" i="8"/>
  <c r="AE12" i="8"/>
  <c r="B13" i="8"/>
  <c r="C13" i="8"/>
  <c r="D13" i="8"/>
  <c r="E13" i="8"/>
  <c r="F13" i="8"/>
  <c r="G13" i="8"/>
  <c r="H13" i="8"/>
  <c r="I13" i="8"/>
  <c r="J13" i="8"/>
  <c r="K13" i="8"/>
  <c r="L13" i="8"/>
  <c r="M13" i="8"/>
  <c r="N13" i="8"/>
  <c r="O13" i="8"/>
  <c r="P13" i="8"/>
  <c r="Q13" i="8"/>
  <c r="R13" i="8"/>
  <c r="S13" i="8"/>
  <c r="T13" i="8"/>
  <c r="U13" i="8"/>
  <c r="V13" i="8"/>
  <c r="W13" i="8"/>
  <c r="X13" i="8"/>
  <c r="Y13" i="8"/>
  <c r="Z13" i="8"/>
  <c r="AA13" i="8"/>
  <c r="AB13" i="8"/>
  <c r="AC13" i="8"/>
  <c r="AD13" i="8"/>
  <c r="AE13" i="8"/>
  <c r="B14" i="8"/>
  <c r="C14" i="8"/>
  <c r="D14" i="8"/>
  <c r="E14" i="8"/>
  <c r="F14" i="8"/>
  <c r="G14" i="8"/>
  <c r="H14" i="8"/>
  <c r="I14" i="8"/>
  <c r="J14" i="8"/>
  <c r="K14" i="8"/>
  <c r="L14" i="8"/>
  <c r="M14" i="8"/>
  <c r="N14" i="8"/>
  <c r="O14" i="8"/>
  <c r="P14" i="8"/>
  <c r="Q14" i="8"/>
  <c r="R14" i="8"/>
  <c r="S14" i="8"/>
  <c r="T14" i="8"/>
  <c r="U14" i="8"/>
  <c r="V14" i="8"/>
  <c r="W14" i="8"/>
  <c r="X14" i="8"/>
  <c r="Y14" i="8"/>
  <c r="Z14" i="8"/>
  <c r="AA14" i="8"/>
  <c r="AB14" i="8"/>
  <c r="AC14" i="8"/>
  <c r="AD14" i="8"/>
  <c r="AE14" i="8"/>
  <c r="B15" i="8"/>
  <c r="C15" i="8"/>
  <c r="D15" i="8"/>
  <c r="E15" i="8"/>
  <c r="F15" i="8"/>
  <c r="G15" i="8"/>
  <c r="H15" i="8"/>
  <c r="I15" i="8"/>
  <c r="J15" i="8"/>
  <c r="K15" i="8"/>
  <c r="L15" i="8"/>
  <c r="M15" i="8"/>
  <c r="N15" i="8"/>
  <c r="O15" i="8"/>
  <c r="P15" i="8"/>
  <c r="Q15" i="8"/>
  <c r="R15" i="8"/>
  <c r="S15" i="8"/>
  <c r="T15" i="8"/>
  <c r="U15" i="8"/>
  <c r="V15" i="8"/>
  <c r="W15" i="8"/>
  <c r="X15" i="8"/>
  <c r="Y15" i="8"/>
  <c r="Z15" i="8"/>
  <c r="AA15" i="8"/>
  <c r="AB15" i="8"/>
  <c r="AC15" i="8"/>
  <c r="AD15" i="8"/>
  <c r="AE15" i="8"/>
  <c r="B16" i="8"/>
  <c r="C16" i="8"/>
  <c r="D16" i="8"/>
  <c r="E16" i="8"/>
  <c r="F16" i="8"/>
  <c r="G16" i="8"/>
  <c r="H16" i="8"/>
  <c r="I16" i="8"/>
  <c r="J16" i="8"/>
  <c r="K16" i="8"/>
  <c r="L16" i="8"/>
  <c r="M16" i="8"/>
  <c r="N16" i="8"/>
  <c r="O16" i="8"/>
  <c r="P16" i="8"/>
  <c r="Q16" i="8"/>
  <c r="R16" i="8"/>
  <c r="S16" i="8"/>
  <c r="T16" i="8"/>
  <c r="U16" i="8"/>
  <c r="V16" i="8"/>
  <c r="W16" i="8"/>
  <c r="X16" i="8"/>
  <c r="Y16" i="8"/>
  <c r="Z16" i="8"/>
  <c r="AA16" i="8"/>
  <c r="AB16" i="8"/>
  <c r="AC16" i="8"/>
  <c r="AD16" i="8"/>
  <c r="AE16" i="8"/>
  <c r="B17" i="8"/>
  <c r="C17" i="8"/>
  <c r="D17" i="8"/>
  <c r="E17" i="8"/>
  <c r="F17" i="8"/>
  <c r="G17" i="8"/>
  <c r="H17" i="8"/>
  <c r="I17" i="8"/>
  <c r="J17" i="8"/>
  <c r="K17" i="8"/>
  <c r="L17" i="8"/>
  <c r="M17" i="8"/>
  <c r="N17" i="8"/>
  <c r="O17" i="8"/>
  <c r="P17" i="8"/>
  <c r="Q17" i="8"/>
  <c r="R17" i="8"/>
  <c r="S17" i="8"/>
  <c r="T17" i="8"/>
  <c r="U17" i="8"/>
  <c r="V17" i="8"/>
  <c r="W17" i="8"/>
  <c r="X17" i="8"/>
  <c r="Y17" i="8"/>
  <c r="Z17" i="8"/>
  <c r="AA17" i="8"/>
  <c r="AB17" i="8"/>
  <c r="AC17" i="8"/>
  <c r="AD17" i="8"/>
  <c r="AE17" i="8"/>
  <c r="B18" i="8"/>
  <c r="C18" i="8"/>
  <c r="D18" i="8"/>
  <c r="E18" i="8"/>
  <c r="F18" i="8"/>
  <c r="G18" i="8"/>
  <c r="H18" i="8"/>
  <c r="I18" i="8"/>
  <c r="J18" i="8"/>
  <c r="K18" i="8"/>
  <c r="L18" i="8"/>
  <c r="M18" i="8"/>
  <c r="N18" i="8"/>
  <c r="O18" i="8"/>
  <c r="P18" i="8"/>
  <c r="Q18" i="8"/>
  <c r="R18" i="8"/>
  <c r="S18" i="8"/>
  <c r="T18" i="8"/>
  <c r="U18" i="8"/>
  <c r="V18" i="8"/>
  <c r="W18" i="8"/>
  <c r="X18" i="8"/>
  <c r="Y18" i="8"/>
  <c r="Z18" i="8"/>
  <c r="AA18" i="8"/>
  <c r="AB18" i="8"/>
  <c r="AC18" i="8"/>
  <c r="AD18" i="8"/>
  <c r="AE18" i="8"/>
  <c r="B19" i="8"/>
  <c r="C19" i="8"/>
  <c r="D19" i="8"/>
  <c r="E19" i="8"/>
  <c r="F19" i="8"/>
  <c r="G19" i="8"/>
  <c r="H19" i="8"/>
  <c r="I19" i="8"/>
  <c r="J19" i="8"/>
  <c r="K19" i="8"/>
  <c r="L19" i="8"/>
  <c r="M19" i="8"/>
  <c r="N19" i="8"/>
  <c r="O19" i="8"/>
  <c r="P19" i="8"/>
  <c r="Q19" i="8"/>
  <c r="R19" i="8"/>
  <c r="S19" i="8"/>
  <c r="T19" i="8"/>
  <c r="U19" i="8"/>
  <c r="V19" i="8"/>
  <c r="W19" i="8"/>
  <c r="X19" i="8"/>
  <c r="Y19" i="8"/>
  <c r="Z19" i="8"/>
  <c r="AA19" i="8"/>
  <c r="AB19" i="8"/>
  <c r="AC19" i="8"/>
  <c r="AD19" i="8"/>
  <c r="AE19" i="8"/>
  <c r="B20" i="8"/>
  <c r="C20" i="8"/>
  <c r="D20" i="8"/>
  <c r="E20" i="8"/>
  <c r="F20" i="8"/>
  <c r="G20" i="8"/>
  <c r="H20" i="8"/>
  <c r="I20" i="8"/>
  <c r="J20" i="8"/>
  <c r="K20" i="8"/>
  <c r="L20" i="8"/>
  <c r="M20" i="8"/>
  <c r="N20" i="8"/>
  <c r="O20" i="8"/>
  <c r="P20" i="8"/>
  <c r="Q20" i="8"/>
  <c r="R20" i="8"/>
  <c r="S20" i="8"/>
  <c r="T20" i="8"/>
  <c r="U20" i="8"/>
  <c r="V20" i="8"/>
  <c r="W20" i="8"/>
  <c r="X20" i="8"/>
  <c r="Y20" i="8"/>
  <c r="Z20" i="8"/>
  <c r="AA20" i="8"/>
  <c r="AB20" i="8"/>
  <c r="AC20" i="8"/>
  <c r="AD20" i="8"/>
  <c r="AE20" i="8"/>
  <c r="B21" i="8"/>
  <c r="C21" i="8"/>
  <c r="D21" i="8"/>
  <c r="E21" i="8"/>
  <c r="F21" i="8"/>
  <c r="G21" i="8"/>
  <c r="H21" i="8"/>
  <c r="I21" i="8"/>
  <c r="J21" i="8"/>
  <c r="K21" i="8"/>
  <c r="L21" i="8"/>
  <c r="M21" i="8"/>
  <c r="N21" i="8"/>
  <c r="O21" i="8"/>
  <c r="P21" i="8"/>
  <c r="Q21" i="8"/>
  <c r="R21" i="8"/>
  <c r="S21" i="8"/>
  <c r="T21" i="8"/>
  <c r="U21" i="8"/>
  <c r="V21" i="8"/>
  <c r="W21" i="8"/>
  <c r="X21" i="8"/>
  <c r="Y21" i="8"/>
  <c r="Z21" i="8"/>
  <c r="AA21" i="8"/>
  <c r="AB21" i="8"/>
  <c r="AC21" i="8"/>
  <c r="AD21" i="8"/>
  <c r="AE21" i="8"/>
  <c r="B22" i="8"/>
  <c r="C22" i="8"/>
  <c r="D22" i="8"/>
  <c r="E22" i="8"/>
  <c r="F22" i="8"/>
  <c r="G22" i="8"/>
  <c r="H22" i="8"/>
  <c r="I22" i="8"/>
  <c r="J22" i="8"/>
  <c r="K22" i="8"/>
  <c r="L22" i="8"/>
  <c r="M22" i="8"/>
  <c r="N22" i="8"/>
  <c r="O22" i="8"/>
  <c r="P22" i="8"/>
  <c r="Q22" i="8"/>
  <c r="R22" i="8"/>
  <c r="S22" i="8"/>
  <c r="T22" i="8"/>
  <c r="U22" i="8"/>
  <c r="V22" i="8"/>
  <c r="W22" i="8"/>
  <c r="X22" i="8"/>
  <c r="Y22" i="8"/>
  <c r="Z22" i="8"/>
  <c r="AA22" i="8"/>
  <c r="AB22" i="8"/>
  <c r="AC22" i="8"/>
  <c r="AD22" i="8"/>
  <c r="AE22" i="8"/>
  <c r="B23" i="8"/>
  <c r="C23" i="8"/>
  <c r="D23" i="8"/>
  <c r="E23" i="8"/>
  <c r="F23" i="8"/>
  <c r="G23" i="8"/>
  <c r="H23" i="8"/>
  <c r="I23" i="8"/>
  <c r="J23" i="8"/>
  <c r="K23" i="8"/>
  <c r="L23" i="8"/>
  <c r="M23" i="8"/>
  <c r="N23" i="8"/>
  <c r="O23" i="8"/>
  <c r="P23" i="8"/>
  <c r="Q23" i="8"/>
  <c r="R23" i="8"/>
  <c r="S23" i="8"/>
  <c r="T23" i="8"/>
  <c r="U23" i="8"/>
  <c r="V23" i="8"/>
  <c r="W23" i="8"/>
  <c r="X23" i="8"/>
  <c r="Y23" i="8"/>
  <c r="Z23" i="8"/>
  <c r="AA23" i="8"/>
  <c r="AB23" i="8"/>
  <c r="AC23" i="8"/>
  <c r="AD23" i="8"/>
  <c r="AE23" i="8"/>
  <c r="B24" i="8"/>
  <c r="C24" i="8"/>
  <c r="D24" i="8"/>
  <c r="E24" i="8"/>
  <c r="F24" i="8"/>
  <c r="G24" i="8"/>
  <c r="H24" i="8"/>
  <c r="I24" i="8"/>
  <c r="J24" i="8"/>
  <c r="K24" i="8"/>
  <c r="L24" i="8"/>
  <c r="M24" i="8"/>
  <c r="N24" i="8"/>
  <c r="O24" i="8"/>
  <c r="P24" i="8"/>
  <c r="Q24" i="8"/>
  <c r="R24" i="8"/>
  <c r="S24" i="8"/>
  <c r="T24" i="8"/>
  <c r="U24" i="8"/>
  <c r="V24" i="8"/>
  <c r="W24" i="8"/>
  <c r="X24" i="8"/>
  <c r="Y24" i="8"/>
  <c r="Z24" i="8"/>
  <c r="AA24" i="8"/>
  <c r="AB24" i="8"/>
  <c r="AC24" i="8"/>
  <c r="AD24" i="8"/>
  <c r="AE24" i="8"/>
  <c r="B25" i="8"/>
  <c r="C25" i="8"/>
  <c r="D25" i="8"/>
  <c r="E25" i="8"/>
  <c r="F25" i="8"/>
  <c r="G25" i="8"/>
  <c r="H25" i="8"/>
  <c r="I25" i="8"/>
  <c r="J25" i="8"/>
  <c r="K25" i="8"/>
  <c r="L25" i="8"/>
  <c r="M25" i="8"/>
  <c r="N25" i="8"/>
  <c r="O25" i="8"/>
  <c r="P25" i="8"/>
  <c r="Q25" i="8"/>
  <c r="R25" i="8"/>
  <c r="S25" i="8"/>
  <c r="T25" i="8"/>
  <c r="U25" i="8"/>
  <c r="V25" i="8"/>
  <c r="W25" i="8"/>
  <c r="X25" i="8"/>
  <c r="Y25" i="8"/>
  <c r="Z25" i="8"/>
  <c r="AA25" i="8"/>
  <c r="AB25" i="8"/>
  <c r="AC25" i="8"/>
  <c r="AD25" i="8"/>
  <c r="AE25" i="8"/>
  <c r="B26" i="8"/>
  <c r="C26" i="8"/>
  <c r="D26" i="8"/>
  <c r="E26" i="8"/>
  <c r="F26" i="8"/>
  <c r="G26" i="8"/>
  <c r="H26" i="8"/>
  <c r="I26" i="8"/>
  <c r="J26" i="8"/>
  <c r="K26" i="8"/>
  <c r="L26" i="8"/>
  <c r="M26" i="8"/>
  <c r="N26" i="8"/>
  <c r="O26" i="8"/>
  <c r="P26" i="8"/>
  <c r="Q26" i="8"/>
  <c r="R26" i="8"/>
  <c r="S26" i="8"/>
  <c r="T26" i="8"/>
  <c r="U26" i="8"/>
  <c r="V26" i="8"/>
  <c r="W26" i="8"/>
  <c r="X26" i="8"/>
  <c r="Y26" i="8"/>
  <c r="Z26" i="8"/>
  <c r="AA26" i="8"/>
  <c r="AB26" i="8"/>
  <c r="AC26" i="8"/>
  <c r="AD26" i="8"/>
  <c r="AE26" i="8"/>
  <c r="B27" i="8"/>
  <c r="C27" i="8"/>
  <c r="D27" i="8"/>
  <c r="E27" i="8"/>
  <c r="F27" i="8"/>
  <c r="G27" i="8"/>
  <c r="H27" i="8"/>
  <c r="I27" i="8"/>
  <c r="J27" i="8"/>
  <c r="K27" i="8"/>
  <c r="L27" i="8"/>
  <c r="M27" i="8"/>
  <c r="N27" i="8"/>
  <c r="O27" i="8"/>
  <c r="P27" i="8"/>
  <c r="Q27" i="8"/>
  <c r="R27" i="8"/>
  <c r="S27" i="8"/>
  <c r="T27" i="8"/>
  <c r="U27" i="8"/>
  <c r="V27" i="8"/>
  <c r="W27" i="8"/>
  <c r="X27" i="8"/>
  <c r="Y27" i="8"/>
  <c r="Z27" i="8"/>
  <c r="AA27" i="8"/>
  <c r="AB27" i="8"/>
  <c r="AC27" i="8"/>
  <c r="AD27" i="8"/>
  <c r="AE27" i="8"/>
  <c r="B28" i="8"/>
  <c r="C28" i="8"/>
  <c r="D28" i="8"/>
  <c r="E28" i="8"/>
  <c r="F28" i="8"/>
  <c r="G28" i="8"/>
  <c r="H28" i="8"/>
  <c r="I28" i="8"/>
  <c r="J28" i="8"/>
  <c r="K28" i="8"/>
  <c r="L28" i="8"/>
  <c r="M28" i="8"/>
  <c r="N28" i="8"/>
  <c r="O28" i="8"/>
  <c r="P28" i="8"/>
  <c r="Q28" i="8"/>
  <c r="R28" i="8"/>
  <c r="S28" i="8"/>
  <c r="T28" i="8"/>
  <c r="U28" i="8"/>
  <c r="V28" i="8"/>
  <c r="W28" i="8"/>
  <c r="X28" i="8"/>
  <c r="Y28" i="8"/>
  <c r="Z28" i="8"/>
  <c r="AA28" i="8"/>
  <c r="AB28" i="8"/>
  <c r="AC28" i="8"/>
  <c r="AD28" i="8"/>
  <c r="AE28" i="8"/>
  <c r="B29" i="8"/>
  <c r="C29" i="8"/>
  <c r="D29" i="8"/>
  <c r="E29" i="8"/>
  <c r="F29" i="8"/>
  <c r="G29" i="8"/>
  <c r="H29" i="8"/>
  <c r="I29" i="8"/>
  <c r="J29" i="8"/>
  <c r="K29" i="8"/>
  <c r="L29" i="8"/>
  <c r="M29" i="8"/>
  <c r="N29" i="8"/>
  <c r="O29" i="8"/>
  <c r="P29" i="8"/>
  <c r="Q29" i="8"/>
  <c r="R29" i="8"/>
  <c r="S29" i="8"/>
  <c r="T29" i="8"/>
  <c r="U29" i="8"/>
  <c r="V29" i="8"/>
  <c r="W29" i="8"/>
  <c r="X29" i="8"/>
  <c r="Y29" i="8"/>
  <c r="Z29" i="8"/>
  <c r="AA29" i="8"/>
  <c r="AB29" i="8"/>
  <c r="AC29" i="8"/>
  <c r="AD29" i="8"/>
  <c r="AE29" i="8"/>
  <c r="B30" i="8"/>
  <c r="C30" i="8"/>
  <c r="D30" i="8"/>
  <c r="E30" i="8"/>
  <c r="F30" i="8"/>
  <c r="G30" i="8"/>
  <c r="H30" i="8"/>
  <c r="I30" i="8"/>
  <c r="J30" i="8"/>
  <c r="K30" i="8"/>
  <c r="L30" i="8"/>
  <c r="M30" i="8"/>
  <c r="N30" i="8"/>
  <c r="O30" i="8"/>
  <c r="P30" i="8"/>
  <c r="Q30" i="8"/>
  <c r="R30" i="8"/>
  <c r="S30" i="8"/>
  <c r="T30" i="8"/>
  <c r="U30" i="8"/>
  <c r="V30" i="8"/>
  <c r="W30" i="8"/>
  <c r="X30" i="8"/>
  <c r="Y30" i="8"/>
  <c r="Z30" i="8"/>
  <c r="AA30" i="8"/>
  <c r="AB30" i="8"/>
  <c r="AC30" i="8"/>
  <c r="AD30" i="8"/>
  <c r="AE30" i="8"/>
  <c r="B31" i="8"/>
  <c r="C31" i="8"/>
  <c r="D31" i="8"/>
  <c r="E31" i="8"/>
  <c r="F31" i="8"/>
  <c r="G31" i="8"/>
  <c r="H31" i="8"/>
  <c r="I31" i="8"/>
  <c r="J31" i="8"/>
  <c r="K31" i="8"/>
  <c r="L31" i="8"/>
  <c r="M31" i="8"/>
  <c r="N31" i="8"/>
  <c r="O31" i="8"/>
  <c r="P31" i="8"/>
  <c r="Q31" i="8"/>
  <c r="R31" i="8"/>
  <c r="S31" i="8"/>
  <c r="T31" i="8"/>
  <c r="U31" i="8"/>
  <c r="V31" i="8"/>
  <c r="W31" i="8"/>
  <c r="X31" i="8"/>
  <c r="Y31" i="8"/>
  <c r="Z31" i="8"/>
  <c r="AA31" i="8"/>
  <c r="AB31" i="8"/>
  <c r="AC31" i="8"/>
  <c r="AD31" i="8"/>
  <c r="AE31" i="8"/>
  <c r="C2" i="8"/>
  <c r="D2" i="8"/>
  <c r="E2" i="8"/>
  <c r="F2" i="8"/>
  <c r="G2" i="8"/>
  <c r="H2" i="8"/>
  <c r="I2" i="8"/>
  <c r="J2" i="8"/>
  <c r="K2" i="8"/>
  <c r="L2" i="8"/>
  <c r="M2" i="8"/>
  <c r="N2" i="8"/>
  <c r="O2" i="8"/>
  <c r="P2" i="8"/>
  <c r="Q2" i="8"/>
  <c r="R2" i="8"/>
  <c r="S2" i="8"/>
  <c r="T2" i="8"/>
  <c r="U2" i="8"/>
  <c r="V2" i="8"/>
  <c r="W2" i="8"/>
  <c r="X2" i="8"/>
  <c r="Y2" i="8"/>
  <c r="Z2" i="8"/>
  <c r="AA2" i="8"/>
  <c r="AB2" i="8"/>
  <c r="AC2" i="8"/>
  <c r="AD2" i="8"/>
  <c r="AE2" i="8"/>
  <c r="B2" i="8"/>
  <c r="AI31" i="8"/>
  <c r="AI30" i="8"/>
  <c r="AI29" i="8"/>
  <c r="AI28" i="8"/>
  <c r="AI27" i="8"/>
  <c r="AI26" i="8"/>
  <c r="AI25" i="8"/>
  <c r="AI24" i="8"/>
  <c r="AI23" i="8"/>
  <c r="AI22" i="8"/>
  <c r="AI21" i="8"/>
  <c r="AI20" i="8"/>
  <c r="AI19" i="8"/>
  <c r="AI18" i="8"/>
  <c r="AI17" i="8"/>
  <c r="AI16" i="8"/>
  <c r="AI15" i="8"/>
  <c r="AI14" i="8"/>
  <c r="AI13" i="8"/>
  <c r="AI12" i="8"/>
  <c r="AI11" i="8"/>
  <c r="AI10" i="8"/>
  <c r="AI9" i="8"/>
  <c r="AI8" i="8"/>
  <c r="AI7" i="8"/>
  <c r="AI6" i="8"/>
  <c r="AI5" i="8"/>
  <c r="AI4" i="8"/>
  <c r="AI3" i="8"/>
  <c r="AI2" i="8"/>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E36" i="1"/>
  <c r="E66" i="1" l="1"/>
  <c r="AH36" i="1" s="1"/>
  <c r="AH38" i="1" a="1"/>
  <c r="AH38" i="1" s="1"/>
  <c r="AH39" i="1" a="1"/>
  <c r="AH39" i="1" s="1"/>
  <c r="AH37" i="1"/>
  <c r="G24" i="5"/>
  <c r="G16" i="5"/>
  <c r="G12" i="5"/>
  <c r="G4" i="5"/>
  <c r="G20" i="5"/>
  <c r="G8" i="5"/>
  <c r="G6" i="5"/>
  <c r="G29" i="5"/>
  <c r="G25" i="5"/>
  <c r="G21" i="5"/>
  <c r="G17" i="5"/>
  <c r="G13" i="5"/>
  <c r="G9" i="5"/>
  <c r="B98" i="1"/>
  <c r="B104" i="1"/>
  <c r="B97" i="1"/>
  <c r="B93" i="1"/>
  <c r="B89" i="1"/>
  <c r="B85" i="1"/>
  <c r="B81" i="1"/>
  <c r="B77" i="1"/>
  <c r="B73" i="1"/>
  <c r="AC100" i="1"/>
  <c r="AC133" i="1" s="1"/>
  <c r="Y100" i="1"/>
  <c r="Y133" i="1" s="1"/>
  <c r="U100" i="1"/>
  <c r="U133" i="1" s="1"/>
  <c r="Q100" i="1"/>
  <c r="Q133" i="1" s="1"/>
  <c r="M100" i="1"/>
  <c r="M133" i="1" s="1"/>
  <c r="I100" i="1"/>
  <c r="I133" i="1" s="1"/>
  <c r="E100" i="1"/>
  <c r="E133" i="1" s="1"/>
  <c r="AD99" i="1"/>
  <c r="AD132" i="1" s="1"/>
  <c r="Z99" i="1"/>
  <c r="Z132" i="1" s="1"/>
  <c r="V99" i="1"/>
  <c r="V132" i="1" s="1"/>
  <c r="R99" i="1"/>
  <c r="R132" i="1" s="1"/>
  <c r="N99" i="1"/>
  <c r="N132" i="1" s="1"/>
  <c r="J99" i="1"/>
  <c r="J132" i="1" s="1"/>
  <c r="F99" i="1"/>
  <c r="F132" i="1" s="1"/>
  <c r="AE98" i="1"/>
  <c r="AE131" i="1" s="1"/>
  <c r="AA98" i="1"/>
  <c r="AA131" i="1" s="1"/>
  <c r="W98" i="1"/>
  <c r="W131" i="1" s="1"/>
  <c r="S98" i="1"/>
  <c r="S131" i="1" s="1"/>
  <c r="O98" i="1"/>
  <c r="O131" i="1" s="1"/>
  <c r="K98" i="1"/>
  <c r="K131" i="1" s="1"/>
  <c r="G98" i="1"/>
  <c r="G131" i="1" s="1"/>
  <c r="C98" i="1"/>
  <c r="C131" i="1" s="1"/>
  <c r="AB97" i="1"/>
  <c r="AB130" i="1" s="1"/>
  <c r="X97" i="1"/>
  <c r="X130" i="1" s="1"/>
  <c r="T97" i="1"/>
  <c r="T130" i="1" s="1"/>
  <c r="P97" i="1"/>
  <c r="P130" i="1" s="1"/>
  <c r="L97" i="1"/>
  <c r="L130" i="1" s="1"/>
  <c r="H97" i="1"/>
  <c r="H130" i="1" s="1"/>
  <c r="D97" i="1"/>
  <c r="D130" i="1" s="1"/>
  <c r="AC96" i="1"/>
  <c r="AC129" i="1" s="1"/>
  <c r="Y96" i="1"/>
  <c r="Y129" i="1" s="1"/>
  <c r="U96" i="1"/>
  <c r="U129" i="1" s="1"/>
  <c r="Q96" i="1"/>
  <c r="Q129" i="1" s="1"/>
  <c r="M96" i="1"/>
  <c r="M129" i="1" s="1"/>
  <c r="I96" i="1"/>
  <c r="I129" i="1" s="1"/>
  <c r="E96" i="1"/>
  <c r="E129" i="1" s="1"/>
  <c r="AD95" i="1"/>
  <c r="AD128" i="1" s="1"/>
  <c r="Z95" i="1"/>
  <c r="Z128" i="1" s="1"/>
  <c r="V95" i="1"/>
  <c r="V128" i="1" s="1"/>
  <c r="R95" i="1"/>
  <c r="R128" i="1" s="1"/>
  <c r="N95" i="1"/>
  <c r="N128" i="1" s="1"/>
  <c r="J95" i="1"/>
  <c r="J128" i="1" s="1"/>
  <c r="F95" i="1"/>
  <c r="F128" i="1" s="1"/>
  <c r="AE94" i="1"/>
  <c r="AE127" i="1" s="1"/>
  <c r="AA94" i="1"/>
  <c r="AA127" i="1" s="1"/>
  <c r="W94" i="1"/>
  <c r="W127" i="1" s="1"/>
  <c r="S94" i="1"/>
  <c r="S127" i="1" s="1"/>
  <c r="O94" i="1"/>
  <c r="O127" i="1" s="1"/>
  <c r="K94" i="1"/>
  <c r="K127" i="1" s="1"/>
  <c r="G94" i="1"/>
  <c r="G127" i="1" s="1"/>
  <c r="C94" i="1"/>
  <c r="C127" i="1" s="1"/>
  <c r="AB93" i="1"/>
  <c r="AB126" i="1" s="1"/>
  <c r="X93" i="1"/>
  <c r="X126" i="1" s="1"/>
  <c r="T93" i="1"/>
  <c r="T126" i="1" s="1"/>
  <c r="P93" i="1"/>
  <c r="P126" i="1" s="1"/>
  <c r="L93" i="1"/>
  <c r="L126" i="1" s="1"/>
  <c r="H93" i="1"/>
  <c r="H126" i="1" s="1"/>
  <c r="D93" i="1"/>
  <c r="D126" i="1" s="1"/>
  <c r="AC92" i="1"/>
  <c r="AC125" i="1" s="1"/>
  <c r="Y92" i="1"/>
  <c r="Y125" i="1" s="1"/>
  <c r="U92" i="1"/>
  <c r="U125" i="1" s="1"/>
  <c r="Q92" i="1"/>
  <c r="Q125" i="1" s="1"/>
  <c r="M92" i="1"/>
  <c r="M125" i="1" s="1"/>
  <c r="I92" i="1"/>
  <c r="I125" i="1" s="1"/>
  <c r="E92" i="1"/>
  <c r="E125" i="1" s="1"/>
  <c r="AD91" i="1"/>
  <c r="AD124" i="1" s="1"/>
  <c r="Z91" i="1"/>
  <c r="Z124" i="1" s="1"/>
  <c r="V91" i="1"/>
  <c r="V124" i="1" s="1"/>
  <c r="R91" i="1"/>
  <c r="R124" i="1" s="1"/>
  <c r="N91" i="1"/>
  <c r="N124" i="1" s="1"/>
  <c r="J91" i="1"/>
  <c r="J124" i="1" s="1"/>
  <c r="F91" i="1"/>
  <c r="F124" i="1" s="1"/>
  <c r="AE90" i="1"/>
  <c r="AE123" i="1" s="1"/>
  <c r="AA90" i="1"/>
  <c r="AA123" i="1" s="1"/>
  <c r="W90" i="1"/>
  <c r="W123" i="1" s="1"/>
  <c r="S90" i="1"/>
  <c r="S123" i="1" s="1"/>
  <c r="O90" i="1"/>
  <c r="O123" i="1" s="1"/>
  <c r="K90" i="1"/>
  <c r="K123" i="1" s="1"/>
  <c r="G90" i="1"/>
  <c r="G123" i="1" s="1"/>
  <c r="C90" i="1"/>
  <c r="C123" i="1" s="1"/>
  <c r="AB89" i="1"/>
  <c r="AB122" i="1" s="1"/>
  <c r="X89" i="1"/>
  <c r="X122" i="1" s="1"/>
  <c r="T89" i="1"/>
  <c r="T122" i="1" s="1"/>
  <c r="P89" i="1"/>
  <c r="P122" i="1" s="1"/>
  <c r="L89" i="1"/>
  <c r="L122" i="1" s="1"/>
  <c r="H89" i="1"/>
  <c r="H122" i="1" s="1"/>
  <c r="D89" i="1"/>
  <c r="D122" i="1" s="1"/>
  <c r="AC88" i="1"/>
  <c r="AC121" i="1" s="1"/>
  <c r="Y88" i="1"/>
  <c r="Y121" i="1" s="1"/>
  <c r="U88" i="1"/>
  <c r="U121" i="1" s="1"/>
  <c r="Q88" i="1"/>
  <c r="Q121" i="1" s="1"/>
  <c r="M88" i="1"/>
  <c r="M121" i="1" s="1"/>
  <c r="I88" i="1"/>
  <c r="I121" i="1" s="1"/>
  <c r="E88" i="1"/>
  <c r="E121" i="1" s="1"/>
  <c r="AD87" i="1"/>
  <c r="AD120" i="1" s="1"/>
  <c r="Z87" i="1"/>
  <c r="Z120" i="1" s="1"/>
  <c r="V87" i="1"/>
  <c r="V120" i="1" s="1"/>
  <c r="R87" i="1"/>
  <c r="R120" i="1" s="1"/>
  <c r="N87" i="1"/>
  <c r="N120" i="1" s="1"/>
  <c r="J87" i="1"/>
  <c r="J120" i="1" s="1"/>
  <c r="F87" i="1"/>
  <c r="F120" i="1" s="1"/>
  <c r="AE86" i="1"/>
  <c r="AE119" i="1" s="1"/>
  <c r="AA86" i="1"/>
  <c r="AA119" i="1" s="1"/>
  <c r="W86" i="1"/>
  <c r="W119" i="1" s="1"/>
  <c r="S86" i="1"/>
  <c r="S119" i="1" s="1"/>
  <c r="O86" i="1"/>
  <c r="O119" i="1" s="1"/>
  <c r="K86" i="1"/>
  <c r="K119" i="1" s="1"/>
  <c r="G86" i="1"/>
  <c r="G119" i="1" s="1"/>
  <c r="C86" i="1"/>
  <c r="C119" i="1" s="1"/>
  <c r="AB85" i="1"/>
  <c r="AB118" i="1" s="1"/>
  <c r="X85" i="1"/>
  <c r="X118" i="1" s="1"/>
  <c r="T85" i="1"/>
  <c r="T118" i="1" s="1"/>
  <c r="P85" i="1"/>
  <c r="P118" i="1" s="1"/>
  <c r="L85" i="1"/>
  <c r="L118" i="1" s="1"/>
  <c r="H85" i="1"/>
  <c r="H118" i="1" s="1"/>
  <c r="D85" i="1"/>
  <c r="D118" i="1" s="1"/>
  <c r="AC84" i="1"/>
  <c r="AC117" i="1" s="1"/>
  <c r="Y84" i="1"/>
  <c r="Y117" i="1" s="1"/>
  <c r="U84" i="1"/>
  <c r="U117" i="1" s="1"/>
  <c r="Q84" i="1"/>
  <c r="Q117" i="1" s="1"/>
  <c r="M84" i="1"/>
  <c r="M117" i="1" s="1"/>
  <c r="I84" i="1"/>
  <c r="I117" i="1" s="1"/>
  <c r="E84" i="1"/>
  <c r="E117" i="1" s="1"/>
  <c r="AD83" i="1"/>
  <c r="AD116" i="1" s="1"/>
  <c r="Z83" i="1"/>
  <c r="Z116" i="1" s="1"/>
  <c r="V83" i="1"/>
  <c r="V116" i="1" s="1"/>
  <c r="R83" i="1"/>
  <c r="R116" i="1" s="1"/>
  <c r="N83" i="1"/>
  <c r="N116" i="1" s="1"/>
  <c r="J83" i="1"/>
  <c r="J116" i="1" s="1"/>
  <c r="F83" i="1"/>
  <c r="F116" i="1" s="1"/>
  <c r="AE82" i="1"/>
  <c r="AE115" i="1" s="1"/>
  <c r="AA82" i="1"/>
  <c r="AA115" i="1" s="1"/>
  <c r="W82" i="1"/>
  <c r="W115" i="1" s="1"/>
  <c r="S82" i="1"/>
  <c r="S115" i="1" s="1"/>
  <c r="O82" i="1"/>
  <c r="O115" i="1" s="1"/>
  <c r="K82" i="1"/>
  <c r="K115" i="1" s="1"/>
  <c r="G82" i="1"/>
  <c r="G115" i="1" s="1"/>
  <c r="C82" i="1"/>
  <c r="C115" i="1" s="1"/>
  <c r="AB81" i="1"/>
  <c r="AB114" i="1" s="1"/>
  <c r="X81" i="1"/>
  <c r="X114" i="1" s="1"/>
  <c r="T81" i="1"/>
  <c r="T114" i="1" s="1"/>
  <c r="P81" i="1"/>
  <c r="P114" i="1" s="1"/>
  <c r="L81" i="1"/>
  <c r="L114" i="1" s="1"/>
  <c r="H81" i="1"/>
  <c r="H114" i="1" s="1"/>
  <c r="D81" i="1"/>
  <c r="D114" i="1" s="1"/>
  <c r="AC80" i="1"/>
  <c r="AC113" i="1" s="1"/>
  <c r="Y80" i="1"/>
  <c r="Y113" i="1" s="1"/>
  <c r="U80" i="1"/>
  <c r="U113" i="1" s="1"/>
  <c r="Q80" i="1"/>
  <c r="Q113" i="1" s="1"/>
  <c r="M80" i="1"/>
  <c r="M113" i="1" s="1"/>
  <c r="I80" i="1"/>
  <c r="I113" i="1" s="1"/>
  <c r="E80" i="1"/>
  <c r="E113" i="1" s="1"/>
  <c r="AD79" i="1"/>
  <c r="AD112" i="1" s="1"/>
  <c r="Z79" i="1"/>
  <c r="Z112" i="1" s="1"/>
  <c r="V79" i="1"/>
  <c r="V112" i="1" s="1"/>
  <c r="R79" i="1"/>
  <c r="R112" i="1" s="1"/>
  <c r="N79" i="1"/>
  <c r="N112" i="1" s="1"/>
  <c r="J79" i="1"/>
  <c r="J112" i="1" s="1"/>
  <c r="F79" i="1"/>
  <c r="F112" i="1" s="1"/>
  <c r="AE78" i="1"/>
  <c r="AE111" i="1" s="1"/>
  <c r="AA78" i="1"/>
  <c r="AA111" i="1" s="1"/>
  <c r="W78" i="1"/>
  <c r="W111" i="1" s="1"/>
  <c r="S78" i="1"/>
  <c r="S111" i="1" s="1"/>
  <c r="O78" i="1"/>
  <c r="O111" i="1" s="1"/>
  <c r="K78" i="1"/>
  <c r="K111" i="1" s="1"/>
  <c r="G78" i="1"/>
  <c r="G111" i="1" s="1"/>
  <c r="C78" i="1"/>
  <c r="C111" i="1" s="1"/>
  <c r="AB77" i="1"/>
  <c r="AB110" i="1" s="1"/>
  <c r="X77" i="1"/>
  <c r="X110" i="1" s="1"/>
  <c r="T77" i="1"/>
  <c r="T110" i="1" s="1"/>
  <c r="P77" i="1"/>
  <c r="P110" i="1" s="1"/>
  <c r="L77" i="1"/>
  <c r="L110" i="1" s="1"/>
  <c r="H77" i="1"/>
  <c r="H110" i="1" s="1"/>
  <c r="D77" i="1"/>
  <c r="D110" i="1" s="1"/>
  <c r="AC76" i="1"/>
  <c r="AC109" i="1" s="1"/>
  <c r="Y76" i="1"/>
  <c r="Y109" i="1" s="1"/>
  <c r="U76" i="1"/>
  <c r="U109" i="1" s="1"/>
  <c r="Q76" i="1"/>
  <c r="Q109" i="1" s="1"/>
  <c r="M76" i="1"/>
  <c r="M109" i="1" s="1"/>
  <c r="I76" i="1"/>
  <c r="I109" i="1" s="1"/>
  <c r="E76" i="1"/>
  <c r="E109" i="1" s="1"/>
  <c r="AD75" i="1"/>
  <c r="AD108" i="1" s="1"/>
  <c r="Z75" i="1"/>
  <c r="Z108" i="1" s="1"/>
  <c r="V75" i="1"/>
  <c r="V108" i="1" s="1"/>
  <c r="R75" i="1"/>
  <c r="R108" i="1" s="1"/>
  <c r="N75" i="1"/>
  <c r="N108" i="1" s="1"/>
  <c r="J75" i="1"/>
  <c r="J108" i="1" s="1"/>
  <c r="F75" i="1"/>
  <c r="F108" i="1" s="1"/>
  <c r="AE74" i="1"/>
  <c r="AE107" i="1" s="1"/>
  <c r="AA74" i="1"/>
  <c r="AA107" i="1" s="1"/>
  <c r="W74" i="1"/>
  <c r="W107" i="1" s="1"/>
  <c r="S74" i="1"/>
  <c r="S107" i="1" s="1"/>
  <c r="O74" i="1"/>
  <c r="O107" i="1" s="1"/>
  <c r="K74" i="1"/>
  <c r="K107" i="1" s="1"/>
  <c r="G74" i="1"/>
  <c r="G107" i="1" s="1"/>
  <c r="C74" i="1"/>
  <c r="C107" i="1" s="1"/>
  <c r="AB73" i="1"/>
  <c r="AB106" i="1" s="1"/>
  <c r="X73" i="1"/>
  <c r="X106" i="1" s="1"/>
  <c r="T73" i="1"/>
  <c r="T106" i="1" s="1"/>
  <c r="P73" i="1"/>
  <c r="P106" i="1" s="1"/>
  <c r="L73" i="1"/>
  <c r="L106" i="1" s="1"/>
  <c r="H73" i="1"/>
  <c r="H106" i="1" s="1"/>
  <c r="D73" i="1"/>
  <c r="D106" i="1" s="1"/>
  <c r="AC72" i="1"/>
  <c r="AC105" i="1" s="1"/>
  <c r="Y72" i="1"/>
  <c r="Y105" i="1" s="1"/>
  <c r="U72" i="1"/>
  <c r="U105" i="1" s="1"/>
  <c r="Q72" i="1"/>
  <c r="Q105" i="1" s="1"/>
  <c r="M72" i="1"/>
  <c r="M105" i="1" s="1"/>
  <c r="I72" i="1"/>
  <c r="I105" i="1" s="1"/>
  <c r="E72" i="1"/>
  <c r="E105" i="1" s="1"/>
  <c r="AD71" i="1"/>
  <c r="AD104" i="1" s="1"/>
  <c r="Z71" i="1"/>
  <c r="Z104" i="1" s="1"/>
  <c r="V71" i="1"/>
  <c r="V104" i="1" s="1"/>
  <c r="B100" i="1"/>
  <c r="B96" i="1"/>
  <c r="B92" i="1"/>
  <c r="B88" i="1"/>
  <c r="B84" i="1"/>
  <c r="B80" i="1"/>
  <c r="B76" i="1"/>
  <c r="B72" i="1"/>
  <c r="AB100" i="1"/>
  <c r="AB133" i="1" s="1"/>
  <c r="X100" i="1"/>
  <c r="X133" i="1" s="1"/>
  <c r="T100" i="1"/>
  <c r="T133" i="1" s="1"/>
  <c r="P100" i="1"/>
  <c r="P133" i="1" s="1"/>
  <c r="L100" i="1"/>
  <c r="L133" i="1" s="1"/>
  <c r="H100" i="1"/>
  <c r="H133" i="1" s="1"/>
  <c r="D100" i="1"/>
  <c r="D133" i="1" s="1"/>
  <c r="AC99" i="1"/>
  <c r="AC132" i="1" s="1"/>
  <c r="Y99" i="1"/>
  <c r="Y132" i="1" s="1"/>
  <c r="U99" i="1"/>
  <c r="U132" i="1" s="1"/>
  <c r="Q99" i="1"/>
  <c r="Q132" i="1" s="1"/>
  <c r="M99" i="1"/>
  <c r="M132" i="1" s="1"/>
  <c r="I99" i="1"/>
  <c r="I132" i="1" s="1"/>
  <c r="E99" i="1"/>
  <c r="E132" i="1" s="1"/>
  <c r="AD98" i="1"/>
  <c r="AD131" i="1" s="1"/>
  <c r="Z98" i="1"/>
  <c r="Z131" i="1" s="1"/>
  <c r="V98" i="1"/>
  <c r="V131" i="1" s="1"/>
  <c r="R98" i="1"/>
  <c r="R131" i="1" s="1"/>
  <c r="N98" i="1"/>
  <c r="N131" i="1" s="1"/>
  <c r="J98" i="1"/>
  <c r="J131" i="1" s="1"/>
  <c r="F98" i="1"/>
  <c r="F131" i="1" s="1"/>
  <c r="AE97" i="1"/>
  <c r="AE130" i="1" s="1"/>
  <c r="AA97" i="1"/>
  <c r="AA130" i="1" s="1"/>
  <c r="W97" i="1"/>
  <c r="W130" i="1" s="1"/>
  <c r="S97" i="1"/>
  <c r="S130" i="1" s="1"/>
  <c r="O97" i="1"/>
  <c r="O130" i="1" s="1"/>
  <c r="K97" i="1"/>
  <c r="K130" i="1" s="1"/>
  <c r="G97" i="1"/>
  <c r="G130" i="1" s="1"/>
  <c r="C97" i="1"/>
  <c r="C130" i="1" s="1"/>
  <c r="AB96" i="1"/>
  <c r="AB129" i="1" s="1"/>
  <c r="X96" i="1"/>
  <c r="X129" i="1" s="1"/>
  <c r="T96" i="1"/>
  <c r="T129" i="1" s="1"/>
  <c r="P96" i="1"/>
  <c r="P129" i="1" s="1"/>
  <c r="L96" i="1"/>
  <c r="L129" i="1" s="1"/>
  <c r="H96" i="1"/>
  <c r="H129" i="1" s="1"/>
  <c r="D96" i="1"/>
  <c r="D129" i="1" s="1"/>
  <c r="AC95" i="1"/>
  <c r="AC128" i="1" s="1"/>
  <c r="Y95" i="1"/>
  <c r="Y128" i="1" s="1"/>
  <c r="U95" i="1"/>
  <c r="U128" i="1" s="1"/>
  <c r="Q95" i="1"/>
  <c r="Q128" i="1" s="1"/>
  <c r="M95" i="1"/>
  <c r="M128" i="1" s="1"/>
  <c r="I95" i="1"/>
  <c r="I128" i="1" s="1"/>
  <c r="E95" i="1"/>
  <c r="E128" i="1" s="1"/>
  <c r="AD94" i="1"/>
  <c r="AD127" i="1" s="1"/>
  <c r="Z94" i="1"/>
  <c r="Z127" i="1" s="1"/>
  <c r="V94" i="1"/>
  <c r="V127" i="1" s="1"/>
  <c r="R94" i="1"/>
  <c r="R127" i="1" s="1"/>
  <c r="N94" i="1"/>
  <c r="N127" i="1" s="1"/>
  <c r="J94" i="1"/>
  <c r="J127" i="1" s="1"/>
  <c r="F94" i="1"/>
  <c r="F127" i="1" s="1"/>
  <c r="AE93" i="1"/>
  <c r="AE126" i="1" s="1"/>
  <c r="AA93" i="1"/>
  <c r="AA126" i="1" s="1"/>
  <c r="W93" i="1"/>
  <c r="W126" i="1" s="1"/>
  <c r="S93" i="1"/>
  <c r="S126" i="1" s="1"/>
  <c r="O93" i="1"/>
  <c r="O126" i="1" s="1"/>
  <c r="K93" i="1"/>
  <c r="K126" i="1" s="1"/>
  <c r="G93" i="1"/>
  <c r="G126" i="1" s="1"/>
  <c r="C93" i="1"/>
  <c r="C126" i="1" s="1"/>
  <c r="AB92" i="1"/>
  <c r="AB125" i="1" s="1"/>
  <c r="X92" i="1"/>
  <c r="X125" i="1" s="1"/>
  <c r="T92" i="1"/>
  <c r="T125" i="1" s="1"/>
  <c r="P92" i="1"/>
  <c r="P125" i="1" s="1"/>
  <c r="L92" i="1"/>
  <c r="L125" i="1" s="1"/>
  <c r="H92" i="1"/>
  <c r="H125" i="1" s="1"/>
  <c r="D92" i="1"/>
  <c r="D125" i="1" s="1"/>
  <c r="AC91" i="1"/>
  <c r="AC124" i="1" s="1"/>
  <c r="Y91" i="1"/>
  <c r="Y124" i="1" s="1"/>
  <c r="U91" i="1"/>
  <c r="U124" i="1" s="1"/>
  <c r="Q91" i="1"/>
  <c r="Q124" i="1" s="1"/>
  <c r="M91" i="1"/>
  <c r="M124" i="1" s="1"/>
  <c r="I91" i="1"/>
  <c r="I124" i="1" s="1"/>
  <c r="E91" i="1"/>
  <c r="E124" i="1" s="1"/>
  <c r="AD90" i="1"/>
  <c r="AD123" i="1" s="1"/>
  <c r="Z90" i="1"/>
  <c r="Z123" i="1" s="1"/>
  <c r="V90" i="1"/>
  <c r="V123" i="1" s="1"/>
  <c r="R90" i="1"/>
  <c r="R123" i="1" s="1"/>
  <c r="N90" i="1"/>
  <c r="N123" i="1" s="1"/>
  <c r="J90" i="1"/>
  <c r="J123" i="1" s="1"/>
  <c r="F90" i="1"/>
  <c r="F123" i="1" s="1"/>
  <c r="AE89" i="1"/>
  <c r="AE122" i="1" s="1"/>
  <c r="AA89" i="1"/>
  <c r="AA122" i="1" s="1"/>
  <c r="W89" i="1"/>
  <c r="W122" i="1" s="1"/>
  <c r="S89" i="1"/>
  <c r="S122" i="1" s="1"/>
  <c r="O89" i="1"/>
  <c r="O122" i="1" s="1"/>
  <c r="K89" i="1"/>
  <c r="K122" i="1" s="1"/>
  <c r="G89" i="1"/>
  <c r="G122" i="1" s="1"/>
  <c r="C89" i="1"/>
  <c r="C122" i="1" s="1"/>
  <c r="AB88" i="1"/>
  <c r="AB121" i="1" s="1"/>
  <c r="X88" i="1"/>
  <c r="X121" i="1" s="1"/>
  <c r="T88" i="1"/>
  <c r="T121" i="1" s="1"/>
  <c r="P88" i="1"/>
  <c r="P121" i="1" s="1"/>
  <c r="L88" i="1"/>
  <c r="L121" i="1" s="1"/>
  <c r="H88" i="1"/>
  <c r="H121" i="1" s="1"/>
  <c r="D88" i="1"/>
  <c r="D121" i="1" s="1"/>
  <c r="AC87" i="1"/>
  <c r="AC120" i="1" s="1"/>
  <c r="Y87" i="1"/>
  <c r="Y120" i="1" s="1"/>
  <c r="U87" i="1"/>
  <c r="U120" i="1" s="1"/>
  <c r="Q87" i="1"/>
  <c r="Q120" i="1" s="1"/>
  <c r="M87" i="1"/>
  <c r="M120" i="1" s="1"/>
  <c r="I87" i="1"/>
  <c r="I120" i="1" s="1"/>
  <c r="E87" i="1"/>
  <c r="E120" i="1" s="1"/>
  <c r="AD86" i="1"/>
  <c r="AD119" i="1" s="1"/>
  <c r="Z86" i="1"/>
  <c r="Z119" i="1" s="1"/>
  <c r="V86" i="1"/>
  <c r="V119" i="1" s="1"/>
  <c r="R86" i="1"/>
  <c r="R119" i="1" s="1"/>
  <c r="N86" i="1"/>
  <c r="N119" i="1" s="1"/>
  <c r="J86" i="1"/>
  <c r="J119" i="1" s="1"/>
  <c r="F86" i="1"/>
  <c r="F119" i="1" s="1"/>
  <c r="AE85" i="1"/>
  <c r="AE118" i="1" s="1"/>
  <c r="AA85" i="1"/>
  <c r="AA118" i="1" s="1"/>
  <c r="W85" i="1"/>
  <c r="W118" i="1" s="1"/>
  <c r="S85" i="1"/>
  <c r="S118" i="1" s="1"/>
  <c r="O85" i="1"/>
  <c r="O118" i="1" s="1"/>
  <c r="K85" i="1"/>
  <c r="K118" i="1" s="1"/>
  <c r="G85" i="1"/>
  <c r="G118" i="1" s="1"/>
  <c r="C85" i="1"/>
  <c r="C118" i="1" s="1"/>
  <c r="AB84" i="1"/>
  <c r="AB117" i="1" s="1"/>
  <c r="X84" i="1"/>
  <c r="X117" i="1" s="1"/>
  <c r="T84" i="1"/>
  <c r="T117" i="1" s="1"/>
  <c r="P84" i="1"/>
  <c r="P117" i="1" s="1"/>
  <c r="L84" i="1"/>
  <c r="L117" i="1" s="1"/>
  <c r="H84" i="1"/>
  <c r="H117" i="1" s="1"/>
  <c r="D84" i="1"/>
  <c r="D117" i="1" s="1"/>
  <c r="AC83" i="1"/>
  <c r="AC116" i="1" s="1"/>
  <c r="Y83" i="1"/>
  <c r="Y116" i="1" s="1"/>
  <c r="U83" i="1"/>
  <c r="U116" i="1" s="1"/>
  <c r="Q83" i="1"/>
  <c r="Q116" i="1" s="1"/>
  <c r="M83" i="1"/>
  <c r="M116" i="1" s="1"/>
  <c r="I83" i="1"/>
  <c r="I116" i="1" s="1"/>
  <c r="E83" i="1"/>
  <c r="E116" i="1" s="1"/>
  <c r="AD82" i="1"/>
  <c r="AD115" i="1" s="1"/>
  <c r="Z82" i="1"/>
  <c r="Z115" i="1" s="1"/>
  <c r="V82" i="1"/>
  <c r="V115" i="1" s="1"/>
  <c r="R82" i="1"/>
  <c r="R115" i="1" s="1"/>
  <c r="N82" i="1"/>
  <c r="N115" i="1" s="1"/>
  <c r="J82" i="1"/>
  <c r="J115" i="1" s="1"/>
  <c r="F82" i="1"/>
  <c r="F115" i="1" s="1"/>
  <c r="AE81" i="1"/>
  <c r="AE114" i="1" s="1"/>
  <c r="AA81" i="1"/>
  <c r="AA114" i="1" s="1"/>
  <c r="W81" i="1"/>
  <c r="W114" i="1" s="1"/>
  <c r="S81" i="1"/>
  <c r="S114" i="1" s="1"/>
  <c r="O81" i="1"/>
  <c r="O114" i="1" s="1"/>
  <c r="K81" i="1"/>
  <c r="K114" i="1" s="1"/>
  <c r="G81" i="1"/>
  <c r="G114" i="1" s="1"/>
  <c r="C81" i="1"/>
  <c r="C114" i="1" s="1"/>
  <c r="AB80" i="1"/>
  <c r="AB113" i="1" s="1"/>
  <c r="X80" i="1"/>
  <c r="X113" i="1" s="1"/>
  <c r="T80" i="1"/>
  <c r="T113" i="1" s="1"/>
  <c r="P80" i="1"/>
  <c r="P113" i="1" s="1"/>
  <c r="L80" i="1"/>
  <c r="L113" i="1" s="1"/>
  <c r="H80" i="1"/>
  <c r="H113" i="1" s="1"/>
  <c r="D80" i="1"/>
  <c r="D113" i="1" s="1"/>
  <c r="AC79" i="1"/>
  <c r="AC112" i="1" s="1"/>
  <c r="Y79" i="1"/>
  <c r="Y112" i="1" s="1"/>
  <c r="U79" i="1"/>
  <c r="U112" i="1" s="1"/>
  <c r="Q79" i="1"/>
  <c r="Q112" i="1" s="1"/>
  <c r="M79" i="1"/>
  <c r="M112" i="1" s="1"/>
  <c r="I79" i="1"/>
  <c r="I112" i="1" s="1"/>
  <c r="E79" i="1"/>
  <c r="E112" i="1" s="1"/>
  <c r="AD78" i="1"/>
  <c r="AD111" i="1" s="1"/>
  <c r="Z78" i="1"/>
  <c r="Z111" i="1" s="1"/>
  <c r="V78" i="1"/>
  <c r="V111" i="1" s="1"/>
  <c r="R78" i="1"/>
  <c r="R111" i="1" s="1"/>
  <c r="N78" i="1"/>
  <c r="N111" i="1" s="1"/>
  <c r="J78" i="1"/>
  <c r="J111" i="1" s="1"/>
  <c r="F78" i="1"/>
  <c r="F111" i="1" s="1"/>
  <c r="AE77" i="1"/>
  <c r="AE110" i="1" s="1"/>
  <c r="AA77" i="1"/>
  <c r="AA110" i="1" s="1"/>
  <c r="W77" i="1"/>
  <c r="W110" i="1" s="1"/>
  <c r="S77" i="1"/>
  <c r="S110" i="1" s="1"/>
  <c r="O77" i="1"/>
  <c r="O110" i="1" s="1"/>
  <c r="K77" i="1"/>
  <c r="K110" i="1" s="1"/>
  <c r="G77" i="1"/>
  <c r="G110" i="1" s="1"/>
  <c r="C77" i="1"/>
  <c r="C110" i="1" s="1"/>
  <c r="AB76" i="1"/>
  <c r="AB109" i="1" s="1"/>
  <c r="X76" i="1"/>
  <c r="X109" i="1" s="1"/>
  <c r="T76" i="1"/>
  <c r="T109" i="1" s="1"/>
  <c r="P76" i="1"/>
  <c r="P109" i="1" s="1"/>
  <c r="L76" i="1"/>
  <c r="L109" i="1" s="1"/>
  <c r="H76" i="1"/>
  <c r="H109" i="1" s="1"/>
  <c r="D76" i="1"/>
  <c r="D109" i="1" s="1"/>
  <c r="AC75" i="1"/>
  <c r="AC108" i="1" s="1"/>
  <c r="Y75" i="1"/>
  <c r="Y108" i="1" s="1"/>
  <c r="U75" i="1"/>
  <c r="U108" i="1" s="1"/>
  <c r="Q75" i="1"/>
  <c r="Q108" i="1" s="1"/>
  <c r="M75" i="1"/>
  <c r="M108" i="1" s="1"/>
  <c r="I75" i="1"/>
  <c r="I108" i="1" s="1"/>
  <c r="E75" i="1"/>
  <c r="E108" i="1" s="1"/>
  <c r="AD74" i="1"/>
  <c r="AD107" i="1" s="1"/>
  <c r="Z74" i="1"/>
  <c r="Z107" i="1" s="1"/>
  <c r="V74" i="1"/>
  <c r="V107" i="1" s="1"/>
  <c r="R74" i="1"/>
  <c r="R107" i="1" s="1"/>
  <c r="N74" i="1"/>
  <c r="N107" i="1" s="1"/>
  <c r="J74" i="1"/>
  <c r="J107" i="1" s="1"/>
  <c r="F74" i="1"/>
  <c r="F107" i="1" s="1"/>
  <c r="AE73" i="1"/>
  <c r="AE106" i="1" s="1"/>
  <c r="AA73" i="1"/>
  <c r="AA106" i="1" s="1"/>
  <c r="W73" i="1"/>
  <c r="W106" i="1" s="1"/>
  <c r="S73" i="1"/>
  <c r="S106" i="1" s="1"/>
  <c r="O73" i="1"/>
  <c r="O106" i="1" s="1"/>
  <c r="K73" i="1"/>
  <c r="K106" i="1" s="1"/>
  <c r="G73" i="1"/>
  <c r="G106" i="1" s="1"/>
  <c r="C73" i="1"/>
  <c r="C106" i="1" s="1"/>
  <c r="AB72" i="1"/>
  <c r="AB105" i="1" s="1"/>
  <c r="X72" i="1"/>
  <c r="X105" i="1" s="1"/>
  <c r="T72" i="1"/>
  <c r="T105" i="1" s="1"/>
  <c r="P72" i="1"/>
  <c r="P105" i="1" s="1"/>
  <c r="L72" i="1"/>
  <c r="L105" i="1" s="1"/>
  <c r="H72" i="1"/>
  <c r="H105" i="1" s="1"/>
  <c r="D72" i="1"/>
  <c r="D105" i="1" s="1"/>
  <c r="AC71" i="1"/>
  <c r="AC104" i="1" s="1"/>
  <c r="Y71" i="1"/>
  <c r="Y104" i="1" s="1"/>
  <c r="U71" i="1"/>
  <c r="U104" i="1" s="1"/>
  <c r="Q71" i="1"/>
  <c r="Q104" i="1" s="1"/>
  <c r="M71" i="1"/>
  <c r="M104" i="1" s="1"/>
  <c r="B95" i="1"/>
  <c r="B91" i="1"/>
  <c r="B87" i="1"/>
  <c r="B83" i="1"/>
  <c r="B79" i="1"/>
  <c r="B75" i="1"/>
  <c r="AE100" i="1"/>
  <c r="AE133" i="1" s="1"/>
  <c r="AA100" i="1"/>
  <c r="AA133" i="1" s="1"/>
  <c r="W100" i="1"/>
  <c r="W133" i="1" s="1"/>
  <c r="S100" i="1"/>
  <c r="S133" i="1" s="1"/>
  <c r="O100" i="1"/>
  <c r="O133" i="1" s="1"/>
  <c r="K100" i="1"/>
  <c r="K133" i="1" s="1"/>
  <c r="G100" i="1"/>
  <c r="G133" i="1" s="1"/>
  <c r="C100" i="1"/>
  <c r="C133" i="1" s="1"/>
  <c r="AB99" i="1"/>
  <c r="AB132" i="1" s="1"/>
  <c r="X99" i="1"/>
  <c r="X132" i="1" s="1"/>
  <c r="T99" i="1"/>
  <c r="T132" i="1" s="1"/>
  <c r="P99" i="1"/>
  <c r="P132" i="1" s="1"/>
  <c r="L99" i="1"/>
  <c r="L132" i="1" s="1"/>
  <c r="H99" i="1"/>
  <c r="H132" i="1" s="1"/>
  <c r="D99" i="1"/>
  <c r="D132" i="1" s="1"/>
  <c r="AC98" i="1"/>
  <c r="AC131" i="1" s="1"/>
  <c r="Y98" i="1"/>
  <c r="Y131" i="1" s="1"/>
  <c r="U98" i="1"/>
  <c r="U131" i="1" s="1"/>
  <c r="Q98" i="1"/>
  <c r="Q131" i="1" s="1"/>
  <c r="M98" i="1"/>
  <c r="M131" i="1" s="1"/>
  <c r="I98" i="1"/>
  <c r="I131" i="1" s="1"/>
  <c r="E98" i="1"/>
  <c r="E131" i="1" s="1"/>
  <c r="AD97" i="1"/>
  <c r="AD130" i="1" s="1"/>
  <c r="Z97" i="1"/>
  <c r="Z130" i="1" s="1"/>
  <c r="V97" i="1"/>
  <c r="V130" i="1" s="1"/>
  <c r="R97" i="1"/>
  <c r="R130" i="1" s="1"/>
  <c r="N97" i="1"/>
  <c r="N130" i="1" s="1"/>
  <c r="J97" i="1"/>
  <c r="J130" i="1" s="1"/>
  <c r="F97" i="1"/>
  <c r="F130" i="1" s="1"/>
  <c r="AE96" i="1"/>
  <c r="AE129" i="1" s="1"/>
  <c r="AA96" i="1"/>
  <c r="AA129" i="1" s="1"/>
  <c r="W96" i="1"/>
  <c r="W129" i="1" s="1"/>
  <c r="S96" i="1"/>
  <c r="S129" i="1" s="1"/>
  <c r="O96" i="1"/>
  <c r="O129" i="1" s="1"/>
  <c r="K96" i="1"/>
  <c r="K129" i="1" s="1"/>
  <c r="G96" i="1"/>
  <c r="G129" i="1" s="1"/>
  <c r="C96" i="1"/>
  <c r="C129" i="1" s="1"/>
  <c r="AB95" i="1"/>
  <c r="AB128" i="1" s="1"/>
  <c r="X95" i="1"/>
  <c r="X128" i="1" s="1"/>
  <c r="T95" i="1"/>
  <c r="T128" i="1" s="1"/>
  <c r="P95" i="1"/>
  <c r="P128" i="1" s="1"/>
  <c r="L95" i="1"/>
  <c r="L128" i="1" s="1"/>
  <c r="H95" i="1"/>
  <c r="H128" i="1" s="1"/>
  <c r="D95" i="1"/>
  <c r="D128" i="1" s="1"/>
  <c r="AC94" i="1"/>
  <c r="AC127" i="1" s="1"/>
  <c r="Y94" i="1"/>
  <c r="Y127" i="1" s="1"/>
  <c r="U94" i="1"/>
  <c r="U127" i="1" s="1"/>
  <c r="Q94" i="1"/>
  <c r="Q127" i="1" s="1"/>
  <c r="M94" i="1"/>
  <c r="M127" i="1" s="1"/>
  <c r="I94" i="1"/>
  <c r="I127" i="1" s="1"/>
  <c r="E94" i="1"/>
  <c r="E127" i="1" s="1"/>
  <c r="AD93" i="1"/>
  <c r="AD126" i="1" s="1"/>
  <c r="Z93" i="1"/>
  <c r="Z126" i="1" s="1"/>
  <c r="V93" i="1"/>
  <c r="V126" i="1" s="1"/>
  <c r="R93" i="1"/>
  <c r="R126" i="1" s="1"/>
  <c r="N93" i="1"/>
  <c r="N126" i="1" s="1"/>
  <c r="J93" i="1"/>
  <c r="J126" i="1" s="1"/>
  <c r="F93" i="1"/>
  <c r="F126" i="1" s="1"/>
  <c r="AE92" i="1"/>
  <c r="AE125" i="1" s="1"/>
  <c r="AA92" i="1"/>
  <c r="AA125" i="1" s="1"/>
  <c r="W92" i="1"/>
  <c r="W125" i="1" s="1"/>
  <c r="S92" i="1"/>
  <c r="S125" i="1" s="1"/>
  <c r="O92" i="1"/>
  <c r="O125" i="1" s="1"/>
  <c r="K92" i="1"/>
  <c r="K125" i="1" s="1"/>
  <c r="G92" i="1"/>
  <c r="G125" i="1" s="1"/>
  <c r="C92" i="1"/>
  <c r="C125" i="1" s="1"/>
  <c r="AB91" i="1"/>
  <c r="AB124" i="1" s="1"/>
  <c r="X91" i="1"/>
  <c r="X124" i="1" s="1"/>
  <c r="T91" i="1"/>
  <c r="T124" i="1" s="1"/>
  <c r="P91" i="1"/>
  <c r="P124" i="1" s="1"/>
  <c r="L91" i="1"/>
  <c r="L124" i="1" s="1"/>
  <c r="H91" i="1"/>
  <c r="H124" i="1" s="1"/>
  <c r="D91" i="1"/>
  <c r="D124" i="1" s="1"/>
  <c r="AC90" i="1"/>
  <c r="AC123" i="1" s="1"/>
  <c r="Y90" i="1"/>
  <c r="Y123" i="1" s="1"/>
  <c r="U90" i="1"/>
  <c r="U123" i="1" s="1"/>
  <c r="Q90" i="1"/>
  <c r="Q123" i="1" s="1"/>
  <c r="M90" i="1"/>
  <c r="M123" i="1" s="1"/>
  <c r="I90" i="1"/>
  <c r="I123" i="1" s="1"/>
  <c r="E90" i="1"/>
  <c r="E123" i="1" s="1"/>
  <c r="AD89" i="1"/>
  <c r="AD122" i="1" s="1"/>
  <c r="Z89" i="1"/>
  <c r="Z122" i="1" s="1"/>
  <c r="V89" i="1"/>
  <c r="V122" i="1" s="1"/>
  <c r="R89" i="1"/>
  <c r="R122" i="1" s="1"/>
  <c r="N89" i="1"/>
  <c r="N122" i="1" s="1"/>
  <c r="J89" i="1"/>
  <c r="J122" i="1" s="1"/>
  <c r="F89" i="1"/>
  <c r="F122" i="1" s="1"/>
  <c r="AE88" i="1"/>
  <c r="AE121" i="1" s="1"/>
  <c r="AA88" i="1"/>
  <c r="AA121" i="1" s="1"/>
  <c r="W88" i="1"/>
  <c r="W121" i="1" s="1"/>
  <c r="S88" i="1"/>
  <c r="S121" i="1" s="1"/>
  <c r="O88" i="1"/>
  <c r="O121" i="1" s="1"/>
  <c r="K88" i="1"/>
  <c r="K121" i="1" s="1"/>
  <c r="G88" i="1"/>
  <c r="G121" i="1" s="1"/>
  <c r="C88" i="1"/>
  <c r="C121" i="1" s="1"/>
  <c r="AB87" i="1"/>
  <c r="AB120" i="1" s="1"/>
  <c r="X87" i="1"/>
  <c r="X120" i="1" s="1"/>
  <c r="T87" i="1"/>
  <c r="T120" i="1" s="1"/>
  <c r="P87" i="1"/>
  <c r="P120" i="1" s="1"/>
  <c r="L87" i="1"/>
  <c r="L120" i="1" s="1"/>
  <c r="H87" i="1"/>
  <c r="H120" i="1" s="1"/>
  <c r="D87" i="1"/>
  <c r="D120" i="1" s="1"/>
  <c r="AC86" i="1"/>
  <c r="AC119" i="1" s="1"/>
  <c r="Y86" i="1"/>
  <c r="Y119" i="1" s="1"/>
  <c r="U86" i="1"/>
  <c r="U119" i="1" s="1"/>
  <c r="Q86" i="1"/>
  <c r="Q119" i="1" s="1"/>
  <c r="M86" i="1"/>
  <c r="M119" i="1" s="1"/>
  <c r="I86" i="1"/>
  <c r="I119" i="1" s="1"/>
  <c r="E86" i="1"/>
  <c r="E119" i="1" s="1"/>
  <c r="AD85" i="1"/>
  <c r="AD118" i="1" s="1"/>
  <c r="Z85" i="1"/>
  <c r="Z118" i="1" s="1"/>
  <c r="V85" i="1"/>
  <c r="V118" i="1" s="1"/>
  <c r="R85" i="1"/>
  <c r="R118" i="1" s="1"/>
  <c r="N85" i="1"/>
  <c r="N118" i="1" s="1"/>
  <c r="J85" i="1"/>
  <c r="J118" i="1" s="1"/>
  <c r="F85" i="1"/>
  <c r="F118" i="1" s="1"/>
  <c r="AE84" i="1"/>
  <c r="AE117" i="1" s="1"/>
  <c r="AA84" i="1"/>
  <c r="AA117" i="1" s="1"/>
  <c r="W84" i="1"/>
  <c r="W117" i="1" s="1"/>
  <c r="S84" i="1"/>
  <c r="S117" i="1" s="1"/>
  <c r="O84" i="1"/>
  <c r="O117" i="1" s="1"/>
  <c r="K84" i="1"/>
  <c r="K117" i="1" s="1"/>
  <c r="G84" i="1"/>
  <c r="G117" i="1" s="1"/>
  <c r="C84" i="1"/>
  <c r="C117" i="1" s="1"/>
  <c r="AB83" i="1"/>
  <c r="AB116" i="1" s="1"/>
  <c r="X83" i="1"/>
  <c r="X116" i="1" s="1"/>
  <c r="T83" i="1"/>
  <c r="T116" i="1" s="1"/>
  <c r="P83" i="1"/>
  <c r="P116" i="1" s="1"/>
  <c r="L83" i="1"/>
  <c r="L116" i="1" s="1"/>
  <c r="H83" i="1"/>
  <c r="H116" i="1" s="1"/>
  <c r="D83" i="1"/>
  <c r="D116" i="1" s="1"/>
  <c r="AC82" i="1"/>
  <c r="AC115" i="1" s="1"/>
  <c r="Y82" i="1"/>
  <c r="Y115" i="1" s="1"/>
  <c r="U82" i="1"/>
  <c r="U115" i="1" s="1"/>
  <c r="Q82" i="1"/>
  <c r="Q115" i="1" s="1"/>
  <c r="M82" i="1"/>
  <c r="M115" i="1" s="1"/>
  <c r="I82" i="1"/>
  <c r="I115" i="1" s="1"/>
  <c r="E82" i="1"/>
  <c r="E115" i="1" s="1"/>
  <c r="AD81" i="1"/>
  <c r="AD114" i="1" s="1"/>
  <c r="Z81" i="1"/>
  <c r="Z114" i="1" s="1"/>
  <c r="V81" i="1"/>
  <c r="V114" i="1" s="1"/>
  <c r="R81" i="1"/>
  <c r="R114" i="1" s="1"/>
  <c r="N81" i="1"/>
  <c r="N114" i="1" s="1"/>
  <c r="J81" i="1"/>
  <c r="J114" i="1" s="1"/>
  <c r="F81" i="1"/>
  <c r="F114" i="1" s="1"/>
  <c r="AE80" i="1"/>
  <c r="AE113" i="1" s="1"/>
  <c r="AA80" i="1"/>
  <c r="AA113" i="1" s="1"/>
  <c r="W80" i="1"/>
  <c r="W113" i="1" s="1"/>
  <c r="S80" i="1"/>
  <c r="S113" i="1" s="1"/>
  <c r="O80" i="1"/>
  <c r="O113" i="1" s="1"/>
  <c r="K80" i="1"/>
  <c r="K113" i="1" s="1"/>
  <c r="G80" i="1"/>
  <c r="G113" i="1" s="1"/>
  <c r="C80" i="1"/>
  <c r="C113" i="1" s="1"/>
  <c r="AB79" i="1"/>
  <c r="AB112" i="1" s="1"/>
  <c r="X79" i="1"/>
  <c r="X112" i="1" s="1"/>
  <c r="T79" i="1"/>
  <c r="T112" i="1" s="1"/>
  <c r="P79" i="1"/>
  <c r="P112" i="1" s="1"/>
  <c r="L79" i="1"/>
  <c r="L112" i="1" s="1"/>
  <c r="H79" i="1"/>
  <c r="H112" i="1" s="1"/>
  <c r="D79" i="1"/>
  <c r="D112" i="1" s="1"/>
  <c r="AC78" i="1"/>
  <c r="AC111" i="1" s="1"/>
  <c r="Y78" i="1"/>
  <c r="Y111" i="1" s="1"/>
  <c r="U78" i="1"/>
  <c r="U111" i="1" s="1"/>
  <c r="Q78" i="1"/>
  <c r="Q111" i="1" s="1"/>
  <c r="M78" i="1"/>
  <c r="M111" i="1" s="1"/>
  <c r="I78" i="1"/>
  <c r="I111" i="1" s="1"/>
  <c r="E78" i="1"/>
  <c r="E111" i="1" s="1"/>
  <c r="AD77" i="1"/>
  <c r="AD110" i="1" s="1"/>
  <c r="Z77" i="1"/>
  <c r="Z110" i="1" s="1"/>
  <c r="V77" i="1"/>
  <c r="V110" i="1" s="1"/>
  <c r="R77" i="1"/>
  <c r="R110" i="1" s="1"/>
  <c r="N77" i="1"/>
  <c r="N110" i="1" s="1"/>
  <c r="J77" i="1"/>
  <c r="J110" i="1" s="1"/>
  <c r="F77" i="1"/>
  <c r="F110" i="1" s="1"/>
  <c r="AE76" i="1"/>
  <c r="AE109" i="1" s="1"/>
  <c r="AA76" i="1"/>
  <c r="AA109" i="1" s="1"/>
  <c r="W76" i="1"/>
  <c r="W109" i="1" s="1"/>
  <c r="S76" i="1"/>
  <c r="S109" i="1" s="1"/>
  <c r="O76" i="1"/>
  <c r="O109" i="1" s="1"/>
  <c r="K76" i="1"/>
  <c r="K109" i="1" s="1"/>
  <c r="G76" i="1"/>
  <c r="G109" i="1" s="1"/>
  <c r="C76" i="1"/>
  <c r="C109" i="1" s="1"/>
  <c r="AB75" i="1"/>
  <c r="AB108" i="1" s="1"/>
  <c r="X75" i="1"/>
  <c r="X108" i="1" s="1"/>
  <c r="T75" i="1"/>
  <c r="T108" i="1" s="1"/>
  <c r="P75" i="1"/>
  <c r="P108" i="1" s="1"/>
  <c r="L75" i="1"/>
  <c r="L108" i="1" s="1"/>
  <c r="H75" i="1"/>
  <c r="H108" i="1" s="1"/>
  <c r="D75" i="1"/>
  <c r="D108" i="1" s="1"/>
  <c r="AC74" i="1"/>
  <c r="AC107" i="1" s="1"/>
  <c r="Y74" i="1"/>
  <c r="Y107" i="1" s="1"/>
  <c r="U74" i="1"/>
  <c r="U107" i="1" s="1"/>
  <c r="Q74" i="1"/>
  <c r="Q107" i="1" s="1"/>
  <c r="M74" i="1"/>
  <c r="M107" i="1" s="1"/>
  <c r="I74" i="1"/>
  <c r="I107" i="1" s="1"/>
  <c r="E74" i="1"/>
  <c r="E107" i="1" s="1"/>
  <c r="AD73" i="1"/>
  <c r="AD106" i="1" s="1"/>
  <c r="Z73" i="1"/>
  <c r="Z106" i="1" s="1"/>
  <c r="V73" i="1"/>
  <c r="V106" i="1" s="1"/>
  <c r="R73" i="1"/>
  <c r="R106" i="1" s="1"/>
  <c r="N73" i="1"/>
  <c r="N106" i="1" s="1"/>
  <c r="J73" i="1"/>
  <c r="J106" i="1" s="1"/>
  <c r="F73" i="1"/>
  <c r="F106" i="1" s="1"/>
  <c r="AE72" i="1"/>
  <c r="AE105" i="1" s="1"/>
  <c r="AA72" i="1"/>
  <c r="AA105" i="1" s="1"/>
  <c r="W72" i="1"/>
  <c r="W105" i="1" s="1"/>
  <c r="S72" i="1"/>
  <c r="S105" i="1" s="1"/>
  <c r="O72" i="1"/>
  <c r="O105" i="1" s="1"/>
  <c r="K72" i="1"/>
  <c r="K105" i="1" s="1"/>
  <c r="G72" i="1"/>
  <c r="G105" i="1" s="1"/>
  <c r="C72" i="1"/>
  <c r="C105" i="1" s="1"/>
  <c r="AB71" i="1"/>
  <c r="AB104" i="1" s="1"/>
  <c r="X71" i="1"/>
  <c r="X104" i="1" s="1"/>
  <c r="T71" i="1"/>
  <c r="T104" i="1" s="1"/>
  <c r="P71" i="1"/>
  <c r="P104" i="1" s="1"/>
  <c r="L71" i="1"/>
  <c r="L104" i="1" s="1"/>
  <c r="H71" i="1"/>
  <c r="H104" i="1" s="1"/>
  <c r="D71" i="1"/>
  <c r="D104" i="1" s="1"/>
  <c r="B99" i="1"/>
  <c r="B94" i="1"/>
  <c r="B90" i="1"/>
  <c r="B86" i="1"/>
  <c r="B82" i="1"/>
  <c r="B78" i="1"/>
  <c r="B74" i="1"/>
  <c r="AD100" i="1"/>
  <c r="AD133" i="1" s="1"/>
  <c r="Z100" i="1"/>
  <c r="Z133" i="1" s="1"/>
  <c r="V100" i="1"/>
  <c r="V133" i="1" s="1"/>
  <c r="R100" i="1"/>
  <c r="R133" i="1" s="1"/>
  <c r="N100" i="1"/>
  <c r="N133" i="1" s="1"/>
  <c r="J100" i="1"/>
  <c r="J133" i="1" s="1"/>
  <c r="F100" i="1"/>
  <c r="F133" i="1" s="1"/>
  <c r="AE99" i="1"/>
  <c r="AE132" i="1" s="1"/>
  <c r="AA99" i="1"/>
  <c r="AA132" i="1" s="1"/>
  <c r="W99" i="1"/>
  <c r="W132" i="1" s="1"/>
  <c r="S99" i="1"/>
  <c r="S132" i="1" s="1"/>
  <c r="O99" i="1"/>
  <c r="O132" i="1" s="1"/>
  <c r="K99" i="1"/>
  <c r="K132" i="1" s="1"/>
  <c r="G99" i="1"/>
  <c r="G132" i="1" s="1"/>
  <c r="C99" i="1"/>
  <c r="C132" i="1" s="1"/>
  <c r="AB98" i="1"/>
  <c r="AB131" i="1" s="1"/>
  <c r="X98" i="1"/>
  <c r="X131" i="1" s="1"/>
  <c r="T98" i="1"/>
  <c r="T131" i="1" s="1"/>
  <c r="P98" i="1"/>
  <c r="P131" i="1" s="1"/>
  <c r="L98" i="1"/>
  <c r="L131" i="1" s="1"/>
  <c r="H98" i="1"/>
  <c r="H131" i="1" s="1"/>
  <c r="D98" i="1"/>
  <c r="D131" i="1" s="1"/>
  <c r="AC97" i="1"/>
  <c r="AC130" i="1" s="1"/>
  <c r="Y97" i="1"/>
  <c r="Y130" i="1" s="1"/>
  <c r="U97" i="1"/>
  <c r="U130" i="1" s="1"/>
  <c r="Q97" i="1"/>
  <c r="Q130" i="1" s="1"/>
  <c r="M97" i="1"/>
  <c r="M130" i="1" s="1"/>
  <c r="I97" i="1"/>
  <c r="I130" i="1" s="1"/>
  <c r="E97" i="1"/>
  <c r="E130" i="1" s="1"/>
  <c r="AD96" i="1"/>
  <c r="AD129" i="1" s="1"/>
  <c r="Z96" i="1"/>
  <c r="Z129" i="1" s="1"/>
  <c r="V96" i="1"/>
  <c r="V129" i="1" s="1"/>
  <c r="R96" i="1"/>
  <c r="R129" i="1" s="1"/>
  <c r="N96" i="1"/>
  <c r="N129" i="1" s="1"/>
  <c r="J96" i="1"/>
  <c r="J129" i="1" s="1"/>
  <c r="F96" i="1"/>
  <c r="F129" i="1" s="1"/>
  <c r="AE95" i="1"/>
  <c r="AE128" i="1" s="1"/>
  <c r="AA95" i="1"/>
  <c r="AA128" i="1" s="1"/>
  <c r="W95" i="1"/>
  <c r="W128" i="1" s="1"/>
  <c r="S95" i="1"/>
  <c r="S128" i="1" s="1"/>
  <c r="O95" i="1"/>
  <c r="O128" i="1" s="1"/>
  <c r="K95" i="1"/>
  <c r="K128" i="1" s="1"/>
  <c r="G95" i="1"/>
  <c r="G128" i="1" s="1"/>
  <c r="C95" i="1"/>
  <c r="C128" i="1" s="1"/>
  <c r="AB94" i="1"/>
  <c r="AB127" i="1" s="1"/>
  <c r="X94" i="1"/>
  <c r="X127" i="1" s="1"/>
  <c r="T94" i="1"/>
  <c r="T127" i="1" s="1"/>
  <c r="P94" i="1"/>
  <c r="P127" i="1" s="1"/>
  <c r="L94" i="1"/>
  <c r="L127" i="1" s="1"/>
  <c r="H94" i="1"/>
  <c r="H127" i="1" s="1"/>
  <c r="D94" i="1"/>
  <c r="D127" i="1" s="1"/>
  <c r="AC93" i="1"/>
  <c r="AC126" i="1" s="1"/>
  <c r="Y93" i="1"/>
  <c r="Y126" i="1" s="1"/>
  <c r="U93" i="1"/>
  <c r="U126" i="1" s="1"/>
  <c r="Q93" i="1"/>
  <c r="Q126" i="1" s="1"/>
  <c r="M93" i="1"/>
  <c r="M126" i="1" s="1"/>
  <c r="I93" i="1"/>
  <c r="I126" i="1" s="1"/>
  <c r="E93" i="1"/>
  <c r="E126" i="1" s="1"/>
  <c r="AD92" i="1"/>
  <c r="AD125" i="1" s="1"/>
  <c r="Z92" i="1"/>
  <c r="Z125" i="1" s="1"/>
  <c r="V92" i="1"/>
  <c r="V125" i="1" s="1"/>
  <c r="R92" i="1"/>
  <c r="R125" i="1" s="1"/>
  <c r="N92" i="1"/>
  <c r="N125" i="1" s="1"/>
  <c r="J92" i="1"/>
  <c r="J125" i="1" s="1"/>
  <c r="F92" i="1"/>
  <c r="F125" i="1" s="1"/>
  <c r="AE91" i="1"/>
  <c r="AE124" i="1" s="1"/>
  <c r="AA91" i="1"/>
  <c r="AA124" i="1" s="1"/>
  <c r="W91" i="1"/>
  <c r="W124" i="1" s="1"/>
  <c r="S91" i="1"/>
  <c r="S124" i="1" s="1"/>
  <c r="O91" i="1"/>
  <c r="O124" i="1" s="1"/>
  <c r="K91" i="1"/>
  <c r="K124" i="1" s="1"/>
  <c r="G91" i="1"/>
  <c r="G124" i="1" s="1"/>
  <c r="C91" i="1"/>
  <c r="C124" i="1" s="1"/>
  <c r="AB90" i="1"/>
  <c r="AB123" i="1" s="1"/>
  <c r="X90" i="1"/>
  <c r="X123" i="1" s="1"/>
  <c r="T90" i="1"/>
  <c r="T123" i="1" s="1"/>
  <c r="P90" i="1"/>
  <c r="P123" i="1" s="1"/>
  <c r="L90" i="1"/>
  <c r="L123" i="1" s="1"/>
  <c r="H90" i="1"/>
  <c r="H123" i="1" s="1"/>
  <c r="D90" i="1"/>
  <c r="D123" i="1" s="1"/>
  <c r="AC89" i="1"/>
  <c r="AC122" i="1" s="1"/>
  <c r="Y89" i="1"/>
  <c r="Y122" i="1" s="1"/>
  <c r="U89" i="1"/>
  <c r="U122" i="1" s="1"/>
  <c r="Q89" i="1"/>
  <c r="Q122" i="1" s="1"/>
  <c r="M89" i="1"/>
  <c r="M122" i="1" s="1"/>
  <c r="I89" i="1"/>
  <c r="I122" i="1" s="1"/>
  <c r="E89" i="1"/>
  <c r="E122" i="1" s="1"/>
  <c r="AD88" i="1"/>
  <c r="AD121" i="1" s="1"/>
  <c r="Z88" i="1"/>
  <c r="Z121" i="1" s="1"/>
  <c r="V88" i="1"/>
  <c r="V121" i="1" s="1"/>
  <c r="R88" i="1"/>
  <c r="R121" i="1" s="1"/>
  <c r="N88" i="1"/>
  <c r="N121" i="1" s="1"/>
  <c r="J88" i="1"/>
  <c r="J121" i="1" s="1"/>
  <c r="F88" i="1"/>
  <c r="F121" i="1" s="1"/>
  <c r="AE87" i="1"/>
  <c r="AE120" i="1" s="1"/>
  <c r="AA87" i="1"/>
  <c r="AA120" i="1" s="1"/>
  <c r="W87" i="1"/>
  <c r="W120" i="1" s="1"/>
  <c r="S87" i="1"/>
  <c r="S120" i="1" s="1"/>
  <c r="O87" i="1"/>
  <c r="O120" i="1" s="1"/>
  <c r="K87" i="1"/>
  <c r="K120" i="1" s="1"/>
  <c r="G87" i="1"/>
  <c r="G120" i="1" s="1"/>
  <c r="C87" i="1"/>
  <c r="C120" i="1" s="1"/>
  <c r="AB86" i="1"/>
  <c r="AB119" i="1" s="1"/>
  <c r="X86" i="1"/>
  <c r="X119" i="1" s="1"/>
  <c r="T86" i="1"/>
  <c r="T119" i="1" s="1"/>
  <c r="P86" i="1"/>
  <c r="P119" i="1" s="1"/>
  <c r="L86" i="1"/>
  <c r="L119" i="1" s="1"/>
  <c r="H86" i="1"/>
  <c r="H119" i="1" s="1"/>
  <c r="D86" i="1"/>
  <c r="D119" i="1" s="1"/>
  <c r="AC85" i="1"/>
  <c r="AC118" i="1" s="1"/>
  <c r="Y85" i="1"/>
  <c r="Y118" i="1" s="1"/>
  <c r="U85" i="1"/>
  <c r="U118" i="1" s="1"/>
  <c r="Q85" i="1"/>
  <c r="Q118" i="1" s="1"/>
  <c r="M85" i="1"/>
  <c r="M118" i="1" s="1"/>
  <c r="I85" i="1"/>
  <c r="I118" i="1" s="1"/>
  <c r="E85" i="1"/>
  <c r="E118" i="1" s="1"/>
  <c r="AD84" i="1"/>
  <c r="AD117" i="1" s="1"/>
  <c r="Z84" i="1"/>
  <c r="Z117" i="1" s="1"/>
  <c r="V84" i="1"/>
  <c r="V117" i="1" s="1"/>
  <c r="R84" i="1"/>
  <c r="R117" i="1" s="1"/>
  <c r="N84" i="1"/>
  <c r="N117" i="1" s="1"/>
  <c r="J84" i="1"/>
  <c r="J117" i="1" s="1"/>
  <c r="F84" i="1"/>
  <c r="F117" i="1" s="1"/>
  <c r="AE83" i="1"/>
  <c r="AE116" i="1" s="1"/>
  <c r="AA83" i="1"/>
  <c r="AA116" i="1" s="1"/>
  <c r="W83" i="1"/>
  <c r="W116" i="1" s="1"/>
  <c r="S83" i="1"/>
  <c r="S116" i="1" s="1"/>
  <c r="O83" i="1"/>
  <c r="O116" i="1" s="1"/>
  <c r="K83" i="1"/>
  <c r="K116" i="1" s="1"/>
  <c r="G83" i="1"/>
  <c r="G116" i="1" s="1"/>
  <c r="C83" i="1"/>
  <c r="C116" i="1" s="1"/>
  <c r="AB82" i="1"/>
  <c r="AB115" i="1" s="1"/>
  <c r="X82" i="1"/>
  <c r="X115" i="1" s="1"/>
  <c r="T82" i="1"/>
  <c r="T115" i="1" s="1"/>
  <c r="P82" i="1"/>
  <c r="P115" i="1" s="1"/>
  <c r="L82" i="1"/>
  <c r="L115" i="1" s="1"/>
  <c r="H82" i="1"/>
  <c r="H115" i="1" s="1"/>
  <c r="D82" i="1"/>
  <c r="D115" i="1" s="1"/>
  <c r="AC81" i="1"/>
  <c r="AC114" i="1" s="1"/>
  <c r="Y81" i="1"/>
  <c r="Y114" i="1" s="1"/>
  <c r="U81" i="1"/>
  <c r="U114" i="1" s="1"/>
  <c r="Q81" i="1"/>
  <c r="Q114" i="1" s="1"/>
  <c r="M81" i="1"/>
  <c r="M114" i="1" s="1"/>
  <c r="I81" i="1"/>
  <c r="I114" i="1" s="1"/>
  <c r="E81" i="1"/>
  <c r="E114" i="1" s="1"/>
  <c r="AD80" i="1"/>
  <c r="AD113" i="1" s="1"/>
  <c r="Z80" i="1"/>
  <c r="Z113" i="1" s="1"/>
  <c r="V80" i="1"/>
  <c r="V113" i="1" s="1"/>
  <c r="R80" i="1"/>
  <c r="R113" i="1" s="1"/>
  <c r="N80" i="1"/>
  <c r="N113" i="1" s="1"/>
  <c r="J80" i="1"/>
  <c r="J113" i="1" s="1"/>
  <c r="F80" i="1"/>
  <c r="F113" i="1" s="1"/>
  <c r="AE79" i="1"/>
  <c r="AE112" i="1" s="1"/>
  <c r="AA79" i="1"/>
  <c r="AA112" i="1" s="1"/>
  <c r="W79" i="1"/>
  <c r="W112" i="1" s="1"/>
  <c r="S79" i="1"/>
  <c r="S112" i="1" s="1"/>
  <c r="O79" i="1"/>
  <c r="O112" i="1" s="1"/>
  <c r="K79" i="1"/>
  <c r="K112" i="1" s="1"/>
  <c r="G79" i="1"/>
  <c r="G112" i="1" s="1"/>
  <c r="C79" i="1"/>
  <c r="C112" i="1" s="1"/>
  <c r="AB78" i="1"/>
  <c r="AB111" i="1" s="1"/>
  <c r="X78" i="1"/>
  <c r="X111" i="1" s="1"/>
  <c r="T78" i="1"/>
  <c r="T111" i="1" s="1"/>
  <c r="P78" i="1"/>
  <c r="P111" i="1" s="1"/>
  <c r="L78" i="1"/>
  <c r="L111" i="1" s="1"/>
  <c r="H78" i="1"/>
  <c r="H111" i="1" s="1"/>
  <c r="D78" i="1"/>
  <c r="D111" i="1" s="1"/>
  <c r="AC77" i="1"/>
  <c r="AC110" i="1" s="1"/>
  <c r="Y77" i="1"/>
  <c r="Y110" i="1" s="1"/>
  <c r="U77" i="1"/>
  <c r="U110" i="1" s="1"/>
  <c r="Q77" i="1"/>
  <c r="Q110" i="1" s="1"/>
  <c r="M77" i="1"/>
  <c r="M110" i="1" s="1"/>
  <c r="I77" i="1"/>
  <c r="I110" i="1" s="1"/>
  <c r="E77" i="1"/>
  <c r="E110" i="1" s="1"/>
  <c r="AD76" i="1"/>
  <c r="AD109" i="1" s="1"/>
  <c r="Z76" i="1"/>
  <c r="Z109" i="1" s="1"/>
  <c r="V76" i="1"/>
  <c r="V109" i="1" s="1"/>
  <c r="R76" i="1"/>
  <c r="R109" i="1" s="1"/>
  <c r="N76" i="1"/>
  <c r="N109" i="1" s="1"/>
  <c r="J76" i="1"/>
  <c r="J109" i="1" s="1"/>
  <c r="F76" i="1"/>
  <c r="F109" i="1" s="1"/>
  <c r="AE75" i="1"/>
  <c r="AE108" i="1" s="1"/>
  <c r="AA75" i="1"/>
  <c r="AA108" i="1" s="1"/>
  <c r="W75" i="1"/>
  <c r="W108" i="1" s="1"/>
  <c r="S75" i="1"/>
  <c r="S108" i="1" s="1"/>
  <c r="O75" i="1"/>
  <c r="O108" i="1" s="1"/>
  <c r="K75" i="1"/>
  <c r="K108" i="1" s="1"/>
  <c r="G75" i="1"/>
  <c r="G108" i="1" s="1"/>
  <c r="C75" i="1"/>
  <c r="C108" i="1" s="1"/>
  <c r="AB74" i="1"/>
  <c r="AB107" i="1" s="1"/>
  <c r="X74" i="1"/>
  <c r="X107" i="1" s="1"/>
  <c r="T74" i="1"/>
  <c r="T107" i="1" s="1"/>
  <c r="P74" i="1"/>
  <c r="P107" i="1" s="1"/>
  <c r="L74" i="1"/>
  <c r="L107" i="1" s="1"/>
  <c r="H74" i="1"/>
  <c r="H107" i="1" s="1"/>
  <c r="D74" i="1"/>
  <c r="D107" i="1" s="1"/>
  <c r="AC73" i="1"/>
  <c r="AC106" i="1" s="1"/>
  <c r="Y73" i="1"/>
  <c r="Y106" i="1" s="1"/>
  <c r="U73" i="1"/>
  <c r="U106" i="1" s="1"/>
  <c r="Q73" i="1"/>
  <c r="Q106" i="1" s="1"/>
  <c r="M73" i="1"/>
  <c r="M106" i="1" s="1"/>
  <c r="I73" i="1"/>
  <c r="I106" i="1" s="1"/>
  <c r="E73" i="1"/>
  <c r="E106" i="1" s="1"/>
  <c r="AD72" i="1"/>
  <c r="AD105" i="1" s="1"/>
  <c r="Z72" i="1"/>
  <c r="Z105" i="1" s="1"/>
  <c r="V72" i="1"/>
  <c r="V105" i="1" s="1"/>
  <c r="R72" i="1"/>
  <c r="R105" i="1" s="1"/>
  <c r="N72" i="1"/>
  <c r="N105" i="1" s="1"/>
  <c r="J72" i="1"/>
  <c r="J105" i="1" s="1"/>
  <c r="F72" i="1"/>
  <c r="F105" i="1" s="1"/>
  <c r="AE71" i="1"/>
  <c r="AE104" i="1" s="1"/>
  <c r="AA71" i="1"/>
  <c r="AA104" i="1" s="1"/>
  <c r="W71" i="1"/>
  <c r="W104" i="1" s="1"/>
  <c r="S71" i="1"/>
  <c r="S104" i="1" s="1"/>
  <c r="O71" i="1"/>
  <c r="O104" i="1" s="1"/>
  <c r="K71" i="1"/>
  <c r="K104" i="1" s="1"/>
  <c r="R71" i="1"/>
  <c r="R104" i="1" s="1"/>
  <c r="N71" i="1"/>
  <c r="N104" i="1" s="1"/>
  <c r="J71" i="1"/>
  <c r="J104" i="1" s="1"/>
  <c r="F71" i="1"/>
  <c r="F104" i="1" s="1"/>
  <c r="I71" i="1"/>
  <c r="I104" i="1" s="1"/>
  <c r="E71" i="1"/>
  <c r="E104" i="1" s="1"/>
  <c r="G71" i="1"/>
  <c r="G104" i="1" s="1"/>
  <c r="C71" i="1"/>
  <c r="B111" i="1" l="1"/>
  <c r="B127" i="1"/>
  <c r="B108" i="1"/>
  <c r="B124" i="1"/>
  <c r="B117" i="1"/>
  <c r="B133" i="1"/>
  <c r="B114" i="1"/>
  <c r="B130" i="1"/>
  <c r="B115" i="1"/>
  <c r="B132" i="1"/>
  <c r="B112" i="1"/>
  <c r="B128" i="1"/>
  <c r="B105" i="1"/>
  <c r="B121" i="1"/>
  <c r="B118" i="1"/>
  <c r="B119" i="1"/>
  <c r="B116" i="1"/>
  <c r="B109" i="1"/>
  <c r="B125" i="1"/>
  <c r="B106" i="1"/>
  <c r="B122" i="1"/>
  <c r="B131" i="1"/>
  <c r="C104" i="1"/>
  <c r="B107" i="1"/>
  <c r="B123" i="1"/>
  <c r="B120" i="1"/>
  <c r="B113" i="1"/>
  <c r="B129" i="1"/>
  <c r="B110" i="1"/>
  <c r="B126" i="1"/>
  <c r="A98" i="8"/>
  <c r="A136" i="1"/>
  <c r="AJ36" i="1" s="1"/>
</calcChain>
</file>

<file path=xl/sharedStrings.xml><?xml version="1.0" encoding="utf-8"?>
<sst xmlns="http://schemas.openxmlformats.org/spreadsheetml/2006/main" count="8005" uniqueCount="108">
  <si>
    <t>game_id</t>
  </si>
  <si>
    <t>season_yr</t>
  </si>
  <si>
    <t>game_date</t>
  </si>
  <si>
    <t>team_schedule</t>
  </si>
  <si>
    <t>win_flag</t>
  </si>
  <si>
    <t>wins_to_date</t>
  </si>
  <si>
    <t>losses_to_date</t>
  </si>
  <si>
    <t>home_flag</t>
  </si>
  <si>
    <t>home_team</t>
  </si>
  <si>
    <t>home_score</t>
  </si>
  <si>
    <t>away_team</t>
  </si>
  <si>
    <t>away_score</t>
  </si>
  <si>
    <t>NO</t>
  </si>
  <si>
    <t>ORL</t>
  </si>
  <si>
    <t>DAL</t>
  </si>
  <si>
    <t>SA</t>
  </si>
  <si>
    <t>HOU</t>
  </si>
  <si>
    <t>LAL</t>
  </si>
  <si>
    <t>CHA</t>
  </si>
  <si>
    <t>MIL</t>
  </si>
  <si>
    <t>IND</t>
  </si>
  <si>
    <t>PHI</t>
  </si>
  <si>
    <t>BOS</t>
  </si>
  <si>
    <t>BKN</t>
  </si>
  <si>
    <t>MIA</t>
  </si>
  <si>
    <t>WSH</t>
  </si>
  <si>
    <t>ATL</t>
  </si>
  <si>
    <t>TOR</t>
  </si>
  <si>
    <t>MEM</t>
  </si>
  <si>
    <t>MIN</t>
  </si>
  <si>
    <t>CHI</t>
  </si>
  <si>
    <t>NY</t>
  </si>
  <si>
    <t>DEN</t>
  </si>
  <si>
    <t>DET</t>
  </si>
  <si>
    <t>UTAH</t>
  </si>
  <si>
    <t>PHX</t>
  </si>
  <si>
    <t>GS</t>
  </si>
  <si>
    <t>SAC</t>
  </si>
  <si>
    <t>OKC</t>
  </si>
  <si>
    <t>POR</t>
  </si>
  <si>
    <t>CLE</t>
  </si>
  <si>
    <t>LAC</t>
  </si>
  <si>
    <t>win_total</t>
  </si>
  <si>
    <t>pick</t>
  </si>
  <si>
    <t>confidence_rating</t>
  </si>
  <si>
    <t>team</t>
  </si>
  <si>
    <t>record_id</t>
  </si>
  <si>
    <t>O</t>
  </si>
  <si>
    <t>U</t>
  </si>
  <si>
    <t>sum</t>
  </si>
  <si>
    <t>w_pick_confidence_calc_rank</t>
  </si>
  <si>
    <t>w_pick_confidence_calc</t>
  </si>
  <si>
    <t>Calculate w_pick_confidence_calc and w_pick_confidence_calc_rank on win_totals worksheet.</t>
  </si>
  <si>
    <t>Write code to automate the above instructions.</t>
  </si>
  <si>
    <t>Write code to calculate days between games and use this value in model estimates.</t>
  </si>
  <si>
    <t>Write code to append distance between cities and use this value in model estimates. (Possibly use a lookup table.)</t>
  </si>
  <si>
    <t>For each h2h worksheet:</t>
  </si>
  <si>
    <t>Compare the expected results with the actual results</t>
  </si>
  <si>
    <t>Calculate the sum of the squared errors</t>
  </si>
  <si>
    <t>Minimizes the sum of squared errors by optimizing the team power rankings.</t>
  </si>
  <si>
    <t>The scale of the team "ratings" does not necessarily need to be from 1 to 30. Nevertheless, the "ratings" should be translatable to "rankings" that do use a scale of 1 to 30.</t>
  </si>
  <si>
    <t>Create a matrix that calculates expected results based on an initial set of team power "ratings."</t>
  </si>
  <si>
    <t>The 1-to-30 "rankings" derived from the picker's win totals and confidence ratings should be used as an initial set of team power "ratings." (Alternatively, the raw win totals calculated for the picker might be used instead as well.)</t>
  </si>
  <si>
    <t>Import sportsbook pre-season win totals to d_rs_win_totals worksheet.</t>
  </si>
  <si>
    <t>*Optional: Import actual end-of-season win totals to d_rs_win_totals worksheet. (This may also be calculated from the schedule.)</t>
  </si>
  <si>
    <t>Import pick win totals to p_rs_win_totals worksheet.</t>
  </si>
  <si>
    <t>Import schedule (with results) to d_rs_sched worksheet</t>
  </si>
  <si>
    <t>Calculate a matrix of team wins against one another on the a_h2h_wins worksheet.</t>
  </si>
  <si>
    <t>Calculate a matrix of team average margin of win (or loss) in games agains one another on a_h2h_apm worksheet.</t>
  </si>
  <si>
    <t>yr_start</t>
  </si>
  <si>
    <t>yr_end</t>
  </si>
  <si>
    <t>w_sportsbook</t>
  </si>
  <si>
    <t>w</t>
  </si>
  <si>
    <t>result_calc</t>
  </si>
  <si>
    <t>result_bool_calc</t>
  </si>
  <si>
    <t>rating</t>
  </si>
  <si>
    <t>rank</t>
  </si>
  <si>
    <t>squared_error</t>
  </si>
  <si>
    <t>results_actual</t>
  </si>
  <si>
    <t>results_expected</t>
  </si>
  <si>
    <t>initial_rating</t>
  </si>
  <si>
    <t>COUNTIFS(d_rs_sched!$D:$D,$A3,d_rs_sched!$E:$E,1,d_rs_sched!$I:$I,$A3,d_rs_sched!$K:$K,B$2)+COUNTIFS(d_rs_sched!$D:$D,$A3,d_rs_sched!$E:$E,1,d_rs_sched!$I:$I,B$2,d_rs_sched!$K:$K,$A3)</t>
  </si>
  <si>
    <t>cell</t>
  </si>
  <si>
    <t>formula</t>
  </si>
  <si>
    <t>range</t>
  </si>
  <si>
    <t>iteration</t>
  </si>
  <si>
    <t>rating_initial</t>
  </si>
  <si>
    <t>rank_initial</t>
  </si>
  <si>
    <t>rating_final</t>
  </si>
  <si>
    <t>rank_final</t>
  </si>
  <si>
    <t>sum_squared_error</t>
  </si>
  <si>
    <t>other info</t>
  </si>
  <si>
    <t>iteration 1</t>
  </si>
  <si>
    <t>slack team</t>
  </si>
  <si>
    <t>IFERROR(VLOOKUP($A71,power_rankings,2,0)/(VLOOKUP($A71,power_rankings,2,0)+VLOOKUP(B$70,power_rankings,2,0))*(B3+HLOOKUP($A71,table_wins_h2h,MATCH(B$70,$A$2:$A$32,0),0)),0)</t>
  </si>
  <si>
    <t>B70</t>
  </si>
  <si>
    <t>B3:AE32</t>
  </si>
  <si>
    <t>B70:AE99</t>
  </si>
  <si>
    <t>B3</t>
  </si>
  <si>
    <t>w_initial_formula</t>
  </si>
  <si>
    <t>(30-C36)/(30-1)*82</t>
  </si>
  <si>
    <t>iteration 2</t>
  </si>
  <si>
    <t>same as iteration 1, except GS used as slack team</t>
  </si>
  <si>
    <t>iteration 3</t>
  </si>
  <si>
    <t>same as iteration 1, except MIN used as slack team</t>
  </si>
  <si>
    <t>rank2</t>
  </si>
  <si>
    <t>sum_actual</t>
  </si>
  <si>
    <t>sum_expected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</si>
</sst>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4" fontId="0" fillId="0" borderId="0" xfId="0" applyNumberFormat="1"/>
    <xf numFmtId="0" fontId="0"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20"/>
  <sheetViews>
    <sheetView workbookViewId="0">
      <selection activeCell="B9" sqref="B9"/>
    </sheetView>
  </sheetViews>
  <sheetFormatPr defaultRowHeight="15" x14ac:dyDescent="0.25"/>
  <sheetData>
    <row r="2" spans="1:2" x14ac:dyDescent="0.25">
      <c r="A2">
        <v>1.1000000000000001</v>
      </c>
      <c r="B2" t="s">
        <v>66</v>
      </c>
    </row>
    <row r="3" spans="1:2" x14ac:dyDescent="0.25">
      <c r="A3">
        <v>1.21</v>
      </c>
      <c r="B3" t="s">
        <v>63</v>
      </c>
    </row>
    <row r="4" spans="1:2" x14ac:dyDescent="0.25">
      <c r="A4">
        <v>1.22</v>
      </c>
      <c r="B4" t="s">
        <v>64</v>
      </c>
    </row>
    <row r="5" spans="1:2" x14ac:dyDescent="0.25">
      <c r="A5">
        <v>1.3</v>
      </c>
      <c r="B5" t="s">
        <v>65</v>
      </c>
    </row>
    <row r="6" spans="1:2" x14ac:dyDescent="0.25">
      <c r="A6">
        <v>2.1</v>
      </c>
      <c r="B6" t="s">
        <v>52</v>
      </c>
    </row>
    <row r="7" spans="1:2" x14ac:dyDescent="0.25">
      <c r="A7">
        <v>2.2000000000000002</v>
      </c>
      <c r="B7" t="s">
        <v>67</v>
      </c>
    </row>
    <row r="8" spans="1:2" x14ac:dyDescent="0.25">
      <c r="A8">
        <v>2.2999999999999998</v>
      </c>
      <c r="B8" t="s">
        <v>68</v>
      </c>
    </row>
    <row r="9" spans="1:2" x14ac:dyDescent="0.25">
      <c r="A9">
        <v>3</v>
      </c>
      <c r="B9" t="s">
        <v>56</v>
      </c>
    </row>
    <row r="10" spans="1:2" x14ac:dyDescent="0.25">
      <c r="A10">
        <v>3.1</v>
      </c>
      <c r="B10" t="s">
        <v>61</v>
      </c>
    </row>
    <row r="11" spans="1:2" x14ac:dyDescent="0.25">
      <c r="A11">
        <v>3.11</v>
      </c>
      <c r="B11" t="s">
        <v>60</v>
      </c>
    </row>
    <row r="12" spans="1:2" x14ac:dyDescent="0.25">
      <c r="A12">
        <v>3.12</v>
      </c>
      <c r="B12" t="s">
        <v>62</v>
      </c>
    </row>
    <row r="13" spans="1:2" x14ac:dyDescent="0.25">
      <c r="A13">
        <v>3.2</v>
      </c>
      <c r="B13" t="s">
        <v>57</v>
      </c>
    </row>
    <row r="14" spans="1:2" x14ac:dyDescent="0.25">
      <c r="A14">
        <v>3.3</v>
      </c>
      <c r="B14" t="s">
        <v>58</v>
      </c>
    </row>
    <row r="15" spans="1:2" x14ac:dyDescent="0.25">
      <c r="A15">
        <v>3.4</v>
      </c>
      <c r="B15" t="s">
        <v>59</v>
      </c>
    </row>
    <row r="18" spans="2:2" x14ac:dyDescent="0.25">
      <c r="B18" t="s">
        <v>53</v>
      </c>
    </row>
    <row r="19" spans="2:2" x14ac:dyDescent="0.25">
      <c r="B19" t="s">
        <v>54</v>
      </c>
    </row>
    <row r="20" spans="2:2" x14ac:dyDescent="0.25">
      <c r="B20"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457"/>
  <sheetViews>
    <sheetView workbookViewId="0"/>
  </sheetViews>
  <sheetFormatPr defaultRowHeight="15" x14ac:dyDescent="0.25"/>
  <cols>
    <col min="1" max="1" width="10" customWidth="1"/>
    <col min="2" max="2" width="9.85546875" customWidth="1"/>
    <col min="3" max="3" width="10.85546875" customWidth="1"/>
  </cols>
  <sheetData>
    <row r="1" spans="1:12" x14ac:dyDescent="0.25">
      <c r="A1" t="s">
        <v>0</v>
      </c>
      <c r="B1" t="s">
        <v>1</v>
      </c>
      <c r="C1" s="1" t="s">
        <v>2</v>
      </c>
      <c r="D1" t="s">
        <v>3</v>
      </c>
      <c r="E1" t="s">
        <v>4</v>
      </c>
      <c r="F1" t="s">
        <v>5</v>
      </c>
      <c r="G1" t="s">
        <v>6</v>
      </c>
      <c r="H1" t="s">
        <v>7</v>
      </c>
      <c r="I1" t="s">
        <v>8</v>
      </c>
      <c r="J1" t="s">
        <v>9</v>
      </c>
      <c r="K1" t="s">
        <v>10</v>
      </c>
      <c r="L1" t="s">
        <v>11</v>
      </c>
    </row>
    <row r="2" spans="1:12" x14ac:dyDescent="0.25">
      <c r="A2">
        <v>400578293</v>
      </c>
      <c r="B2">
        <v>2015</v>
      </c>
      <c r="C2" s="1">
        <v>41940</v>
      </c>
      <c r="D2" t="s">
        <v>12</v>
      </c>
      <c r="E2">
        <v>1</v>
      </c>
      <c r="F2">
        <v>1</v>
      </c>
      <c r="G2">
        <v>0</v>
      </c>
      <c r="H2">
        <v>1</v>
      </c>
      <c r="I2" t="s">
        <v>12</v>
      </c>
      <c r="J2">
        <v>101</v>
      </c>
      <c r="K2" t="s">
        <v>13</v>
      </c>
      <c r="L2">
        <v>84</v>
      </c>
    </row>
    <row r="3" spans="1:12" x14ac:dyDescent="0.25">
      <c r="A3">
        <v>400578293</v>
      </c>
      <c r="B3">
        <v>2015</v>
      </c>
      <c r="C3" s="1">
        <v>41940</v>
      </c>
      <c r="D3" t="s">
        <v>13</v>
      </c>
      <c r="E3">
        <v>0</v>
      </c>
      <c r="F3">
        <v>0</v>
      </c>
      <c r="G3">
        <v>1</v>
      </c>
      <c r="H3">
        <v>0</v>
      </c>
      <c r="I3" t="s">
        <v>12</v>
      </c>
      <c r="J3">
        <v>101</v>
      </c>
      <c r="K3" t="s">
        <v>13</v>
      </c>
      <c r="L3">
        <v>84</v>
      </c>
    </row>
    <row r="4" spans="1:12" x14ac:dyDescent="0.25">
      <c r="A4">
        <v>400578294</v>
      </c>
      <c r="B4">
        <v>2015</v>
      </c>
      <c r="C4" s="1">
        <v>41940</v>
      </c>
      <c r="D4" t="s">
        <v>14</v>
      </c>
      <c r="E4">
        <v>0</v>
      </c>
      <c r="F4">
        <v>0</v>
      </c>
      <c r="G4">
        <v>1</v>
      </c>
      <c r="H4">
        <v>0</v>
      </c>
      <c r="I4" t="s">
        <v>15</v>
      </c>
      <c r="J4">
        <v>101</v>
      </c>
      <c r="K4" t="s">
        <v>14</v>
      </c>
      <c r="L4">
        <v>100</v>
      </c>
    </row>
    <row r="5" spans="1:12" x14ac:dyDescent="0.25">
      <c r="A5">
        <v>400578294</v>
      </c>
      <c r="B5">
        <v>2015</v>
      </c>
      <c r="C5" s="1">
        <v>41940</v>
      </c>
      <c r="D5" t="s">
        <v>15</v>
      </c>
      <c r="E5">
        <v>1</v>
      </c>
      <c r="F5">
        <v>1</v>
      </c>
      <c r="G5">
        <v>0</v>
      </c>
      <c r="H5">
        <v>1</v>
      </c>
      <c r="I5" t="s">
        <v>15</v>
      </c>
      <c r="J5">
        <v>101</v>
      </c>
      <c r="K5" t="s">
        <v>14</v>
      </c>
      <c r="L5">
        <v>100</v>
      </c>
    </row>
    <row r="6" spans="1:12" x14ac:dyDescent="0.25">
      <c r="A6">
        <v>400578295</v>
      </c>
      <c r="B6">
        <v>2015</v>
      </c>
      <c r="C6" s="1">
        <v>41940</v>
      </c>
      <c r="D6" t="s">
        <v>16</v>
      </c>
      <c r="E6">
        <v>1</v>
      </c>
      <c r="F6">
        <v>1</v>
      </c>
      <c r="G6">
        <v>0</v>
      </c>
      <c r="H6">
        <v>0</v>
      </c>
      <c r="I6" t="s">
        <v>17</v>
      </c>
      <c r="J6">
        <v>90</v>
      </c>
      <c r="K6" t="s">
        <v>16</v>
      </c>
      <c r="L6">
        <v>108</v>
      </c>
    </row>
    <row r="7" spans="1:12" x14ac:dyDescent="0.25">
      <c r="A7">
        <v>400578295</v>
      </c>
      <c r="B7">
        <v>2015</v>
      </c>
      <c r="C7" s="1">
        <v>41940</v>
      </c>
      <c r="D7" t="s">
        <v>17</v>
      </c>
      <c r="E7">
        <v>0</v>
      </c>
      <c r="F7">
        <v>0</v>
      </c>
      <c r="G7">
        <v>1</v>
      </c>
      <c r="H7">
        <v>1</v>
      </c>
      <c r="I7" t="s">
        <v>17</v>
      </c>
      <c r="J7">
        <v>90</v>
      </c>
      <c r="K7" t="s">
        <v>16</v>
      </c>
      <c r="L7">
        <v>108</v>
      </c>
    </row>
    <row r="8" spans="1:12" x14ac:dyDescent="0.25">
      <c r="A8">
        <v>400578296</v>
      </c>
      <c r="B8">
        <v>2015</v>
      </c>
      <c r="C8" s="1">
        <v>41941</v>
      </c>
      <c r="D8" t="s">
        <v>18</v>
      </c>
      <c r="E8">
        <v>1</v>
      </c>
      <c r="F8">
        <v>1</v>
      </c>
      <c r="G8">
        <v>0</v>
      </c>
      <c r="H8">
        <v>1</v>
      </c>
      <c r="I8" t="s">
        <v>18</v>
      </c>
      <c r="J8">
        <v>108</v>
      </c>
      <c r="K8" t="s">
        <v>19</v>
      </c>
      <c r="L8">
        <v>106</v>
      </c>
    </row>
    <row r="9" spans="1:12" x14ac:dyDescent="0.25">
      <c r="A9">
        <v>400578296</v>
      </c>
      <c r="B9">
        <v>2015</v>
      </c>
      <c r="C9" s="1">
        <v>41941</v>
      </c>
      <c r="D9" t="s">
        <v>19</v>
      </c>
      <c r="E9">
        <v>0</v>
      </c>
      <c r="F9">
        <v>0</v>
      </c>
      <c r="G9">
        <v>1</v>
      </c>
      <c r="H9">
        <v>0</v>
      </c>
      <c r="I9" t="s">
        <v>18</v>
      </c>
      <c r="J9">
        <v>108</v>
      </c>
      <c r="K9" t="s">
        <v>19</v>
      </c>
      <c r="L9">
        <v>106</v>
      </c>
    </row>
    <row r="10" spans="1:12" x14ac:dyDescent="0.25">
      <c r="A10">
        <v>400578297</v>
      </c>
      <c r="B10">
        <v>2015</v>
      </c>
      <c r="C10" s="1">
        <v>41941</v>
      </c>
      <c r="D10" t="s">
        <v>20</v>
      </c>
      <c r="E10">
        <v>1</v>
      </c>
      <c r="F10">
        <v>1</v>
      </c>
      <c r="G10">
        <v>0</v>
      </c>
      <c r="H10">
        <v>1</v>
      </c>
      <c r="I10" t="s">
        <v>20</v>
      </c>
      <c r="J10">
        <v>103</v>
      </c>
      <c r="K10" t="s">
        <v>21</v>
      </c>
      <c r="L10">
        <v>91</v>
      </c>
    </row>
    <row r="11" spans="1:12" x14ac:dyDescent="0.25">
      <c r="A11">
        <v>400578297</v>
      </c>
      <c r="B11">
        <v>2015</v>
      </c>
      <c r="C11" s="1">
        <v>41941</v>
      </c>
      <c r="D11" t="s">
        <v>21</v>
      </c>
      <c r="E11">
        <v>0</v>
      </c>
      <c r="F11">
        <v>0</v>
      </c>
      <c r="G11">
        <v>1</v>
      </c>
      <c r="H11">
        <v>0</v>
      </c>
      <c r="I11" t="s">
        <v>20</v>
      </c>
      <c r="J11">
        <v>103</v>
      </c>
      <c r="K11" t="s">
        <v>21</v>
      </c>
      <c r="L11">
        <v>91</v>
      </c>
    </row>
    <row r="12" spans="1:12" x14ac:dyDescent="0.25">
      <c r="A12">
        <v>400578298</v>
      </c>
      <c r="B12">
        <v>2015</v>
      </c>
      <c r="C12" s="1">
        <v>41941</v>
      </c>
      <c r="D12" t="s">
        <v>22</v>
      </c>
      <c r="E12">
        <v>1</v>
      </c>
      <c r="F12">
        <v>1</v>
      </c>
      <c r="G12">
        <v>0</v>
      </c>
      <c r="H12">
        <v>1</v>
      </c>
      <c r="I12" t="s">
        <v>22</v>
      </c>
      <c r="J12">
        <v>121</v>
      </c>
      <c r="K12" t="s">
        <v>23</v>
      </c>
      <c r="L12">
        <v>105</v>
      </c>
    </row>
    <row r="13" spans="1:12" x14ac:dyDescent="0.25">
      <c r="A13">
        <v>400578298</v>
      </c>
      <c r="B13">
        <v>2015</v>
      </c>
      <c r="C13" s="1">
        <v>41941</v>
      </c>
      <c r="D13" t="s">
        <v>23</v>
      </c>
      <c r="E13">
        <v>0</v>
      </c>
      <c r="F13">
        <v>0</v>
      </c>
      <c r="G13">
        <v>1</v>
      </c>
      <c r="H13">
        <v>0</v>
      </c>
      <c r="I13" t="s">
        <v>22</v>
      </c>
      <c r="J13">
        <v>121</v>
      </c>
      <c r="K13" t="s">
        <v>23</v>
      </c>
      <c r="L13">
        <v>105</v>
      </c>
    </row>
    <row r="14" spans="1:12" x14ac:dyDescent="0.25">
      <c r="A14">
        <v>400578299</v>
      </c>
      <c r="B14">
        <v>2015</v>
      </c>
      <c r="C14" s="1">
        <v>41941</v>
      </c>
      <c r="D14" t="s">
        <v>24</v>
      </c>
      <c r="E14">
        <v>1</v>
      </c>
      <c r="F14">
        <v>1</v>
      </c>
      <c r="G14">
        <v>0</v>
      </c>
      <c r="H14">
        <v>1</v>
      </c>
      <c r="I14" t="s">
        <v>24</v>
      </c>
      <c r="J14">
        <v>107</v>
      </c>
      <c r="K14" t="s">
        <v>25</v>
      </c>
      <c r="L14">
        <v>95</v>
      </c>
    </row>
    <row r="15" spans="1:12" x14ac:dyDescent="0.25">
      <c r="A15">
        <v>400578299</v>
      </c>
      <c r="B15">
        <v>2015</v>
      </c>
      <c r="C15" s="1">
        <v>41941</v>
      </c>
      <c r="D15" t="s">
        <v>25</v>
      </c>
      <c r="E15">
        <v>0</v>
      </c>
      <c r="F15">
        <v>0</v>
      </c>
      <c r="G15">
        <v>1</v>
      </c>
      <c r="H15">
        <v>0</v>
      </c>
      <c r="I15" t="s">
        <v>24</v>
      </c>
      <c r="J15">
        <v>107</v>
      </c>
      <c r="K15" t="s">
        <v>25</v>
      </c>
      <c r="L15">
        <v>95</v>
      </c>
    </row>
    <row r="16" spans="1:12" x14ac:dyDescent="0.25">
      <c r="A16">
        <v>400578300</v>
      </c>
      <c r="B16">
        <v>2015</v>
      </c>
      <c r="C16" s="1">
        <v>41941</v>
      </c>
      <c r="D16" t="s">
        <v>26</v>
      </c>
      <c r="E16">
        <v>0</v>
      </c>
      <c r="F16">
        <v>0</v>
      </c>
      <c r="G16">
        <v>1</v>
      </c>
      <c r="H16">
        <v>0</v>
      </c>
      <c r="I16" t="s">
        <v>27</v>
      </c>
      <c r="J16">
        <v>109</v>
      </c>
      <c r="K16" t="s">
        <v>26</v>
      </c>
      <c r="L16">
        <v>102</v>
      </c>
    </row>
    <row r="17" spans="1:12" x14ac:dyDescent="0.25">
      <c r="A17">
        <v>400578300</v>
      </c>
      <c r="B17">
        <v>2015</v>
      </c>
      <c r="C17" s="1">
        <v>41941</v>
      </c>
      <c r="D17" t="s">
        <v>27</v>
      </c>
      <c r="E17">
        <v>1</v>
      </c>
      <c r="F17">
        <v>1</v>
      </c>
      <c r="G17">
        <v>0</v>
      </c>
      <c r="H17">
        <v>1</v>
      </c>
      <c r="I17" t="s">
        <v>27</v>
      </c>
      <c r="J17">
        <v>109</v>
      </c>
      <c r="K17" t="s">
        <v>26</v>
      </c>
      <c r="L17">
        <v>102</v>
      </c>
    </row>
    <row r="18" spans="1:12" x14ac:dyDescent="0.25">
      <c r="A18">
        <v>400578301</v>
      </c>
      <c r="B18">
        <v>2015</v>
      </c>
      <c r="C18" s="1">
        <v>41941</v>
      </c>
      <c r="D18" t="s">
        <v>28</v>
      </c>
      <c r="E18">
        <v>1</v>
      </c>
      <c r="F18">
        <v>1</v>
      </c>
      <c r="G18">
        <v>0</v>
      </c>
      <c r="H18">
        <v>1</v>
      </c>
      <c r="I18" t="s">
        <v>28</v>
      </c>
      <c r="J18">
        <v>105</v>
      </c>
      <c r="K18" t="s">
        <v>29</v>
      </c>
      <c r="L18">
        <v>101</v>
      </c>
    </row>
    <row r="19" spans="1:12" x14ac:dyDescent="0.25">
      <c r="A19">
        <v>400578301</v>
      </c>
      <c r="B19">
        <v>2015</v>
      </c>
      <c r="C19" s="1">
        <v>41941</v>
      </c>
      <c r="D19" t="s">
        <v>29</v>
      </c>
      <c r="E19">
        <v>0</v>
      </c>
      <c r="F19">
        <v>0</v>
      </c>
      <c r="G19">
        <v>1</v>
      </c>
      <c r="H19">
        <v>0</v>
      </c>
      <c r="I19" t="s">
        <v>28</v>
      </c>
      <c r="J19">
        <v>105</v>
      </c>
      <c r="K19" t="s">
        <v>29</v>
      </c>
      <c r="L19">
        <v>101</v>
      </c>
    </row>
    <row r="20" spans="1:12" x14ac:dyDescent="0.25">
      <c r="A20">
        <v>400578302</v>
      </c>
      <c r="B20">
        <v>2015</v>
      </c>
      <c r="C20" s="1">
        <v>41941</v>
      </c>
      <c r="D20" t="s">
        <v>30</v>
      </c>
      <c r="E20">
        <v>1</v>
      </c>
      <c r="F20">
        <v>1</v>
      </c>
      <c r="G20">
        <v>0</v>
      </c>
      <c r="H20">
        <v>0</v>
      </c>
      <c r="I20" t="s">
        <v>31</v>
      </c>
      <c r="J20">
        <v>80</v>
      </c>
      <c r="K20" t="s">
        <v>30</v>
      </c>
      <c r="L20">
        <v>104</v>
      </c>
    </row>
    <row r="21" spans="1:12" x14ac:dyDescent="0.25">
      <c r="A21">
        <v>400578302</v>
      </c>
      <c r="B21">
        <v>2015</v>
      </c>
      <c r="C21" s="1">
        <v>41941</v>
      </c>
      <c r="D21" t="s">
        <v>31</v>
      </c>
      <c r="E21">
        <v>0</v>
      </c>
      <c r="F21">
        <v>0</v>
      </c>
      <c r="G21">
        <v>1</v>
      </c>
      <c r="H21">
        <v>1</v>
      </c>
      <c r="I21" t="s">
        <v>31</v>
      </c>
      <c r="J21">
        <v>80</v>
      </c>
      <c r="K21" t="s">
        <v>30</v>
      </c>
      <c r="L21">
        <v>104</v>
      </c>
    </row>
    <row r="22" spans="1:12" x14ac:dyDescent="0.25">
      <c r="A22">
        <v>400578303</v>
      </c>
      <c r="B22">
        <v>2015</v>
      </c>
      <c r="C22" s="1">
        <v>41941</v>
      </c>
      <c r="D22" t="s">
        <v>32</v>
      </c>
      <c r="E22">
        <v>1</v>
      </c>
      <c r="F22">
        <v>1</v>
      </c>
      <c r="G22">
        <v>0</v>
      </c>
      <c r="H22">
        <v>1</v>
      </c>
      <c r="I22" t="s">
        <v>32</v>
      </c>
      <c r="J22">
        <v>89</v>
      </c>
      <c r="K22" t="s">
        <v>33</v>
      </c>
      <c r="L22">
        <v>79</v>
      </c>
    </row>
    <row r="23" spans="1:12" x14ac:dyDescent="0.25">
      <c r="A23">
        <v>400578303</v>
      </c>
      <c r="B23">
        <v>2015</v>
      </c>
      <c r="C23" s="1">
        <v>41941</v>
      </c>
      <c r="D23" t="s">
        <v>33</v>
      </c>
      <c r="E23">
        <v>0</v>
      </c>
      <c r="F23">
        <v>0</v>
      </c>
      <c r="G23">
        <v>1</v>
      </c>
      <c r="H23">
        <v>0</v>
      </c>
      <c r="I23" t="s">
        <v>32</v>
      </c>
      <c r="J23">
        <v>89</v>
      </c>
      <c r="K23" t="s">
        <v>33</v>
      </c>
      <c r="L23">
        <v>79</v>
      </c>
    </row>
    <row r="24" spans="1:12" x14ac:dyDescent="0.25">
      <c r="A24">
        <v>400578304</v>
      </c>
      <c r="B24">
        <v>2015</v>
      </c>
      <c r="C24" s="1">
        <v>41941</v>
      </c>
      <c r="D24" t="s">
        <v>16</v>
      </c>
      <c r="E24">
        <v>1</v>
      </c>
      <c r="F24">
        <v>2</v>
      </c>
      <c r="G24">
        <v>0</v>
      </c>
      <c r="H24">
        <v>0</v>
      </c>
      <c r="I24" t="s">
        <v>34</v>
      </c>
      <c r="J24">
        <v>93</v>
      </c>
      <c r="K24" t="s">
        <v>16</v>
      </c>
      <c r="L24">
        <v>104</v>
      </c>
    </row>
    <row r="25" spans="1:12" x14ac:dyDescent="0.25">
      <c r="A25">
        <v>400578304</v>
      </c>
      <c r="B25">
        <v>2015</v>
      </c>
      <c r="C25" s="1">
        <v>41941</v>
      </c>
      <c r="D25" t="s">
        <v>34</v>
      </c>
      <c r="E25">
        <v>0</v>
      </c>
      <c r="F25">
        <v>0</v>
      </c>
      <c r="G25">
        <v>1</v>
      </c>
      <c r="H25">
        <v>1</v>
      </c>
      <c r="I25" t="s">
        <v>34</v>
      </c>
      <c r="J25">
        <v>93</v>
      </c>
      <c r="K25" t="s">
        <v>16</v>
      </c>
      <c r="L25">
        <v>104</v>
      </c>
    </row>
    <row r="26" spans="1:12" x14ac:dyDescent="0.25">
      <c r="A26">
        <v>400578305</v>
      </c>
      <c r="B26">
        <v>2015</v>
      </c>
      <c r="C26" s="1">
        <v>41941</v>
      </c>
      <c r="D26" t="s">
        <v>17</v>
      </c>
      <c r="E26">
        <v>0</v>
      </c>
      <c r="F26">
        <v>0</v>
      </c>
      <c r="G26">
        <v>2</v>
      </c>
      <c r="H26">
        <v>0</v>
      </c>
      <c r="I26" t="s">
        <v>35</v>
      </c>
      <c r="J26">
        <v>119</v>
      </c>
      <c r="K26" t="s">
        <v>17</v>
      </c>
      <c r="L26">
        <v>99</v>
      </c>
    </row>
    <row r="27" spans="1:12" x14ac:dyDescent="0.25">
      <c r="A27">
        <v>400578305</v>
      </c>
      <c r="B27">
        <v>2015</v>
      </c>
      <c r="C27" s="1">
        <v>41941</v>
      </c>
      <c r="D27" t="s">
        <v>35</v>
      </c>
      <c r="E27">
        <v>1</v>
      </c>
      <c r="F27">
        <v>1</v>
      </c>
      <c r="G27">
        <v>0</v>
      </c>
      <c r="H27">
        <v>1</v>
      </c>
      <c r="I27" t="s">
        <v>35</v>
      </c>
      <c r="J27">
        <v>119</v>
      </c>
      <c r="K27" t="s">
        <v>17</v>
      </c>
      <c r="L27">
        <v>99</v>
      </c>
    </row>
    <row r="28" spans="1:12" x14ac:dyDescent="0.25">
      <c r="A28">
        <v>400578306</v>
      </c>
      <c r="B28">
        <v>2015</v>
      </c>
      <c r="C28" s="1">
        <v>41941</v>
      </c>
      <c r="D28" t="s">
        <v>36</v>
      </c>
      <c r="E28">
        <v>1</v>
      </c>
      <c r="F28">
        <v>1</v>
      </c>
      <c r="G28">
        <v>0</v>
      </c>
      <c r="H28">
        <v>0</v>
      </c>
      <c r="I28" t="s">
        <v>37</v>
      </c>
      <c r="J28">
        <v>77</v>
      </c>
      <c r="K28" t="s">
        <v>36</v>
      </c>
      <c r="L28">
        <v>95</v>
      </c>
    </row>
    <row r="29" spans="1:12" x14ac:dyDescent="0.25">
      <c r="A29">
        <v>400578306</v>
      </c>
      <c r="B29">
        <v>2015</v>
      </c>
      <c r="C29" s="1">
        <v>41941</v>
      </c>
      <c r="D29" t="s">
        <v>37</v>
      </c>
      <c r="E29">
        <v>0</v>
      </c>
      <c r="F29">
        <v>0</v>
      </c>
      <c r="G29">
        <v>1</v>
      </c>
      <c r="H29">
        <v>1</v>
      </c>
      <c r="I29" t="s">
        <v>37</v>
      </c>
      <c r="J29">
        <v>77</v>
      </c>
      <c r="K29" t="s">
        <v>36</v>
      </c>
      <c r="L29">
        <v>95</v>
      </c>
    </row>
    <row r="30" spans="1:12" x14ac:dyDescent="0.25">
      <c r="A30">
        <v>400578307</v>
      </c>
      <c r="B30">
        <v>2015</v>
      </c>
      <c r="C30" s="1">
        <v>41941</v>
      </c>
      <c r="D30" t="s">
        <v>38</v>
      </c>
      <c r="E30">
        <v>0</v>
      </c>
      <c r="F30">
        <v>0</v>
      </c>
      <c r="G30">
        <v>1</v>
      </c>
      <c r="H30">
        <v>0</v>
      </c>
      <c r="I30" t="s">
        <v>39</v>
      </c>
      <c r="J30">
        <v>106</v>
      </c>
      <c r="K30" t="s">
        <v>38</v>
      </c>
      <c r="L30">
        <v>89</v>
      </c>
    </row>
    <row r="31" spans="1:12" x14ac:dyDescent="0.25">
      <c r="A31">
        <v>400578307</v>
      </c>
      <c r="B31">
        <v>2015</v>
      </c>
      <c r="C31" s="1">
        <v>41941</v>
      </c>
      <c r="D31" t="s">
        <v>39</v>
      </c>
      <c r="E31">
        <v>1</v>
      </c>
      <c r="F31">
        <v>1</v>
      </c>
      <c r="G31">
        <v>0</v>
      </c>
      <c r="H31">
        <v>1</v>
      </c>
      <c r="I31" t="s">
        <v>39</v>
      </c>
      <c r="J31">
        <v>106</v>
      </c>
      <c r="K31" t="s">
        <v>38</v>
      </c>
      <c r="L31">
        <v>89</v>
      </c>
    </row>
    <row r="32" spans="1:12" x14ac:dyDescent="0.25">
      <c r="A32">
        <v>400578308</v>
      </c>
      <c r="B32">
        <v>2015</v>
      </c>
      <c r="C32" s="1">
        <v>41942</v>
      </c>
      <c r="D32" t="s">
        <v>13</v>
      </c>
      <c r="E32">
        <v>0</v>
      </c>
      <c r="F32">
        <v>0</v>
      </c>
      <c r="G32">
        <v>2</v>
      </c>
      <c r="H32">
        <v>1</v>
      </c>
      <c r="I32" t="s">
        <v>13</v>
      </c>
      <c r="J32">
        <v>98</v>
      </c>
      <c r="K32" t="s">
        <v>25</v>
      </c>
      <c r="L32">
        <v>105</v>
      </c>
    </row>
    <row r="33" spans="1:12" x14ac:dyDescent="0.25">
      <c r="A33">
        <v>400578308</v>
      </c>
      <c r="B33">
        <v>2015</v>
      </c>
      <c r="C33" s="1">
        <v>41942</v>
      </c>
      <c r="D33" t="s">
        <v>25</v>
      </c>
      <c r="E33">
        <v>1</v>
      </c>
      <c r="F33">
        <v>1</v>
      </c>
      <c r="G33">
        <v>1</v>
      </c>
      <c r="H33">
        <v>0</v>
      </c>
      <c r="I33" t="s">
        <v>13</v>
      </c>
      <c r="J33">
        <v>98</v>
      </c>
      <c r="K33" t="s">
        <v>25</v>
      </c>
      <c r="L33">
        <v>105</v>
      </c>
    </row>
    <row r="34" spans="1:12" x14ac:dyDescent="0.25">
      <c r="A34">
        <v>400578309</v>
      </c>
      <c r="B34">
        <v>2015</v>
      </c>
      <c r="C34" s="1">
        <v>41942</v>
      </c>
      <c r="D34" t="s">
        <v>33</v>
      </c>
      <c r="E34">
        <v>0</v>
      </c>
      <c r="F34">
        <v>0</v>
      </c>
      <c r="G34">
        <v>2</v>
      </c>
      <c r="H34">
        <v>0</v>
      </c>
      <c r="I34" t="s">
        <v>29</v>
      </c>
      <c r="J34">
        <v>97</v>
      </c>
      <c r="K34" t="s">
        <v>33</v>
      </c>
      <c r="L34">
        <v>91</v>
      </c>
    </row>
    <row r="35" spans="1:12" x14ac:dyDescent="0.25">
      <c r="A35">
        <v>400578309</v>
      </c>
      <c r="B35">
        <v>2015</v>
      </c>
      <c r="C35" s="1">
        <v>41942</v>
      </c>
      <c r="D35" t="s">
        <v>29</v>
      </c>
      <c r="E35">
        <v>1</v>
      </c>
      <c r="F35">
        <v>1</v>
      </c>
      <c r="G35">
        <v>1</v>
      </c>
      <c r="H35">
        <v>1</v>
      </c>
      <c r="I35" t="s">
        <v>29</v>
      </c>
      <c r="J35">
        <v>97</v>
      </c>
      <c r="K35" t="s">
        <v>33</v>
      </c>
      <c r="L35">
        <v>91</v>
      </c>
    </row>
    <row r="36" spans="1:12" x14ac:dyDescent="0.25">
      <c r="A36">
        <v>400578310</v>
      </c>
      <c r="B36">
        <v>2015</v>
      </c>
      <c r="C36" s="1">
        <v>41942</v>
      </c>
      <c r="D36" t="s">
        <v>40</v>
      </c>
      <c r="E36">
        <v>0</v>
      </c>
      <c r="F36">
        <v>0</v>
      </c>
      <c r="G36">
        <v>1</v>
      </c>
      <c r="H36">
        <v>1</v>
      </c>
      <c r="I36" t="s">
        <v>40</v>
      </c>
      <c r="J36">
        <v>90</v>
      </c>
      <c r="K36" t="s">
        <v>31</v>
      </c>
      <c r="L36">
        <v>95</v>
      </c>
    </row>
    <row r="37" spans="1:12" x14ac:dyDescent="0.25">
      <c r="A37">
        <v>400578310</v>
      </c>
      <c r="B37">
        <v>2015</v>
      </c>
      <c r="C37" s="1">
        <v>41942</v>
      </c>
      <c r="D37" t="s">
        <v>31</v>
      </c>
      <c r="E37">
        <v>1</v>
      </c>
      <c r="F37">
        <v>1</v>
      </c>
      <c r="G37">
        <v>1</v>
      </c>
      <c r="H37">
        <v>0</v>
      </c>
      <c r="I37" t="s">
        <v>40</v>
      </c>
      <c r="J37">
        <v>90</v>
      </c>
      <c r="K37" t="s">
        <v>31</v>
      </c>
      <c r="L37">
        <v>95</v>
      </c>
    </row>
    <row r="38" spans="1:12" x14ac:dyDescent="0.25">
      <c r="A38">
        <v>400578311</v>
      </c>
      <c r="B38">
        <v>2015</v>
      </c>
      <c r="C38" s="1">
        <v>41942</v>
      </c>
      <c r="D38" t="s">
        <v>14</v>
      </c>
      <c r="E38">
        <v>1</v>
      </c>
      <c r="F38">
        <v>1</v>
      </c>
      <c r="G38">
        <v>1</v>
      </c>
      <c r="H38">
        <v>1</v>
      </c>
      <c r="I38" t="s">
        <v>14</v>
      </c>
      <c r="J38">
        <v>120</v>
      </c>
      <c r="K38" t="s">
        <v>34</v>
      </c>
      <c r="L38">
        <v>102</v>
      </c>
    </row>
    <row r="39" spans="1:12" x14ac:dyDescent="0.25">
      <c r="A39">
        <v>400578311</v>
      </c>
      <c r="B39">
        <v>2015</v>
      </c>
      <c r="C39" s="1">
        <v>41942</v>
      </c>
      <c r="D39" t="s">
        <v>34</v>
      </c>
      <c r="E39">
        <v>0</v>
      </c>
      <c r="F39">
        <v>0</v>
      </c>
      <c r="G39">
        <v>2</v>
      </c>
      <c r="H39">
        <v>0</v>
      </c>
      <c r="I39" t="s">
        <v>14</v>
      </c>
      <c r="J39">
        <v>120</v>
      </c>
      <c r="K39" t="s">
        <v>34</v>
      </c>
      <c r="L39">
        <v>102</v>
      </c>
    </row>
    <row r="40" spans="1:12" x14ac:dyDescent="0.25">
      <c r="A40">
        <v>400578312</v>
      </c>
      <c r="B40">
        <v>2015</v>
      </c>
      <c r="C40" s="1">
        <v>41942</v>
      </c>
      <c r="D40" t="s">
        <v>41</v>
      </c>
      <c r="E40">
        <v>1</v>
      </c>
      <c r="F40">
        <v>1</v>
      </c>
      <c r="G40">
        <v>0</v>
      </c>
      <c r="H40">
        <v>1</v>
      </c>
      <c r="I40" t="s">
        <v>41</v>
      </c>
      <c r="J40">
        <v>93</v>
      </c>
      <c r="K40" t="s">
        <v>38</v>
      </c>
      <c r="L40">
        <v>90</v>
      </c>
    </row>
    <row r="41" spans="1:12" x14ac:dyDescent="0.25">
      <c r="A41">
        <v>400578312</v>
      </c>
      <c r="B41">
        <v>2015</v>
      </c>
      <c r="C41" s="1">
        <v>41942</v>
      </c>
      <c r="D41" t="s">
        <v>38</v>
      </c>
      <c r="E41">
        <v>0</v>
      </c>
      <c r="F41">
        <v>0</v>
      </c>
      <c r="G41">
        <v>2</v>
      </c>
      <c r="H41">
        <v>0</v>
      </c>
      <c r="I41" t="s">
        <v>41</v>
      </c>
      <c r="J41">
        <v>93</v>
      </c>
      <c r="K41" t="s">
        <v>38</v>
      </c>
      <c r="L41">
        <v>90</v>
      </c>
    </row>
    <row r="42" spans="1:12" x14ac:dyDescent="0.25">
      <c r="A42">
        <v>400578313</v>
      </c>
      <c r="B42">
        <v>2015</v>
      </c>
      <c r="C42" s="1">
        <v>41943</v>
      </c>
      <c r="D42" t="s">
        <v>20</v>
      </c>
      <c r="E42">
        <v>0</v>
      </c>
      <c r="F42">
        <v>1</v>
      </c>
      <c r="G42">
        <v>1</v>
      </c>
      <c r="H42">
        <v>1</v>
      </c>
      <c r="I42" t="s">
        <v>20</v>
      </c>
      <c r="J42">
        <v>89</v>
      </c>
      <c r="K42" t="s">
        <v>28</v>
      </c>
      <c r="L42">
        <v>97</v>
      </c>
    </row>
    <row r="43" spans="1:12" x14ac:dyDescent="0.25">
      <c r="A43">
        <v>400578313</v>
      </c>
      <c r="B43">
        <v>2015</v>
      </c>
      <c r="C43" s="1">
        <v>41943</v>
      </c>
      <c r="D43" t="s">
        <v>28</v>
      </c>
      <c r="E43">
        <v>1</v>
      </c>
      <c r="F43">
        <v>2</v>
      </c>
      <c r="G43">
        <v>0</v>
      </c>
      <c r="H43">
        <v>0</v>
      </c>
      <c r="I43" t="s">
        <v>20</v>
      </c>
      <c r="J43">
        <v>89</v>
      </c>
      <c r="K43" t="s">
        <v>28</v>
      </c>
      <c r="L43">
        <v>97</v>
      </c>
    </row>
    <row r="44" spans="1:12" x14ac:dyDescent="0.25">
      <c r="A44">
        <v>400578314</v>
      </c>
      <c r="B44">
        <v>2015</v>
      </c>
      <c r="C44" s="1">
        <v>41943</v>
      </c>
      <c r="D44" t="s">
        <v>30</v>
      </c>
      <c r="E44">
        <v>0</v>
      </c>
      <c r="F44">
        <v>1</v>
      </c>
      <c r="G44">
        <v>1</v>
      </c>
      <c r="H44">
        <v>1</v>
      </c>
      <c r="I44" t="s">
        <v>30</v>
      </c>
      <c r="J44">
        <v>108</v>
      </c>
      <c r="K44" t="s">
        <v>40</v>
      </c>
      <c r="L44">
        <v>114</v>
      </c>
    </row>
    <row r="45" spans="1:12" x14ac:dyDescent="0.25">
      <c r="A45">
        <v>400578314</v>
      </c>
      <c r="B45">
        <v>2015</v>
      </c>
      <c r="C45" s="1">
        <v>41943</v>
      </c>
      <c r="D45" t="s">
        <v>40</v>
      </c>
      <c r="E45">
        <v>1</v>
      </c>
      <c r="F45">
        <v>1</v>
      </c>
      <c r="G45">
        <v>1</v>
      </c>
      <c r="H45">
        <v>0</v>
      </c>
      <c r="I45" t="s">
        <v>30</v>
      </c>
      <c r="J45">
        <v>108</v>
      </c>
      <c r="K45" t="s">
        <v>40</v>
      </c>
      <c r="L45">
        <v>114</v>
      </c>
    </row>
    <row r="46" spans="1:12" x14ac:dyDescent="0.25">
      <c r="A46">
        <v>400578315</v>
      </c>
      <c r="B46">
        <v>2015</v>
      </c>
      <c r="C46" s="1">
        <v>41943</v>
      </c>
      <c r="D46" t="s">
        <v>19</v>
      </c>
      <c r="E46">
        <v>1</v>
      </c>
      <c r="F46">
        <v>1</v>
      </c>
      <c r="G46">
        <v>1</v>
      </c>
      <c r="H46">
        <v>1</v>
      </c>
      <c r="I46" t="s">
        <v>19</v>
      </c>
      <c r="J46">
        <v>93</v>
      </c>
      <c r="K46" t="s">
        <v>21</v>
      </c>
      <c r="L46">
        <v>81</v>
      </c>
    </row>
    <row r="47" spans="1:12" x14ac:dyDescent="0.25">
      <c r="A47">
        <v>400578315</v>
      </c>
      <c r="B47">
        <v>2015</v>
      </c>
      <c r="C47" s="1">
        <v>41943</v>
      </c>
      <c r="D47" t="s">
        <v>21</v>
      </c>
      <c r="E47">
        <v>0</v>
      </c>
      <c r="F47">
        <v>0</v>
      </c>
      <c r="G47">
        <v>2</v>
      </c>
      <c r="H47">
        <v>0</v>
      </c>
      <c r="I47" t="s">
        <v>19</v>
      </c>
      <c r="J47">
        <v>93</v>
      </c>
      <c r="K47" t="s">
        <v>21</v>
      </c>
      <c r="L47">
        <v>81</v>
      </c>
    </row>
    <row r="48" spans="1:12" x14ac:dyDescent="0.25">
      <c r="A48">
        <v>400578316</v>
      </c>
      <c r="B48">
        <v>2015</v>
      </c>
      <c r="C48" s="1">
        <v>41943</v>
      </c>
      <c r="D48" t="s">
        <v>35</v>
      </c>
      <c r="E48">
        <v>1</v>
      </c>
      <c r="F48">
        <v>2</v>
      </c>
      <c r="G48">
        <v>0</v>
      </c>
      <c r="H48">
        <v>1</v>
      </c>
      <c r="I48" t="s">
        <v>35</v>
      </c>
      <c r="J48">
        <v>94</v>
      </c>
      <c r="K48" t="s">
        <v>15</v>
      </c>
      <c r="L48">
        <v>89</v>
      </c>
    </row>
    <row r="49" spans="1:12" x14ac:dyDescent="0.25">
      <c r="A49">
        <v>400578316</v>
      </c>
      <c r="B49">
        <v>2015</v>
      </c>
      <c r="C49" s="1">
        <v>41943</v>
      </c>
      <c r="D49" t="s">
        <v>15</v>
      </c>
      <c r="E49">
        <v>0</v>
      </c>
      <c r="F49">
        <v>1</v>
      </c>
      <c r="G49">
        <v>1</v>
      </c>
      <c r="H49">
        <v>0</v>
      </c>
      <c r="I49" t="s">
        <v>35</v>
      </c>
      <c r="J49">
        <v>94</v>
      </c>
      <c r="K49" t="s">
        <v>15</v>
      </c>
      <c r="L49">
        <v>89</v>
      </c>
    </row>
    <row r="50" spans="1:12" x14ac:dyDescent="0.25">
      <c r="A50">
        <v>400578317</v>
      </c>
      <c r="B50">
        <v>2015</v>
      </c>
      <c r="C50" s="1">
        <v>41943</v>
      </c>
      <c r="D50" t="s">
        <v>39</v>
      </c>
      <c r="E50">
        <v>0</v>
      </c>
      <c r="F50">
        <v>1</v>
      </c>
      <c r="G50">
        <v>1</v>
      </c>
      <c r="H50">
        <v>0</v>
      </c>
      <c r="I50" t="s">
        <v>37</v>
      </c>
      <c r="J50">
        <v>103</v>
      </c>
      <c r="K50" t="s">
        <v>39</v>
      </c>
      <c r="L50">
        <v>94</v>
      </c>
    </row>
    <row r="51" spans="1:12" x14ac:dyDescent="0.25">
      <c r="A51">
        <v>400578317</v>
      </c>
      <c r="B51">
        <v>2015</v>
      </c>
      <c r="C51" s="1">
        <v>41943</v>
      </c>
      <c r="D51" t="s">
        <v>37</v>
      </c>
      <c r="E51">
        <v>1</v>
      </c>
      <c r="F51">
        <v>1</v>
      </c>
      <c r="G51">
        <v>1</v>
      </c>
      <c r="H51">
        <v>1</v>
      </c>
      <c r="I51" t="s">
        <v>37</v>
      </c>
      <c r="J51">
        <v>103</v>
      </c>
      <c r="K51" t="s">
        <v>39</v>
      </c>
      <c r="L51">
        <v>94</v>
      </c>
    </row>
    <row r="52" spans="1:12" x14ac:dyDescent="0.25">
      <c r="A52">
        <v>400578318</v>
      </c>
      <c r="B52">
        <v>2015</v>
      </c>
      <c r="C52" s="1">
        <v>41943</v>
      </c>
      <c r="D52" t="s">
        <v>41</v>
      </c>
      <c r="E52">
        <v>1</v>
      </c>
      <c r="F52">
        <v>2</v>
      </c>
      <c r="G52">
        <v>0</v>
      </c>
      <c r="H52">
        <v>0</v>
      </c>
      <c r="I52" t="s">
        <v>17</v>
      </c>
      <c r="J52">
        <v>111</v>
      </c>
      <c r="K52" t="s">
        <v>41</v>
      </c>
      <c r="L52">
        <v>118</v>
      </c>
    </row>
    <row r="53" spans="1:12" x14ac:dyDescent="0.25">
      <c r="A53">
        <v>400578318</v>
      </c>
      <c r="B53">
        <v>2015</v>
      </c>
      <c r="C53" s="1">
        <v>41943</v>
      </c>
      <c r="D53" t="s">
        <v>17</v>
      </c>
      <c r="E53">
        <v>0</v>
      </c>
      <c r="F53">
        <v>0</v>
      </c>
      <c r="G53">
        <v>3</v>
      </c>
      <c r="H53">
        <v>1</v>
      </c>
      <c r="I53" t="s">
        <v>17</v>
      </c>
      <c r="J53">
        <v>111</v>
      </c>
      <c r="K53" t="s">
        <v>41</v>
      </c>
      <c r="L53">
        <v>118</v>
      </c>
    </row>
    <row r="54" spans="1:12" x14ac:dyDescent="0.25">
      <c r="A54">
        <v>400578319</v>
      </c>
      <c r="B54">
        <v>2015</v>
      </c>
      <c r="C54" s="1">
        <v>41944</v>
      </c>
      <c r="D54" t="s">
        <v>14</v>
      </c>
      <c r="E54">
        <v>1</v>
      </c>
      <c r="F54">
        <v>2</v>
      </c>
      <c r="G54">
        <v>1</v>
      </c>
      <c r="H54">
        <v>0</v>
      </c>
      <c r="I54" t="s">
        <v>12</v>
      </c>
      <c r="J54">
        <v>104</v>
      </c>
      <c r="K54" t="s">
        <v>14</v>
      </c>
      <c r="L54">
        <v>109</v>
      </c>
    </row>
    <row r="55" spans="1:12" x14ac:dyDescent="0.25">
      <c r="A55">
        <v>400578319</v>
      </c>
      <c r="B55">
        <v>2015</v>
      </c>
      <c r="C55" s="1">
        <v>41944</v>
      </c>
      <c r="D55" t="s">
        <v>12</v>
      </c>
      <c r="E55">
        <v>0</v>
      </c>
      <c r="F55">
        <v>1</v>
      </c>
      <c r="G55">
        <v>1</v>
      </c>
      <c r="H55">
        <v>1</v>
      </c>
      <c r="I55" t="s">
        <v>12</v>
      </c>
      <c r="J55">
        <v>104</v>
      </c>
      <c r="K55" t="s">
        <v>14</v>
      </c>
      <c r="L55">
        <v>109</v>
      </c>
    </row>
    <row r="56" spans="1:12" x14ac:dyDescent="0.25">
      <c r="A56">
        <v>400578320</v>
      </c>
      <c r="B56">
        <v>2015</v>
      </c>
      <c r="C56" s="1">
        <v>41944</v>
      </c>
      <c r="D56" t="s">
        <v>18</v>
      </c>
      <c r="E56">
        <v>0</v>
      </c>
      <c r="F56">
        <v>1</v>
      </c>
      <c r="G56">
        <v>1</v>
      </c>
      <c r="H56">
        <v>1</v>
      </c>
      <c r="I56" t="s">
        <v>18</v>
      </c>
      <c r="J56">
        <v>69</v>
      </c>
      <c r="K56" t="s">
        <v>28</v>
      </c>
      <c r="L56">
        <v>71</v>
      </c>
    </row>
    <row r="57" spans="1:12" x14ac:dyDescent="0.25">
      <c r="A57">
        <v>400578320</v>
      </c>
      <c r="B57">
        <v>2015</v>
      </c>
      <c r="C57" s="1">
        <v>41944</v>
      </c>
      <c r="D57" t="s">
        <v>28</v>
      </c>
      <c r="E57">
        <v>1</v>
      </c>
      <c r="F57">
        <v>3</v>
      </c>
      <c r="G57">
        <v>0</v>
      </c>
      <c r="H57">
        <v>0</v>
      </c>
      <c r="I57" t="s">
        <v>18</v>
      </c>
      <c r="J57">
        <v>69</v>
      </c>
      <c r="K57" t="s">
        <v>28</v>
      </c>
      <c r="L57">
        <v>71</v>
      </c>
    </row>
    <row r="58" spans="1:12" x14ac:dyDescent="0.25">
      <c r="A58">
        <v>400578321</v>
      </c>
      <c r="B58">
        <v>2015</v>
      </c>
      <c r="C58" s="1">
        <v>41944</v>
      </c>
      <c r="D58" t="s">
        <v>13</v>
      </c>
      <c r="E58">
        <v>0</v>
      </c>
      <c r="F58">
        <v>0</v>
      </c>
      <c r="G58">
        <v>3</v>
      </c>
      <c r="H58">
        <v>1</v>
      </c>
      <c r="I58" t="s">
        <v>13</v>
      </c>
      <c r="J58">
        <v>95</v>
      </c>
      <c r="K58" t="s">
        <v>27</v>
      </c>
      <c r="L58">
        <v>108</v>
      </c>
    </row>
    <row r="59" spans="1:12" x14ac:dyDescent="0.25">
      <c r="A59">
        <v>400578321</v>
      </c>
      <c r="B59">
        <v>2015</v>
      </c>
      <c r="C59" s="1">
        <v>41944</v>
      </c>
      <c r="D59" t="s">
        <v>27</v>
      </c>
      <c r="E59">
        <v>1</v>
      </c>
      <c r="F59">
        <v>2</v>
      </c>
      <c r="G59">
        <v>0</v>
      </c>
      <c r="H59">
        <v>0</v>
      </c>
      <c r="I59" t="s">
        <v>13</v>
      </c>
      <c r="J59">
        <v>95</v>
      </c>
      <c r="K59" t="s">
        <v>27</v>
      </c>
      <c r="L59">
        <v>108</v>
      </c>
    </row>
    <row r="60" spans="1:12" x14ac:dyDescent="0.25">
      <c r="A60">
        <v>400578322</v>
      </c>
      <c r="B60">
        <v>2015</v>
      </c>
      <c r="C60" s="1">
        <v>41944</v>
      </c>
      <c r="D60" t="s">
        <v>24</v>
      </c>
      <c r="E60">
        <v>1</v>
      </c>
      <c r="F60">
        <v>2</v>
      </c>
      <c r="G60">
        <v>0</v>
      </c>
      <c r="H60">
        <v>0</v>
      </c>
      <c r="I60" t="s">
        <v>21</v>
      </c>
      <c r="J60">
        <v>96</v>
      </c>
      <c r="K60" t="s">
        <v>24</v>
      </c>
      <c r="L60">
        <v>114</v>
      </c>
    </row>
    <row r="61" spans="1:12" x14ac:dyDescent="0.25">
      <c r="A61">
        <v>400578322</v>
      </c>
      <c r="B61">
        <v>2015</v>
      </c>
      <c r="C61" s="1">
        <v>41944</v>
      </c>
      <c r="D61" t="s">
        <v>21</v>
      </c>
      <c r="E61">
        <v>0</v>
      </c>
      <c r="F61">
        <v>0</v>
      </c>
      <c r="G61">
        <v>3</v>
      </c>
      <c r="H61">
        <v>1</v>
      </c>
      <c r="I61" t="s">
        <v>21</v>
      </c>
      <c r="J61">
        <v>96</v>
      </c>
      <c r="K61" t="s">
        <v>24</v>
      </c>
      <c r="L61">
        <v>114</v>
      </c>
    </row>
    <row r="62" spans="1:12" x14ac:dyDescent="0.25">
      <c r="A62">
        <v>400578323</v>
      </c>
      <c r="B62">
        <v>2015</v>
      </c>
      <c r="C62" s="1">
        <v>41944</v>
      </c>
      <c r="D62" t="s">
        <v>19</v>
      </c>
      <c r="E62">
        <v>0</v>
      </c>
      <c r="F62">
        <v>1</v>
      </c>
      <c r="G62">
        <v>2</v>
      </c>
      <c r="H62">
        <v>0</v>
      </c>
      <c r="I62" t="s">
        <v>25</v>
      </c>
      <c r="J62">
        <v>108</v>
      </c>
      <c r="K62" t="s">
        <v>19</v>
      </c>
      <c r="L62">
        <v>97</v>
      </c>
    </row>
    <row r="63" spans="1:12" x14ac:dyDescent="0.25">
      <c r="A63">
        <v>400578323</v>
      </c>
      <c r="B63">
        <v>2015</v>
      </c>
      <c r="C63" s="1">
        <v>41944</v>
      </c>
      <c r="D63" t="s">
        <v>25</v>
      </c>
      <c r="E63">
        <v>1</v>
      </c>
      <c r="F63">
        <v>2</v>
      </c>
      <c r="G63">
        <v>1</v>
      </c>
      <c r="H63">
        <v>1</v>
      </c>
      <c r="I63" t="s">
        <v>25</v>
      </c>
      <c r="J63">
        <v>108</v>
      </c>
      <c r="K63" t="s">
        <v>19</v>
      </c>
      <c r="L63">
        <v>97</v>
      </c>
    </row>
    <row r="64" spans="1:12" x14ac:dyDescent="0.25">
      <c r="A64">
        <v>400578324</v>
      </c>
      <c r="B64">
        <v>2015</v>
      </c>
      <c r="C64" s="1">
        <v>41944</v>
      </c>
      <c r="D64" t="s">
        <v>26</v>
      </c>
      <c r="E64">
        <v>1</v>
      </c>
      <c r="F64">
        <v>1</v>
      </c>
      <c r="G64">
        <v>1</v>
      </c>
      <c r="H64">
        <v>1</v>
      </c>
      <c r="I64" t="s">
        <v>26</v>
      </c>
      <c r="J64">
        <v>102</v>
      </c>
      <c r="K64" t="s">
        <v>20</v>
      </c>
      <c r="L64">
        <v>92</v>
      </c>
    </row>
    <row r="65" spans="1:12" x14ac:dyDescent="0.25">
      <c r="A65">
        <v>400578324</v>
      </c>
      <c r="B65">
        <v>2015</v>
      </c>
      <c r="C65" s="1">
        <v>41944</v>
      </c>
      <c r="D65" t="s">
        <v>20</v>
      </c>
      <c r="E65">
        <v>0</v>
      </c>
      <c r="F65">
        <v>1</v>
      </c>
      <c r="G65">
        <v>2</v>
      </c>
      <c r="H65">
        <v>0</v>
      </c>
      <c r="I65" t="s">
        <v>26</v>
      </c>
      <c r="J65">
        <v>102</v>
      </c>
      <c r="K65" t="s">
        <v>20</v>
      </c>
      <c r="L65">
        <v>92</v>
      </c>
    </row>
    <row r="66" spans="1:12" x14ac:dyDescent="0.25">
      <c r="A66">
        <v>400578325</v>
      </c>
      <c r="B66">
        <v>2015</v>
      </c>
      <c r="C66" s="1">
        <v>41944</v>
      </c>
      <c r="D66" t="s">
        <v>23</v>
      </c>
      <c r="E66">
        <v>1</v>
      </c>
      <c r="F66">
        <v>1</v>
      </c>
      <c r="G66">
        <v>1</v>
      </c>
      <c r="H66">
        <v>0</v>
      </c>
      <c r="I66" t="s">
        <v>33</v>
      </c>
      <c r="J66">
        <v>90</v>
      </c>
      <c r="K66" t="s">
        <v>23</v>
      </c>
      <c r="L66">
        <v>102</v>
      </c>
    </row>
    <row r="67" spans="1:12" x14ac:dyDescent="0.25">
      <c r="A67">
        <v>400578325</v>
      </c>
      <c r="B67">
        <v>2015</v>
      </c>
      <c r="C67" s="1">
        <v>41944</v>
      </c>
      <c r="D67" t="s">
        <v>33</v>
      </c>
      <c r="E67">
        <v>0</v>
      </c>
      <c r="F67">
        <v>0</v>
      </c>
      <c r="G67">
        <v>3</v>
      </c>
      <c r="H67">
        <v>1</v>
      </c>
      <c r="I67" t="s">
        <v>33</v>
      </c>
      <c r="J67">
        <v>90</v>
      </c>
      <c r="K67" t="s">
        <v>23</v>
      </c>
      <c r="L67">
        <v>102</v>
      </c>
    </row>
    <row r="68" spans="1:12" x14ac:dyDescent="0.25">
      <c r="A68">
        <v>400578326</v>
      </c>
      <c r="B68">
        <v>2015</v>
      </c>
      <c r="C68" s="1">
        <v>41944</v>
      </c>
      <c r="D68" t="s">
        <v>22</v>
      </c>
      <c r="E68">
        <v>0</v>
      </c>
      <c r="F68">
        <v>1</v>
      </c>
      <c r="G68">
        <v>1</v>
      </c>
      <c r="H68">
        <v>0</v>
      </c>
      <c r="I68" t="s">
        <v>16</v>
      </c>
      <c r="J68">
        <v>104</v>
      </c>
      <c r="K68" t="s">
        <v>22</v>
      </c>
      <c r="L68">
        <v>90</v>
      </c>
    </row>
    <row r="69" spans="1:12" x14ac:dyDescent="0.25">
      <c r="A69">
        <v>400578326</v>
      </c>
      <c r="B69">
        <v>2015</v>
      </c>
      <c r="C69" s="1">
        <v>41944</v>
      </c>
      <c r="D69" t="s">
        <v>16</v>
      </c>
      <c r="E69">
        <v>1</v>
      </c>
      <c r="F69">
        <v>3</v>
      </c>
      <c r="G69">
        <v>0</v>
      </c>
      <c r="H69">
        <v>1</v>
      </c>
      <c r="I69" t="s">
        <v>16</v>
      </c>
      <c r="J69">
        <v>104</v>
      </c>
      <c r="K69" t="s">
        <v>22</v>
      </c>
      <c r="L69">
        <v>90</v>
      </c>
    </row>
    <row r="70" spans="1:12" x14ac:dyDescent="0.25">
      <c r="A70">
        <v>400578327</v>
      </c>
      <c r="B70">
        <v>2015</v>
      </c>
      <c r="C70" s="1">
        <v>41944</v>
      </c>
      <c r="D70" t="s">
        <v>30</v>
      </c>
      <c r="E70">
        <v>1</v>
      </c>
      <c r="F70">
        <v>2</v>
      </c>
      <c r="G70">
        <v>1</v>
      </c>
      <c r="H70">
        <v>0</v>
      </c>
      <c r="I70" t="s">
        <v>29</v>
      </c>
      <c r="J70">
        <v>105</v>
      </c>
      <c r="K70" t="s">
        <v>30</v>
      </c>
      <c r="L70">
        <v>106</v>
      </c>
    </row>
    <row r="71" spans="1:12" x14ac:dyDescent="0.25">
      <c r="A71">
        <v>400578327</v>
      </c>
      <c r="B71">
        <v>2015</v>
      </c>
      <c r="C71" s="1">
        <v>41944</v>
      </c>
      <c r="D71" t="s">
        <v>29</v>
      </c>
      <c r="E71">
        <v>0</v>
      </c>
      <c r="F71">
        <v>1</v>
      </c>
      <c r="G71">
        <v>2</v>
      </c>
      <c r="H71">
        <v>1</v>
      </c>
      <c r="I71" t="s">
        <v>29</v>
      </c>
      <c r="J71">
        <v>105</v>
      </c>
      <c r="K71" t="s">
        <v>30</v>
      </c>
      <c r="L71">
        <v>106</v>
      </c>
    </row>
    <row r="72" spans="1:12" x14ac:dyDescent="0.25">
      <c r="A72">
        <v>400578328</v>
      </c>
      <c r="B72">
        <v>2015</v>
      </c>
      <c r="C72" s="1">
        <v>41944</v>
      </c>
      <c r="D72" t="s">
        <v>32</v>
      </c>
      <c r="E72">
        <v>0</v>
      </c>
      <c r="F72">
        <v>1</v>
      </c>
      <c r="G72">
        <v>1</v>
      </c>
      <c r="H72">
        <v>0</v>
      </c>
      <c r="I72" t="s">
        <v>38</v>
      </c>
      <c r="J72">
        <v>102</v>
      </c>
      <c r="K72" t="s">
        <v>32</v>
      </c>
      <c r="L72">
        <v>91</v>
      </c>
    </row>
    <row r="73" spans="1:12" x14ac:dyDescent="0.25">
      <c r="A73">
        <v>400578328</v>
      </c>
      <c r="B73">
        <v>2015</v>
      </c>
      <c r="C73" s="1">
        <v>41944</v>
      </c>
      <c r="D73" t="s">
        <v>38</v>
      </c>
      <c r="E73">
        <v>1</v>
      </c>
      <c r="F73">
        <v>1</v>
      </c>
      <c r="G73">
        <v>2</v>
      </c>
      <c r="H73">
        <v>1</v>
      </c>
      <c r="I73" t="s">
        <v>38</v>
      </c>
      <c r="J73">
        <v>102</v>
      </c>
      <c r="K73" t="s">
        <v>32</v>
      </c>
      <c r="L73">
        <v>91</v>
      </c>
    </row>
    <row r="74" spans="1:12" x14ac:dyDescent="0.25">
      <c r="A74">
        <v>400578329</v>
      </c>
      <c r="B74">
        <v>2015</v>
      </c>
      <c r="C74" s="1">
        <v>41944</v>
      </c>
      <c r="D74" t="s">
        <v>35</v>
      </c>
      <c r="E74">
        <v>0</v>
      </c>
      <c r="F74">
        <v>2</v>
      </c>
      <c r="G74">
        <v>1</v>
      </c>
      <c r="H74">
        <v>0</v>
      </c>
      <c r="I74" t="s">
        <v>34</v>
      </c>
      <c r="J74">
        <v>118</v>
      </c>
      <c r="K74" t="s">
        <v>35</v>
      </c>
      <c r="L74">
        <v>91</v>
      </c>
    </row>
    <row r="75" spans="1:12" x14ac:dyDescent="0.25">
      <c r="A75">
        <v>400578329</v>
      </c>
      <c r="B75">
        <v>2015</v>
      </c>
      <c r="C75" s="1">
        <v>41944</v>
      </c>
      <c r="D75" t="s">
        <v>34</v>
      </c>
      <c r="E75">
        <v>1</v>
      </c>
      <c r="F75">
        <v>1</v>
      </c>
      <c r="G75">
        <v>2</v>
      </c>
      <c r="H75">
        <v>1</v>
      </c>
      <c r="I75" t="s">
        <v>34</v>
      </c>
      <c r="J75">
        <v>118</v>
      </c>
      <c r="K75" t="s">
        <v>35</v>
      </c>
      <c r="L75">
        <v>91</v>
      </c>
    </row>
    <row r="76" spans="1:12" x14ac:dyDescent="0.25">
      <c r="A76">
        <v>400578330</v>
      </c>
      <c r="B76">
        <v>2015</v>
      </c>
      <c r="C76" s="1">
        <v>41944</v>
      </c>
      <c r="D76" t="s">
        <v>36</v>
      </c>
      <c r="E76">
        <v>1</v>
      </c>
      <c r="F76">
        <v>2</v>
      </c>
      <c r="G76">
        <v>0</v>
      </c>
      <c r="H76">
        <v>1</v>
      </c>
      <c r="I76" t="s">
        <v>36</v>
      </c>
      <c r="J76">
        <v>127</v>
      </c>
      <c r="K76" t="s">
        <v>17</v>
      </c>
      <c r="L76">
        <v>104</v>
      </c>
    </row>
    <row r="77" spans="1:12" x14ac:dyDescent="0.25">
      <c r="A77">
        <v>400578330</v>
      </c>
      <c r="B77">
        <v>2015</v>
      </c>
      <c r="C77" s="1">
        <v>41944</v>
      </c>
      <c r="D77" t="s">
        <v>17</v>
      </c>
      <c r="E77">
        <v>0</v>
      </c>
      <c r="F77">
        <v>0</v>
      </c>
      <c r="G77">
        <v>4</v>
      </c>
      <c r="H77">
        <v>0</v>
      </c>
      <c r="I77" t="s">
        <v>36</v>
      </c>
      <c r="J77">
        <v>127</v>
      </c>
      <c r="K77" t="s">
        <v>17</v>
      </c>
      <c r="L77">
        <v>104</v>
      </c>
    </row>
    <row r="78" spans="1:12" x14ac:dyDescent="0.25">
      <c r="A78">
        <v>400578331</v>
      </c>
      <c r="B78">
        <v>2015</v>
      </c>
      <c r="C78" s="1">
        <v>41945</v>
      </c>
      <c r="D78" t="s">
        <v>41</v>
      </c>
      <c r="E78">
        <v>0</v>
      </c>
      <c r="F78">
        <v>2</v>
      </c>
      <c r="G78">
        <v>1</v>
      </c>
      <c r="H78">
        <v>1</v>
      </c>
      <c r="I78" t="s">
        <v>41</v>
      </c>
      <c r="J78">
        <v>92</v>
      </c>
      <c r="K78" t="s">
        <v>37</v>
      </c>
      <c r="L78">
        <v>98</v>
      </c>
    </row>
    <row r="79" spans="1:12" x14ac:dyDescent="0.25">
      <c r="A79">
        <v>400578331</v>
      </c>
      <c r="B79">
        <v>2015</v>
      </c>
      <c r="C79" s="1">
        <v>41945</v>
      </c>
      <c r="D79" t="s">
        <v>37</v>
      </c>
      <c r="E79">
        <v>1</v>
      </c>
      <c r="F79">
        <v>2</v>
      </c>
      <c r="G79">
        <v>1</v>
      </c>
      <c r="H79">
        <v>0</v>
      </c>
      <c r="I79" t="s">
        <v>41</v>
      </c>
      <c r="J79">
        <v>92</v>
      </c>
      <c r="K79" t="s">
        <v>37</v>
      </c>
      <c r="L79">
        <v>98</v>
      </c>
    </row>
    <row r="80" spans="1:12" x14ac:dyDescent="0.25">
      <c r="A80">
        <v>400578332</v>
      </c>
      <c r="B80">
        <v>2015</v>
      </c>
      <c r="C80" s="1">
        <v>41945</v>
      </c>
      <c r="D80" t="s">
        <v>24</v>
      </c>
      <c r="E80">
        <v>1</v>
      </c>
      <c r="F80">
        <v>3</v>
      </c>
      <c r="G80">
        <v>0</v>
      </c>
      <c r="H80">
        <v>1</v>
      </c>
      <c r="I80" t="s">
        <v>24</v>
      </c>
      <c r="J80">
        <v>107</v>
      </c>
      <c r="K80" t="s">
        <v>27</v>
      </c>
      <c r="L80">
        <v>102</v>
      </c>
    </row>
    <row r="81" spans="1:12" x14ac:dyDescent="0.25">
      <c r="A81">
        <v>400578332</v>
      </c>
      <c r="B81">
        <v>2015</v>
      </c>
      <c r="C81" s="1">
        <v>41945</v>
      </c>
      <c r="D81" t="s">
        <v>27</v>
      </c>
      <c r="E81">
        <v>0</v>
      </c>
      <c r="F81">
        <v>2</v>
      </c>
      <c r="G81">
        <v>1</v>
      </c>
      <c r="H81">
        <v>0</v>
      </c>
      <c r="I81" t="s">
        <v>24</v>
      </c>
      <c r="J81">
        <v>107</v>
      </c>
      <c r="K81" t="s">
        <v>27</v>
      </c>
      <c r="L81">
        <v>102</v>
      </c>
    </row>
    <row r="82" spans="1:12" x14ac:dyDescent="0.25">
      <c r="A82">
        <v>400578333</v>
      </c>
      <c r="B82">
        <v>2015</v>
      </c>
      <c r="C82" s="1">
        <v>41945</v>
      </c>
      <c r="D82" t="s">
        <v>18</v>
      </c>
      <c r="E82">
        <v>0</v>
      </c>
      <c r="F82">
        <v>1</v>
      </c>
      <c r="G82">
        <v>2</v>
      </c>
      <c r="H82">
        <v>0</v>
      </c>
      <c r="I82" t="s">
        <v>31</v>
      </c>
      <c r="J82">
        <v>96</v>
      </c>
      <c r="K82" t="s">
        <v>18</v>
      </c>
      <c r="L82">
        <v>93</v>
      </c>
    </row>
    <row r="83" spans="1:12" x14ac:dyDescent="0.25">
      <c r="A83">
        <v>400578333</v>
      </c>
      <c r="B83">
        <v>2015</v>
      </c>
      <c r="C83" s="1">
        <v>41945</v>
      </c>
      <c r="D83" t="s">
        <v>31</v>
      </c>
      <c r="E83">
        <v>1</v>
      </c>
      <c r="F83">
        <v>2</v>
      </c>
      <c r="G83">
        <v>1</v>
      </c>
      <c r="H83">
        <v>1</v>
      </c>
      <c r="I83" t="s">
        <v>31</v>
      </c>
      <c r="J83">
        <v>96</v>
      </c>
      <c r="K83" t="s">
        <v>18</v>
      </c>
      <c r="L83">
        <v>93</v>
      </c>
    </row>
    <row r="84" spans="1:12" x14ac:dyDescent="0.25">
      <c r="A84">
        <v>400578334</v>
      </c>
      <c r="B84">
        <v>2015</v>
      </c>
      <c r="C84" s="1">
        <v>41945</v>
      </c>
      <c r="D84" t="s">
        <v>36</v>
      </c>
      <c r="E84">
        <v>1</v>
      </c>
      <c r="F84">
        <v>3</v>
      </c>
      <c r="G84">
        <v>0</v>
      </c>
      <c r="H84">
        <v>0</v>
      </c>
      <c r="I84" t="s">
        <v>39</v>
      </c>
      <c r="J84">
        <v>90</v>
      </c>
      <c r="K84" t="s">
        <v>36</v>
      </c>
      <c r="L84">
        <v>95</v>
      </c>
    </row>
    <row r="85" spans="1:12" x14ac:dyDescent="0.25">
      <c r="A85">
        <v>400578334</v>
      </c>
      <c r="B85">
        <v>2015</v>
      </c>
      <c r="C85" s="1">
        <v>41945</v>
      </c>
      <c r="D85" t="s">
        <v>39</v>
      </c>
      <c r="E85">
        <v>0</v>
      </c>
      <c r="F85">
        <v>1</v>
      </c>
      <c r="G85">
        <v>2</v>
      </c>
      <c r="H85">
        <v>1</v>
      </c>
      <c r="I85" t="s">
        <v>39</v>
      </c>
      <c r="J85">
        <v>90</v>
      </c>
      <c r="K85" t="s">
        <v>36</v>
      </c>
      <c r="L85">
        <v>95</v>
      </c>
    </row>
    <row r="86" spans="1:12" x14ac:dyDescent="0.25">
      <c r="A86">
        <v>400578335</v>
      </c>
      <c r="B86">
        <v>2015</v>
      </c>
      <c r="C86" s="1">
        <v>41946</v>
      </c>
      <c r="D86" t="s">
        <v>16</v>
      </c>
      <c r="E86">
        <v>1</v>
      </c>
      <c r="F86">
        <v>4</v>
      </c>
      <c r="G86">
        <v>0</v>
      </c>
      <c r="H86">
        <v>0</v>
      </c>
      <c r="I86" t="s">
        <v>21</v>
      </c>
      <c r="J86">
        <v>93</v>
      </c>
      <c r="K86" t="s">
        <v>16</v>
      </c>
      <c r="L86">
        <v>104</v>
      </c>
    </row>
    <row r="87" spans="1:12" x14ac:dyDescent="0.25">
      <c r="A87">
        <v>400578335</v>
      </c>
      <c r="B87">
        <v>2015</v>
      </c>
      <c r="C87" s="1">
        <v>41946</v>
      </c>
      <c r="D87" t="s">
        <v>21</v>
      </c>
      <c r="E87">
        <v>0</v>
      </c>
      <c r="F87">
        <v>0</v>
      </c>
      <c r="G87">
        <v>4</v>
      </c>
      <c r="H87">
        <v>1</v>
      </c>
      <c r="I87" t="s">
        <v>21</v>
      </c>
      <c r="J87">
        <v>93</v>
      </c>
      <c r="K87" t="s">
        <v>16</v>
      </c>
      <c r="L87">
        <v>104</v>
      </c>
    </row>
    <row r="88" spans="1:12" x14ac:dyDescent="0.25">
      <c r="A88">
        <v>400578336</v>
      </c>
      <c r="B88">
        <v>2015</v>
      </c>
      <c r="C88" s="1">
        <v>41946</v>
      </c>
      <c r="D88" t="s">
        <v>23</v>
      </c>
      <c r="E88">
        <v>1</v>
      </c>
      <c r="F88">
        <v>2</v>
      </c>
      <c r="G88">
        <v>1</v>
      </c>
      <c r="H88">
        <v>1</v>
      </c>
      <c r="I88" t="s">
        <v>23</v>
      </c>
      <c r="J88">
        <v>116</v>
      </c>
      <c r="K88" t="s">
        <v>38</v>
      </c>
      <c r="L88">
        <v>85</v>
      </c>
    </row>
    <row r="89" spans="1:12" x14ac:dyDescent="0.25">
      <c r="A89">
        <v>400578336</v>
      </c>
      <c r="B89">
        <v>2015</v>
      </c>
      <c r="C89" s="1">
        <v>41946</v>
      </c>
      <c r="D89" t="s">
        <v>38</v>
      </c>
      <c r="E89">
        <v>0</v>
      </c>
      <c r="F89">
        <v>1</v>
      </c>
      <c r="G89">
        <v>3</v>
      </c>
      <c r="H89">
        <v>0</v>
      </c>
      <c r="I89" t="s">
        <v>23</v>
      </c>
      <c r="J89">
        <v>116</v>
      </c>
      <c r="K89" t="s">
        <v>38</v>
      </c>
      <c r="L89">
        <v>85</v>
      </c>
    </row>
    <row r="90" spans="1:12" x14ac:dyDescent="0.25">
      <c r="A90">
        <v>400578337</v>
      </c>
      <c r="B90">
        <v>2015</v>
      </c>
      <c r="C90" s="1">
        <v>41946</v>
      </c>
      <c r="D90" t="s">
        <v>28</v>
      </c>
      <c r="E90">
        <v>1</v>
      </c>
      <c r="F90">
        <v>4</v>
      </c>
      <c r="G90">
        <v>0</v>
      </c>
      <c r="H90">
        <v>1</v>
      </c>
      <c r="I90" t="s">
        <v>28</v>
      </c>
      <c r="J90">
        <v>93</v>
      </c>
      <c r="K90" t="s">
        <v>12</v>
      </c>
      <c r="L90">
        <v>81</v>
      </c>
    </row>
    <row r="91" spans="1:12" x14ac:dyDescent="0.25">
      <c r="A91">
        <v>400578337</v>
      </c>
      <c r="B91">
        <v>2015</v>
      </c>
      <c r="C91" s="1">
        <v>41946</v>
      </c>
      <c r="D91" t="s">
        <v>12</v>
      </c>
      <c r="E91">
        <v>0</v>
      </c>
      <c r="F91">
        <v>1</v>
      </c>
      <c r="G91">
        <v>2</v>
      </c>
      <c r="H91">
        <v>0</v>
      </c>
      <c r="I91" t="s">
        <v>28</v>
      </c>
      <c r="J91">
        <v>93</v>
      </c>
      <c r="K91" t="s">
        <v>12</v>
      </c>
      <c r="L91">
        <v>81</v>
      </c>
    </row>
    <row r="92" spans="1:12" x14ac:dyDescent="0.25">
      <c r="A92">
        <v>400578338</v>
      </c>
      <c r="B92">
        <v>2015</v>
      </c>
      <c r="C92" s="1">
        <v>41946</v>
      </c>
      <c r="D92" t="s">
        <v>22</v>
      </c>
      <c r="E92">
        <v>0</v>
      </c>
      <c r="F92">
        <v>1</v>
      </c>
      <c r="G92">
        <v>2</v>
      </c>
      <c r="H92">
        <v>0</v>
      </c>
      <c r="I92" t="s">
        <v>14</v>
      </c>
      <c r="J92">
        <v>118</v>
      </c>
      <c r="K92" t="s">
        <v>22</v>
      </c>
      <c r="L92">
        <v>113</v>
      </c>
    </row>
    <row r="93" spans="1:12" x14ac:dyDescent="0.25">
      <c r="A93">
        <v>400578338</v>
      </c>
      <c r="B93">
        <v>2015</v>
      </c>
      <c r="C93" s="1">
        <v>41946</v>
      </c>
      <c r="D93" t="s">
        <v>14</v>
      </c>
      <c r="E93">
        <v>1</v>
      </c>
      <c r="F93">
        <v>3</v>
      </c>
      <c r="G93">
        <v>1</v>
      </c>
      <c r="H93">
        <v>1</v>
      </c>
      <c r="I93" t="s">
        <v>14</v>
      </c>
      <c r="J93">
        <v>118</v>
      </c>
      <c r="K93" t="s">
        <v>22</v>
      </c>
      <c r="L93">
        <v>113</v>
      </c>
    </row>
    <row r="94" spans="1:12" x14ac:dyDescent="0.25">
      <c r="A94">
        <v>400578339</v>
      </c>
      <c r="B94">
        <v>2015</v>
      </c>
      <c r="C94" s="1">
        <v>41946</v>
      </c>
      <c r="D94" t="s">
        <v>32</v>
      </c>
      <c r="E94">
        <v>0</v>
      </c>
      <c r="F94">
        <v>1</v>
      </c>
      <c r="G94">
        <v>2</v>
      </c>
      <c r="H94">
        <v>1</v>
      </c>
      <c r="I94" t="s">
        <v>32</v>
      </c>
      <c r="J94">
        <v>105</v>
      </c>
      <c r="K94" t="s">
        <v>37</v>
      </c>
      <c r="L94">
        <v>110</v>
      </c>
    </row>
    <row r="95" spans="1:12" x14ac:dyDescent="0.25">
      <c r="A95">
        <v>400578339</v>
      </c>
      <c r="B95">
        <v>2015</v>
      </c>
      <c r="C95" s="1">
        <v>41946</v>
      </c>
      <c r="D95" t="s">
        <v>37</v>
      </c>
      <c r="E95">
        <v>1</v>
      </c>
      <c r="F95">
        <v>3</v>
      </c>
      <c r="G95">
        <v>1</v>
      </c>
      <c r="H95">
        <v>0</v>
      </c>
      <c r="I95" t="s">
        <v>32</v>
      </c>
      <c r="J95">
        <v>105</v>
      </c>
      <c r="K95" t="s">
        <v>37</v>
      </c>
      <c r="L95">
        <v>110</v>
      </c>
    </row>
    <row r="96" spans="1:12" x14ac:dyDescent="0.25">
      <c r="A96">
        <v>400578340</v>
      </c>
      <c r="B96">
        <v>2015</v>
      </c>
      <c r="C96" s="1">
        <v>41946</v>
      </c>
      <c r="D96" t="s">
        <v>41</v>
      </c>
      <c r="E96">
        <v>1</v>
      </c>
      <c r="F96">
        <v>3</v>
      </c>
      <c r="G96">
        <v>1</v>
      </c>
      <c r="H96">
        <v>1</v>
      </c>
      <c r="I96" t="s">
        <v>41</v>
      </c>
      <c r="J96">
        <v>107</v>
      </c>
      <c r="K96" t="s">
        <v>34</v>
      </c>
      <c r="L96">
        <v>101</v>
      </c>
    </row>
    <row r="97" spans="1:12" x14ac:dyDescent="0.25">
      <c r="A97">
        <v>400578340</v>
      </c>
      <c r="B97">
        <v>2015</v>
      </c>
      <c r="C97" s="1">
        <v>41946</v>
      </c>
      <c r="D97" t="s">
        <v>34</v>
      </c>
      <c r="E97">
        <v>0</v>
      </c>
      <c r="F97">
        <v>1</v>
      </c>
      <c r="G97">
        <v>3</v>
      </c>
      <c r="H97">
        <v>0</v>
      </c>
      <c r="I97" t="s">
        <v>41</v>
      </c>
      <c r="J97">
        <v>107</v>
      </c>
      <c r="K97" t="s">
        <v>34</v>
      </c>
      <c r="L97">
        <v>101</v>
      </c>
    </row>
    <row r="98" spans="1:12" x14ac:dyDescent="0.25">
      <c r="A98">
        <v>400578341</v>
      </c>
      <c r="B98">
        <v>2015</v>
      </c>
      <c r="C98" s="1">
        <v>41947</v>
      </c>
      <c r="D98" t="s">
        <v>20</v>
      </c>
      <c r="E98">
        <v>0</v>
      </c>
      <c r="F98">
        <v>1</v>
      </c>
      <c r="G98">
        <v>3</v>
      </c>
      <c r="H98">
        <v>1</v>
      </c>
      <c r="I98" t="s">
        <v>20</v>
      </c>
      <c r="J98">
        <v>81</v>
      </c>
      <c r="K98" t="s">
        <v>19</v>
      </c>
      <c r="L98">
        <v>87</v>
      </c>
    </row>
    <row r="99" spans="1:12" x14ac:dyDescent="0.25">
      <c r="A99">
        <v>400578341</v>
      </c>
      <c r="B99">
        <v>2015</v>
      </c>
      <c r="C99" s="1">
        <v>41947</v>
      </c>
      <c r="D99" t="s">
        <v>19</v>
      </c>
      <c r="E99">
        <v>1</v>
      </c>
      <c r="F99">
        <v>2</v>
      </c>
      <c r="G99">
        <v>2</v>
      </c>
      <c r="H99">
        <v>0</v>
      </c>
      <c r="I99" t="s">
        <v>20</v>
      </c>
      <c r="J99">
        <v>81</v>
      </c>
      <c r="K99" t="s">
        <v>19</v>
      </c>
      <c r="L99">
        <v>87</v>
      </c>
    </row>
    <row r="100" spans="1:12" x14ac:dyDescent="0.25">
      <c r="A100">
        <v>400578342</v>
      </c>
      <c r="B100">
        <v>2015</v>
      </c>
      <c r="C100" s="1">
        <v>41947</v>
      </c>
      <c r="D100" t="s">
        <v>16</v>
      </c>
      <c r="E100">
        <v>1</v>
      </c>
      <c r="F100">
        <v>5</v>
      </c>
      <c r="G100">
        <v>0</v>
      </c>
      <c r="H100">
        <v>0</v>
      </c>
      <c r="I100" t="s">
        <v>24</v>
      </c>
      <c r="J100">
        <v>91</v>
      </c>
      <c r="K100" t="s">
        <v>16</v>
      </c>
      <c r="L100">
        <v>108</v>
      </c>
    </row>
    <row r="101" spans="1:12" x14ac:dyDescent="0.25">
      <c r="A101">
        <v>400578342</v>
      </c>
      <c r="B101">
        <v>2015</v>
      </c>
      <c r="C101" s="1">
        <v>41947</v>
      </c>
      <c r="D101" t="s">
        <v>24</v>
      </c>
      <c r="E101">
        <v>0</v>
      </c>
      <c r="F101">
        <v>3</v>
      </c>
      <c r="G101">
        <v>1</v>
      </c>
      <c r="H101">
        <v>1</v>
      </c>
      <c r="I101" t="s">
        <v>24</v>
      </c>
      <c r="J101">
        <v>91</v>
      </c>
      <c r="K101" t="s">
        <v>16</v>
      </c>
      <c r="L101">
        <v>108</v>
      </c>
    </row>
    <row r="102" spans="1:12" x14ac:dyDescent="0.25">
      <c r="A102">
        <v>400578343</v>
      </c>
      <c r="B102">
        <v>2015</v>
      </c>
      <c r="C102" s="1">
        <v>41947</v>
      </c>
      <c r="D102" t="s">
        <v>31</v>
      </c>
      <c r="E102">
        <v>0</v>
      </c>
      <c r="F102">
        <v>2</v>
      </c>
      <c r="G102">
        <v>2</v>
      </c>
      <c r="H102">
        <v>1</v>
      </c>
      <c r="I102" t="s">
        <v>31</v>
      </c>
      <c r="J102">
        <v>83</v>
      </c>
      <c r="K102" t="s">
        <v>25</v>
      </c>
      <c r="L102">
        <v>98</v>
      </c>
    </row>
    <row r="103" spans="1:12" x14ac:dyDescent="0.25">
      <c r="A103">
        <v>400578343</v>
      </c>
      <c r="B103">
        <v>2015</v>
      </c>
      <c r="C103" s="1">
        <v>41947</v>
      </c>
      <c r="D103" t="s">
        <v>25</v>
      </c>
      <c r="E103">
        <v>1</v>
      </c>
      <c r="F103">
        <v>3</v>
      </c>
      <c r="G103">
        <v>1</v>
      </c>
      <c r="H103">
        <v>0</v>
      </c>
      <c r="I103" t="s">
        <v>31</v>
      </c>
      <c r="J103">
        <v>83</v>
      </c>
      <c r="K103" t="s">
        <v>25</v>
      </c>
      <c r="L103">
        <v>98</v>
      </c>
    </row>
    <row r="104" spans="1:12" x14ac:dyDescent="0.25">
      <c r="A104">
        <v>400578344</v>
      </c>
      <c r="B104">
        <v>2015</v>
      </c>
      <c r="C104" s="1">
        <v>41947</v>
      </c>
      <c r="D104" t="s">
        <v>38</v>
      </c>
      <c r="E104">
        <v>0</v>
      </c>
      <c r="F104">
        <v>1</v>
      </c>
      <c r="G104">
        <v>4</v>
      </c>
      <c r="H104">
        <v>0</v>
      </c>
      <c r="I104" t="s">
        <v>27</v>
      </c>
      <c r="J104">
        <v>100</v>
      </c>
      <c r="K104" t="s">
        <v>38</v>
      </c>
      <c r="L104">
        <v>88</v>
      </c>
    </row>
    <row r="105" spans="1:12" x14ac:dyDescent="0.25">
      <c r="A105">
        <v>400578344</v>
      </c>
      <c r="B105">
        <v>2015</v>
      </c>
      <c r="C105" s="1">
        <v>41947</v>
      </c>
      <c r="D105" t="s">
        <v>27</v>
      </c>
      <c r="E105">
        <v>1</v>
      </c>
      <c r="F105">
        <v>3</v>
      </c>
      <c r="G105">
        <v>1</v>
      </c>
      <c r="H105">
        <v>1</v>
      </c>
      <c r="I105" t="s">
        <v>27</v>
      </c>
      <c r="J105">
        <v>100</v>
      </c>
      <c r="K105" t="s">
        <v>38</v>
      </c>
      <c r="L105">
        <v>88</v>
      </c>
    </row>
    <row r="106" spans="1:12" x14ac:dyDescent="0.25">
      <c r="A106">
        <v>400578345</v>
      </c>
      <c r="B106">
        <v>2015</v>
      </c>
      <c r="C106" s="1">
        <v>41947</v>
      </c>
      <c r="D106" t="s">
        <v>30</v>
      </c>
      <c r="E106">
        <v>1</v>
      </c>
      <c r="F106">
        <v>3</v>
      </c>
      <c r="G106">
        <v>1</v>
      </c>
      <c r="H106">
        <v>1</v>
      </c>
      <c r="I106" t="s">
        <v>30</v>
      </c>
      <c r="J106">
        <v>98</v>
      </c>
      <c r="K106" t="s">
        <v>13</v>
      </c>
      <c r="L106">
        <v>90</v>
      </c>
    </row>
    <row r="107" spans="1:12" x14ac:dyDescent="0.25">
      <c r="A107">
        <v>400578345</v>
      </c>
      <c r="B107">
        <v>2015</v>
      </c>
      <c r="C107" s="1">
        <v>41947</v>
      </c>
      <c r="D107" t="s">
        <v>13</v>
      </c>
      <c r="E107">
        <v>0</v>
      </c>
      <c r="F107">
        <v>0</v>
      </c>
      <c r="G107">
        <v>4</v>
      </c>
      <c r="H107">
        <v>0</v>
      </c>
      <c r="I107" t="s">
        <v>30</v>
      </c>
      <c r="J107">
        <v>98</v>
      </c>
      <c r="K107" t="s">
        <v>13</v>
      </c>
      <c r="L107">
        <v>90</v>
      </c>
    </row>
    <row r="108" spans="1:12" x14ac:dyDescent="0.25">
      <c r="A108">
        <v>400578346</v>
      </c>
      <c r="B108">
        <v>2015</v>
      </c>
      <c r="C108" s="1">
        <v>41947</v>
      </c>
      <c r="D108" t="s">
        <v>18</v>
      </c>
      <c r="E108">
        <v>0</v>
      </c>
      <c r="F108">
        <v>1</v>
      </c>
      <c r="G108">
        <v>3</v>
      </c>
      <c r="H108">
        <v>0</v>
      </c>
      <c r="I108" t="s">
        <v>12</v>
      </c>
      <c r="J108">
        <v>100</v>
      </c>
      <c r="K108" t="s">
        <v>18</v>
      </c>
      <c r="L108">
        <v>91</v>
      </c>
    </row>
    <row r="109" spans="1:12" x14ac:dyDescent="0.25">
      <c r="A109">
        <v>400578346</v>
      </c>
      <c r="B109">
        <v>2015</v>
      </c>
      <c r="C109" s="1">
        <v>41947</v>
      </c>
      <c r="D109" t="s">
        <v>12</v>
      </c>
      <c r="E109">
        <v>1</v>
      </c>
      <c r="F109">
        <v>2</v>
      </c>
      <c r="G109">
        <v>2</v>
      </c>
      <c r="H109">
        <v>1</v>
      </c>
      <c r="I109" t="s">
        <v>12</v>
      </c>
      <c r="J109">
        <v>100</v>
      </c>
      <c r="K109" t="s">
        <v>18</v>
      </c>
      <c r="L109">
        <v>91</v>
      </c>
    </row>
    <row r="110" spans="1:12" x14ac:dyDescent="0.25">
      <c r="A110">
        <v>400578347</v>
      </c>
      <c r="B110">
        <v>2015</v>
      </c>
      <c r="C110" s="1">
        <v>41947</v>
      </c>
      <c r="D110" t="s">
        <v>40</v>
      </c>
      <c r="E110">
        <v>0</v>
      </c>
      <c r="F110">
        <v>1</v>
      </c>
      <c r="G110">
        <v>2</v>
      </c>
      <c r="H110">
        <v>0</v>
      </c>
      <c r="I110" t="s">
        <v>39</v>
      </c>
      <c r="J110">
        <v>101</v>
      </c>
      <c r="K110" t="s">
        <v>40</v>
      </c>
      <c r="L110">
        <v>82</v>
      </c>
    </row>
    <row r="111" spans="1:12" x14ac:dyDescent="0.25">
      <c r="A111">
        <v>400578347</v>
      </c>
      <c r="B111">
        <v>2015</v>
      </c>
      <c r="C111" s="1">
        <v>41947</v>
      </c>
      <c r="D111" t="s">
        <v>39</v>
      </c>
      <c r="E111">
        <v>1</v>
      </c>
      <c r="F111">
        <v>2</v>
      </c>
      <c r="G111">
        <v>2</v>
      </c>
      <c r="H111">
        <v>1</v>
      </c>
      <c r="I111" t="s">
        <v>39</v>
      </c>
      <c r="J111">
        <v>101</v>
      </c>
      <c r="K111" t="s">
        <v>40</v>
      </c>
      <c r="L111">
        <v>82</v>
      </c>
    </row>
    <row r="112" spans="1:12" x14ac:dyDescent="0.25">
      <c r="A112">
        <v>400578348</v>
      </c>
      <c r="B112">
        <v>2015</v>
      </c>
      <c r="C112" s="1">
        <v>41947</v>
      </c>
      <c r="D112" t="s">
        <v>17</v>
      </c>
      <c r="E112">
        <v>0</v>
      </c>
      <c r="F112">
        <v>0</v>
      </c>
      <c r="G112">
        <v>5</v>
      </c>
      <c r="H112">
        <v>1</v>
      </c>
      <c r="I112" t="s">
        <v>17</v>
      </c>
      <c r="J112">
        <v>106</v>
      </c>
      <c r="K112" t="s">
        <v>35</v>
      </c>
      <c r="L112">
        <v>112</v>
      </c>
    </row>
    <row r="113" spans="1:12" x14ac:dyDescent="0.25">
      <c r="A113">
        <v>400578348</v>
      </c>
      <c r="B113">
        <v>2015</v>
      </c>
      <c r="C113" s="1">
        <v>41947</v>
      </c>
      <c r="D113" t="s">
        <v>35</v>
      </c>
      <c r="E113">
        <v>1</v>
      </c>
      <c r="F113">
        <v>3</v>
      </c>
      <c r="G113">
        <v>1</v>
      </c>
      <c r="H113">
        <v>0</v>
      </c>
      <c r="I113" t="s">
        <v>17</v>
      </c>
      <c r="J113">
        <v>106</v>
      </c>
      <c r="K113" t="s">
        <v>35</v>
      </c>
      <c r="L113">
        <v>112</v>
      </c>
    </row>
    <row r="114" spans="1:12" x14ac:dyDescent="0.25">
      <c r="A114">
        <v>400578349</v>
      </c>
      <c r="B114">
        <v>2015</v>
      </c>
      <c r="C114" s="1">
        <v>41948</v>
      </c>
      <c r="D114" t="s">
        <v>18</v>
      </c>
      <c r="E114">
        <v>1</v>
      </c>
      <c r="F114">
        <v>2</v>
      </c>
      <c r="G114">
        <v>3</v>
      </c>
      <c r="H114">
        <v>1</v>
      </c>
      <c r="I114" t="s">
        <v>18</v>
      </c>
      <c r="J114">
        <v>96</v>
      </c>
      <c r="K114" t="s">
        <v>24</v>
      </c>
      <c r="L114">
        <v>89</v>
      </c>
    </row>
    <row r="115" spans="1:12" x14ac:dyDescent="0.25">
      <c r="A115">
        <v>400578349</v>
      </c>
      <c r="B115">
        <v>2015</v>
      </c>
      <c r="C115" s="1">
        <v>41948</v>
      </c>
      <c r="D115" t="s">
        <v>24</v>
      </c>
      <c r="E115">
        <v>0</v>
      </c>
      <c r="F115">
        <v>3</v>
      </c>
      <c r="G115">
        <v>2</v>
      </c>
      <c r="H115">
        <v>0</v>
      </c>
      <c r="I115" t="s">
        <v>18</v>
      </c>
      <c r="J115">
        <v>96</v>
      </c>
      <c r="K115" t="s">
        <v>24</v>
      </c>
      <c r="L115">
        <v>89</v>
      </c>
    </row>
    <row r="116" spans="1:12" x14ac:dyDescent="0.25">
      <c r="A116">
        <v>400578350</v>
      </c>
      <c r="B116">
        <v>2015</v>
      </c>
      <c r="C116" s="1">
        <v>41948</v>
      </c>
      <c r="D116" t="s">
        <v>13</v>
      </c>
      <c r="E116">
        <v>1</v>
      </c>
      <c r="F116">
        <v>1</v>
      </c>
      <c r="G116">
        <v>4</v>
      </c>
      <c r="H116">
        <v>0</v>
      </c>
      <c r="I116" t="s">
        <v>21</v>
      </c>
      <c r="J116">
        <v>89</v>
      </c>
      <c r="K116" t="s">
        <v>13</v>
      </c>
      <c r="L116">
        <v>91</v>
      </c>
    </row>
    <row r="117" spans="1:12" x14ac:dyDescent="0.25">
      <c r="A117">
        <v>400578350</v>
      </c>
      <c r="B117">
        <v>2015</v>
      </c>
      <c r="C117" s="1">
        <v>41948</v>
      </c>
      <c r="D117" t="s">
        <v>21</v>
      </c>
      <c r="E117">
        <v>0</v>
      </c>
      <c r="F117">
        <v>0</v>
      </c>
      <c r="G117">
        <v>5</v>
      </c>
      <c r="H117">
        <v>1</v>
      </c>
      <c r="I117" t="s">
        <v>21</v>
      </c>
      <c r="J117">
        <v>89</v>
      </c>
      <c r="K117" t="s">
        <v>13</v>
      </c>
      <c r="L117">
        <v>91</v>
      </c>
    </row>
    <row r="118" spans="1:12" x14ac:dyDescent="0.25">
      <c r="A118">
        <v>400578351</v>
      </c>
      <c r="B118">
        <v>2015</v>
      </c>
      <c r="C118" s="1">
        <v>41948</v>
      </c>
      <c r="D118" t="s">
        <v>22</v>
      </c>
      <c r="E118">
        <v>0</v>
      </c>
      <c r="F118">
        <v>1</v>
      </c>
      <c r="G118">
        <v>3</v>
      </c>
      <c r="H118">
        <v>1</v>
      </c>
      <c r="I118" t="s">
        <v>22</v>
      </c>
      <c r="J118">
        <v>107</v>
      </c>
      <c r="K118" t="s">
        <v>27</v>
      </c>
      <c r="L118">
        <v>110</v>
      </c>
    </row>
    <row r="119" spans="1:12" x14ac:dyDescent="0.25">
      <c r="A119">
        <v>400578351</v>
      </c>
      <c r="B119">
        <v>2015</v>
      </c>
      <c r="C119" s="1">
        <v>41948</v>
      </c>
      <c r="D119" t="s">
        <v>27</v>
      </c>
      <c r="E119">
        <v>1</v>
      </c>
      <c r="F119">
        <v>4</v>
      </c>
      <c r="G119">
        <v>1</v>
      </c>
      <c r="H119">
        <v>0</v>
      </c>
      <c r="I119" t="s">
        <v>22</v>
      </c>
      <c r="J119">
        <v>107</v>
      </c>
      <c r="K119" t="s">
        <v>27</v>
      </c>
      <c r="L119">
        <v>110</v>
      </c>
    </row>
    <row r="120" spans="1:12" x14ac:dyDescent="0.25">
      <c r="A120">
        <v>400578352</v>
      </c>
      <c r="B120">
        <v>2015</v>
      </c>
      <c r="C120" s="1">
        <v>41948</v>
      </c>
      <c r="D120" t="s">
        <v>23</v>
      </c>
      <c r="E120">
        <v>0</v>
      </c>
      <c r="F120">
        <v>2</v>
      </c>
      <c r="G120">
        <v>2</v>
      </c>
      <c r="H120">
        <v>1</v>
      </c>
      <c r="I120" t="s">
        <v>23</v>
      </c>
      <c r="J120">
        <v>91</v>
      </c>
      <c r="K120" t="s">
        <v>29</v>
      </c>
      <c r="L120">
        <v>98</v>
      </c>
    </row>
    <row r="121" spans="1:12" x14ac:dyDescent="0.25">
      <c r="A121">
        <v>400578352</v>
      </c>
      <c r="B121">
        <v>2015</v>
      </c>
      <c r="C121" s="1">
        <v>41948</v>
      </c>
      <c r="D121" t="s">
        <v>29</v>
      </c>
      <c r="E121">
        <v>1</v>
      </c>
      <c r="F121">
        <v>2</v>
      </c>
      <c r="G121">
        <v>2</v>
      </c>
      <c r="H121">
        <v>0</v>
      </c>
      <c r="I121" t="s">
        <v>23</v>
      </c>
      <c r="J121">
        <v>91</v>
      </c>
      <c r="K121" t="s">
        <v>29</v>
      </c>
      <c r="L121">
        <v>98</v>
      </c>
    </row>
    <row r="122" spans="1:12" x14ac:dyDescent="0.25">
      <c r="A122">
        <v>400578353</v>
      </c>
      <c r="B122">
        <v>2015</v>
      </c>
      <c r="C122" s="1">
        <v>41948</v>
      </c>
      <c r="D122" t="s">
        <v>33</v>
      </c>
      <c r="E122">
        <v>1</v>
      </c>
      <c r="F122">
        <v>1</v>
      </c>
      <c r="G122">
        <v>3</v>
      </c>
      <c r="H122">
        <v>1</v>
      </c>
      <c r="I122" t="s">
        <v>33</v>
      </c>
      <c r="J122">
        <v>98</v>
      </c>
      <c r="K122" t="s">
        <v>31</v>
      </c>
      <c r="L122">
        <v>95</v>
      </c>
    </row>
    <row r="123" spans="1:12" x14ac:dyDescent="0.25">
      <c r="A123">
        <v>400578353</v>
      </c>
      <c r="B123">
        <v>2015</v>
      </c>
      <c r="C123" s="1">
        <v>41948</v>
      </c>
      <c r="D123" t="s">
        <v>31</v>
      </c>
      <c r="E123">
        <v>0</v>
      </c>
      <c r="F123">
        <v>2</v>
      </c>
      <c r="G123">
        <v>3</v>
      </c>
      <c r="H123">
        <v>0</v>
      </c>
      <c r="I123" t="s">
        <v>33</v>
      </c>
      <c r="J123">
        <v>98</v>
      </c>
      <c r="K123" t="s">
        <v>31</v>
      </c>
      <c r="L123">
        <v>95</v>
      </c>
    </row>
    <row r="124" spans="1:12" x14ac:dyDescent="0.25">
      <c r="A124">
        <v>400578354</v>
      </c>
      <c r="B124">
        <v>2015</v>
      </c>
      <c r="C124" s="1">
        <v>41948</v>
      </c>
      <c r="D124" t="s">
        <v>30</v>
      </c>
      <c r="E124">
        <v>1</v>
      </c>
      <c r="F124">
        <v>4</v>
      </c>
      <c r="G124">
        <v>1</v>
      </c>
      <c r="H124">
        <v>0</v>
      </c>
      <c r="I124" t="s">
        <v>19</v>
      </c>
      <c r="J124">
        <v>86</v>
      </c>
      <c r="K124" t="s">
        <v>30</v>
      </c>
      <c r="L124">
        <v>95</v>
      </c>
    </row>
    <row r="125" spans="1:12" x14ac:dyDescent="0.25">
      <c r="A125">
        <v>400578354</v>
      </c>
      <c r="B125">
        <v>2015</v>
      </c>
      <c r="C125" s="1">
        <v>41948</v>
      </c>
      <c r="D125" t="s">
        <v>19</v>
      </c>
      <c r="E125">
        <v>0</v>
      </c>
      <c r="F125">
        <v>2</v>
      </c>
      <c r="G125">
        <v>3</v>
      </c>
      <c r="H125">
        <v>1</v>
      </c>
      <c r="I125" t="s">
        <v>19</v>
      </c>
      <c r="J125">
        <v>86</v>
      </c>
      <c r="K125" t="s">
        <v>30</v>
      </c>
      <c r="L125">
        <v>95</v>
      </c>
    </row>
    <row r="126" spans="1:12" x14ac:dyDescent="0.25">
      <c r="A126">
        <v>400578355</v>
      </c>
      <c r="B126">
        <v>2015</v>
      </c>
      <c r="C126" s="1">
        <v>41948</v>
      </c>
      <c r="D126" t="s">
        <v>20</v>
      </c>
      <c r="E126">
        <v>0</v>
      </c>
      <c r="F126">
        <v>1</v>
      </c>
      <c r="G126">
        <v>4</v>
      </c>
      <c r="H126">
        <v>0</v>
      </c>
      <c r="I126" t="s">
        <v>25</v>
      </c>
      <c r="J126">
        <v>96</v>
      </c>
      <c r="K126" t="s">
        <v>20</v>
      </c>
      <c r="L126">
        <v>94</v>
      </c>
    </row>
    <row r="127" spans="1:12" x14ac:dyDescent="0.25">
      <c r="A127">
        <v>400578355</v>
      </c>
      <c r="B127">
        <v>2015</v>
      </c>
      <c r="C127" s="1">
        <v>41948</v>
      </c>
      <c r="D127" t="s">
        <v>25</v>
      </c>
      <c r="E127">
        <v>1</v>
      </c>
      <c r="F127">
        <v>4</v>
      </c>
      <c r="G127">
        <v>1</v>
      </c>
      <c r="H127">
        <v>1</v>
      </c>
      <c r="I127" t="s">
        <v>25</v>
      </c>
      <c r="J127">
        <v>96</v>
      </c>
      <c r="K127" t="s">
        <v>20</v>
      </c>
      <c r="L127">
        <v>94</v>
      </c>
    </row>
    <row r="128" spans="1:12" x14ac:dyDescent="0.25">
      <c r="A128">
        <v>400578356</v>
      </c>
      <c r="B128">
        <v>2015</v>
      </c>
      <c r="C128" s="1">
        <v>41948</v>
      </c>
      <c r="D128" t="s">
        <v>26</v>
      </c>
      <c r="E128">
        <v>0</v>
      </c>
      <c r="F128">
        <v>1</v>
      </c>
      <c r="G128">
        <v>2</v>
      </c>
      <c r="H128">
        <v>0</v>
      </c>
      <c r="I128" t="s">
        <v>15</v>
      </c>
      <c r="J128">
        <v>94</v>
      </c>
      <c r="K128" t="s">
        <v>26</v>
      </c>
      <c r="L128">
        <v>92</v>
      </c>
    </row>
    <row r="129" spans="1:12" x14ac:dyDescent="0.25">
      <c r="A129">
        <v>400578356</v>
      </c>
      <c r="B129">
        <v>2015</v>
      </c>
      <c r="C129" s="1">
        <v>41948</v>
      </c>
      <c r="D129" t="s">
        <v>15</v>
      </c>
      <c r="E129">
        <v>1</v>
      </c>
      <c r="F129">
        <v>2</v>
      </c>
      <c r="G129">
        <v>1</v>
      </c>
      <c r="H129">
        <v>1</v>
      </c>
      <c r="I129" t="s">
        <v>15</v>
      </c>
      <c r="J129">
        <v>94</v>
      </c>
      <c r="K129" t="s">
        <v>26</v>
      </c>
      <c r="L129">
        <v>92</v>
      </c>
    </row>
    <row r="130" spans="1:12" x14ac:dyDescent="0.25">
      <c r="A130">
        <v>400578357</v>
      </c>
      <c r="B130">
        <v>2015</v>
      </c>
      <c r="C130" s="1">
        <v>41948</v>
      </c>
      <c r="D130" t="s">
        <v>28</v>
      </c>
      <c r="E130">
        <v>1</v>
      </c>
      <c r="F130">
        <v>5</v>
      </c>
      <c r="G130">
        <v>0</v>
      </c>
      <c r="H130">
        <v>0</v>
      </c>
      <c r="I130" t="s">
        <v>35</v>
      </c>
      <c r="J130">
        <v>91</v>
      </c>
      <c r="K130" t="s">
        <v>28</v>
      </c>
      <c r="L130">
        <v>102</v>
      </c>
    </row>
    <row r="131" spans="1:12" x14ac:dyDescent="0.25">
      <c r="A131">
        <v>400578357</v>
      </c>
      <c r="B131">
        <v>2015</v>
      </c>
      <c r="C131" s="1">
        <v>41948</v>
      </c>
      <c r="D131" t="s">
        <v>35</v>
      </c>
      <c r="E131">
        <v>0</v>
      </c>
      <c r="F131">
        <v>3</v>
      </c>
      <c r="G131">
        <v>2</v>
      </c>
      <c r="H131">
        <v>1</v>
      </c>
      <c r="I131" t="s">
        <v>35</v>
      </c>
      <c r="J131">
        <v>91</v>
      </c>
      <c r="K131" t="s">
        <v>28</v>
      </c>
      <c r="L131">
        <v>102</v>
      </c>
    </row>
    <row r="132" spans="1:12" x14ac:dyDescent="0.25">
      <c r="A132">
        <v>400578358</v>
      </c>
      <c r="B132">
        <v>2015</v>
      </c>
      <c r="C132" s="1">
        <v>41948</v>
      </c>
      <c r="D132" t="s">
        <v>40</v>
      </c>
      <c r="E132">
        <v>0</v>
      </c>
      <c r="F132">
        <v>1</v>
      </c>
      <c r="G132">
        <v>3</v>
      </c>
      <c r="H132">
        <v>0</v>
      </c>
      <c r="I132" t="s">
        <v>34</v>
      </c>
      <c r="J132">
        <v>102</v>
      </c>
      <c r="K132" t="s">
        <v>40</v>
      </c>
      <c r="L132">
        <v>100</v>
      </c>
    </row>
    <row r="133" spans="1:12" x14ac:dyDescent="0.25">
      <c r="A133">
        <v>400578358</v>
      </c>
      <c r="B133">
        <v>2015</v>
      </c>
      <c r="C133" s="1">
        <v>41948</v>
      </c>
      <c r="D133" t="s">
        <v>34</v>
      </c>
      <c r="E133">
        <v>1</v>
      </c>
      <c r="F133">
        <v>2</v>
      </c>
      <c r="G133">
        <v>3</v>
      </c>
      <c r="H133">
        <v>1</v>
      </c>
      <c r="I133" t="s">
        <v>34</v>
      </c>
      <c r="J133">
        <v>102</v>
      </c>
      <c r="K133" t="s">
        <v>40</v>
      </c>
      <c r="L133">
        <v>100</v>
      </c>
    </row>
    <row r="134" spans="1:12" x14ac:dyDescent="0.25">
      <c r="A134">
        <v>400578359</v>
      </c>
      <c r="B134">
        <v>2015</v>
      </c>
      <c r="C134" s="1">
        <v>41948</v>
      </c>
      <c r="D134" t="s">
        <v>32</v>
      </c>
      <c r="E134">
        <v>0</v>
      </c>
      <c r="F134">
        <v>1</v>
      </c>
      <c r="G134">
        <v>3</v>
      </c>
      <c r="H134">
        <v>0</v>
      </c>
      <c r="I134" t="s">
        <v>37</v>
      </c>
      <c r="J134">
        <v>131</v>
      </c>
      <c r="K134" t="s">
        <v>32</v>
      </c>
      <c r="L134">
        <v>109</v>
      </c>
    </row>
    <row r="135" spans="1:12" x14ac:dyDescent="0.25">
      <c r="A135">
        <v>400578359</v>
      </c>
      <c r="B135">
        <v>2015</v>
      </c>
      <c r="C135" s="1">
        <v>41948</v>
      </c>
      <c r="D135" t="s">
        <v>37</v>
      </c>
      <c r="E135">
        <v>1</v>
      </c>
      <c r="F135">
        <v>4</v>
      </c>
      <c r="G135">
        <v>1</v>
      </c>
      <c r="H135">
        <v>1</v>
      </c>
      <c r="I135" t="s">
        <v>37</v>
      </c>
      <c r="J135">
        <v>131</v>
      </c>
      <c r="K135" t="s">
        <v>32</v>
      </c>
      <c r="L135">
        <v>109</v>
      </c>
    </row>
    <row r="136" spans="1:12" x14ac:dyDescent="0.25">
      <c r="A136">
        <v>400578360</v>
      </c>
      <c r="B136">
        <v>2015</v>
      </c>
      <c r="C136" s="1">
        <v>41948</v>
      </c>
      <c r="D136" t="s">
        <v>36</v>
      </c>
      <c r="E136">
        <v>1</v>
      </c>
      <c r="F136">
        <v>4</v>
      </c>
      <c r="G136">
        <v>0</v>
      </c>
      <c r="H136">
        <v>1</v>
      </c>
      <c r="I136" t="s">
        <v>36</v>
      </c>
      <c r="J136">
        <v>121</v>
      </c>
      <c r="K136" t="s">
        <v>41</v>
      </c>
      <c r="L136">
        <v>104</v>
      </c>
    </row>
    <row r="137" spans="1:12" x14ac:dyDescent="0.25">
      <c r="A137">
        <v>400578360</v>
      </c>
      <c r="B137">
        <v>2015</v>
      </c>
      <c r="C137" s="1">
        <v>41948</v>
      </c>
      <c r="D137" t="s">
        <v>41</v>
      </c>
      <c r="E137">
        <v>0</v>
      </c>
      <c r="F137">
        <v>3</v>
      </c>
      <c r="G137">
        <v>2</v>
      </c>
      <c r="H137">
        <v>0</v>
      </c>
      <c r="I137" t="s">
        <v>36</v>
      </c>
      <c r="J137">
        <v>121</v>
      </c>
      <c r="K137" t="s">
        <v>41</v>
      </c>
      <c r="L137">
        <v>104</v>
      </c>
    </row>
    <row r="138" spans="1:12" x14ac:dyDescent="0.25">
      <c r="A138">
        <v>400578361</v>
      </c>
      <c r="B138">
        <v>2015</v>
      </c>
      <c r="C138" s="1">
        <v>41949</v>
      </c>
      <c r="D138" t="s">
        <v>16</v>
      </c>
      <c r="E138">
        <v>1</v>
      </c>
      <c r="F138">
        <v>6</v>
      </c>
      <c r="G138">
        <v>0</v>
      </c>
      <c r="H138">
        <v>1</v>
      </c>
      <c r="I138" t="s">
        <v>16</v>
      </c>
      <c r="J138">
        <v>98</v>
      </c>
      <c r="K138" t="s">
        <v>15</v>
      </c>
      <c r="L138">
        <v>81</v>
      </c>
    </row>
    <row r="139" spans="1:12" x14ac:dyDescent="0.25">
      <c r="A139">
        <v>400578361</v>
      </c>
      <c r="B139">
        <v>2015</v>
      </c>
      <c r="C139" s="1">
        <v>41949</v>
      </c>
      <c r="D139" t="s">
        <v>15</v>
      </c>
      <c r="E139">
        <v>0</v>
      </c>
      <c r="F139">
        <v>2</v>
      </c>
      <c r="G139">
        <v>2</v>
      </c>
      <c r="H139">
        <v>0</v>
      </c>
      <c r="I139" t="s">
        <v>16</v>
      </c>
      <c r="J139">
        <v>98</v>
      </c>
      <c r="K139" t="s">
        <v>15</v>
      </c>
      <c r="L139">
        <v>81</v>
      </c>
    </row>
    <row r="140" spans="1:12" x14ac:dyDescent="0.25">
      <c r="A140">
        <v>400578362</v>
      </c>
      <c r="B140">
        <v>2015</v>
      </c>
      <c r="C140" s="1">
        <v>41949</v>
      </c>
      <c r="D140" t="s">
        <v>14</v>
      </c>
      <c r="E140">
        <v>0</v>
      </c>
      <c r="F140">
        <v>3</v>
      </c>
      <c r="G140">
        <v>2</v>
      </c>
      <c r="H140">
        <v>0</v>
      </c>
      <c r="I140" t="s">
        <v>39</v>
      </c>
      <c r="J140">
        <v>108</v>
      </c>
      <c r="K140" t="s">
        <v>14</v>
      </c>
      <c r="L140">
        <v>87</v>
      </c>
    </row>
    <row r="141" spans="1:12" x14ac:dyDescent="0.25">
      <c r="A141">
        <v>400578362</v>
      </c>
      <c r="B141">
        <v>2015</v>
      </c>
      <c r="C141" s="1">
        <v>41949</v>
      </c>
      <c r="D141" t="s">
        <v>39</v>
      </c>
      <c r="E141">
        <v>1</v>
      </c>
      <c r="F141">
        <v>3</v>
      </c>
      <c r="G141">
        <v>2</v>
      </c>
      <c r="H141">
        <v>1</v>
      </c>
      <c r="I141" t="s">
        <v>39</v>
      </c>
      <c r="J141">
        <v>108</v>
      </c>
      <c r="K141" t="s">
        <v>14</v>
      </c>
      <c r="L141">
        <v>87</v>
      </c>
    </row>
    <row r="142" spans="1:12" x14ac:dyDescent="0.25">
      <c r="A142">
        <v>400578363</v>
      </c>
      <c r="B142">
        <v>2015</v>
      </c>
      <c r="C142" s="1">
        <v>41950</v>
      </c>
      <c r="D142" t="s">
        <v>26</v>
      </c>
      <c r="E142">
        <v>0</v>
      </c>
      <c r="F142">
        <v>1</v>
      </c>
      <c r="G142">
        <v>3</v>
      </c>
      <c r="H142">
        <v>0</v>
      </c>
      <c r="I142" t="s">
        <v>18</v>
      </c>
      <c r="J142">
        <v>122</v>
      </c>
      <c r="K142" t="s">
        <v>26</v>
      </c>
      <c r="L142">
        <v>119</v>
      </c>
    </row>
    <row r="143" spans="1:12" x14ac:dyDescent="0.25">
      <c r="A143">
        <v>400578363</v>
      </c>
      <c r="B143">
        <v>2015</v>
      </c>
      <c r="C143" s="1">
        <v>41950</v>
      </c>
      <c r="D143" t="s">
        <v>18</v>
      </c>
      <c r="E143">
        <v>1</v>
      </c>
      <c r="F143">
        <v>3</v>
      </c>
      <c r="G143">
        <v>3</v>
      </c>
      <c r="H143">
        <v>1</v>
      </c>
      <c r="I143" t="s">
        <v>18</v>
      </c>
      <c r="J143">
        <v>122</v>
      </c>
      <c r="K143" t="s">
        <v>26</v>
      </c>
      <c r="L143">
        <v>119</v>
      </c>
    </row>
    <row r="144" spans="1:12" x14ac:dyDescent="0.25">
      <c r="A144">
        <v>400578364</v>
      </c>
      <c r="B144">
        <v>2015</v>
      </c>
      <c r="C144" s="1">
        <v>41950</v>
      </c>
      <c r="D144" t="s">
        <v>29</v>
      </c>
      <c r="E144">
        <v>0</v>
      </c>
      <c r="F144">
        <v>2</v>
      </c>
      <c r="G144">
        <v>3</v>
      </c>
      <c r="H144">
        <v>0</v>
      </c>
      <c r="I144" t="s">
        <v>13</v>
      </c>
      <c r="J144">
        <v>112</v>
      </c>
      <c r="K144" t="s">
        <v>29</v>
      </c>
      <c r="L144">
        <v>103</v>
      </c>
    </row>
    <row r="145" spans="1:12" x14ac:dyDescent="0.25">
      <c r="A145">
        <v>400578364</v>
      </c>
      <c r="B145">
        <v>2015</v>
      </c>
      <c r="C145" s="1">
        <v>41950</v>
      </c>
      <c r="D145" t="s">
        <v>13</v>
      </c>
      <c r="E145">
        <v>1</v>
      </c>
      <c r="F145">
        <v>2</v>
      </c>
      <c r="G145">
        <v>4</v>
      </c>
      <c r="H145">
        <v>1</v>
      </c>
      <c r="I145" t="s">
        <v>13</v>
      </c>
      <c r="J145">
        <v>112</v>
      </c>
      <c r="K145" t="s">
        <v>29</v>
      </c>
      <c r="L145">
        <v>103</v>
      </c>
    </row>
    <row r="146" spans="1:12" x14ac:dyDescent="0.25">
      <c r="A146">
        <v>400578365</v>
      </c>
      <c r="B146">
        <v>2015</v>
      </c>
      <c r="C146" s="1">
        <v>41950</v>
      </c>
      <c r="D146" t="s">
        <v>30</v>
      </c>
      <c r="E146">
        <v>1</v>
      </c>
      <c r="F146">
        <v>5</v>
      </c>
      <c r="G146">
        <v>1</v>
      </c>
      <c r="H146">
        <v>0</v>
      </c>
      <c r="I146" t="s">
        <v>21</v>
      </c>
      <c r="J146">
        <v>115</v>
      </c>
      <c r="K146" t="s">
        <v>30</v>
      </c>
      <c r="L146">
        <v>118</v>
      </c>
    </row>
    <row r="147" spans="1:12" x14ac:dyDescent="0.25">
      <c r="A147">
        <v>400578365</v>
      </c>
      <c r="B147">
        <v>2015</v>
      </c>
      <c r="C147" s="1">
        <v>41950</v>
      </c>
      <c r="D147" t="s">
        <v>21</v>
      </c>
      <c r="E147">
        <v>0</v>
      </c>
      <c r="F147">
        <v>0</v>
      </c>
      <c r="G147">
        <v>6</v>
      </c>
      <c r="H147">
        <v>1</v>
      </c>
      <c r="I147" t="s">
        <v>21</v>
      </c>
      <c r="J147">
        <v>115</v>
      </c>
      <c r="K147" t="s">
        <v>30</v>
      </c>
      <c r="L147">
        <v>118</v>
      </c>
    </row>
    <row r="148" spans="1:12" x14ac:dyDescent="0.25">
      <c r="A148">
        <v>400578366</v>
      </c>
      <c r="B148">
        <v>2015</v>
      </c>
      <c r="C148" s="1">
        <v>41950</v>
      </c>
      <c r="D148" t="s">
        <v>22</v>
      </c>
      <c r="E148">
        <v>1</v>
      </c>
      <c r="F148">
        <v>2</v>
      </c>
      <c r="G148">
        <v>3</v>
      </c>
      <c r="H148">
        <v>1</v>
      </c>
      <c r="I148" t="s">
        <v>22</v>
      </c>
      <c r="J148">
        <v>101</v>
      </c>
      <c r="K148" t="s">
        <v>20</v>
      </c>
      <c r="L148">
        <v>98</v>
      </c>
    </row>
    <row r="149" spans="1:12" x14ac:dyDescent="0.25">
      <c r="A149">
        <v>400578366</v>
      </c>
      <c r="B149">
        <v>2015</v>
      </c>
      <c r="C149" s="1">
        <v>41950</v>
      </c>
      <c r="D149" t="s">
        <v>20</v>
      </c>
      <c r="E149">
        <v>0</v>
      </c>
      <c r="F149">
        <v>1</v>
      </c>
      <c r="G149">
        <v>5</v>
      </c>
      <c r="H149">
        <v>0</v>
      </c>
      <c r="I149" t="s">
        <v>22</v>
      </c>
      <c r="J149">
        <v>101</v>
      </c>
      <c r="K149" t="s">
        <v>20</v>
      </c>
      <c r="L149">
        <v>98</v>
      </c>
    </row>
    <row r="150" spans="1:12" x14ac:dyDescent="0.25">
      <c r="A150">
        <v>400578367</v>
      </c>
      <c r="B150">
        <v>2015</v>
      </c>
      <c r="C150" s="1">
        <v>41950</v>
      </c>
      <c r="D150" t="s">
        <v>23</v>
      </c>
      <c r="E150">
        <v>1</v>
      </c>
      <c r="F150">
        <v>3</v>
      </c>
      <c r="G150">
        <v>2</v>
      </c>
      <c r="H150">
        <v>1</v>
      </c>
      <c r="I150" t="s">
        <v>23</v>
      </c>
      <c r="J150">
        <v>110</v>
      </c>
      <c r="K150" t="s">
        <v>31</v>
      </c>
      <c r="L150">
        <v>99</v>
      </c>
    </row>
    <row r="151" spans="1:12" x14ac:dyDescent="0.25">
      <c r="A151">
        <v>400578367</v>
      </c>
      <c r="B151">
        <v>2015</v>
      </c>
      <c r="C151" s="1">
        <v>41950</v>
      </c>
      <c r="D151" t="s">
        <v>31</v>
      </c>
      <c r="E151">
        <v>0</v>
      </c>
      <c r="F151">
        <v>2</v>
      </c>
      <c r="G151">
        <v>4</v>
      </c>
      <c r="H151">
        <v>0</v>
      </c>
      <c r="I151" t="s">
        <v>23</v>
      </c>
      <c r="J151">
        <v>110</v>
      </c>
      <c r="K151" t="s">
        <v>31</v>
      </c>
      <c r="L151">
        <v>99</v>
      </c>
    </row>
    <row r="152" spans="1:12" x14ac:dyDescent="0.25">
      <c r="A152">
        <v>400578368</v>
      </c>
      <c r="B152">
        <v>2015</v>
      </c>
      <c r="C152" s="1">
        <v>41950</v>
      </c>
      <c r="D152" t="s">
        <v>33</v>
      </c>
      <c r="E152">
        <v>1</v>
      </c>
      <c r="F152">
        <v>2</v>
      </c>
      <c r="G152">
        <v>3</v>
      </c>
      <c r="H152">
        <v>1</v>
      </c>
      <c r="I152" t="s">
        <v>33</v>
      </c>
      <c r="J152">
        <v>98</v>
      </c>
      <c r="K152" t="s">
        <v>19</v>
      </c>
      <c r="L152">
        <v>95</v>
      </c>
    </row>
    <row r="153" spans="1:12" x14ac:dyDescent="0.25">
      <c r="A153">
        <v>400578368</v>
      </c>
      <c r="B153">
        <v>2015</v>
      </c>
      <c r="C153" s="1">
        <v>41950</v>
      </c>
      <c r="D153" t="s">
        <v>19</v>
      </c>
      <c r="E153">
        <v>0</v>
      </c>
      <c r="F153">
        <v>2</v>
      </c>
      <c r="G153">
        <v>4</v>
      </c>
      <c r="H153">
        <v>0</v>
      </c>
      <c r="I153" t="s">
        <v>33</v>
      </c>
      <c r="J153">
        <v>98</v>
      </c>
      <c r="K153" t="s">
        <v>19</v>
      </c>
      <c r="L153">
        <v>95</v>
      </c>
    </row>
    <row r="154" spans="1:12" x14ac:dyDescent="0.25">
      <c r="A154">
        <v>400578369</v>
      </c>
      <c r="B154">
        <v>2015</v>
      </c>
      <c r="C154" s="1">
        <v>41950</v>
      </c>
      <c r="D154" t="s">
        <v>27</v>
      </c>
      <c r="E154">
        <v>1</v>
      </c>
      <c r="F154">
        <v>5</v>
      </c>
      <c r="G154">
        <v>1</v>
      </c>
      <c r="H154">
        <v>1</v>
      </c>
      <c r="I154" t="s">
        <v>27</v>
      </c>
      <c r="J154">
        <v>103</v>
      </c>
      <c r="K154" t="s">
        <v>25</v>
      </c>
      <c r="L154">
        <v>84</v>
      </c>
    </row>
    <row r="155" spans="1:12" x14ac:dyDescent="0.25">
      <c r="A155">
        <v>400578369</v>
      </c>
      <c r="B155">
        <v>2015</v>
      </c>
      <c r="C155" s="1">
        <v>41950</v>
      </c>
      <c r="D155" t="s">
        <v>25</v>
      </c>
      <c r="E155">
        <v>0</v>
      </c>
      <c r="F155">
        <v>4</v>
      </c>
      <c r="G155">
        <v>2</v>
      </c>
      <c r="H155">
        <v>0</v>
      </c>
      <c r="I155" t="s">
        <v>27</v>
      </c>
      <c r="J155">
        <v>103</v>
      </c>
      <c r="K155" t="s">
        <v>25</v>
      </c>
      <c r="L155">
        <v>84</v>
      </c>
    </row>
    <row r="156" spans="1:12" x14ac:dyDescent="0.25">
      <c r="A156">
        <v>400578370</v>
      </c>
      <c r="B156">
        <v>2015</v>
      </c>
      <c r="C156" s="1">
        <v>41950</v>
      </c>
      <c r="D156" t="s">
        <v>28</v>
      </c>
      <c r="E156">
        <v>1</v>
      </c>
      <c r="F156">
        <v>6</v>
      </c>
      <c r="G156">
        <v>0</v>
      </c>
      <c r="H156">
        <v>0</v>
      </c>
      <c r="I156" t="s">
        <v>38</v>
      </c>
      <c r="J156">
        <v>89</v>
      </c>
      <c r="K156" t="s">
        <v>28</v>
      </c>
      <c r="L156">
        <v>91</v>
      </c>
    </row>
    <row r="157" spans="1:12" x14ac:dyDescent="0.25">
      <c r="A157">
        <v>400578370</v>
      </c>
      <c r="B157">
        <v>2015</v>
      </c>
      <c r="C157" s="1">
        <v>41950</v>
      </c>
      <c r="D157" t="s">
        <v>38</v>
      </c>
      <c r="E157">
        <v>0</v>
      </c>
      <c r="F157">
        <v>1</v>
      </c>
      <c r="G157">
        <v>5</v>
      </c>
      <c r="H157">
        <v>1</v>
      </c>
      <c r="I157" t="s">
        <v>38</v>
      </c>
      <c r="J157">
        <v>89</v>
      </c>
      <c r="K157" t="s">
        <v>28</v>
      </c>
      <c r="L157">
        <v>91</v>
      </c>
    </row>
    <row r="158" spans="1:12" x14ac:dyDescent="0.25">
      <c r="A158">
        <v>400578371</v>
      </c>
      <c r="B158">
        <v>2015</v>
      </c>
      <c r="C158" s="1">
        <v>41950</v>
      </c>
      <c r="D158" t="s">
        <v>35</v>
      </c>
      <c r="E158">
        <v>0</v>
      </c>
      <c r="F158">
        <v>3</v>
      </c>
      <c r="G158">
        <v>3</v>
      </c>
      <c r="H158">
        <v>1</v>
      </c>
      <c r="I158" t="s">
        <v>35</v>
      </c>
      <c r="J158">
        <v>112</v>
      </c>
      <c r="K158" t="s">
        <v>37</v>
      </c>
      <c r="L158">
        <v>114</v>
      </c>
    </row>
    <row r="159" spans="1:12" x14ac:dyDescent="0.25">
      <c r="A159">
        <v>400578371</v>
      </c>
      <c r="B159">
        <v>2015</v>
      </c>
      <c r="C159" s="1">
        <v>41950</v>
      </c>
      <c r="D159" t="s">
        <v>37</v>
      </c>
      <c r="E159">
        <v>1</v>
      </c>
      <c r="F159">
        <v>5</v>
      </c>
      <c r="G159">
        <v>1</v>
      </c>
      <c r="H159">
        <v>0</v>
      </c>
      <c r="I159" t="s">
        <v>35</v>
      </c>
      <c r="J159">
        <v>112</v>
      </c>
      <c r="K159" t="s">
        <v>37</v>
      </c>
      <c r="L159">
        <v>114</v>
      </c>
    </row>
    <row r="160" spans="1:12" x14ac:dyDescent="0.25">
      <c r="A160">
        <v>400578372</v>
      </c>
      <c r="B160">
        <v>2015</v>
      </c>
      <c r="C160" s="1">
        <v>41950</v>
      </c>
      <c r="D160" t="s">
        <v>14</v>
      </c>
      <c r="E160">
        <v>1</v>
      </c>
      <c r="F160">
        <v>4</v>
      </c>
      <c r="G160">
        <v>2</v>
      </c>
      <c r="H160">
        <v>0</v>
      </c>
      <c r="I160" t="s">
        <v>34</v>
      </c>
      <c r="J160">
        <v>82</v>
      </c>
      <c r="K160" t="s">
        <v>14</v>
      </c>
      <c r="L160">
        <v>105</v>
      </c>
    </row>
    <row r="161" spans="1:12" x14ac:dyDescent="0.25">
      <c r="A161">
        <v>400578372</v>
      </c>
      <c r="B161">
        <v>2015</v>
      </c>
      <c r="C161" s="1">
        <v>41950</v>
      </c>
      <c r="D161" t="s">
        <v>34</v>
      </c>
      <c r="E161">
        <v>0</v>
      </c>
      <c r="F161">
        <v>2</v>
      </c>
      <c r="G161">
        <v>4</v>
      </c>
      <c r="H161">
        <v>1</v>
      </c>
      <c r="I161" t="s">
        <v>34</v>
      </c>
      <c r="J161">
        <v>82</v>
      </c>
      <c r="K161" t="s">
        <v>14</v>
      </c>
      <c r="L161">
        <v>105</v>
      </c>
    </row>
    <row r="162" spans="1:12" x14ac:dyDescent="0.25">
      <c r="A162">
        <v>400578373</v>
      </c>
      <c r="B162">
        <v>2015</v>
      </c>
      <c r="C162" s="1">
        <v>41950</v>
      </c>
      <c r="D162" t="s">
        <v>40</v>
      </c>
      <c r="E162">
        <v>1</v>
      </c>
      <c r="F162">
        <v>2</v>
      </c>
      <c r="G162">
        <v>3</v>
      </c>
      <c r="H162">
        <v>0</v>
      </c>
      <c r="I162" t="s">
        <v>32</v>
      </c>
      <c r="J162">
        <v>101</v>
      </c>
      <c r="K162" t="s">
        <v>40</v>
      </c>
      <c r="L162">
        <v>110</v>
      </c>
    </row>
    <row r="163" spans="1:12" x14ac:dyDescent="0.25">
      <c r="A163">
        <v>400578373</v>
      </c>
      <c r="B163">
        <v>2015</v>
      </c>
      <c r="C163" s="1">
        <v>41950</v>
      </c>
      <c r="D163" t="s">
        <v>32</v>
      </c>
      <c r="E163">
        <v>0</v>
      </c>
      <c r="F163">
        <v>1</v>
      </c>
      <c r="G163">
        <v>4</v>
      </c>
      <c r="H163">
        <v>1</v>
      </c>
      <c r="I163" t="s">
        <v>32</v>
      </c>
      <c r="J163">
        <v>101</v>
      </c>
      <c r="K163" t="s">
        <v>40</v>
      </c>
      <c r="L163">
        <v>110</v>
      </c>
    </row>
    <row r="164" spans="1:12" x14ac:dyDescent="0.25">
      <c r="A164">
        <v>400578374</v>
      </c>
      <c r="B164">
        <v>2015</v>
      </c>
      <c r="C164" s="1">
        <v>41951</v>
      </c>
      <c r="D164" t="s">
        <v>41</v>
      </c>
      <c r="E164">
        <v>1</v>
      </c>
      <c r="F164">
        <v>4</v>
      </c>
      <c r="G164">
        <v>2</v>
      </c>
      <c r="H164">
        <v>1</v>
      </c>
      <c r="I164" t="s">
        <v>41</v>
      </c>
      <c r="J164">
        <v>106</v>
      </c>
      <c r="K164" t="s">
        <v>39</v>
      </c>
      <c r="L164">
        <v>102</v>
      </c>
    </row>
    <row r="165" spans="1:12" x14ac:dyDescent="0.25">
      <c r="A165">
        <v>400578374</v>
      </c>
      <c r="B165">
        <v>2015</v>
      </c>
      <c r="C165" s="1">
        <v>41951</v>
      </c>
      <c r="D165" t="s">
        <v>39</v>
      </c>
      <c r="E165">
        <v>0</v>
      </c>
      <c r="F165">
        <v>3</v>
      </c>
      <c r="G165">
        <v>3</v>
      </c>
      <c r="H165">
        <v>0</v>
      </c>
      <c r="I165" t="s">
        <v>41</v>
      </c>
      <c r="J165">
        <v>106</v>
      </c>
      <c r="K165" t="s">
        <v>39</v>
      </c>
      <c r="L165">
        <v>102</v>
      </c>
    </row>
    <row r="166" spans="1:12" x14ac:dyDescent="0.25">
      <c r="A166">
        <v>400578375</v>
      </c>
      <c r="B166">
        <v>2015</v>
      </c>
      <c r="C166" s="1">
        <v>41951</v>
      </c>
      <c r="D166" t="s">
        <v>20</v>
      </c>
      <c r="E166">
        <v>0</v>
      </c>
      <c r="F166">
        <v>1</v>
      </c>
      <c r="G166">
        <v>6</v>
      </c>
      <c r="H166">
        <v>1</v>
      </c>
      <c r="I166" t="s">
        <v>20</v>
      </c>
      <c r="J166">
        <v>90</v>
      </c>
      <c r="K166" t="s">
        <v>25</v>
      </c>
      <c r="L166">
        <v>97</v>
      </c>
    </row>
    <row r="167" spans="1:12" x14ac:dyDescent="0.25">
      <c r="A167">
        <v>400578375</v>
      </c>
      <c r="B167">
        <v>2015</v>
      </c>
      <c r="C167" s="1">
        <v>41951</v>
      </c>
      <c r="D167" t="s">
        <v>25</v>
      </c>
      <c r="E167">
        <v>1</v>
      </c>
      <c r="F167">
        <v>5</v>
      </c>
      <c r="G167">
        <v>2</v>
      </c>
      <c r="H167">
        <v>0</v>
      </c>
      <c r="I167" t="s">
        <v>20</v>
      </c>
      <c r="J167">
        <v>90</v>
      </c>
      <c r="K167" t="s">
        <v>25</v>
      </c>
      <c r="L167">
        <v>97</v>
      </c>
    </row>
    <row r="168" spans="1:12" x14ac:dyDescent="0.25">
      <c r="A168">
        <v>400578376</v>
      </c>
      <c r="B168">
        <v>2015</v>
      </c>
      <c r="C168" s="1">
        <v>41951</v>
      </c>
      <c r="D168" t="s">
        <v>26</v>
      </c>
      <c r="E168">
        <v>1</v>
      </c>
      <c r="F168">
        <v>2</v>
      </c>
      <c r="G168">
        <v>3</v>
      </c>
      <c r="H168">
        <v>1</v>
      </c>
      <c r="I168" t="s">
        <v>26</v>
      </c>
      <c r="J168">
        <v>103</v>
      </c>
      <c r="K168" t="s">
        <v>31</v>
      </c>
      <c r="L168">
        <v>96</v>
      </c>
    </row>
    <row r="169" spans="1:12" x14ac:dyDescent="0.25">
      <c r="A169">
        <v>400578376</v>
      </c>
      <c r="B169">
        <v>2015</v>
      </c>
      <c r="C169" s="1">
        <v>41951</v>
      </c>
      <c r="D169" t="s">
        <v>31</v>
      </c>
      <c r="E169">
        <v>0</v>
      </c>
      <c r="F169">
        <v>2</v>
      </c>
      <c r="G169">
        <v>5</v>
      </c>
      <c r="H169">
        <v>0</v>
      </c>
      <c r="I169" t="s">
        <v>26</v>
      </c>
      <c r="J169">
        <v>103</v>
      </c>
      <c r="K169" t="s">
        <v>31</v>
      </c>
      <c r="L169">
        <v>96</v>
      </c>
    </row>
    <row r="170" spans="1:12" x14ac:dyDescent="0.25">
      <c r="A170">
        <v>400578377</v>
      </c>
      <c r="B170">
        <v>2015</v>
      </c>
      <c r="C170" s="1">
        <v>41951</v>
      </c>
      <c r="D170" t="s">
        <v>24</v>
      </c>
      <c r="E170">
        <v>1</v>
      </c>
      <c r="F170">
        <v>4</v>
      </c>
      <c r="G170">
        <v>2</v>
      </c>
      <c r="H170">
        <v>1</v>
      </c>
      <c r="I170" t="s">
        <v>24</v>
      </c>
      <c r="J170">
        <v>102</v>
      </c>
      <c r="K170" t="s">
        <v>29</v>
      </c>
      <c r="L170">
        <v>92</v>
      </c>
    </row>
    <row r="171" spans="1:12" x14ac:dyDescent="0.25">
      <c r="A171">
        <v>400578377</v>
      </c>
      <c r="B171">
        <v>2015</v>
      </c>
      <c r="C171" s="1">
        <v>41951</v>
      </c>
      <c r="D171" t="s">
        <v>29</v>
      </c>
      <c r="E171">
        <v>0</v>
      </c>
      <c r="F171">
        <v>2</v>
      </c>
      <c r="G171">
        <v>4</v>
      </c>
      <c r="H171">
        <v>0</v>
      </c>
      <c r="I171" t="s">
        <v>24</v>
      </c>
      <c r="J171">
        <v>102</v>
      </c>
      <c r="K171" t="s">
        <v>29</v>
      </c>
      <c r="L171">
        <v>92</v>
      </c>
    </row>
    <row r="172" spans="1:12" x14ac:dyDescent="0.25">
      <c r="A172">
        <v>400578378</v>
      </c>
      <c r="B172">
        <v>2015</v>
      </c>
      <c r="C172" s="1">
        <v>41951</v>
      </c>
      <c r="D172" t="s">
        <v>22</v>
      </c>
      <c r="E172">
        <v>1</v>
      </c>
      <c r="F172">
        <v>3</v>
      </c>
      <c r="G172">
        <v>3</v>
      </c>
      <c r="H172">
        <v>0</v>
      </c>
      <c r="I172" t="s">
        <v>30</v>
      </c>
      <c r="J172">
        <v>101</v>
      </c>
      <c r="K172" t="s">
        <v>22</v>
      </c>
      <c r="L172">
        <v>106</v>
      </c>
    </row>
    <row r="173" spans="1:12" x14ac:dyDescent="0.25">
      <c r="A173">
        <v>400578378</v>
      </c>
      <c r="B173">
        <v>2015</v>
      </c>
      <c r="C173" s="1">
        <v>41951</v>
      </c>
      <c r="D173" t="s">
        <v>30</v>
      </c>
      <c r="E173">
        <v>0</v>
      </c>
      <c r="F173">
        <v>5</v>
      </c>
      <c r="G173">
        <v>2</v>
      </c>
      <c r="H173">
        <v>1</v>
      </c>
      <c r="I173" t="s">
        <v>30</v>
      </c>
      <c r="J173">
        <v>101</v>
      </c>
      <c r="K173" t="s">
        <v>22</v>
      </c>
      <c r="L173">
        <v>106</v>
      </c>
    </row>
    <row r="174" spans="1:12" x14ac:dyDescent="0.25">
      <c r="A174">
        <v>400578379</v>
      </c>
      <c r="B174">
        <v>2015</v>
      </c>
      <c r="C174" s="1">
        <v>41951</v>
      </c>
      <c r="D174" t="s">
        <v>36</v>
      </c>
      <c r="E174">
        <v>1</v>
      </c>
      <c r="F174">
        <v>5</v>
      </c>
      <c r="G174">
        <v>0</v>
      </c>
      <c r="H174">
        <v>0</v>
      </c>
      <c r="I174" t="s">
        <v>16</v>
      </c>
      <c r="J174">
        <v>87</v>
      </c>
      <c r="K174" t="s">
        <v>36</v>
      </c>
      <c r="L174">
        <v>98</v>
      </c>
    </row>
    <row r="175" spans="1:12" x14ac:dyDescent="0.25">
      <c r="A175">
        <v>400578379</v>
      </c>
      <c r="B175">
        <v>2015</v>
      </c>
      <c r="C175" s="1">
        <v>41951</v>
      </c>
      <c r="D175" t="s">
        <v>16</v>
      </c>
      <c r="E175">
        <v>0</v>
      </c>
      <c r="F175">
        <v>6</v>
      </c>
      <c r="G175">
        <v>1</v>
      </c>
      <c r="H175">
        <v>1</v>
      </c>
      <c r="I175" t="s">
        <v>16</v>
      </c>
      <c r="J175">
        <v>87</v>
      </c>
      <c r="K175" t="s">
        <v>36</v>
      </c>
      <c r="L175">
        <v>98</v>
      </c>
    </row>
    <row r="176" spans="1:12" x14ac:dyDescent="0.25">
      <c r="A176">
        <v>400578380</v>
      </c>
      <c r="B176">
        <v>2015</v>
      </c>
      <c r="C176" s="1">
        <v>41951</v>
      </c>
      <c r="D176" t="s">
        <v>28</v>
      </c>
      <c r="E176">
        <v>0</v>
      </c>
      <c r="F176">
        <v>6</v>
      </c>
      <c r="G176">
        <v>1</v>
      </c>
      <c r="H176">
        <v>0</v>
      </c>
      <c r="I176" t="s">
        <v>19</v>
      </c>
      <c r="J176">
        <v>93</v>
      </c>
      <c r="K176" t="s">
        <v>28</v>
      </c>
      <c r="L176">
        <v>92</v>
      </c>
    </row>
    <row r="177" spans="1:12" x14ac:dyDescent="0.25">
      <c r="A177">
        <v>400578380</v>
      </c>
      <c r="B177">
        <v>2015</v>
      </c>
      <c r="C177" s="1">
        <v>41951</v>
      </c>
      <c r="D177" t="s">
        <v>19</v>
      </c>
      <c r="E177">
        <v>1</v>
      </c>
      <c r="F177">
        <v>3</v>
      </c>
      <c r="G177">
        <v>4</v>
      </c>
      <c r="H177">
        <v>1</v>
      </c>
      <c r="I177" t="s">
        <v>19</v>
      </c>
      <c r="J177">
        <v>93</v>
      </c>
      <c r="K177" t="s">
        <v>28</v>
      </c>
      <c r="L177">
        <v>92</v>
      </c>
    </row>
    <row r="178" spans="1:12" x14ac:dyDescent="0.25">
      <c r="A178">
        <v>400578381</v>
      </c>
      <c r="B178">
        <v>2015</v>
      </c>
      <c r="C178" s="1">
        <v>41951</v>
      </c>
      <c r="D178" t="s">
        <v>12</v>
      </c>
      <c r="E178">
        <v>1</v>
      </c>
      <c r="F178">
        <v>3</v>
      </c>
      <c r="G178">
        <v>2</v>
      </c>
      <c r="H178">
        <v>0</v>
      </c>
      <c r="I178" t="s">
        <v>15</v>
      </c>
      <c r="J178">
        <v>99</v>
      </c>
      <c r="K178" t="s">
        <v>12</v>
      </c>
      <c r="L178">
        <v>100</v>
      </c>
    </row>
    <row r="179" spans="1:12" x14ac:dyDescent="0.25">
      <c r="A179">
        <v>400578381</v>
      </c>
      <c r="B179">
        <v>2015</v>
      </c>
      <c r="C179" s="1">
        <v>41951</v>
      </c>
      <c r="D179" t="s">
        <v>15</v>
      </c>
      <c r="E179">
        <v>0</v>
      </c>
      <c r="F179">
        <v>2</v>
      </c>
      <c r="G179">
        <v>3</v>
      </c>
      <c r="H179">
        <v>1</v>
      </c>
      <c r="I179" t="s">
        <v>15</v>
      </c>
      <c r="J179">
        <v>99</v>
      </c>
      <c r="K179" t="s">
        <v>12</v>
      </c>
      <c r="L179">
        <v>100</v>
      </c>
    </row>
    <row r="180" spans="1:12" x14ac:dyDescent="0.25">
      <c r="A180">
        <v>400578382</v>
      </c>
      <c r="B180">
        <v>2015</v>
      </c>
      <c r="C180" s="1">
        <v>41952</v>
      </c>
      <c r="D180" t="s">
        <v>23</v>
      </c>
      <c r="E180">
        <v>1</v>
      </c>
      <c r="F180">
        <v>4</v>
      </c>
      <c r="G180">
        <v>2</v>
      </c>
      <c r="H180">
        <v>1</v>
      </c>
      <c r="I180" t="s">
        <v>23</v>
      </c>
      <c r="J180">
        <v>104</v>
      </c>
      <c r="K180" t="s">
        <v>13</v>
      </c>
      <c r="L180">
        <v>96</v>
      </c>
    </row>
    <row r="181" spans="1:12" x14ac:dyDescent="0.25">
      <c r="A181">
        <v>400578382</v>
      </c>
      <c r="B181">
        <v>2015</v>
      </c>
      <c r="C181" s="1">
        <v>41952</v>
      </c>
      <c r="D181" t="s">
        <v>13</v>
      </c>
      <c r="E181">
        <v>0</v>
      </c>
      <c r="F181">
        <v>2</v>
      </c>
      <c r="G181">
        <v>5</v>
      </c>
      <c r="H181">
        <v>0</v>
      </c>
      <c r="I181" t="s">
        <v>23</v>
      </c>
      <c r="J181">
        <v>104</v>
      </c>
      <c r="K181" t="s">
        <v>13</v>
      </c>
      <c r="L181">
        <v>96</v>
      </c>
    </row>
    <row r="182" spans="1:12" x14ac:dyDescent="0.25">
      <c r="A182">
        <v>400578383</v>
      </c>
      <c r="B182">
        <v>2015</v>
      </c>
      <c r="C182" s="1">
        <v>41952</v>
      </c>
      <c r="D182" t="s">
        <v>33</v>
      </c>
      <c r="E182">
        <v>0</v>
      </c>
      <c r="F182">
        <v>2</v>
      </c>
      <c r="G182">
        <v>4</v>
      </c>
      <c r="H182">
        <v>1</v>
      </c>
      <c r="I182" t="s">
        <v>33</v>
      </c>
      <c r="J182">
        <v>96</v>
      </c>
      <c r="K182" t="s">
        <v>34</v>
      </c>
      <c r="L182">
        <v>97</v>
      </c>
    </row>
    <row r="183" spans="1:12" x14ac:dyDescent="0.25">
      <c r="A183">
        <v>400578383</v>
      </c>
      <c r="B183">
        <v>2015</v>
      </c>
      <c r="C183" s="1">
        <v>41952</v>
      </c>
      <c r="D183" t="s">
        <v>34</v>
      </c>
      <c r="E183">
        <v>1</v>
      </c>
      <c r="F183">
        <v>3</v>
      </c>
      <c r="G183">
        <v>4</v>
      </c>
      <c r="H183">
        <v>0</v>
      </c>
      <c r="I183" t="s">
        <v>33</v>
      </c>
      <c r="J183">
        <v>96</v>
      </c>
      <c r="K183" t="s">
        <v>34</v>
      </c>
      <c r="L183">
        <v>97</v>
      </c>
    </row>
    <row r="184" spans="1:12" x14ac:dyDescent="0.25">
      <c r="A184">
        <v>400578384</v>
      </c>
      <c r="B184">
        <v>2015</v>
      </c>
      <c r="C184" s="1">
        <v>41952</v>
      </c>
      <c r="D184" t="s">
        <v>38</v>
      </c>
      <c r="E184">
        <v>1</v>
      </c>
      <c r="F184">
        <v>2</v>
      </c>
      <c r="G184">
        <v>5</v>
      </c>
      <c r="H184">
        <v>1</v>
      </c>
      <c r="I184" t="s">
        <v>38</v>
      </c>
      <c r="J184">
        <v>101</v>
      </c>
      <c r="K184" t="s">
        <v>37</v>
      </c>
      <c r="L184">
        <v>93</v>
      </c>
    </row>
    <row r="185" spans="1:12" x14ac:dyDescent="0.25">
      <c r="A185">
        <v>400578384</v>
      </c>
      <c r="B185">
        <v>2015</v>
      </c>
      <c r="C185" s="1">
        <v>41952</v>
      </c>
      <c r="D185" t="s">
        <v>37</v>
      </c>
      <c r="E185">
        <v>0</v>
      </c>
      <c r="F185">
        <v>5</v>
      </c>
      <c r="G185">
        <v>2</v>
      </c>
      <c r="H185">
        <v>0</v>
      </c>
      <c r="I185" t="s">
        <v>38</v>
      </c>
      <c r="J185">
        <v>101</v>
      </c>
      <c r="K185" t="s">
        <v>37</v>
      </c>
      <c r="L185">
        <v>93</v>
      </c>
    </row>
    <row r="186" spans="1:12" x14ac:dyDescent="0.25">
      <c r="A186">
        <v>400578385</v>
      </c>
      <c r="B186">
        <v>2015</v>
      </c>
      <c r="C186" s="1">
        <v>41952</v>
      </c>
      <c r="D186" t="s">
        <v>21</v>
      </c>
      <c r="E186">
        <v>0</v>
      </c>
      <c r="F186">
        <v>0</v>
      </c>
      <c r="G186">
        <v>7</v>
      </c>
      <c r="H186">
        <v>0</v>
      </c>
      <c r="I186" t="s">
        <v>27</v>
      </c>
      <c r="J186">
        <v>120</v>
      </c>
      <c r="K186" t="s">
        <v>21</v>
      </c>
      <c r="L186">
        <v>88</v>
      </c>
    </row>
    <row r="187" spans="1:12" x14ac:dyDescent="0.25">
      <c r="A187">
        <v>400578385</v>
      </c>
      <c r="B187">
        <v>2015</v>
      </c>
      <c r="C187" s="1">
        <v>41952</v>
      </c>
      <c r="D187" t="s">
        <v>27</v>
      </c>
      <c r="E187">
        <v>1</v>
      </c>
      <c r="F187">
        <v>6</v>
      </c>
      <c r="G187">
        <v>1</v>
      </c>
      <c r="H187">
        <v>1</v>
      </c>
      <c r="I187" t="s">
        <v>27</v>
      </c>
      <c r="J187">
        <v>120</v>
      </c>
      <c r="K187" t="s">
        <v>21</v>
      </c>
      <c r="L187">
        <v>88</v>
      </c>
    </row>
    <row r="188" spans="1:12" x14ac:dyDescent="0.25">
      <c r="A188">
        <v>400578386</v>
      </c>
      <c r="B188">
        <v>2015</v>
      </c>
      <c r="C188" s="1">
        <v>41952</v>
      </c>
      <c r="D188" t="s">
        <v>14</v>
      </c>
      <c r="E188">
        <v>0</v>
      </c>
      <c r="F188">
        <v>4</v>
      </c>
      <c r="G188">
        <v>3</v>
      </c>
      <c r="H188">
        <v>1</v>
      </c>
      <c r="I188" t="s">
        <v>14</v>
      </c>
      <c r="J188">
        <v>96</v>
      </c>
      <c r="K188" t="s">
        <v>24</v>
      </c>
      <c r="L188">
        <v>105</v>
      </c>
    </row>
    <row r="189" spans="1:12" x14ac:dyDescent="0.25">
      <c r="A189">
        <v>400578386</v>
      </c>
      <c r="B189">
        <v>2015</v>
      </c>
      <c r="C189" s="1">
        <v>41952</v>
      </c>
      <c r="D189" t="s">
        <v>24</v>
      </c>
      <c r="E189">
        <v>1</v>
      </c>
      <c r="F189">
        <v>5</v>
      </c>
      <c r="G189">
        <v>2</v>
      </c>
      <c r="H189">
        <v>0</v>
      </c>
      <c r="I189" t="s">
        <v>14</v>
      </c>
      <c r="J189">
        <v>96</v>
      </c>
      <c r="K189" t="s">
        <v>24</v>
      </c>
      <c r="L189">
        <v>105</v>
      </c>
    </row>
    <row r="190" spans="1:12" x14ac:dyDescent="0.25">
      <c r="A190">
        <v>400578387</v>
      </c>
      <c r="B190">
        <v>2015</v>
      </c>
      <c r="C190" s="1">
        <v>41952</v>
      </c>
      <c r="D190" t="s">
        <v>36</v>
      </c>
      <c r="E190">
        <v>0</v>
      </c>
      <c r="F190">
        <v>5</v>
      </c>
      <c r="G190">
        <v>1</v>
      </c>
      <c r="H190">
        <v>0</v>
      </c>
      <c r="I190" t="s">
        <v>35</v>
      </c>
      <c r="J190">
        <v>107</v>
      </c>
      <c r="K190" t="s">
        <v>36</v>
      </c>
      <c r="L190">
        <v>95</v>
      </c>
    </row>
    <row r="191" spans="1:12" x14ac:dyDescent="0.25">
      <c r="A191">
        <v>400578387</v>
      </c>
      <c r="B191">
        <v>2015</v>
      </c>
      <c r="C191" s="1">
        <v>41952</v>
      </c>
      <c r="D191" t="s">
        <v>35</v>
      </c>
      <c r="E191">
        <v>1</v>
      </c>
      <c r="F191">
        <v>4</v>
      </c>
      <c r="G191">
        <v>3</v>
      </c>
      <c r="H191">
        <v>1</v>
      </c>
      <c r="I191" t="s">
        <v>35</v>
      </c>
      <c r="J191">
        <v>107</v>
      </c>
      <c r="K191" t="s">
        <v>36</v>
      </c>
      <c r="L191">
        <v>95</v>
      </c>
    </row>
    <row r="192" spans="1:12" x14ac:dyDescent="0.25">
      <c r="A192">
        <v>400578388</v>
      </c>
      <c r="B192">
        <v>2015</v>
      </c>
      <c r="C192" s="1">
        <v>41952</v>
      </c>
      <c r="D192" t="s">
        <v>32</v>
      </c>
      <c r="E192">
        <v>0</v>
      </c>
      <c r="F192">
        <v>1</v>
      </c>
      <c r="G192">
        <v>5</v>
      </c>
      <c r="H192">
        <v>0</v>
      </c>
      <c r="I192" t="s">
        <v>39</v>
      </c>
      <c r="J192">
        <v>116</v>
      </c>
      <c r="K192" t="s">
        <v>32</v>
      </c>
      <c r="L192">
        <v>100</v>
      </c>
    </row>
    <row r="193" spans="1:12" x14ac:dyDescent="0.25">
      <c r="A193">
        <v>400578388</v>
      </c>
      <c r="B193">
        <v>2015</v>
      </c>
      <c r="C193" s="1">
        <v>41952</v>
      </c>
      <c r="D193" t="s">
        <v>39</v>
      </c>
      <c r="E193">
        <v>1</v>
      </c>
      <c r="F193">
        <v>4</v>
      </c>
      <c r="G193">
        <v>3</v>
      </c>
      <c r="H193">
        <v>1</v>
      </c>
      <c r="I193" t="s">
        <v>39</v>
      </c>
      <c r="J193">
        <v>116</v>
      </c>
      <c r="K193" t="s">
        <v>32</v>
      </c>
      <c r="L193">
        <v>100</v>
      </c>
    </row>
    <row r="194" spans="1:12" x14ac:dyDescent="0.25">
      <c r="A194">
        <v>400578389</v>
      </c>
      <c r="B194">
        <v>2015</v>
      </c>
      <c r="C194" s="1">
        <v>41952</v>
      </c>
      <c r="D194" t="s">
        <v>18</v>
      </c>
      <c r="E194">
        <v>0</v>
      </c>
      <c r="F194">
        <v>3</v>
      </c>
      <c r="G194">
        <v>4</v>
      </c>
      <c r="H194">
        <v>0</v>
      </c>
      <c r="I194" t="s">
        <v>17</v>
      </c>
      <c r="J194">
        <v>107</v>
      </c>
      <c r="K194" t="s">
        <v>18</v>
      </c>
      <c r="L194">
        <v>92</v>
      </c>
    </row>
    <row r="195" spans="1:12" x14ac:dyDescent="0.25">
      <c r="A195">
        <v>400578389</v>
      </c>
      <c r="B195">
        <v>2015</v>
      </c>
      <c r="C195" s="1">
        <v>41952</v>
      </c>
      <c r="D195" t="s">
        <v>17</v>
      </c>
      <c r="E195">
        <v>1</v>
      </c>
      <c r="F195">
        <v>1</v>
      </c>
      <c r="G195">
        <v>5</v>
      </c>
      <c r="H195">
        <v>1</v>
      </c>
      <c r="I195" t="s">
        <v>17</v>
      </c>
      <c r="J195">
        <v>107</v>
      </c>
      <c r="K195" t="s">
        <v>18</v>
      </c>
      <c r="L195">
        <v>92</v>
      </c>
    </row>
    <row r="196" spans="1:12" x14ac:dyDescent="0.25">
      <c r="A196">
        <v>400578390</v>
      </c>
      <c r="B196">
        <v>2015</v>
      </c>
      <c r="C196" s="1">
        <v>41953</v>
      </c>
      <c r="D196" t="s">
        <v>40</v>
      </c>
      <c r="E196">
        <v>1</v>
      </c>
      <c r="F196">
        <v>3</v>
      </c>
      <c r="G196">
        <v>3</v>
      </c>
      <c r="H196">
        <v>1</v>
      </c>
      <c r="I196" t="s">
        <v>40</v>
      </c>
      <c r="J196">
        <v>118</v>
      </c>
      <c r="K196" t="s">
        <v>12</v>
      </c>
      <c r="L196">
        <v>111</v>
      </c>
    </row>
    <row r="197" spans="1:12" x14ac:dyDescent="0.25">
      <c r="A197">
        <v>400578390</v>
      </c>
      <c r="B197">
        <v>2015</v>
      </c>
      <c r="C197" s="1">
        <v>41953</v>
      </c>
      <c r="D197" t="s">
        <v>12</v>
      </c>
      <c r="E197">
        <v>0</v>
      </c>
      <c r="F197">
        <v>3</v>
      </c>
      <c r="G197">
        <v>3</v>
      </c>
      <c r="H197">
        <v>0</v>
      </c>
      <c r="I197" t="s">
        <v>40</v>
      </c>
      <c r="J197">
        <v>118</v>
      </c>
      <c r="K197" t="s">
        <v>12</v>
      </c>
      <c r="L197">
        <v>111</v>
      </c>
    </row>
    <row r="198" spans="1:12" x14ac:dyDescent="0.25">
      <c r="A198">
        <v>400578391</v>
      </c>
      <c r="B198">
        <v>2015</v>
      </c>
      <c r="C198" s="1">
        <v>41953</v>
      </c>
      <c r="D198" t="s">
        <v>20</v>
      </c>
      <c r="E198">
        <v>1</v>
      </c>
      <c r="F198">
        <v>2</v>
      </c>
      <c r="G198">
        <v>6</v>
      </c>
      <c r="H198">
        <v>1</v>
      </c>
      <c r="I198" t="s">
        <v>20</v>
      </c>
      <c r="J198">
        <v>97</v>
      </c>
      <c r="K198" t="s">
        <v>34</v>
      </c>
      <c r="L198">
        <v>86</v>
      </c>
    </row>
    <row r="199" spans="1:12" x14ac:dyDescent="0.25">
      <c r="A199">
        <v>400578391</v>
      </c>
      <c r="B199">
        <v>2015</v>
      </c>
      <c r="C199" s="1">
        <v>41953</v>
      </c>
      <c r="D199" t="s">
        <v>34</v>
      </c>
      <c r="E199">
        <v>0</v>
      </c>
      <c r="F199">
        <v>3</v>
      </c>
      <c r="G199">
        <v>5</v>
      </c>
      <c r="H199">
        <v>0</v>
      </c>
      <c r="I199" t="s">
        <v>20</v>
      </c>
      <c r="J199">
        <v>97</v>
      </c>
      <c r="K199" t="s">
        <v>34</v>
      </c>
      <c r="L199">
        <v>86</v>
      </c>
    </row>
    <row r="200" spans="1:12" x14ac:dyDescent="0.25">
      <c r="A200">
        <v>400578392</v>
      </c>
      <c r="B200">
        <v>2015</v>
      </c>
      <c r="C200" s="1">
        <v>41953</v>
      </c>
      <c r="D200" t="s">
        <v>26</v>
      </c>
      <c r="E200">
        <v>1</v>
      </c>
      <c r="F200">
        <v>3</v>
      </c>
      <c r="G200">
        <v>3</v>
      </c>
      <c r="H200">
        <v>0</v>
      </c>
      <c r="I200" t="s">
        <v>31</v>
      </c>
      <c r="J200">
        <v>85</v>
      </c>
      <c r="K200" t="s">
        <v>26</v>
      </c>
      <c r="L200">
        <v>91</v>
      </c>
    </row>
    <row r="201" spans="1:12" x14ac:dyDescent="0.25">
      <c r="A201">
        <v>400578392</v>
      </c>
      <c r="B201">
        <v>2015</v>
      </c>
      <c r="C201" s="1">
        <v>41953</v>
      </c>
      <c r="D201" t="s">
        <v>31</v>
      </c>
      <c r="E201">
        <v>0</v>
      </c>
      <c r="F201">
        <v>2</v>
      </c>
      <c r="G201">
        <v>6</v>
      </c>
      <c r="H201">
        <v>1</v>
      </c>
      <c r="I201" t="s">
        <v>31</v>
      </c>
      <c r="J201">
        <v>85</v>
      </c>
      <c r="K201" t="s">
        <v>26</v>
      </c>
      <c r="L201">
        <v>91</v>
      </c>
    </row>
    <row r="202" spans="1:12" x14ac:dyDescent="0.25">
      <c r="A202">
        <v>400578393</v>
      </c>
      <c r="B202">
        <v>2015</v>
      </c>
      <c r="C202" s="1">
        <v>41953</v>
      </c>
      <c r="D202" t="s">
        <v>30</v>
      </c>
      <c r="E202">
        <v>1</v>
      </c>
      <c r="F202">
        <v>6</v>
      </c>
      <c r="G202">
        <v>2</v>
      </c>
      <c r="H202">
        <v>1</v>
      </c>
      <c r="I202" t="s">
        <v>30</v>
      </c>
      <c r="J202">
        <v>102</v>
      </c>
      <c r="K202" t="s">
        <v>33</v>
      </c>
      <c r="L202">
        <v>91</v>
      </c>
    </row>
    <row r="203" spans="1:12" x14ac:dyDescent="0.25">
      <c r="A203">
        <v>400578393</v>
      </c>
      <c r="B203">
        <v>2015</v>
      </c>
      <c r="C203" s="1">
        <v>41953</v>
      </c>
      <c r="D203" t="s">
        <v>33</v>
      </c>
      <c r="E203">
        <v>0</v>
      </c>
      <c r="F203">
        <v>2</v>
      </c>
      <c r="G203">
        <v>5</v>
      </c>
      <c r="H203">
        <v>0</v>
      </c>
      <c r="I203" t="s">
        <v>30</v>
      </c>
      <c r="J203">
        <v>102</v>
      </c>
      <c r="K203" t="s">
        <v>33</v>
      </c>
      <c r="L203">
        <v>91</v>
      </c>
    </row>
    <row r="204" spans="1:12" x14ac:dyDescent="0.25">
      <c r="A204">
        <v>400578394</v>
      </c>
      <c r="B204">
        <v>2015</v>
      </c>
      <c r="C204" s="1">
        <v>41953</v>
      </c>
      <c r="D204" t="s">
        <v>41</v>
      </c>
      <c r="E204">
        <v>0</v>
      </c>
      <c r="F204">
        <v>4</v>
      </c>
      <c r="G204">
        <v>3</v>
      </c>
      <c r="H204">
        <v>1</v>
      </c>
      <c r="I204" t="s">
        <v>41</v>
      </c>
      <c r="J204">
        <v>85</v>
      </c>
      <c r="K204" t="s">
        <v>15</v>
      </c>
      <c r="L204">
        <v>89</v>
      </c>
    </row>
    <row r="205" spans="1:12" x14ac:dyDescent="0.25">
      <c r="A205">
        <v>400578394</v>
      </c>
      <c r="B205">
        <v>2015</v>
      </c>
      <c r="C205" s="1">
        <v>41953</v>
      </c>
      <c r="D205" t="s">
        <v>15</v>
      </c>
      <c r="E205">
        <v>1</v>
      </c>
      <c r="F205">
        <v>3</v>
      </c>
      <c r="G205">
        <v>3</v>
      </c>
      <c r="H205">
        <v>0</v>
      </c>
      <c r="I205" t="s">
        <v>41</v>
      </c>
      <c r="J205">
        <v>85</v>
      </c>
      <c r="K205" t="s">
        <v>15</v>
      </c>
      <c r="L205">
        <v>89</v>
      </c>
    </row>
    <row r="206" spans="1:12" x14ac:dyDescent="0.25">
      <c r="A206">
        <v>400578395</v>
      </c>
      <c r="B206">
        <v>2015</v>
      </c>
      <c r="C206" s="1">
        <v>41954</v>
      </c>
      <c r="D206" t="s">
        <v>13</v>
      </c>
      <c r="E206">
        <v>0</v>
      </c>
      <c r="F206">
        <v>2</v>
      </c>
      <c r="G206">
        <v>6</v>
      </c>
      <c r="H206">
        <v>0</v>
      </c>
      <c r="I206" t="s">
        <v>27</v>
      </c>
      <c r="J206">
        <v>104</v>
      </c>
      <c r="K206" t="s">
        <v>13</v>
      </c>
      <c r="L206">
        <v>100</v>
      </c>
    </row>
    <row r="207" spans="1:12" x14ac:dyDescent="0.25">
      <c r="A207">
        <v>400578395</v>
      </c>
      <c r="B207">
        <v>2015</v>
      </c>
      <c r="C207" s="1">
        <v>41954</v>
      </c>
      <c r="D207" t="s">
        <v>27</v>
      </c>
      <c r="E207">
        <v>1</v>
      </c>
      <c r="F207">
        <v>7</v>
      </c>
      <c r="G207">
        <v>1</v>
      </c>
      <c r="H207">
        <v>1</v>
      </c>
      <c r="I207" t="s">
        <v>27</v>
      </c>
      <c r="J207">
        <v>104</v>
      </c>
      <c r="K207" t="s">
        <v>13</v>
      </c>
      <c r="L207">
        <v>100</v>
      </c>
    </row>
    <row r="208" spans="1:12" x14ac:dyDescent="0.25">
      <c r="A208">
        <v>400578396</v>
      </c>
      <c r="B208">
        <v>2015</v>
      </c>
      <c r="C208" s="1">
        <v>41954</v>
      </c>
      <c r="D208" t="s">
        <v>17</v>
      </c>
      <c r="E208">
        <v>0</v>
      </c>
      <c r="F208">
        <v>1</v>
      </c>
      <c r="G208">
        <v>6</v>
      </c>
      <c r="H208">
        <v>0</v>
      </c>
      <c r="I208" t="s">
        <v>28</v>
      </c>
      <c r="J208">
        <v>107</v>
      </c>
      <c r="K208" t="s">
        <v>17</v>
      </c>
      <c r="L208">
        <v>102</v>
      </c>
    </row>
    <row r="209" spans="1:12" x14ac:dyDescent="0.25">
      <c r="A209">
        <v>400578396</v>
      </c>
      <c r="B209">
        <v>2015</v>
      </c>
      <c r="C209" s="1">
        <v>41954</v>
      </c>
      <c r="D209" t="s">
        <v>28</v>
      </c>
      <c r="E209">
        <v>1</v>
      </c>
      <c r="F209">
        <v>7</v>
      </c>
      <c r="G209">
        <v>1</v>
      </c>
      <c r="H209">
        <v>1</v>
      </c>
      <c r="I209" t="s">
        <v>28</v>
      </c>
      <c r="J209">
        <v>107</v>
      </c>
      <c r="K209" t="s">
        <v>17</v>
      </c>
      <c r="L209">
        <v>102</v>
      </c>
    </row>
    <row r="210" spans="1:12" x14ac:dyDescent="0.25">
      <c r="A210">
        <v>400578397</v>
      </c>
      <c r="B210">
        <v>2015</v>
      </c>
      <c r="C210" s="1">
        <v>41954</v>
      </c>
      <c r="D210" t="s">
        <v>19</v>
      </c>
      <c r="E210">
        <v>1</v>
      </c>
      <c r="F210">
        <v>4</v>
      </c>
      <c r="G210">
        <v>4</v>
      </c>
      <c r="H210">
        <v>1</v>
      </c>
      <c r="I210" t="s">
        <v>19</v>
      </c>
      <c r="J210">
        <v>85</v>
      </c>
      <c r="K210" t="s">
        <v>38</v>
      </c>
      <c r="L210">
        <v>78</v>
      </c>
    </row>
    <row r="211" spans="1:12" x14ac:dyDescent="0.25">
      <c r="A211">
        <v>400578397</v>
      </c>
      <c r="B211">
        <v>2015</v>
      </c>
      <c r="C211" s="1">
        <v>41954</v>
      </c>
      <c r="D211" t="s">
        <v>38</v>
      </c>
      <c r="E211">
        <v>0</v>
      </c>
      <c r="F211">
        <v>2</v>
      </c>
      <c r="G211">
        <v>6</v>
      </c>
      <c r="H211">
        <v>0</v>
      </c>
      <c r="I211" t="s">
        <v>19</v>
      </c>
      <c r="J211">
        <v>85</v>
      </c>
      <c r="K211" t="s">
        <v>38</v>
      </c>
      <c r="L211">
        <v>78</v>
      </c>
    </row>
    <row r="212" spans="1:12" x14ac:dyDescent="0.25">
      <c r="A212">
        <v>400578398</v>
      </c>
      <c r="B212">
        <v>2015</v>
      </c>
      <c r="C212" s="1">
        <v>41954</v>
      </c>
      <c r="D212" t="s">
        <v>14</v>
      </c>
      <c r="E212">
        <v>1</v>
      </c>
      <c r="F212">
        <v>5</v>
      </c>
      <c r="G212">
        <v>3</v>
      </c>
      <c r="H212">
        <v>1</v>
      </c>
      <c r="I212" t="s">
        <v>14</v>
      </c>
      <c r="J212">
        <v>106</v>
      </c>
      <c r="K212" t="s">
        <v>37</v>
      </c>
      <c r="L212">
        <v>98</v>
      </c>
    </row>
    <row r="213" spans="1:12" x14ac:dyDescent="0.25">
      <c r="A213">
        <v>400578398</v>
      </c>
      <c r="B213">
        <v>2015</v>
      </c>
      <c r="C213" s="1">
        <v>41954</v>
      </c>
      <c r="D213" t="s">
        <v>37</v>
      </c>
      <c r="E213">
        <v>0</v>
      </c>
      <c r="F213">
        <v>5</v>
      </c>
      <c r="G213">
        <v>3</v>
      </c>
      <c r="H213">
        <v>0</v>
      </c>
      <c r="I213" t="s">
        <v>14</v>
      </c>
      <c r="J213">
        <v>106</v>
      </c>
      <c r="K213" t="s">
        <v>37</v>
      </c>
      <c r="L213">
        <v>98</v>
      </c>
    </row>
    <row r="214" spans="1:12" x14ac:dyDescent="0.25">
      <c r="A214">
        <v>400578399</v>
      </c>
      <c r="B214">
        <v>2015</v>
      </c>
      <c r="C214" s="1">
        <v>41954</v>
      </c>
      <c r="D214" t="s">
        <v>18</v>
      </c>
      <c r="E214">
        <v>0</v>
      </c>
      <c r="F214">
        <v>3</v>
      </c>
      <c r="G214">
        <v>5</v>
      </c>
      <c r="H214">
        <v>0</v>
      </c>
      <c r="I214" t="s">
        <v>39</v>
      </c>
      <c r="J214">
        <v>102</v>
      </c>
      <c r="K214" t="s">
        <v>18</v>
      </c>
      <c r="L214">
        <v>100</v>
      </c>
    </row>
    <row r="215" spans="1:12" x14ac:dyDescent="0.25">
      <c r="A215">
        <v>400578399</v>
      </c>
      <c r="B215">
        <v>2015</v>
      </c>
      <c r="C215" s="1">
        <v>41954</v>
      </c>
      <c r="D215" t="s">
        <v>39</v>
      </c>
      <c r="E215">
        <v>1</v>
      </c>
      <c r="F215">
        <v>5</v>
      </c>
      <c r="G215">
        <v>3</v>
      </c>
      <c r="H215">
        <v>1</v>
      </c>
      <c r="I215" t="s">
        <v>39</v>
      </c>
      <c r="J215">
        <v>102</v>
      </c>
      <c r="K215" t="s">
        <v>18</v>
      </c>
      <c r="L215">
        <v>100</v>
      </c>
    </row>
    <row r="216" spans="1:12" x14ac:dyDescent="0.25">
      <c r="A216">
        <v>400578400</v>
      </c>
      <c r="B216">
        <v>2015</v>
      </c>
      <c r="C216" s="1">
        <v>41954</v>
      </c>
      <c r="D216" t="s">
        <v>36</v>
      </c>
      <c r="E216">
        <v>0</v>
      </c>
      <c r="F216">
        <v>5</v>
      </c>
      <c r="G216">
        <v>2</v>
      </c>
      <c r="H216">
        <v>1</v>
      </c>
      <c r="I216" t="s">
        <v>36</v>
      </c>
      <c r="J216">
        <v>100</v>
      </c>
      <c r="K216" t="s">
        <v>15</v>
      </c>
      <c r="L216">
        <v>113</v>
      </c>
    </row>
    <row r="217" spans="1:12" x14ac:dyDescent="0.25">
      <c r="A217">
        <v>400578400</v>
      </c>
      <c r="B217">
        <v>2015</v>
      </c>
      <c r="C217" s="1">
        <v>41954</v>
      </c>
      <c r="D217" t="s">
        <v>15</v>
      </c>
      <c r="E217">
        <v>1</v>
      </c>
      <c r="F217">
        <v>4</v>
      </c>
      <c r="G217">
        <v>3</v>
      </c>
      <c r="H217">
        <v>0</v>
      </c>
      <c r="I217" t="s">
        <v>36</v>
      </c>
      <c r="J217">
        <v>100</v>
      </c>
      <c r="K217" t="s">
        <v>15</v>
      </c>
      <c r="L217">
        <v>113</v>
      </c>
    </row>
    <row r="218" spans="1:12" x14ac:dyDescent="0.25">
      <c r="A218">
        <v>400578401</v>
      </c>
      <c r="B218">
        <v>2015</v>
      </c>
      <c r="C218" s="1">
        <v>41955</v>
      </c>
      <c r="D218" t="s">
        <v>33</v>
      </c>
      <c r="E218">
        <v>0</v>
      </c>
      <c r="F218">
        <v>2</v>
      </c>
      <c r="G218">
        <v>6</v>
      </c>
      <c r="H218">
        <v>0</v>
      </c>
      <c r="I218" t="s">
        <v>25</v>
      </c>
      <c r="J218">
        <v>107</v>
      </c>
      <c r="K218" t="s">
        <v>33</v>
      </c>
      <c r="L218">
        <v>103</v>
      </c>
    </row>
    <row r="219" spans="1:12" x14ac:dyDescent="0.25">
      <c r="A219">
        <v>400578401</v>
      </c>
      <c r="B219">
        <v>2015</v>
      </c>
      <c r="C219" s="1">
        <v>41955</v>
      </c>
      <c r="D219" t="s">
        <v>25</v>
      </c>
      <c r="E219">
        <v>1</v>
      </c>
      <c r="F219">
        <v>6</v>
      </c>
      <c r="G219">
        <v>2</v>
      </c>
      <c r="H219">
        <v>1</v>
      </c>
      <c r="I219" t="s">
        <v>25</v>
      </c>
      <c r="J219">
        <v>107</v>
      </c>
      <c r="K219" t="s">
        <v>33</v>
      </c>
      <c r="L219">
        <v>103</v>
      </c>
    </row>
    <row r="220" spans="1:12" x14ac:dyDescent="0.25">
      <c r="A220">
        <v>400578402</v>
      </c>
      <c r="B220">
        <v>2015</v>
      </c>
      <c r="C220" s="1">
        <v>41955</v>
      </c>
      <c r="D220" t="s">
        <v>26</v>
      </c>
      <c r="E220">
        <v>1</v>
      </c>
      <c r="F220">
        <v>4</v>
      </c>
      <c r="G220">
        <v>3</v>
      </c>
      <c r="H220">
        <v>1</v>
      </c>
      <c r="I220" t="s">
        <v>26</v>
      </c>
      <c r="J220">
        <v>100</v>
      </c>
      <c r="K220" t="s">
        <v>34</v>
      </c>
      <c r="L220">
        <v>97</v>
      </c>
    </row>
    <row r="221" spans="1:12" x14ac:dyDescent="0.25">
      <c r="A221">
        <v>400578402</v>
      </c>
      <c r="B221">
        <v>2015</v>
      </c>
      <c r="C221" s="1">
        <v>41955</v>
      </c>
      <c r="D221" t="s">
        <v>34</v>
      </c>
      <c r="E221">
        <v>0</v>
      </c>
      <c r="F221">
        <v>3</v>
      </c>
      <c r="G221">
        <v>6</v>
      </c>
      <c r="H221">
        <v>0</v>
      </c>
      <c r="I221" t="s">
        <v>26</v>
      </c>
      <c r="J221">
        <v>100</v>
      </c>
      <c r="K221" t="s">
        <v>34</v>
      </c>
      <c r="L221">
        <v>97</v>
      </c>
    </row>
    <row r="222" spans="1:12" x14ac:dyDescent="0.25">
      <c r="A222">
        <v>400578403</v>
      </c>
      <c r="B222">
        <v>2015</v>
      </c>
      <c r="C222" s="1">
        <v>41955</v>
      </c>
      <c r="D222" t="s">
        <v>22</v>
      </c>
      <c r="E222">
        <v>0</v>
      </c>
      <c r="F222">
        <v>3</v>
      </c>
      <c r="G222">
        <v>4</v>
      </c>
      <c r="H222">
        <v>1</v>
      </c>
      <c r="I222" t="s">
        <v>22</v>
      </c>
      <c r="J222">
        <v>94</v>
      </c>
      <c r="K222" t="s">
        <v>38</v>
      </c>
      <c r="L222">
        <v>109</v>
      </c>
    </row>
    <row r="223" spans="1:12" x14ac:dyDescent="0.25">
      <c r="A223">
        <v>400578403</v>
      </c>
      <c r="B223">
        <v>2015</v>
      </c>
      <c r="C223" s="1">
        <v>41955</v>
      </c>
      <c r="D223" t="s">
        <v>38</v>
      </c>
      <c r="E223">
        <v>1</v>
      </c>
      <c r="F223">
        <v>3</v>
      </c>
      <c r="G223">
        <v>6</v>
      </c>
      <c r="H223">
        <v>0</v>
      </c>
      <c r="I223" t="s">
        <v>22</v>
      </c>
      <c r="J223">
        <v>94</v>
      </c>
      <c r="K223" t="s">
        <v>38</v>
      </c>
      <c r="L223">
        <v>109</v>
      </c>
    </row>
    <row r="224" spans="1:12" x14ac:dyDescent="0.25">
      <c r="A224">
        <v>400578404</v>
      </c>
      <c r="B224">
        <v>2015</v>
      </c>
      <c r="C224" s="1">
        <v>41955</v>
      </c>
      <c r="D224" t="s">
        <v>20</v>
      </c>
      <c r="E224">
        <v>1</v>
      </c>
      <c r="F224">
        <v>3</v>
      </c>
      <c r="G224">
        <v>6</v>
      </c>
      <c r="H224">
        <v>0</v>
      </c>
      <c r="I224" t="s">
        <v>24</v>
      </c>
      <c r="J224">
        <v>75</v>
      </c>
      <c r="K224" t="s">
        <v>20</v>
      </c>
      <c r="L224">
        <v>81</v>
      </c>
    </row>
    <row r="225" spans="1:12" x14ac:dyDescent="0.25">
      <c r="A225">
        <v>400578404</v>
      </c>
      <c r="B225">
        <v>2015</v>
      </c>
      <c r="C225" s="1">
        <v>41955</v>
      </c>
      <c r="D225" t="s">
        <v>24</v>
      </c>
      <c r="E225">
        <v>0</v>
      </c>
      <c r="F225">
        <v>5</v>
      </c>
      <c r="G225">
        <v>3</v>
      </c>
      <c r="H225">
        <v>1</v>
      </c>
      <c r="I225" t="s">
        <v>24</v>
      </c>
      <c r="J225">
        <v>75</v>
      </c>
      <c r="K225" t="s">
        <v>20</v>
      </c>
      <c r="L225">
        <v>81</v>
      </c>
    </row>
    <row r="226" spans="1:12" x14ac:dyDescent="0.25">
      <c r="A226">
        <v>400578405</v>
      </c>
      <c r="B226">
        <v>2015</v>
      </c>
      <c r="C226" s="1">
        <v>41955</v>
      </c>
      <c r="D226" t="s">
        <v>31</v>
      </c>
      <c r="E226">
        <v>0</v>
      </c>
      <c r="F226">
        <v>2</v>
      </c>
      <c r="G226">
        <v>7</v>
      </c>
      <c r="H226">
        <v>1</v>
      </c>
      <c r="I226" t="s">
        <v>31</v>
      </c>
      <c r="J226">
        <v>95</v>
      </c>
      <c r="K226" t="s">
        <v>13</v>
      </c>
      <c r="L226">
        <v>97</v>
      </c>
    </row>
    <row r="227" spans="1:12" x14ac:dyDescent="0.25">
      <c r="A227">
        <v>400578405</v>
      </c>
      <c r="B227">
        <v>2015</v>
      </c>
      <c r="C227" s="1">
        <v>41955</v>
      </c>
      <c r="D227" t="s">
        <v>13</v>
      </c>
      <c r="E227">
        <v>1</v>
      </c>
      <c r="F227">
        <v>3</v>
      </c>
      <c r="G227">
        <v>6</v>
      </c>
      <c r="H227">
        <v>0</v>
      </c>
      <c r="I227" t="s">
        <v>31</v>
      </c>
      <c r="J227">
        <v>95</v>
      </c>
      <c r="K227" t="s">
        <v>13</v>
      </c>
      <c r="L227">
        <v>97</v>
      </c>
    </row>
    <row r="228" spans="1:12" x14ac:dyDescent="0.25">
      <c r="A228">
        <v>400578406</v>
      </c>
      <c r="B228">
        <v>2015</v>
      </c>
      <c r="C228" s="1">
        <v>41955</v>
      </c>
      <c r="D228" t="s">
        <v>17</v>
      </c>
      <c r="E228">
        <v>0</v>
      </c>
      <c r="F228">
        <v>1</v>
      </c>
      <c r="G228">
        <v>7</v>
      </c>
      <c r="H228">
        <v>0</v>
      </c>
      <c r="I228" t="s">
        <v>12</v>
      </c>
      <c r="J228">
        <v>109</v>
      </c>
      <c r="K228" t="s">
        <v>17</v>
      </c>
      <c r="L228">
        <v>102</v>
      </c>
    </row>
    <row r="229" spans="1:12" x14ac:dyDescent="0.25">
      <c r="A229">
        <v>400578406</v>
      </c>
      <c r="B229">
        <v>2015</v>
      </c>
      <c r="C229" s="1">
        <v>41955</v>
      </c>
      <c r="D229" t="s">
        <v>12</v>
      </c>
      <c r="E229">
        <v>1</v>
      </c>
      <c r="F229">
        <v>4</v>
      </c>
      <c r="G229">
        <v>3</v>
      </c>
      <c r="H229">
        <v>1</v>
      </c>
      <c r="I229" t="s">
        <v>12</v>
      </c>
      <c r="J229">
        <v>109</v>
      </c>
      <c r="K229" t="s">
        <v>17</v>
      </c>
      <c r="L229">
        <v>102</v>
      </c>
    </row>
    <row r="230" spans="1:12" x14ac:dyDescent="0.25">
      <c r="A230">
        <v>400578407</v>
      </c>
      <c r="B230">
        <v>2015</v>
      </c>
      <c r="C230" s="1">
        <v>41955</v>
      </c>
      <c r="D230" t="s">
        <v>32</v>
      </c>
      <c r="E230">
        <v>0</v>
      </c>
      <c r="F230">
        <v>1</v>
      </c>
      <c r="G230">
        <v>6</v>
      </c>
      <c r="H230">
        <v>1</v>
      </c>
      <c r="I230" t="s">
        <v>32</v>
      </c>
      <c r="J230">
        <v>113</v>
      </c>
      <c r="K230" t="s">
        <v>39</v>
      </c>
      <c r="L230">
        <v>130</v>
      </c>
    </row>
    <row r="231" spans="1:12" x14ac:dyDescent="0.25">
      <c r="A231">
        <v>400578407</v>
      </c>
      <c r="B231">
        <v>2015</v>
      </c>
      <c r="C231" s="1">
        <v>41955</v>
      </c>
      <c r="D231" t="s">
        <v>39</v>
      </c>
      <c r="E231">
        <v>1</v>
      </c>
      <c r="F231">
        <v>6</v>
      </c>
      <c r="G231">
        <v>3</v>
      </c>
      <c r="H231">
        <v>0</v>
      </c>
      <c r="I231" t="s">
        <v>32</v>
      </c>
      <c r="J231">
        <v>113</v>
      </c>
      <c r="K231" t="s">
        <v>39</v>
      </c>
      <c r="L231">
        <v>130</v>
      </c>
    </row>
    <row r="232" spans="1:12" x14ac:dyDescent="0.25">
      <c r="A232">
        <v>400578408</v>
      </c>
      <c r="B232">
        <v>2015</v>
      </c>
      <c r="C232" s="1">
        <v>41955</v>
      </c>
      <c r="D232" t="s">
        <v>23</v>
      </c>
      <c r="E232">
        <v>0</v>
      </c>
      <c r="F232">
        <v>4</v>
      </c>
      <c r="G232">
        <v>3</v>
      </c>
      <c r="H232">
        <v>0</v>
      </c>
      <c r="I232" t="s">
        <v>35</v>
      </c>
      <c r="J232">
        <v>112</v>
      </c>
      <c r="K232" t="s">
        <v>23</v>
      </c>
      <c r="L232">
        <v>104</v>
      </c>
    </row>
    <row r="233" spans="1:12" x14ac:dyDescent="0.25">
      <c r="A233">
        <v>400578408</v>
      </c>
      <c r="B233">
        <v>2015</v>
      </c>
      <c r="C233" s="1">
        <v>41955</v>
      </c>
      <c r="D233" t="s">
        <v>35</v>
      </c>
      <c r="E233">
        <v>1</v>
      </c>
      <c r="F233">
        <v>5</v>
      </c>
      <c r="G233">
        <v>3</v>
      </c>
      <c r="H233">
        <v>1</v>
      </c>
      <c r="I233" t="s">
        <v>35</v>
      </c>
      <c r="J233">
        <v>112</v>
      </c>
      <c r="K233" t="s">
        <v>23</v>
      </c>
      <c r="L233">
        <v>104</v>
      </c>
    </row>
    <row r="234" spans="1:12" x14ac:dyDescent="0.25">
      <c r="A234">
        <v>400578409</v>
      </c>
      <c r="B234">
        <v>2015</v>
      </c>
      <c r="C234" s="1">
        <v>41955</v>
      </c>
      <c r="D234" t="s">
        <v>16</v>
      </c>
      <c r="E234">
        <v>1</v>
      </c>
      <c r="F234">
        <v>7</v>
      </c>
      <c r="G234">
        <v>1</v>
      </c>
      <c r="H234">
        <v>0</v>
      </c>
      <c r="I234" t="s">
        <v>29</v>
      </c>
      <c r="J234">
        <v>101</v>
      </c>
      <c r="K234" t="s">
        <v>16</v>
      </c>
      <c r="L234">
        <v>113</v>
      </c>
    </row>
    <row r="235" spans="1:12" x14ac:dyDescent="0.25">
      <c r="A235">
        <v>400578409</v>
      </c>
      <c r="B235">
        <v>2015</v>
      </c>
      <c r="C235" s="1">
        <v>41955</v>
      </c>
      <c r="D235" t="s">
        <v>29</v>
      </c>
      <c r="E235">
        <v>0</v>
      </c>
      <c r="F235">
        <v>2</v>
      </c>
      <c r="G235">
        <v>5</v>
      </c>
      <c r="H235">
        <v>1</v>
      </c>
      <c r="I235" t="s">
        <v>29</v>
      </c>
      <c r="J235">
        <v>101</v>
      </c>
      <c r="K235" t="s">
        <v>16</v>
      </c>
      <c r="L235">
        <v>113</v>
      </c>
    </row>
    <row r="236" spans="1:12" x14ac:dyDescent="0.25">
      <c r="A236">
        <v>400578410</v>
      </c>
      <c r="B236">
        <v>2015</v>
      </c>
      <c r="C236" s="1">
        <v>41956</v>
      </c>
      <c r="D236" t="s">
        <v>28</v>
      </c>
      <c r="E236">
        <v>1</v>
      </c>
      <c r="F236">
        <v>8</v>
      </c>
      <c r="G236">
        <v>1</v>
      </c>
      <c r="H236">
        <v>1</v>
      </c>
      <c r="I236" t="s">
        <v>28</v>
      </c>
      <c r="J236">
        <v>111</v>
      </c>
      <c r="K236" t="s">
        <v>37</v>
      </c>
      <c r="L236">
        <v>110</v>
      </c>
    </row>
    <row r="237" spans="1:12" x14ac:dyDescent="0.25">
      <c r="A237">
        <v>400578410</v>
      </c>
      <c r="B237">
        <v>2015</v>
      </c>
      <c r="C237" s="1">
        <v>41956</v>
      </c>
      <c r="D237" t="s">
        <v>37</v>
      </c>
      <c r="E237">
        <v>0</v>
      </c>
      <c r="F237">
        <v>5</v>
      </c>
      <c r="G237">
        <v>4</v>
      </c>
      <c r="H237">
        <v>0</v>
      </c>
      <c r="I237" t="s">
        <v>28</v>
      </c>
      <c r="J237">
        <v>111</v>
      </c>
      <c r="K237" t="s">
        <v>37</v>
      </c>
      <c r="L237">
        <v>110</v>
      </c>
    </row>
    <row r="238" spans="1:12" x14ac:dyDescent="0.25">
      <c r="A238">
        <v>400578411</v>
      </c>
      <c r="B238">
        <v>2015</v>
      </c>
      <c r="C238" s="1">
        <v>41956</v>
      </c>
      <c r="D238" t="s">
        <v>30</v>
      </c>
      <c r="E238">
        <v>1</v>
      </c>
      <c r="F238">
        <v>7</v>
      </c>
      <c r="G238">
        <v>2</v>
      </c>
      <c r="H238">
        <v>0</v>
      </c>
      <c r="I238" t="s">
        <v>27</v>
      </c>
      <c r="J238">
        <v>93</v>
      </c>
      <c r="K238" t="s">
        <v>30</v>
      </c>
      <c r="L238">
        <v>100</v>
      </c>
    </row>
    <row r="239" spans="1:12" x14ac:dyDescent="0.25">
      <c r="A239">
        <v>400578411</v>
      </c>
      <c r="B239">
        <v>2015</v>
      </c>
      <c r="C239" s="1">
        <v>41956</v>
      </c>
      <c r="D239" t="s">
        <v>27</v>
      </c>
      <c r="E239">
        <v>0</v>
      </c>
      <c r="F239">
        <v>7</v>
      </c>
      <c r="G239">
        <v>2</v>
      </c>
      <c r="H239">
        <v>1</v>
      </c>
      <c r="I239" t="s">
        <v>27</v>
      </c>
      <c r="J239">
        <v>93</v>
      </c>
      <c r="K239" t="s">
        <v>30</v>
      </c>
      <c r="L239">
        <v>100</v>
      </c>
    </row>
    <row r="240" spans="1:12" x14ac:dyDescent="0.25">
      <c r="A240">
        <v>400578412</v>
      </c>
      <c r="B240">
        <v>2015</v>
      </c>
      <c r="C240" s="1">
        <v>41956</v>
      </c>
      <c r="D240" t="s">
        <v>14</v>
      </c>
      <c r="E240">
        <v>1</v>
      </c>
      <c r="F240">
        <v>6</v>
      </c>
      <c r="G240">
        <v>3</v>
      </c>
      <c r="H240">
        <v>1</v>
      </c>
      <c r="I240" t="s">
        <v>14</v>
      </c>
      <c r="J240">
        <v>123</v>
      </c>
      <c r="K240" t="s">
        <v>21</v>
      </c>
      <c r="L240">
        <v>70</v>
      </c>
    </row>
    <row r="241" spans="1:12" x14ac:dyDescent="0.25">
      <c r="A241">
        <v>400578412</v>
      </c>
      <c r="B241">
        <v>2015</v>
      </c>
      <c r="C241" s="1">
        <v>41956</v>
      </c>
      <c r="D241" t="s">
        <v>21</v>
      </c>
      <c r="E241">
        <v>0</v>
      </c>
      <c r="F241">
        <v>0</v>
      </c>
      <c r="G241">
        <v>8</v>
      </c>
      <c r="H241">
        <v>0</v>
      </c>
      <c r="I241" t="s">
        <v>14</v>
      </c>
      <c r="J241">
        <v>123</v>
      </c>
      <c r="K241" t="s">
        <v>21</v>
      </c>
      <c r="L241">
        <v>70</v>
      </c>
    </row>
    <row r="242" spans="1:12" x14ac:dyDescent="0.25">
      <c r="A242">
        <v>400578413</v>
      </c>
      <c r="B242">
        <v>2015</v>
      </c>
      <c r="C242" s="1">
        <v>41956</v>
      </c>
      <c r="D242" t="s">
        <v>23</v>
      </c>
      <c r="E242">
        <v>0</v>
      </c>
      <c r="F242">
        <v>4</v>
      </c>
      <c r="G242">
        <v>4</v>
      </c>
      <c r="H242">
        <v>0</v>
      </c>
      <c r="I242" t="s">
        <v>36</v>
      </c>
      <c r="J242">
        <v>107</v>
      </c>
      <c r="K242" t="s">
        <v>23</v>
      </c>
      <c r="L242">
        <v>99</v>
      </c>
    </row>
    <row r="243" spans="1:12" x14ac:dyDescent="0.25">
      <c r="A243">
        <v>400578413</v>
      </c>
      <c r="B243">
        <v>2015</v>
      </c>
      <c r="C243" s="1">
        <v>41956</v>
      </c>
      <c r="D243" t="s">
        <v>36</v>
      </c>
      <c r="E243">
        <v>1</v>
      </c>
      <c r="F243">
        <v>6</v>
      </c>
      <c r="G243">
        <v>2</v>
      </c>
      <c r="H243">
        <v>1</v>
      </c>
      <c r="I243" t="s">
        <v>36</v>
      </c>
      <c r="J243">
        <v>107</v>
      </c>
      <c r="K243" t="s">
        <v>23</v>
      </c>
      <c r="L243">
        <v>99</v>
      </c>
    </row>
    <row r="244" spans="1:12" x14ac:dyDescent="0.25">
      <c r="A244">
        <v>400578414</v>
      </c>
      <c r="B244">
        <v>2015</v>
      </c>
      <c r="C244" s="1">
        <v>41957</v>
      </c>
      <c r="D244" t="s">
        <v>32</v>
      </c>
      <c r="E244">
        <v>1</v>
      </c>
      <c r="F244">
        <v>2</v>
      </c>
      <c r="G244">
        <v>6</v>
      </c>
      <c r="H244">
        <v>0</v>
      </c>
      <c r="I244" t="s">
        <v>20</v>
      </c>
      <c r="J244">
        <v>87</v>
      </c>
      <c r="K244" t="s">
        <v>32</v>
      </c>
      <c r="L244">
        <v>108</v>
      </c>
    </row>
    <row r="245" spans="1:12" x14ac:dyDescent="0.25">
      <c r="A245">
        <v>400578414</v>
      </c>
      <c r="B245">
        <v>2015</v>
      </c>
      <c r="C245" s="1">
        <v>41957</v>
      </c>
      <c r="D245" t="s">
        <v>20</v>
      </c>
      <c r="E245">
        <v>0</v>
      </c>
      <c r="F245">
        <v>3</v>
      </c>
      <c r="G245">
        <v>7</v>
      </c>
      <c r="H245">
        <v>1</v>
      </c>
      <c r="I245" t="s">
        <v>20</v>
      </c>
      <c r="J245">
        <v>87</v>
      </c>
      <c r="K245" t="s">
        <v>32</v>
      </c>
      <c r="L245">
        <v>108</v>
      </c>
    </row>
    <row r="246" spans="1:12" x14ac:dyDescent="0.25">
      <c r="A246">
        <v>400578415</v>
      </c>
      <c r="B246">
        <v>2015</v>
      </c>
      <c r="C246" s="1">
        <v>41957</v>
      </c>
      <c r="D246" t="s">
        <v>19</v>
      </c>
      <c r="E246">
        <v>0</v>
      </c>
      <c r="F246">
        <v>4</v>
      </c>
      <c r="G246">
        <v>5</v>
      </c>
      <c r="H246">
        <v>0</v>
      </c>
      <c r="I246" t="s">
        <v>13</v>
      </c>
      <c r="J246">
        <v>101</v>
      </c>
      <c r="K246" t="s">
        <v>19</v>
      </c>
      <c r="L246">
        <v>85</v>
      </c>
    </row>
    <row r="247" spans="1:12" x14ac:dyDescent="0.25">
      <c r="A247">
        <v>400578415</v>
      </c>
      <c r="B247">
        <v>2015</v>
      </c>
      <c r="C247" s="1">
        <v>41957</v>
      </c>
      <c r="D247" t="s">
        <v>13</v>
      </c>
      <c r="E247">
        <v>1</v>
      </c>
      <c r="F247">
        <v>4</v>
      </c>
      <c r="G247">
        <v>6</v>
      </c>
      <c r="H247">
        <v>1</v>
      </c>
      <c r="I247" t="s">
        <v>13</v>
      </c>
      <c r="J247">
        <v>101</v>
      </c>
      <c r="K247" t="s">
        <v>19</v>
      </c>
      <c r="L247">
        <v>85</v>
      </c>
    </row>
    <row r="248" spans="1:12" x14ac:dyDescent="0.25">
      <c r="A248">
        <v>400578416</v>
      </c>
      <c r="B248">
        <v>2015</v>
      </c>
      <c r="C248" s="1">
        <v>41957</v>
      </c>
      <c r="D248" t="s">
        <v>26</v>
      </c>
      <c r="E248">
        <v>1</v>
      </c>
      <c r="F248">
        <v>5</v>
      </c>
      <c r="G248">
        <v>3</v>
      </c>
      <c r="H248">
        <v>1</v>
      </c>
      <c r="I248" t="s">
        <v>26</v>
      </c>
      <c r="J248">
        <v>114</v>
      </c>
      <c r="K248" t="s">
        <v>24</v>
      </c>
      <c r="L248">
        <v>103</v>
      </c>
    </row>
    <row r="249" spans="1:12" x14ac:dyDescent="0.25">
      <c r="A249">
        <v>400578416</v>
      </c>
      <c r="B249">
        <v>2015</v>
      </c>
      <c r="C249" s="1">
        <v>41957</v>
      </c>
      <c r="D249" t="s">
        <v>24</v>
      </c>
      <c r="E249">
        <v>0</v>
      </c>
      <c r="F249">
        <v>5</v>
      </c>
      <c r="G249">
        <v>4</v>
      </c>
      <c r="H249">
        <v>0</v>
      </c>
      <c r="I249" t="s">
        <v>26</v>
      </c>
      <c r="J249">
        <v>114</v>
      </c>
      <c r="K249" t="s">
        <v>24</v>
      </c>
      <c r="L249">
        <v>103</v>
      </c>
    </row>
    <row r="250" spans="1:12" x14ac:dyDescent="0.25">
      <c r="A250">
        <v>400578417</v>
      </c>
      <c r="B250">
        <v>2015</v>
      </c>
      <c r="C250" s="1">
        <v>41957</v>
      </c>
      <c r="D250" t="s">
        <v>22</v>
      </c>
      <c r="E250">
        <v>0</v>
      </c>
      <c r="F250">
        <v>3</v>
      </c>
      <c r="G250">
        <v>5</v>
      </c>
      <c r="H250">
        <v>1</v>
      </c>
      <c r="I250" t="s">
        <v>22</v>
      </c>
      <c r="J250">
        <v>121</v>
      </c>
      <c r="K250" t="s">
        <v>40</v>
      </c>
      <c r="L250">
        <v>122</v>
      </c>
    </row>
    <row r="251" spans="1:12" x14ac:dyDescent="0.25">
      <c r="A251">
        <v>400578417</v>
      </c>
      <c r="B251">
        <v>2015</v>
      </c>
      <c r="C251" s="1">
        <v>41957</v>
      </c>
      <c r="D251" t="s">
        <v>40</v>
      </c>
      <c r="E251">
        <v>1</v>
      </c>
      <c r="F251">
        <v>4</v>
      </c>
      <c r="G251">
        <v>3</v>
      </c>
      <c r="H251">
        <v>0</v>
      </c>
      <c r="I251" t="s">
        <v>22</v>
      </c>
      <c r="J251">
        <v>121</v>
      </c>
      <c r="K251" t="s">
        <v>40</v>
      </c>
      <c r="L251">
        <v>122</v>
      </c>
    </row>
    <row r="252" spans="1:12" x14ac:dyDescent="0.25">
      <c r="A252">
        <v>400578418</v>
      </c>
      <c r="B252">
        <v>2015</v>
      </c>
      <c r="C252" s="1">
        <v>41957</v>
      </c>
      <c r="D252" t="s">
        <v>31</v>
      </c>
      <c r="E252">
        <v>0</v>
      </c>
      <c r="F252">
        <v>2</v>
      </c>
      <c r="G252">
        <v>8</v>
      </c>
      <c r="H252">
        <v>1</v>
      </c>
      <c r="I252" t="s">
        <v>31</v>
      </c>
      <c r="J252">
        <v>100</v>
      </c>
      <c r="K252" t="s">
        <v>34</v>
      </c>
      <c r="L252">
        <v>102</v>
      </c>
    </row>
    <row r="253" spans="1:12" x14ac:dyDescent="0.25">
      <c r="A253">
        <v>400578418</v>
      </c>
      <c r="B253">
        <v>2015</v>
      </c>
      <c r="C253" s="1">
        <v>41957</v>
      </c>
      <c r="D253" t="s">
        <v>34</v>
      </c>
      <c r="E253">
        <v>1</v>
      </c>
      <c r="F253">
        <v>4</v>
      </c>
      <c r="G253">
        <v>6</v>
      </c>
      <c r="H253">
        <v>0</v>
      </c>
      <c r="I253" t="s">
        <v>31</v>
      </c>
      <c r="J253">
        <v>100</v>
      </c>
      <c r="K253" t="s">
        <v>34</v>
      </c>
      <c r="L253">
        <v>102</v>
      </c>
    </row>
    <row r="254" spans="1:12" x14ac:dyDescent="0.25">
      <c r="A254">
        <v>400578419</v>
      </c>
      <c r="B254">
        <v>2015</v>
      </c>
      <c r="C254" s="1">
        <v>41957</v>
      </c>
      <c r="D254" t="s">
        <v>16</v>
      </c>
      <c r="E254">
        <v>1</v>
      </c>
      <c r="F254">
        <v>8</v>
      </c>
      <c r="G254">
        <v>1</v>
      </c>
      <c r="H254">
        <v>1</v>
      </c>
      <c r="I254" t="s">
        <v>16</v>
      </c>
      <c r="J254">
        <v>88</v>
      </c>
      <c r="K254" t="s">
        <v>21</v>
      </c>
      <c r="L254">
        <v>87</v>
      </c>
    </row>
    <row r="255" spans="1:12" x14ac:dyDescent="0.25">
      <c r="A255">
        <v>400578419</v>
      </c>
      <c r="B255">
        <v>2015</v>
      </c>
      <c r="C255" s="1">
        <v>41957</v>
      </c>
      <c r="D255" t="s">
        <v>21</v>
      </c>
      <c r="E255">
        <v>0</v>
      </c>
      <c r="F255">
        <v>0</v>
      </c>
      <c r="G255">
        <v>9</v>
      </c>
      <c r="H255">
        <v>0</v>
      </c>
      <c r="I255" t="s">
        <v>16</v>
      </c>
      <c r="J255">
        <v>88</v>
      </c>
      <c r="K255" t="s">
        <v>21</v>
      </c>
      <c r="L255">
        <v>87</v>
      </c>
    </row>
    <row r="256" spans="1:12" x14ac:dyDescent="0.25">
      <c r="A256">
        <v>400578420</v>
      </c>
      <c r="B256">
        <v>2015</v>
      </c>
      <c r="C256" s="1">
        <v>41957</v>
      </c>
      <c r="D256" t="s">
        <v>29</v>
      </c>
      <c r="E256">
        <v>0</v>
      </c>
      <c r="F256">
        <v>2</v>
      </c>
      <c r="G256">
        <v>6</v>
      </c>
      <c r="H256">
        <v>0</v>
      </c>
      <c r="I256" t="s">
        <v>12</v>
      </c>
      <c r="J256">
        <v>139</v>
      </c>
      <c r="K256" t="s">
        <v>29</v>
      </c>
      <c r="L256">
        <v>91</v>
      </c>
    </row>
    <row r="257" spans="1:12" x14ac:dyDescent="0.25">
      <c r="A257">
        <v>400578420</v>
      </c>
      <c r="B257">
        <v>2015</v>
      </c>
      <c r="C257" s="1">
        <v>41957</v>
      </c>
      <c r="D257" t="s">
        <v>12</v>
      </c>
      <c r="E257">
        <v>1</v>
      </c>
      <c r="F257">
        <v>5</v>
      </c>
      <c r="G257">
        <v>3</v>
      </c>
      <c r="H257">
        <v>1</v>
      </c>
      <c r="I257" t="s">
        <v>12</v>
      </c>
      <c r="J257">
        <v>139</v>
      </c>
      <c r="K257" t="s">
        <v>29</v>
      </c>
      <c r="L257">
        <v>91</v>
      </c>
    </row>
    <row r="258" spans="1:12" x14ac:dyDescent="0.25">
      <c r="A258">
        <v>400578421</v>
      </c>
      <c r="B258">
        <v>2015</v>
      </c>
      <c r="C258" s="1">
        <v>41957</v>
      </c>
      <c r="D258" t="s">
        <v>33</v>
      </c>
      <c r="E258">
        <v>1</v>
      </c>
      <c r="F258">
        <v>3</v>
      </c>
      <c r="G258">
        <v>6</v>
      </c>
      <c r="H258">
        <v>0</v>
      </c>
      <c r="I258" t="s">
        <v>38</v>
      </c>
      <c r="J258">
        <v>89</v>
      </c>
      <c r="K258" t="s">
        <v>33</v>
      </c>
      <c r="L258">
        <v>96</v>
      </c>
    </row>
    <row r="259" spans="1:12" x14ac:dyDescent="0.25">
      <c r="A259">
        <v>400578421</v>
      </c>
      <c r="B259">
        <v>2015</v>
      </c>
      <c r="C259" s="1">
        <v>41957</v>
      </c>
      <c r="D259" t="s">
        <v>38</v>
      </c>
      <c r="E259">
        <v>0</v>
      </c>
      <c r="F259">
        <v>3</v>
      </c>
      <c r="G259">
        <v>7</v>
      </c>
      <c r="H259">
        <v>1</v>
      </c>
      <c r="I259" t="s">
        <v>38</v>
      </c>
      <c r="J259">
        <v>89</v>
      </c>
      <c r="K259" t="s">
        <v>33</v>
      </c>
      <c r="L259">
        <v>96</v>
      </c>
    </row>
    <row r="260" spans="1:12" x14ac:dyDescent="0.25">
      <c r="A260">
        <v>400578422</v>
      </c>
      <c r="B260">
        <v>2015</v>
      </c>
      <c r="C260" s="1">
        <v>41957</v>
      </c>
      <c r="D260" t="s">
        <v>18</v>
      </c>
      <c r="E260">
        <v>1</v>
      </c>
      <c r="F260">
        <v>4</v>
      </c>
      <c r="G260">
        <v>5</v>
      </c>
      <c r="H260">
        <v>0</v>
      </c>
      <c r="I260" t="s">
        <v>35</v>
      </c>
      <c r="J260">
        <v>95</v>
      </c>
      <c r="K260" t="s">
        <v>18</v>
      </c>
      <c r="L260">
        <v>103</v>
      </c>
    </row>
    <row r="261" spans="1:12" x14ac:dyDescent="0.25">
      <c r="A261">
        <v>400578422</v>
      </c>
      <c r="B261">
        <v>2015</v>
      </c>
      <c r="C261" s="1">
        <v>41957</v>
      </c>
      <c r="D261" t="s">
        <v>35</v>
      </c>
      <c r="E261">
        <v>0</v>
      </c>
      <c r="F261">
        <v>5</v>
      </c>
      <c r="G261">
        <v>4</v>
      </c>
      <c r="H261">
        <v>1</v>
      </c>
      <c r="I261" t="s">
        <v>35</v>
      </c>
      <c r="J261">
        <v>95</v>
      </c>
      <c r="K261" t="s">
        <v>18</v>
      </c>
      <c r="L261">
        <v>103</v>
      </c>
    </row>
    <row r="262" spans="1:12" x14ac:dyDescent="0.25">
      <c r="A262">
        <v>400578423</v>
      </c>
      <c r="B262">
        <v>2015</v>
      </c>
      <c r="C262" s="1">
        <v>41957</v>
      </c>
      <c r="D262" t="s">
        <v>17</v>
      </c>
      <c r="E262">
        <v>0</v>
      </c>
      <c r="F262">
        <v>1</v>
      </c>
      <c r="G262">
        <v>8</v>
      </c>
      <c r="H262">
        <v>1</v>
      </c>
      <c r="I262" t="s">
        <v>17</v>
      </c>
      <c r="J262">
        <v>80</v>
      </c>
      <c r="K262" t="s">
        <v>15</v>
      </c>
      <c r="L262">
        <v>93</v>
      </c>
    </row>
    <row r="263" spans="1:12" x14ac:dyDescent="0.25">
      <c r="A263">
        <v>400578423</v>
      </c>
      <c r="B263">
        <v>2015</v>
      </c>
      <c r="C263" s="1">
        <v>41957</v>
      </c>
      <c r="D263" t="s">
        <v>15</v>
      </c>
      <c r="E263">
        <v>1</v>
      </c>
      <c r="F263">
        <v>5</v>
      </c>
      <c r="G263">
        <v>3</v>
      </c>
      <c r="H263">
        <v>0</v>
      </c>
      <c r="I263" t="s">
        <v>17</v>
      </c>
      <c r="J263">
        <v>80</v>
      </c>
      <c r="K263" t="s">
        <v>15</v>
      </c>
      <c r="L263">
        <v>93</v>
      </c>
    </row>
    <row r="264" spans="1:12" x14ac:dyDescent="0.25">
      <c r="A264">
        <v>400578424</v>
      </c>
      <c r="B264">
        <v>2015</v>
      </c>
      <c r="C264" s="1">
        <v>41958</v>
      </c>
      <c r="D264" t="s">
        <v>13</v>
      </c>
      <c r="E264">
        <v>0</v>
      </c>
      <c r="F264">
        <v>4</v>
      </c>
      <c r="G264">
        <v>7</v>
      </c>
      <c r="H264">
        <v>0</v>
      </c>
      <c r="I264" t="s">
        <v>25</v>
      </c>
      <c r="J264">
        <v>98</v>
      </c>
      <c r="K264" t="s">
        <v>13</v>
      </c>
      <c r="L264">
        <v>93</v>
      </c>
    </row>
    <row r="265" spans="1:12" x14ac:dyDescent="0.25">
      <c r="A265">
        <v>400578424</v>
      </c>
      <c r="B265">
        <v>2015</v>
      </c>
      <c r="C265" s="1">
        <v>41958</v>
      </c>
      <c r="D265" t="s">
        <v>25</v>
      </c>
      <c r="E265">
        <v>1</v>
      </c>
      <c r="F265">
        <v>7</v>
      </c>
      <c r="G265">
        <v>2</v>
      </c>
      <c r="H265">
        <v>1</v>
      </c>
      <c r="I265" t="s">
        <v>25</v>
      </c>
      <c r="J265">
        <v>98</v>
      </c>
      <c r="K265" t="s">
        <v>13</v>
      </c>
      <c r="L265">
        <v>93</v>
      </c>
    </row>
    <row r="266" spans="1:12" x14ac:dyDescent="0.25">
      <c r="A266">
        <v>400578425</v>
      </c>
      <c r="B266">
        <v>2015</v>
      </c>
      <c r="C266" s="1">
        <v>41958</v>
      </c>
      <c r="D266" t="s">
        <v>26</v>
      </c>
      <c r="E266">
        <v>0</v>
      </c>
      <c r="F266">
        <v>5</v>
      </c>
      <c r="G266">
        <v>4</v>
      </c>
      <c r="H266">
        <v>0</v>
      </c>
      <c r="I266" t="s">
        <v>40</v>
      </c>
      <c r="J266">
        <v>127</v>
      </c>
      <c r="K266" t="s">
        <v>26</v>
      </c>
      <c r="L266">
        <v>94</v>
      </c>
    </row>
    <row r="267" spans="1:12" x14ac:dyDescent="0.25">
      <c r="A267">
        <v>400578425</v>
      </c>
      <c r="B267">
        <v>2015</v>
      </c>
      <c r="C267" s="1">
        <v>41958</v>
      </c>
      <c r="D267" t="s">
        <v>40</v>
      </c>
      <c r="E267">
        <v>1</v>
      </c>
      <c r="F267">
        <v>5</v>
      </c>
      <c r="G267">
        <v>3</v>
      </c>
      <c r="H267">
        <v>1</v>
      </c>
      <c r="I267" t="s">
        <v>40</v>
      </c>
      <c r="J267">
        <v>127</v>
      </c>
      <c r="K267" t="s">
        <v>26</v>
      </c>
      <c r="L267">
        <v>94</v>
      </c>
    </row>
    <row r="268" spans="1:12" x14ac:dyDescent="0.25">
      <c r="A268">
        <v>400578426</v>
      </c>
      <c r="B268">
        <v>2015</v>
      </c>
      <c r="C268" s="1">
        <v>41958</v>
      </c>
      <c r="D268" t="s">
        <v>27</v>
      </c>
      <c r="E268">
        <v>1</v>
      </c>
      <c r="F268">
        <v>8</v>
      </c>
      <c r="G268">
        <v>2</v>
      </c>
      <c r="H268">
        <v>1</v>
      </c>
      <c r="I268" t="s">
        <v>27</v>
      </c>
      <c r="J268">
        <v>111</v>
      </c>
      <c r="K268" t="s">
        <v>34</v>
      </c>
      <c r="L268">
        <v>93</v>
      </c>
    </row>
    <row r="269" spans="1:12" x14ac:dyDescent="0.25">
      <c r="A269">
        <v>400578426</v>
      </c>
      <c r="B269">
        <v>2015</v>
      </c>
      <c r="C269" s="1">
        <v>41958</v>
      </c>
      <c r="D269" t="s">
        <v>34</v>
      </c>
      <c r="E269">
        <v>0</v>
      </c>
      <c r="F269">
        <v>4</v>
      </c>
      <c r="G269">
        <v>7</v>
      </c>
      <c r="H269">
        <v>0</v>
      </c>
      <c r="I269" t="s">
        <v>27</v>
      </c>
      <c r="J269">
        <v>111</v>
      </c>
      <c r="K269" t="s">
        <v>34</v>
      </c>
      <c r="L269">
        <v>93</v>
      </c>
    </row>
    <row r="270" spans="1:12" x14ac:dyDescent="0.25">
      <c r="A270">
        <v>400578427</v>
      </c>
      <c r="B270">
        <v>2015</v>
      </c>
      <c r="C270" s="1">
        <v>41958</v>
      </c>
      <c r="D270" t="s">
        <v>30</v>
      </c>
      <c r="E270">
        <v>0</v>
      </c>
      <c r="F270">
        <v>7</v>
      </c>
      <c r="G270">
        <v>3</v>
      </c>
      <c r="H270">
        <v>1</v>
      </c>
      <c r="I270" t="s">
        <v>30</v>
      </c>
      <c r="J270">
        <v>90</v>
      </c>
      <c r="K270" t="s">
        <v>20</v>
      </c>
      <c r="L270">
        <v>99</v>
      </c>
    </row>
    <row r="271" spans="1:12" x14ac:dyDescent="0.25">
      <c r="A271">
        <v>400578427</v>
      </c>
      <c r="B271">
        <v>2015</v>
      </c>
      <c r="C271" s="1">
        <v>41958</v>
      </c>
      <c r="D271" t="s">
        <v>20</v>
      </c>
      <c r="E271">
        <v>1</v>
      </c>
      <c r="F271">
        <v>4</v>
      </c>
      <c r="G271">
        <v>7</v>
      </c>
      <c r="H271">
        <v>0</v>
      </c>
      <c r="I271" t="s">
        <v>30</v>
      </c>
      <c r="J271">
        <v>90</v>
      </c>
      <c r="K271" t="s">
        <v>20</v>
      </c>
      <c r="L271">
        <v>99</v>
      </c>
    </row>
    <row r="272" spans="1:12" x14ac:dyDescent="0.25">
      <c r="A272">
        <v>400578428</v>
      </c>
      <c r="B272">
        <v>2015</v>
      </c>
      <c r="C272" s="1">
        <v>41958</v>
      </c>
      <c r="D272" t="s">
        <v>33</v>
      </c>
      <c r="E272">
        <v>0</v>
      </c>
      <c r="F272">
        <v>3</v>
      </c>
      <c r="G272">
        <v>7</v>
      </c>
      <c r="H272">
        <v>0</v>
      </c>
      <c r="I272" t="s">
        <v>28</v>
      </c>
      <c r="J272">
        <v>95</v>
      </c>
      <c r="K272" t="s">
        <v>33</v>
      </c>
      <c r="L272">
        <v>88</v>
      </c>
    </row>
    <row r="273" spans="1:12" x14ac:dyDescent="0.25">
      <c r="A273">
        <v>400578428</v>
      </c>
      <c r="B273">
        <v>2015</v>
      </c>
      <c r="C273" s="1">
        <v>41958</v>
      </c>
      <c r="D273" t="s">
        <v>28</v>
      </c>
      <c r="E273">
        <v>1</v>
      </c>
      <c r="F273">
        <v>9</v>
      </c>
      <c r="G273">
        <v>1</v>
      </c>
      <c r="H273">
        <v>1</v>
      </c>
      <c r="I273" t="s">
        <v>28</v>
      </c>
      <c r="J273">
        <v>95</v>
      </c>
      <c r="K273" t="s">
        <v>33</v>
      </c>
      <c r="L273">
        <v>88</v>
      </c>
    </row>
    <row r="274" spans="1:12" x14ac:dyDescent="0.25">
      <c r="A274">
        <v>400578429</v>
      </c>
      <c r="B274">
        <v>2015</v>
      </c>
      <c r="C274" s="1">
        <v>41958</v>
      </c>
      <c r="D274" t="s">
        <v>14</v>
      </c>
      <c r="E274">
        <v>1</v>
      </c>
      <c r="F274">
        <v>7</v>
      </c>
      <c r="G274">
        <v>3</v>
      </c>
      <c r="H274">
        <v>1</v>
      </c>
      <c r="I274" t="s">
        <v>14</v>
      </c>
      <c r="J274">
        <v>131</v>
      </c>
      <c r="K274" t="s">
        <v>29</v>
      </c>
      <c r="L274">
        <v>117</v>
      </c>
    </row>
    <row r="275" spans="1:12" x14ac:dyDescent="0.25">
      <c r="A275">
        <v>400578429</v>
      </c>
      <c r="B275">
        <v>2015</v>
      </c>
      <c r="C275" s="1">
        <v>41958</v>
      </c>
      <c r="D275" t="s">
        <v>29</v>
      </c>
      <c r="E275">
        <v>0</v>
      </c>
      <c r="F275">
        <v>2</v>
      </c>
      <c r="G275">
        <v>7</v>
      </c>
      <c r="H275">
        <v>0</v>
      </c>
      <c r="I275" t="s">
        <v>14</v>
      </c>
      <c r="J275">
        <v>131</v>
      </c>
      <c r="K275" t="s">
        <v>29</v>
      </c>
      <c r="L275">
        <v>117</v>
      </c>
    </row>
    <row r="276" spans="1:12" x14ac:dyDescent="0.25">
      <c r="A276">
        <v>400578430</v>
      </c>
      <c r="B276">
        <v>2015</v>
      </c>
      <c r="C276" s="1">
        <v>41958</v>
      </c>
      <c r="D276" t="s">
        <v>23</v>
      </c>
      <c r="E276">
        <v>0</v>
      </c>
      <c r="F276">
        <v>4</v>
      </c>
      <c r="G276">
        <v>5</v>
      </c>
      <c r="H276">
        <v>0</v>
      </c>
      <c r="I276" t="s">
        <v>39</v>
      </c>
      <c r="J276">
        <v>97</v>
      </c>
      <c r="K276" t="s">
        <v>23</v>
      </c>
      <c r="L276">
        <v>87</v>
      </c>
    </row>
    <row r="277" spans="1:12" x14ac:dyDescent="0.25">
      <c r="A277">
        <v>400578430</v>
      </c>
      <c r="B277">
        <v>2015</v>
      </c>
      <c r="C277" s="1">
        <v>41958</v>
      </c>
      <c r="D277" t="s">
        <v>39</v>
      </c>
      <c r="E277">
        <v>1</v>
      </c>
      <c r="F277">
        <v>7</v>
      </c>
      <c r="G277">
        <v>3</v>
      </c>
      <c r="H277">
        <v>1</v>
      </c>
      <c r="I277" t="s">
        <v>39</v>
      </c>
      <c r="J277">
        <v>97</v>
      </c>
      <c r="K277" t="s">
        <v>23</v>
      </c>
      <c r="L277">
        <v>87</v>
      </c>
    </row>
    <row r="278" spans="1:12" x14ac:dyDescent="0.25">
      <c r="A278">
        <v>400578431</v>
      </c>
      <c r="B278">
        <v>2015</v>
      </c>
      <c r="C278" s="1">
        <v>41958</v>
      </c>
      <c r="D278" t="s">
        <v>37</v>
      </c>
      <c r="E278">
        <v>1</v>
      </c>
      <c r="F278">
        <v>6</v>
      </c>
      <c r="G278">
        <v>4</v>
      </c>
      <c r="H278">
        <v>1</v>
      </c>
      <c r="I278" t="s">
        <v>37</v>
      </c>
      <c r="J278">
        <v>94</v>
      </c>
      <c r="K278" t="s">
        <v>15</v>
      </c>
      <c r="L278">
        <v>91</v>
      </c>
    </row>
    <row r="279" spans="1:12" x14ac:dyDescent="0.25">
      <c r="A279">
        <v>400578431</v>
      </c>
      <c r="B279">
        <v>2015</v>
      </c>
      <c r="C279" s="1">
        <v>41958</v>
      </c>
      <c r="D279" t="s">
        <v>15</v>
      </c>
      <c r="E279">
        <v>0</v>
      </c>
      <c r="F279">
        <v>5</v>
      </c>
      <c r="G279">
        <v>4</v>
      </c>
      <c r="H279">
        <v>0</v>
      </c>
      <c r="I279" t="s">
        <v>37</v>
      </c>
      <c r="J279">
        <v>94</v>
      </c>
      <c r="K279" t="s">
        <v>15</v>
      </c>
      <c r="L279">
        <v>91</v>
      </c>
    </row>
    <row r="280" spans="1:12" x14ac:dyDescent="0.25">
      <c r="A280">
        <v>400578432</v>
      </c>
      <c r="B280">
        <v>2015</v>
      </c>
      <c r="C280" s="1">
        <v>41958</v>
      </c>
      <c r="D280" t="s">
        <v>18</v>
      </c>
      <c r="E280">
        <v>0</v>
      </c>
      <c r="F280">
        <v>4</v>
      </c>
      <c r="G280">
        <v>6</v>
      </c>
      <c r="H280">
        <v>0</v>
      </c>
      <c r="I280" t="s">
        <v>36</v>
      </c>
      <c r="J280">
        <v>112</v>
      </c>
      <c r="K280" t="s">
        <v>18</v>
      </c>
      <c r="L280">
        <v>87</v>
      </c>
    </row>
    <row r="281" spans="1:12" x14ac:dyDescent="0.25">
      <c r="A281">
        <v>400578432</v>
      </c>
      <c r="B281">
        <v>2015</v>
      </c>
      <c r="C281" s="1">
        <v>41958</v>
      </c>
      <c r="D281" t="s">
        <v>36</v>
      </c>
      <c r="E281">
        <v>1</v>
      </c>
      <c r="F281">
        <v>7</v>
      </c>
      <c r="G281">
        <v>2</v>
      </c>
      <c r="H281">
        <v>1</v>
      </c>
      <c r="I281" t="s">
        <v>36</v>
      </c>
      <c r="J281">
        <v>112</v>
      </c>
      <c r="K281" t="s">
        <v>18</v>
      </c>
      <c r="L281">
        <v>87</v>
      </c>
    </row>
    <row r="282" spans="1:12" x14ac:dyDescent="0.25">
      <c r="A282">
        <v>400578433</v>
      </c>
      <c r="B282">
        <v>2015</v>
      </c>
      <c r="C282" s="1">
        <v>41958</v>
      </c>
      <c r="D282" t="s">
        <v>41</v>
      </c>
      <c r="E282">
        <v>1</v>
      </c>
      <c r="F282">
        <v>5</v>
      </c>
      <c r="G282">
        <v>3</v>
      </c>
      <c r="H282">
        <v>1</v>
      </c>
      <c r="I282" t="s">
        <v>41</v>
      </c>
      <c r="J282">
        <v>120</v>
      </c>
      <c r="K282" t="s">
        <v>35</v>
      </c>
      <c r="L282">
        <v>107</v>
      </c>
    </row>
    <row r="283" spans="1:12" x14ac:dyDescent="0.25">
      <c r="A283">
        <v>400578433</v>
      </c>
      <c r="B283">
        <v>2015</v>
      </c>
      <c r="C283" s="1">
        <v>41958</v>
      </c>
      <c r="D283" t="s">
        <v>35</v>
      </c>
      <c r="E283">
        <v>0</v>
      </c>
      <c r="F283">
        <v>5</v>
      </c>
      <c r="G283">
        <v>5</v>
      </c>
      <c r="H283">
        <v>0</v>
      </c>
      <c r="I283" t="s">
        <v>41</v>
      </c>
      <c r="J283">
        <v>120</v>
      </c>
      <c r="K283" t="s">
        <v>35</v>
      </c>
      <c r="L283">
        <v>107</v>
      </c>
    </row>
    <row r="284" spans="1:12" x14ac:dyDescent="0.25">
      <c r="A284">
        <v>400578434</v>
      </c>
      <c r="B284">
        <v>2015</v>
      </c>
      <c r="C284" s="1">
        <v>41959</v>
      </c>
      <c r="D284" t="s">
        <v>32</v>
      </c>
      <c r="E284">
        <v>0</v>
      </c>
      <c r="F284">
        <v>2</v>
      </c>
      <c r="G284">
        <v>7</v>
      </c>
      <c r="H284">
        <v>0</v>
      </c>
      <c r="I284" t="s">
        <v>31</v>
      </c>
      <c r="J284">
        <v>109</v>
      </c>
      <c r="K284" t="s">
        <v>32</v>
      </c>
      <c r="L284">
        <v>93</v>
      </c>
    </row>
    <row r="285" spans="1:12" x14ac:dyDescent="0.25">
      <c r="A285">
        <v>400578434</v>
      </c>
      <c r="B285">
        <v>2015</v>
      </c>
      <c r="C285" s="1">
        <v>41959</v>
      </c>
      <c r="D285" t="s">
        <v>31</v>
      </c>
      <c r="E285">
        <v>1</v>
      </c>
      <c r="F285">
        <v>3</v>
      </c>
      <c r="G285">
        <v>8</v>
      </c>
      <c r="H285">
        <v>1</v>
      </c>
      <c r="I285" t="s">
        <v>31</v>
      </c>
      <c r="J285">
        <v>109</v>
      </c>
      <c r="K285" t="s">
        <v>32</v>
      </c>
      <c r="L285">
        <v>93</v>
      </c>
    </row>
    <row r="286" spans="1:12" x14ac:dyDescent="0.25">
      <c r="A286">
        <v>400578435</v>
      </c>
      <c r="B286">
        <v>2015</v>
      </c>
      <c r="C286" s="1">
        <v>41959</v>
      </c>
      <c r="D286" t="s">
        <v>24</v>
      </c>
      <c r="E286">
        <v>0</v>
      </c>
      <c r="F286">
        <v>5</v>
      </c>
      <c r="G286">
        <v>5</v>
      </c>
      <c r="H286">
        <v>1</v>
      </c>
      <c r="I286" t="s">
        <v>24</v>
      </c>
      <c r="J286">
        <v>84</v>
      </c>
      <c r="K286" t="s">
        <v>19</v>
      </c>
      <c r="L286">
        <v>91</v>
      </c>
    </row>
    <row r="287" spans="1:12" x14ac:dyDescent="0.25">
      <c r="A287">
        <v>400578435</v>
      </c>
      <c r="B287">
        <v>2015</v>
      </c>
      <c r="C287" s="1">
        <v>41959</v>
      </c>
      <c r="D287" t="s">
        <v>19</v>
      </c>
      <c r="E287">
        <v>1</v>
      </c>
      <c r="F287">
        <v>5</v>
      </c>
      <c r="G287">
        <v>5</v>
      </c>
      <c r="H287">
        <v>0</v>
      </c>
      <c r="I287" t="s">
        <v>24</v>
      </c>
      <c r="J287">
        <v>84</v>
      </c>
      <c r="K287" t="s">
        <v>19</v>
      </c>
      <c r="L287">
        <v>91</v>
      </c>
    </row>
    <row r="288" spans="1:12" x14ac:dyDescent="0.25">
      <c r="A288">
        <v>400578436</v>
      </c>
      <c r="B288">
        <v>2015</v>
      </c>
      <c r="C288" s="1">
        <v>41959</v>
      </c>
      <c r="D288" t="s">
        <v>16</v>
      </c>
      <c r="E288">
        <v>1</v>
      </c>
      <c r="F288">
        <v>9</v>
      </c>
      <c r="G288">
        <v>1</v>
      </c>
      <c r="H288">
        <v>0</v>
      </c>
      <c r="I288" t="s">
        <v>38</v>
      </c>
      <c r="J288">
        <v>65</v>
      </c>
      <c r="K288" t="s">
        <v>16</v>
      </c>
      <c r="L288">
        <v>69</v>
      </c>
    </row>
    <row r="289" spans="1:12" x14ac:dyDescent="0.25">
      <c r="A289">
        <v>400578436</v>
      </c>
      <c r="B289">
        <v>2015</v>
      </c>
      <c r="C289" s="1">
        <v>41959</v>
      </c>
      <c r="D289" t="s">
        <v>38</v>
      </c>
      <c r="E289">
        <v>0</v>
      </c>
      <c r="F289">
        <v>3</v>
      </c>
      <c r="G289">
        <v>8</v>
      </c>
      <c r="H289">
        <v>1</v>
      </c>
      <c r="I289" t="s">
        <v>38</v>
      </c>
      <c r="J289">
        <v>65</v>
      </c>
      <c r="K289" t="s">
        <v>16</v>
      </c>
      <c r="L289">
        <v>69</v>
      </c>
    </row>
    <row r="290" spans="1:12" x14ac:dyDescent="0.25">
      <c r="A290">
        <v>400578437</v>
      </c>
      <c r="B290">
        <v>2015</v>
      </c>
      <c r="C290" s="1">
        <v>41959</v>
      </c>
      <c r="D290" t="s">
        <v>36</v>
      </c>
      <c r="E290">
        <v>1</v>
      </c>
      <c r="F290">
        <v>8</v>
      </c>
      <c r="G290">
        <v>2</v>
      </c>
      <c r="H290">
        <v>0</v>
      </c>
      <c r="I290" t="s">
        <v>17</v>
      </c>
      <c r="J290">
        <v>115</v>
      </c>
      <c r="K290" t="s">
        <v>36</v>
      </c>
      <c r="L290">
        <v>136</v>
      </c>
    </row>
    <row r="291" spans="1:12" x14ac:dyDescent="0.25">
      <c r="A291">
        <v>400578437</v>
      </c>
      <c r="B291">
        <v>2015</v>
      </c>
      <c r="C291" s="1">
        <v>41959</v>
      </c>
      <c r="D291" t="s">
        <v>17</v>
      </c>
      <c r="E291">
        <v>0</v>
      </c>
      <c r="F291">
        <v>1</v>
      </c>
      <c r="G291">
        <v>9</v>
      </c>
      <c r="H291">
        <v>1</v>
      </c>
      <c r="I291" t="s">
        <v>17</v>
      </c>
      <c r="J291">
        <v>115</v>
      </c>
      <c r="K291" t="s">
        <v>36</v>
      </c>
      <c r="L291">
        <v>136</v>
      </c>
    </row>
    <row r="292" spans="1:12" x14ac:dyDescent="0.25">
      <c r="A292">
        <v>400578438</v>
      </c>
      <c r="B292">
        <v>2015</v>
      </c>
      <c r="C292" s="1">
        <v>41960</v>
      </c>
      <c r="D292" t="s">
        <v>18</v>
      </c>
      <c r="E292">
        <v>0</v>
      </c>
      <c r="F292">
        <v>4</v>
      </c>
      <c r="G292">
        <v>7</v>
      </c>
      <c r="H292">
        <v>1</v>
      </c>
      <c r="I292" t="s">
        <v>18</v>
      </c>
      <c r="J292">
        <v>80</v>
      </c>
      <c r="K292" t="s">
        <v>14</v>
      </c>
      <c r="L292">
        <v>107</v>
      </c>
    </row>
    <row r="293" spans="1:12" x14ac:dyDescent="0.25">
      <c r="A293">
        <v>400578438</v>
      </c>
      <c r="B293">
        <v>2015</v>
      </c>
      <c r="C293" s="1">
        <v>41960</v>
      </c>
      <c r="D293" t="s">
        <v>14</v>
      </c>
      <c r="E293">
        <v>1</v>
      </c>
      <c r="F293">
        <v>8</v>
      </c>
      <c r="G293">
        <v>3</v>
      </c>
      <c r="H293">
        <v>0</v>
      </c>
      <c r="I293" t="s">
        <v>18</v>
      </c>
      <c r="J293">
        <v>80</v>
      </c>
      <c r="K293" t="s">
        <v>14</v>
      </c>
      <c r="L293">
        <v>107</v>
      </c>
    </row>
    <row r="294" spans="1:12" x14ac:dyDescent="0.25">
      <c r="A294">
        <v>400578439</v>
      </c>
      <c r="B294">
        <v>2015</v>
      </c>
      <c r="C294" s="1">
        <v>41960</v>
      </c>
      <c r="D294" t="s">
        <v>40</v>
      </c>
      <c r="E294">
        <v>0</v>
      </c>
      <c r="F294">
        <v>5</v>
      </c>
      <c r="G294">
        <v>4</v>
      </c>
      <c r="H294">
        <v>1</v>
      </c>
      <c r="I294" t="s">
        <v>40</v>
      </c>
      <c r="J294">
        <v>97</v>
      </c>
      <c r="K294" t="s">
        <v>32</v>
      </c>
      <c r="L294">
        <v>106</v>
      </c>
    </row>
    <row r="295" spans="1:12" x14ac:dyDescent="0.25">
      <c r="A295">
        <v>400578439</v>
      </c>
      <c r="B295">
        <v>2015</v>
      </c>
      <c r="C295" s="1">
        <v>41960</v>
      </c>
      <c r="D295" t="s">
        <v>32</v>
      </c>
      <c r="E295">
        <v>1</v>
      </c>
      <c r="F295">
        <v>3</v>
      </c>
      <c r="G295">
        <v>7</v>
      </c>
      <c r="H295">
        <v>0</v>
      </c>
      <c r="I295" t="s">
        <v>40</v>
      </c>
      <c r="J295">
        <v>97</v>
      </c>
      <c r="K295" t="s">
        <v>32</v>
      </c>
      <c r="L295">
        <v>106</v>
      </c>
    </row>
    <row r="296" spans="1:12" x14ac:dyDescent="0.25">
      <c r="A296">
        <v>400578440</v>
      </c>
      <c r="B296">
        <v>2015</v>
      </c>
      <c r="C296" s="1">
        <v>41960</v>
      </c>
      <c r="D296" t="s">
        <v>22</v>
      </c>
      <c r="E296">
        <v>0</v>
      </c>
      <c r="F296">
        <v>3</v>
      </c>
      <c r="G296">
        <v>6</v>
      </c>
      <c r="H296">
        <v>1</v>
      </c>
      <c r="I296" t="s">
        <v>22</v>
      </c>
      <c r="J296">
        <v>114</v>
      </c>
      <c r="K296" t="s">
        <v>35</v>
      </c>
      <c r="L296">
        <v>118</v>
      </c>
    </row>
    <row r="297" spans="1:12" x14ac:dyDescent="0.25">
      <c r="A297">
        <v>400578440</v>
      </c>
      <c r="B297">
        <v>2015</v>
      </c>
      <c r="C297" s="1">
        <v>41960</v>
      </c>
      <c r="D297" t="s">
        <v>35</v>
      </c>
      <c r="E297">
        <v>1</v>
      </c>
      <c r="F297">
        <v>6</v>
      </c>
      <c r="G297">
        <v>5</v>
      </c>
      <c r="H297">
        <v>0</v>
      </c>
      <c r="I297" t="s">
        <v>22</v>
      </c>
      <c r="J297">
        <v>114</v>
      </c>
      <c r="K297" t="s">
        <v>35</v>
      </c>
      <c r="L297">
        <v>118</v>
      </c>
    </row>
    <row r="298" spans="1:12" x14ac:dyDescent="0.25">
      <c r="A298">
        <v>400578441</v>
      </c>
      <c r="B298">
        <v>2015</v>
      </c>
      <c r="C298" s="1">
        <v>41960</v>
      </c>
      <c r="D298" t="s">
        <v>23</v>
      </c>
      <c r="E298">
        <v>0</v>
      </c>
      <c r="F298">
        <v>4</v>
      </c>
      <c r="G298">
        <v>6</v>
      </c>
      <c r="H298">
        <v>1</v>
      </c>
      <c r="I298" t="s">
        <v>23</v>
      </c>
      <c r="J298">
        <v>83</v>
      </c>
      <c r="K298" t="s">
        <v>24</v>
      </c>
      <c r="L298">
        <v>95</v>
      </c>
    </row>
    <row r="299" spans="1:12" x14ac:dyDescent="0.25">
      <c r="A299">
        <v>400578441</v>
      </c>
      <c r="B299">
        <v>2015</v>
      </c>
      <c r="C299" s="1">
        <v>41960</v>
      </c>
      <c r="D299" t="s">
        <v>24</v>
      </c>
      <c r="E299">
        <v>1</v>
      </c>
      <c r="F299">
        <v>6</v>
      </c>
      <c r="G299">
        <v>5</v>
      </c>
      <c r="H299">
        <v>0</v>
      </c>
      <c r="I299" t="s">
        <v>23</v>
      </c>
      <c r="J299">
        <v>83</v>
      </c>
      <c r="K299" t="s">
        <v>24</v>
      </c>
      <c r="L299">
        <v>95</v>
      </c>
    </row>
    <row r="300" spans="1:12" x14ac:dyDescent="0.25">
      <c r="A300">
        <v>400578442</v>
      </c>
      <c r="B300">
        <v>2015</v>
      </c>
      <c r="C300" s="1">
        <v>41960</v>
      </c>
      <c r="D300" t="s">
        <v>33</v>
      </c>
      <c r="E300">
        <v>0</v>
      </c>
      <c r="F300">
        <v>3</v>
      </c>
      <c r="G300">
        <v>8</v>
      </c>
      <c r="H300">
        <v>1</v>
      </c>
      <c r="I300" t="s">
        <v>33</v>
      </c>
      <c r="J300">
        <v>93</v>
      </c>
      <c r="K300" t="s">
        <v>13</v>
      </c>
      <c r="L300">
        <v>107</v>
      </c>
    </row>
    <row r="301" spans="1:12" x14ac:dyDescent="0.25">
      <c r="A301">
        <v>400578442</v>
      </c>
      <c r="B301">
        <v>2015</v>
      </c>
      <c r="C301" s="1">
        <v>41960</v>
      </c>
      <c r="D301" t="s">
        <v>13</v>
      </c>
      <c r="E301">
        <v>1</v>
      </c>
      <c r="F301">
        <v>5</v>
      </c>
      <c r="G301">
        <v>7</v>
      </c>
      <c r="H301">
        <v>0</v>
      </c>
      <c r="I301" t="s">
        <v>33</v>
      </c>
      <c r="J301">
        <v>93</v>
      </c>
      <c r="K301" t="s">
        <v>13</v>
      </c>
      <c r="L301">
        <v>107</v>
      </c>
    </row>
    <row r="302" spans="1:12" x14ac:dyDescent="0.25">
      <c r="A302">
        <v>400578443</v>
      </c>
      <c r="B302">
        <v>2015</v>
      </c>
      <c r="C302" s="1">
        <v>41960</v>
      </c>
      <c r="D302" t="s">
        <v>16</v>
      </c>
      <c r="E302">
        <v>0</v>
      </c>
      <c r="F302">
        <v>9</v>
      </c>
      <c r="G302">
        <v>2</v>
      </c>
      <c r="H302">
        <v>0</v>
      </c>
      <c r="I302" t="s">
        <v>28</v>
      </c>
      <c r="J302">
        <v>119</v>
      </c>
      <c r="K302" t="s">
        <v>16</v>
      </c>
      <c r="L302">
        <v>93</v>
      </c>
    </row>
    <row r="303" spans="1:12" x14ac:dyDescent="0.25">
      <c r="A303">
        <v>400578443</v>
      </c>
      <c r="B303">
        <v>2015</v>
      </c>
      <c r="C303" s="1">
        <v>41960</v>
      </c>
      <c r="D303" t="s">
        <v>28</v>
      </c>
      <c r="E303">
        <v>1</v>
      </c>
      <c r="F303">
        <v>10</v>
      </c>
      <c r="G303">
        <v>1</v>
      </c>
      <c r="H303">
        <v>1</v>
      </c>
      <c r="I303" t="s">
        <v>28</v>
      </c>
      <c r="J303">
        <v>119</v>
      </c>
      <c r="K303" t="s">
        <v>16</v>
      </c>
      <c r="L303">
        <v>93</v>
      </c>
    </row>
    <row r="304" spans="1:12" x14ac:dyDescent="0.25">
      <c r="A304">
        <v>400578444</v>
      </c>
      <c r="B304">
        <v>2015</v>
      </c>
      <c r="C304" s="1">
        <v>41960</v>
      </c>
      <c r="D304" t="s">
        <v>21</v>
      </c>
      <c r="E304">
        <v>0</v>
      </c>
      <c r="F304">
        <v>0</v>
      </c>
      <c r="G304">
        <v>10</v>
      </c>
      <c r="H304">
        <v>0</v>
      </c>
      <c r="I304" t="s">
        <v>15</v>
      </c>
      <c r="J304">
        <v>100</v>
      </c>
      <c r="K304" t="s">
        <v>21</v>
      </c>
      <c r="L304">
        <v>75</v>
      </c>
    </row>
    <row r="305" spans="1:12" x14ac:dyDescent="0.25">
      <c r="A305">
        <v>400578444</v>
      </c>
      <c r="B305">
        <v>2015</v>
      </c>
      <c r="C305" s="1">
        <v>41960</v>
      </c>
      <c r="D305" t="s">
        <v>15</v>
      </c>
      <c r="E305">
        <v>1</v>
      </c>
      <c r="F305">
        <v>6</v>
      </c>
      <c r="G305">
        <v>4</v>
      </c>
      <c r="H305">
        <v>1</v>
      </c>
      <c r="I305" t="s">
        <v>15</v>
      </c>
      <c r="J305">
        <v>100</v>
      </c>
      <c r="K305" t="s">
        <v>21</v>
      </c>
      <c r="L305">
        <v>75</v>
      </c>
    </row>
    <row r="306" spans="1:12" x14ac:dyDescent="0.25">
      <c r="A306">
        <v>400578445</v>
      </c>
      <c r="B306">
        <v>2015</v>
      </c>
      <c r="C306" s="1">
        <v>41960</v>
      </c>
      <c r="D306" t="s">
        <v>12</v>
      </c>
      <c r="E306">
        <v>0</v>
      </c>
      <c r="F306">
        <v>5</v>
      </c>
      <c r="G306">
        <v>4</v>
      </c>
      <c r="H306">
        <v>0</v>
      </c>
      <c r="I306" t="s">
        <v>39</v>
      </c>
      <c r="J306">
        <v>102</v>
      </c>
      <c r="K306" t="s">
        <v>12</v>
      </c>
      <c r="L306">
        <v>93</v>
      </c>
    </row>
    <row r="307" spans="1:12" x14ac:dyDescent="0.25">
      <c r="A307">
        <v>400578445</v>
      </c>
      <c r="B307">
        <v>2015</v>
      </c>
      <c r="C307" s="1">
        <v>41960</v>
      </c>
      <c r="D307" t="s">
        <v>39</v>
      </c>
      <c r="E307">
        <v>1</v>
      </c>
      <c r="F307">
        <v>8</v>
      </c>
      <c r="G307">
        <v>3</v>
      </c>
      <c r="H307">
        <v>1</v>
      </c>
      <c r="I307" t="s">
        <v>39</v>
      </c>
      <c r="J307">
        <v>102</v>
      </c>
      <c r="K307" t="s">
        <v>12</v>
      </c>
      <c r="L307">
        <v>93</v>
      </c>
    </row>
    <row r="308" spans="1:12" x14ac:dyDescent="0.25">
      <c r="A308">
        <v>400578446</v>
      </c>
      <c r="B308">
        <v>2015</v>
      </c>
      <c r="C308" s="1">
        <v>41960</v>
      </c>
      <c r="D308" t="s">
        <v>30</v>
      </c>
      <c r="E308">
        <v>1</v>
      </c>
      <c r="F308">
        <v>8</v>
      </c>
      <c r="G308">
        <v>3</v>
      </c>
      <c r="H308">
        <v>0</v>
      </c>
      <c r="I308" t="s">
        <v>41</v>
      </c>
      <c r="J308">
        <v>89</v>
      </c>
      <c r="K308" t="s">
        <v>30</v>
      </c>
      <c r="L308">
        <v>105</v>
      </c>
    </row>
    <row r="309" spans="1:12" x14ac:dyDescent="0.25">
      <c r="A309">
        <v>400578446</v>
      </c>
      <c r="B309">
        <v>2015</v>
      </c>
      <c r="C309" s="1">
        <v>41960</v>
      </c>
      <c r="D309" t="s">
        <v>41</v>
      </c>
      <c r="E309">
        <v>0</v>
      </c>
      <c r="F309">
        <v>5</v>
      </c>
      <c r="G309">
        <v>4</v>
      </c>
      <c r="H309">
        <v>1</v>
      </c>
      <c r="I309" t="s">
        <v>41</v>
      </c>
      <c r="J309">
        <v>89</v>
      </c>
      <c r="K309" t="s">
        <v>30</v>
      </c>
      <c r="L309">
        <v>105</v>
      </c>
    </row>
    <row r="310" spans="1:12" x14ac:dyDescent="0.25">
      <c r="A310">
        <v>400578447</v>
      </c>
      <c r="B310">
        <v>2015</v>
      </c>
      <c r="C310" s="1">
        <v>41961</v>
      </c>
      <c r="D310" t="s">
        <v>26</v>
      </c>
      <c r="E310">
        <v>0</v>
      </c>
      <c r="F310">
        <v>5</v>
      </c>
      <c r="G310">
        <v>5</v>
      </c>
      <c r="H310">
        <v>1</v>
      </c>
      <c r="I310" t="s">
        <v>26</v>
      </c>
      <c r="J310">
        <v>109</v>
      </c>
      <c r="K310" t="s">
        <v>17</v>
      </c>
      <c r="L310">
        <v>114</v>
      </c>
    </row>
    <row r="311" spans="1:12" x14ac:dyDescent="0.25">
      <c r="A311">
        <v>400578447</v>
      </c>
      <c r="B311">
        <v>2015</v>
      </c>
      <c r="C311" s="1">
        <v>41961</v>
      </c>
      <c r="D311" t="s">
        <v>17</v>
      </c>
      <c r="E311">
        <v>1</v>
      </c>
      <c r="F311">
        <v>2</v>
      </c>
      <c r="G311">
        <v>9</v>
      </c>
      <c r="H311">
        <v>0</v>
      </c>
      <c r="I311" t="s">
        <v>26</v>
      </c>
      <c r="J311">
        <v>109</v>
      </c>
      <c r="K311" t="s">
        <v>17</v>
      </c>
      <c r="L311">
        <v>114</v>
      </c>
    </row>
    <row r="312" spans="1:12" x14ac:dyDescent="0.25">
      <c r="A312">
        <v>400578448</v>
      </c>
      <c r="B312">
        <v>2015</v>
      </c>
      <c r="C312" s="1">
        <v>41961</v>
      </c>
      <c r="D312" t="s">
        <v>19</v>
      </c>
      <c r="E312">
        <v>1</v>
      </c>
      <c r="F312">
        <v>6</v>
      </c>
      <c r="G312">
        <v>5</v>
      </c>
      <c r="H312">
        <v>1</v>
      </c>
      <c r="I312" t="s">
        <v>19</v>
      </c>
      <c r="J312">
        <v>117</v>
      </c>
      <c r="K312" t="s">
        <v>31</v>
      </c>
      <c r="L312">
        <v>113</v>
      </c>
    </row>
    <row r="313" spans="1:12" x14ac:dyDescent="0.25">
      <c r="A313">
        <v>400578448</v>
      </c>
      <c r="B313">
        <v>2015</v>
      </c>
      <c r="C313" s="1">
        <v>41961</v>
      </c>
      <c r="D313" t="s">
        <v>31</v>
      </c>
      <c r="E313">
        <v>0</v>
      </c>
      <c r="F313">
        <v>3</v>
      </c>
      <c r="G313">
        <v>9</v>
      </c>
      <c r="H313">
        <v>0</v>
      </c>
      <c r="I313" t="s">
        <v>19</v>
      </c>
      <c r="J313">
        <v>117</v>
      </c>
      <c r="K313" t="s">
        <v>31</v>
      </c>
      <c r="L313">
        <v>113</v>
      </c>
    </row>
    <row r="314" spans="1:12" x14ac:dyDescent="0.25">
      <c r="A314">
        <v>400578449</v>
      </c>
      <c r="B314">
        <v>2015</v>
      </c>
      <c r="C314" s="1">
        <v>41961</v>
      </c>
      <c r="D314" t="s">
        <v>38</v>
      </c>
      <c r="E314">
        <v>0</v>
      </c>
      <c r="F314">
        <v>3</v>
      </c>
      <c r="G314">
        <v>9</v>
      </c>
      <c r="H314">
        <v>0</v>
      </c>
      <c r="I314" t="s">
        <v>34</v>
      </c>
      <c r="J314">
        <v>98</v>
      </c>
      <c r="K314" t="s">
        <v>38</v>
      </c>
      <c r="L314">
        <v>81</v>
      </c>
    </row>
    <row r="315" spans="1:12" x14ac:dyDescent="0.25">
      <c r="A315">
        <v>400578449</v>
      </c>
      <c r="B315">
        <v>2015</v>
      </c>
      <c r="C315" s="1">
        <v>41961</v>
      </c>
      <c r="D315" t="s">
        <v>34</v>
      </c>
      <c r="E315">
        <v>1</v>
      </c>
      <c r="F315">
        <v>5</v>
      </c>
      <c r="G315">
        <v>7</v>
      </c>
      <c r="H315">
        <v>1</v>
      </c>
      <c r="I315" t="s">
        <v>34</v>
      </c>
      <c r="J315">
        <v>98</v>
      </c>
      <c r="K315" t="s">
        <v>38</v>
      </c>
      <c r="L315">
        <v>81</v>
      </c>
    </row>
    <row r="316" spans="1:12" x14ac:dyDescent="0.25">
      <c r="A316">
        <v>400578450</v>
      </c>
      <c r="B316">
        <v>2015</v>
      </c>
      <c r="C316" s="1">
        <v>41961</v>
      </c>
      <c r="D316" t="s">
        <v>12</v>
      </c>
      <c r="E316">
        <v>1</v>
      </c>
      <c r="F316">
        <v>6</v>
      </c>
      <c r="G316">
        <v>4</v>
      </c>
      <c r="H316">
        <v>0</v>
      </c>
      <c r="I316" t="s">
        <v>37</v>
      </c>
      <c r="J316">
        <v>100</v>
      </c>
      <c r="K316" t="s">
        <v>12</v>
      </c>
      <c r="L316">
        <v>106</v>
      </c>
    </row>
    <row r="317" spans="1:12" x14ac:dyDescent="0.25">
      <c r="A317">
        <v>400578450</v>
      </c>
      <c r="B317">
        <v>2015</v>
      </c>
      <c r="C317" s="1">
        <v>41961</v>
      </c>
      <c r="D317" t="s">
        <v>37</v>
      </c>
      <c r="E317">
        <v>0</v>
      </c>
      <c r="F317">
        <v>6</v>
      </c>
      <c r="G317">
        <v>5</v>
      </c>
      <c r="H317">
        <v>1</v>
      </c>
      <c r="I317" t="s">
        <v>37</v>
      </c>
      <c r="J317">
        <v>100</v>
      </c>
      <c r="K317" t="s">
        <v>12</v>
      </c>
      <c r="L317">
        <v>106</v>
      </c>
    </row>
    <row r="318" spans="1:12" x14ac:dyDescent="0.25">
      <c r="A318">
        <v>400578451</v>
      </c>
      <c r="B318">
        <v>2015</v>
      </c>
      <c r="C318" s="1">
        <v>41962</v>
      </c>
      <c r="D318" t="s">
        <v>40</v>
      </c>
      <c r="E318">
        <v>0</v>
      </c>
      <c r="F318">
        <v>5</v>
      </c>
      <c r="G318">
        <v>5</v>
      </c>
      <c r="H318">
        <v>1</v>
      </c>
      <c r="I318" t="s">
        <v>40</v>
      </c>
      <c r="J318">
        <v>90</v>
      </c>
      <c r="K318" t="s">
        <v>15</v>
      </c>
      <c r="L318">
        <v>92</v>
      </c>
    </row>
    <row r="319" spans="1:12" x14ac:dyDescent="0.25">
      <c r="A319">
        <v>400578451</v>
      </c>
      <c r="B319">
        <v>2015</v>
      </c>
      <c r="C319" s="1">
        <v>41962</v>
      </c>
      <c r="D319" t="s">
        <v>15</v>
      </c>
      <c r="E319">
        <v>1</v>
      </c>
      <c r="F319">
        <v>7</v>
      </c>
      <c r="G319">
        <v>4</v>
      </c>
      <c r="H319">
        <v>0</v>
      </c>
      <c r="I319" t="s">
        <v>40</v>
      </c>
      <c r="J319">
        <v>90</v>
      </c>
      <c r="K319" t="s">
        <v>15</v>
      </c>
      <c r="L319">
        <v>92</v>
      </c>
    </row>
    <row r="320" spans="1:12" x14ac:dyDescent="0.25">
      <c r="A320">
        <v>400578452</v>
      </c>
      <c r="B320">
        <v>2015</v>
      </c>
      <c r="C320" s="1">
        <v>41962</v>
      </c>
      <c r="D320" t="s">
        <v>18</v>
      </c>
      <c r="E320">
        <v>0</v>
      </c>
      <c r="F320">
        <v>4</v>
      </c>
      <c r="G320">
        <v>8</v>
      </c>
      <c r="H320">
        <v>0</v>
      </c>
      <c r="I320" t="s">
        <v>20</v>
      </c>
      <c r="J320">
        <v>88</v>
      </c>
      <c r="K320" t="s">
        <v>18</v>
      </c>
      <c r="L320">
        <v>86</v>
      </c>
    </row>
    <row r="321" spans="1:12" x14ac:dyDescent="0.25">
      <c r="A321">
        <v>400578452</v>
      </c>
      <c r="B321">
        <v>2015</v>
      </c>
      <c r="C321" s="1">
        <v>41962</v>
      </c>
      <c r="D321" t="s">
        <v>20</v>
      </c>
      <c r="E321">
        <v>1</v>
      </c>
      <c r="F321">
        <v>5</v>
      </c>
      <c r="G321">
        <v>7</v>
      </c>
      <c r="H321">
        <v>1</v>
      </c>
      <c r="I321" t="s">
        <v>20</v>
      </c>
      <c r="J321">
        <v>88</v>
      </c>
      <c r="K321" t="s">
        <v>18</v>
      </c>
      <c r="L321">
        <v>86</v>
      </c>
    </row>
    <row r="322" spans="1:12" x14ac:dyDescent="0.25">
      <c r="A322">
        <v>400578453</v>
      </c>
      <c r="B322">
        <v>2015</v>
      </c>
      <c r="C322" s="1">
        <v>41962</v>
      </c>
      <c r="D322" t="s">
        <v>41</v>
      </c>
      <c r="E322">
        <v>1</v>
      </c>
      <c r="F322">
        <v>6</v>
      </c>
      <c r="G322">
        <v>4</v>
      </c>
      <c r="H322">
        <v>0</v>
      </c>
      <c r="I322" t="s">
        <v>13</v>
      </c>
      <c r="J322">
        <v>90</v>
      </c>
      <c r="K322" t="s">
        <v>41</v>
      </c>
      <c r="L322">
        <v>114</v>
      </c>
    </row>
    <row r="323" spans="1:12" x14ac:dyDescent="0.25">
      <c r="A323">
        <v>400578453</v>
      </c>
      <c r="B323">
        <v>2015</v>
      </c>
      <c r="C323" s="1">
        <v>41962</v>
      </c>
      <c r="D323" t="s">
        <v>13</v>
      </c>
      <c r="E323">
        <v>0</v>
      </c>
      <c r="F323">
        <v>5</v>
      </c>
      <c r="G323">
        <v>8</v>
      </c>
      <c r="H323">
        <v>1</v>
      </c>
      <c r="I323" t="s">
        <v>13</v>
      </c>
      <c r="J323">
        <v>90</v>
      </c>
      <c r="K323" t="s">
        <v>41</v>
      </c>
      <c r="L323">
        <v>114</v>
      </c>
    </row>
    <row r="324" spans="1:12" x14ac:dyDescent="0.25">
      <c r="A324">
        <v>400578454</v>
      </c>
      <c r="B324">
        <v>2015</v>
      </c>
      <c r="C324" s="1">
        <v>41962</v>
      </c>
      <c r="D324" t="s">
        <v>22</v>
      </c>
      <c r="E324">
        <v>1</v>
      </c>
      <c r="F324">
        <v>4</v>
      </c>
      <c r="G324">
        <v>6</v>
      </c>
      <c r="H324">
        <v>0</v>
      </c>
      <c r="I324" t="s">
        <v>21</v>
      </c>
      <c r="J324">
        <v>90</v>
      </c>
      <c r="K324" t="s">
        <v>22</v>
      </c>
      <c r="L324">
        <v>101</v>
      </c>
    </row>
    <row r="325" spans="1:12" x14ac:dyDescent="0.25">
      <c r="A325">
        <v>400578454</v>
      </c>
      <c r="B325">
        <v>2015</v>
      </c>
      <c r="C325" s="1">
        <v>41962</v>
      </c>
      <c r="D325" t="s">
        <v>21</v>
      </c>
      <c r="E325">
        <v>0</v>
      </c>
      <c r="F325">
        <v>0</v>
      </c>
      <c r="G325">
        <v>11</v>
      </c>
      <c r="H325">
        <v>1</v>
      </c>
      <c r="I325" t="s">
        <v>21</v>
      </c>
      <c r="J325">
        <v>90</v>
      </c>
      <c r="K325" t="s">
        <v>22</v>
      </c>
      <c r="L325">
        <v>101</v>
      </c>
    </row>
    <row r="326" spans="1:12" x14ac:dyDescent="0.25">
      <c r="A326">
        <v>400578455</v>
      </c>
      <c r="B326">
        <v>2015</v>
      </c>
      <c r="C326" s="1">
        <v>41962</v>
      </c>
      <c r="D326" t="s">
        <v>14</v>
      </c>
      <c r="E326">
        <v>1</v>
      </c>
      <c r="F326">
        <v>9</v>
      </c>
      <c r="G326">
        <v>3</v>
      </c>
      <c r="H326">
        <v>0</v>
      </c>
      <c r="I326" t="s">
        <v>25</v>
      </c>
      <c r="J326">
        <v>102</v>
      </c>
      <c r="K326" t="s">
        <v>14</v>
      </c>
      <c r="L326">
        <v>105</v>
      </c>
    </row>
    <row r="327" spans="1:12" x14ac:dyDescent="0.25">
      <c r="A327">
        <v>400578455</v>
      </c>
      <c r="B327">
        <v>2015</v>
      </c>
      <c r="C327" s="1">
        <v>41962</v>
      </c>
      <c r="D327" t="s">
        <v>25</v>
      </c>
      <c r="E327">
        <v>0</v>
      </c>
      <c r="F327">
        <v>7</v>
      </c>
      <c r="G327">
        <v>3</v>
      </c>
      <c r="H327">
        <v>1</v>
      </c>
      <c r="I327" t="s">
        <v>25</v>
      </c>
      <c r="J327">
        <v>102</v>
      </c>
      <c r="K327" t="s">
        <v>14</v>
      </c>
      <c r="L327">
        <v>105</v>
      </c>
    </row>
    <row r="328" spans="1:12" x14ac:dyDescent="0.25">
      <c r="A328">
        <v>400578456</v>
      </c>
      <c r="B328">
        <v>2015</v>
      </c>
      <c r="C328" s="1">
        <v>41962</v>
      </c>
      <c r="D328" t="s">
        <v>23</v>
      </c>
      <c r="E328">
        <v>0</v>
      </c>
      <c r="F328">
        <v>4</v>
      </c>
      <c r="G328">
        <v>7</v>
      </c>
      <c r="H328">
        <v>1</v>
      </c>
      <c r="I328" t="s">
        <v>23</v>
      </c>
      <c r="J328">
        <v>118</v>
      </c>
      <c r="K328" t="s">
        <v>19</v>
      </c>
      <c r="L328">
        <v>122</v>
      </c>
    </row>
    <row r="329" spans="1:12" x14ac:dyDescent="0.25">
      <c r="A329">
        <v>400578456</v>
      </c>
      <c r="B329">
        <v>2015</v>
      </c>
      <c r="C329" s="1">
        <v>41962</v>
      </c>
      <c r="D329" t="s">
        <v>19</v>
      </c>
      <c r="E329">
        <v>1</v>
      </c>
      <c r="F329">
        <v>7</v>
      </c>
      <c r="G329">
        <v>5</v>
      </c>
      <c r="H329">
        <v>0</v>
      </c>
      <c r="I329" t="s">
        <v>23</v>
      </c>
      <c r="J329">
        <v>118</v>
      </c>
      <c r="K329" t="s">
        <v>19</v>
      </c>
      <c r="L329">
        <v>122</v>
      </c>
    </row>
    <row r="330" spans="1:12" x14ac:dyDescent="0.25">
      <c r="A330">
        <v>400578457</v>
      </c>
      <c r="B330">
        <v>2015</v>
      </c>
      <c r="C330" s="1">
        <v>41962</v>
      </c>
      <c r="D330" t="s">
        <v>33</v>
      </c>
      <c r="E330">
        <v>0</v>
      </c>
      <c r="F330">
        <v>3</v>
      </c>
      <c r="G330">
        <v>9</v>
      </c>
      <c r="H330">
        <v>1</v>
      </c>
      <c r="I330" t="s">
        <v>33</v>
      </c>
      <c r="J330">
        <v>86</v>
      </c>
      <c r="K330" t="s">
        <v>35</v>
      </c>
      <c r="L330">
        <v>88</v>
      </c>
    </row>
    <row r="331" spans="1:12" x14ac:dyDescent="0.25">
      <c r="A331">
        <v>400578457</v>
      </c>
      <c r="B331">
        <v>2015</v>
      </c>
      <c r="C331" s="1">
        <v>41962</v>
      </c>
      <c r="D331" t="s">
        <v>35</v>
      </c>
      <c r="E331">
        <v>1</v>
      </c>
      <c r="F331">
        <v>7</v>
      </c>
      <c r="G331">
        <v>5</v>
      </c>
      <c r="H331">
        <v>0</v>
      </c>
      <c r="I331" t="s">
        <v>33</v>
      </c>
      <c r="J331">
        <v>86</v>
      </c>
      <c r="K331" t="s">
        <v>35</v>
      </c>
      <c r="L331">
        <v>88</v>
      </c>
    </row>
    <row r="332" spans="1:12" x14ac:dyDescent="0.25">
      <c r="A332">
        <v>400578458</v>
      </c>
      <c r="B332">
        <v>2015</v>
      </c>
      <c r="C332" s="1">
        <v>41962</v>
      </c>
      <c r="D332" t="s">
        <v>28</v>
      </c>
      <c r="E332">
        <v>0</v>
      </c>
      <c r="F332">
        <v>10</v>
      </c>
      <c r="G332">
        <v>2</v>
      </c>
      <c r="H332">
        <v>0</v>
      </c>
      <c r="I332" t="s">
        <v>27</v>
      </c>
      <c r="J332">
        <v>96</v>
      </c>
      <c r="K332" t="s">
        <v>28</v>
      </c>
      <c r="L332">
        <v>92</v>
      </c>
    </row>
    <row r="333" spans="1:12" x14ac:dyDescent="0.25">
      <c r="A333">
        <v>400578458</v>
      </c>
      <c r="B333">
        <v>2015</v>
      </c>
      <c r="C333" s="1">
        <v>41962</v>
      </c>
      <c r="D333" t="s">
        <v>27</v>
      </c>
      <c r="E333">
        <v>1</v>
      </c>
      <c r="F333">
        <v>9</v>
      </c>
      <c r="G333">
        <v>2</v>
      </c>
      <c r="H333">
        <v>1</v>
      </c>
      <c r="I333" t="s">
        <v>27</v>
      </c>
      <c r="J333">
        <v>96</v>
      </c>
      <c r="K333" t="s">
        <v>28</v>
      </c>
      <c r="L333">
        <v>92</v>
      </c>
    </row>
    <row r="334" spans="1:12" x14ac:dyDescent="0.25">
      <c r="A334">
        <v>400578459</v>
      </c>
      <c r="B334">
        <v>2015</v>
      </c>
      <c r="C334" s="1">
        <v>41962</v>
      </c>
      <c r="D334" t="s">
        <v>29</v>
      </c>
      <c r="E334">
        <v>1</v>
      </c>
      <c r="F334">
        <v>3</v>
      </c>
      <c r="G334">
        <v>7</v>
      </c>
      <c r="H334">
        <v>1</v>
      </c>
      <c r="I334" t="s">
        <v>29</v>
      </c>
      <c r="J334">
        <v>115</v>
      </c>
      <c r="K334" t="s">
        <v>31</v>
      </c>
      <c r="L334">
        <v>99</v>
      </c>
    </row>
    <row r="335" spans="1:12" x14ac:dyDescent="0.25">
      <c r="A335">
        <v>400578459</v>
      </c>
      <c r="B335">
        <v>2015</v>
      </c>
      <c r="C335" s="1">
        <v>41962</v>
      </c>
      <c r="D335" t="s">
        <v>31</v>
      </c>
      <c r="E335">
        <v>0</v>
      </c>
      <c r="F335">
        <v>3</v>
      </c>
      <c r="G335">
        <v>10</v>
      </c>
      <c r="H335">
        <v>0</v>
      </c>
      <c r="I335" t="s">
        <v>29</v>
      </c>
      <c r="J335">
        <v>115</v>
      </c>
      <c r="K335" t="s">
        <v>31</v>
      </c>
      <c r="L335">
        <v>99</v>
      </c>
    </row>
    <row r="336" spans="1:12" x14ac:dyDescent="0.25">
      <c r="A336">
        <v>400578460</v>
      </c>
      <c r="B336">
        <v>2015</v>
      </c>
      <c r="C336" s="1">
        <v>41962</v>
      </c>
      <c r="D336" t="s">
        <v>32</v>
      </c>
      <c r="E336">
        <v>1</v>
      </c>
      <c r="F336">
        <v>4</v>
      </c>
      <c r="G336">
        <v>7</v>
      </c>
      <c r="H336">
        <v>1</v>
      </c>
      <c r="I336" t="s">
        <v>32</v>
      </c>
      <c r="J336">
        <v>107</v>
      </c>
      <c r="K336" t="s">
        <v>38</v>
      </c>
      <c r="L336">
        <v>100</v>
      </c>
    </row>
    <row r="337" spans="1:12" x14ac:dyDescent="0.25">
      <c r="A337">
        <v>400578460</v>
      </c>
      <c r="B337">
        <v>2015</v>
      </c>
      <c r="C337" s="1">
        <v>41962</v>
      </c>
      <c r="D337" t="s">
        <v>38</v>
      </c>
      <c r="E337">
        <v>0</v>
      </c>
      <c r="F337">
        <v>3</v>
      </c>
      <c r="G337">
        <v>10</v>
      </c>
      <c r="H337">
        <v>0</v>
      </c>
      <c r="I337" t="s">
        <v>32</v>
      </c>
      <c r="J337">
        <v>107</v>
      </c>
      <c r="K337" t="s">
        <v>38</v>
      </c>
      <c r="L337">
        <v>100</v>
      </c>
    </row>
    <row r="338" spans="1:12" x14ac:dyDescent="0.25">
      <c r="A338">
        <v>400578461</v>
      </c>
      <c r="B338">
        <v>2015</v>
      </c>
      <c r="C338" s="1">
        <v>41962</v>
      </c>
      <c r="D338" t="s">
        <v>16</v>
      </c>
      <c r="E338">
        <v>0</v>
      </c>
      <c r="F338">
        <v>9</v>
      </c>
      <c r="G338">
        <v>3</v>
      </c>
      <c r="H338">
        <v>1</v>
      </c>
      <c r="I338" t="s">
        <v>16</v>
      </c>
      <c r="J338">
        <v>92</v>
      </c>
      <c r="K338" t="s">
        <v>17</v>
      </c>
      <c r="L338">
        <v>98</v>
      </c>
    </row>
    <row r="339" spans="1:12" x14ac:dyDescent="0.25">
      <c r="A339">
        <v>400578461</v>
      </c>
      <c r="B339">
        <v>2015</v>
      </c>
      <c r="C339" s="1">
        <v>41962</v>
      </c>
      <c r="D339" t="s">
        <v>17</v>
      </c>
      <c r="E339">
        <v>1</v>
      </c>
      <c r="F339">
        <v>3</v>
      </c>
      <c r="G339">
        <v>9</v>
      </c>
      <c r="H339">
        <v>0</v>
      </c>
      <c r="I339" t="s">
        <v>16</v>
      </c>
      <c r="J339">
        <v>92</v>
      </c>
      <c r="K339" t="s">
        <v>17</v>
      </c>
      <c r="L339">
        <v>98</v>
      </c>
    </row>
    <row r="340" spans="1:12" x14ac:dyDescent="0.25">
      <c r="A340">
        <v>400578462</v>
      </c>
      <c r="B340">
        <v>2015</v>
      </c>
      <c r="C340" s="1">
        <v>41963</v>
      </c>
      <c r="D340" t="s">
        <v>41</v>
      </c>
      <c r="E340">
        <v>1</v>
      </c>
      <c r="F340">
        <v>7</v>
      </c>
      <c r="G340">
        <v>4</v>
      </c>
      <c r="H340">
        <v>0</v>
      </c>
      <c r="I340" t="s">
        <v>24</v>
      </c>
      <c r="J340">
        <v>93</v>
      </c>
      <c r="K340" t="s">
        <v>41</v>
      </c>
      <c r="L340">
        <v>110</v>
      </c>
    </row>
    <row r="341" spans="1:12" x14ac:dyDescent="0.25">
      <c r="A341">
        <v>400578462</v>
      </c>
      <c r="B341">
        <v>2015</v>
      </c>
      <c r="C341" s="1">
        <v>41963</v>
      </c>
      <c r="D341" t="s">
        <v>24</v>
      </c>
      <c r="E341">
        <v>0</v>
      </c>
      <c r="F341">
        <v>6</v>
      </c>
      <c r="G341">
        <v>6</v>
      </c>
      <c r="H341">
        <v>1</v>
      </c>
      <c r="I341" t="s">
        <v>24</v>
      </c>
      <c r="J341">
        <v>93</v>
      </c>
      <c r="K341" t="s">
        <v>41</v>
      </c>
      <c r="L341">
        <v>110</v>
      </c>
    </row>
    <row r="342" spans="1:12" x14ac:dyDescent="0.25">
      <c r="A342">
        <v>400578463</v>
      </c>
      <c r="B342">
        <v>2015</v>
      </c>
      <c r="C342" s="1">
        <v>41963</v>
      </c>
      <c r="D342" t="s">
        <v>30</v>
      </c>
      <c r="E342">
        <v>0</v>
      </c>
      <c r="F342">
        <v>8</v>
      </c>
      <c r="G342">
        <v>4</v>
      </c>
      <c r="H342">
        <v>0</v>
      </c>
      <c r="I342" t="s">
        <v>37</v>
      </c>
      <c r="J342">
        <v>103</v>
      </c>
      <c r="K342" t="s">
        <v>30</v>
      </c>
      <c r="L342">
        <v>88</v>
      </c>
    </row>
    <row r="343" spans="1:12" x14ac:dyDescent="0.25">
      <c r="A343">
        <v>400578463</v>
      </c>
      <c r="B343">
        <v>2015</v>
      </c>
      <c r="C343" s="1">
        <v>41963</v>
      </c>
      <c r="D343" t="s">
        <v>37</v>
      </c>
      <c r="E343">
        <v>1</v>
      </c>
      <c r="F343">
        <v>7</v>
      </c>
      <c r="G343">
        <v>5</v>
      </c>
      <c r="H343">
        <v>1</v>
      </c>
      <c r="I343" t="s">
        <v>37</v>
      </c>
      <c r="J343">
        <v>103</v>
      </c>
      <c r="K343" t="s">
        <v>30</v>
      </c>
      <c r="L343">
        <v>88</v>
      </c>
    </row>
    <row r="344" spans="1:12" x14ac:dyDescent="0.25">
      <c r="A344">
        <v>400578464</v>
      </c>
      <c r="B344">
        <v>2015</v>
      </c>
      <c r="C344" s="1">
        <v>41964</v>
      </c>
      <c r="D344" t="s">
        <v>18</v>
      </c>
      <c r="E344">
        <v>0</v>
      </c>
      <c r="F344">
        <v>4</v>
      </c>
      <c r="G344">
        <v>9</v>
      </c>
      <c r="H344">
        <v>1</v>
      </c>
      <c r="I344" t="s">
        <v>18</v>
      </c>
      <c r="J344">
        <v>100</v>
      </c>
      <c r="K344" t="s">
        <v>13</v>
      </c>
      <c r="L344">
        <v>105</v>
      </c>
    </row>
    <row r="345" spans="1:12" x14ac:dyDescent="0.25">
      <c r="A345">
        <v>400578464</v>
      </c>
      <c r="B345">
        <v>2015</v>
      </c>
      <c r="C345" s="1">
        <v>41964</v>
      </c>
      <c r="D345" t="s">
        <v>13</v>
      </c>
      <c r="E345">
        <v>1</v>
      </c>
      <c r="F345">
        <v>6</v>
      </c>
      <c r="G345">
        <v>8</v>
      </c>
      <c r="H345">
        <v>0</v>
      </c>
      <c r="I345" t="s">
        <v>18</v>
      </c>
      <c r="J345">
        <v>100</v>
      </c>
      <c r="K345" t="s">
        <v>13</v>
      </c>
      <c r="L345">
        <v>105</v>
      </c>
    </row>
    <row r="346" spans="1:12" x14ac:dyDescent="0.25">
      <c r="A346">
        <v>400578465</v>
      </c>
      <c r="B346">
        <v>2015</v>
      </c>
      <c r="C346" s="1">
        <v>41964</v>
      </c>
      <c r="D346" t="s">
        <v>21</v>
      </c>
      <c r="E346">
        <v>0</v>
      </c>
      <c r="F346">
        <v>0</v>
      </c>
      <c r="G346">
        <v>12</v>
      </c>
      <c r="H346">
        <v>1</v>
      </c>
      <c r="I346" t="s">
        <v>21</v>
      </c>
      <c r="J346">
        <v>96</v>
      </c>
      <c r="K346" t="s">
        <v>35</v>
      </c>
      <c r="L346">
        <v>122</v>
      </c>
    </row>
    <row r="347" spans="1:12" x14ac:dyDescent="0.25">
      <c r="A347">
        <v>400578465</v>
      </c>
      <c r="B347">
        <v>2015</v>
      </c>
      <c r="C347" s="1">
        <v>41964</v>
      </c>
      <c r="D347" t="s">
        <v>35</v>
      </c>
      <c r="E347">
        <v>1</v>
      </c>
      <c r="F347">
        <v>8</v>
      </c>
      <c r="G347">
        <v>5</v>
      </c>
      <c r="H347">
        <v>0</v>
      </c>
      <c r="I347" t="s">
        <v>21</v>
      </c>
      <c r="J347">
        <v>96</v>
      </c>
      <c r="K347" t="s">
        <v>35</v>
      </c>
      <c r="L347">
        <v>122</v>
      </c>
    </row>
    <row r="348" spans="1:12" x14ac:dyDescent="0.25">
      <c r="A348">
        <v>400578466</v>
      </c>
      <c r="B348">
        <v>2015</v>
      </c>
      <c r="C348" s="1">
        <v>41964</v>
      </c>
      <c r="D348" t="s">
        <v>26</v>
      </c>
      <c r="E348">
        <v>1</v>
      </c>
      <c r="F348">
        <v>6</v>
      </c>
      <c r="G348">
        <v>5</v>
      </c>
      <c r="H348">
        <v>1</v>
      </c>
      <c r="I348" t="s">
        <v>26</v>
      </c>
      <c r="J348">
        <v>99</v>
      </c>
      <c r="K348" t="s">
        <v>33</v>
      </c>
      <c r="L348">
        <v>89</v>
      </c>
    </row>
    <row r="349" spans="1:12" x14ac:dyDescent="0.25">
      <c r="A349">
        <v>400578466</v>
      </c>
      <c r="B349">
        <v>2015</v>
      </c>
      <c r="C349" s="1">
        <v>41964</v>
      </c>
      <c r="D349" t="s">
        <v>33</v>
      </c>
      <c r="E349">
        <v>0</v>
      </c>
      <c r="F349">
        <v>3</v>
      </c>
      <c r="G349">
        <v>10</v>
      </c>
      <c r="H349">
        <v>0</v>
      </c>
      <c r="I349" t="s">
        <v>26</v>
      </c>
      <c r="J349">
        <v>99</v>
      </c>
      <c r="K349" t="s">
        <v>33</v>
      </c>
      <c r="L349">
        <v>89</v>
      </c>
    </row>
    <row r="350" spans="1:12" x14ac:dyDescent="0.25">
      <c r="A350">
        <v>400578467</v>
      </c>
      <c r="B350">
        <v>2015</v>
      </c>
      <c r="C350" s="1">
        <v>41964</v>
      </c>
      <c r="D350" t="s">
        <v>19</v>
      </c>
      <c r="E350">
        <v>0</v>
      </c>
      <c r="F350">
        <v>7</v>
      </c>
      <c r="G350">
        <v>6</v>
      </c>
      <c r="H350">
        <v>0</v>
      </c>
      <c r="I350" t="s">
        <v>27</v>
      </c>
      <c r="J350">
        <v>124</v>
      </c>
      <c r="K350" t="s">
        <v>19</v>
      </c>
      <c r="L350">
        <v>82</v>
      </c>
    </row>
    <row r="351" spans="1:12" x14ac:dyDescent="0.25">
      <c r="A351">
        <v>400578467</v>
      </c>
      <c r="B351">
        <v>2015</v>
      </c>
      <c r="C351" s="1">
        <v>41964</v>
      </c>
      <c r="D351" t="s">
        <v>27</v>
      </c>
      <c r="E351">
        <v>1</v>
      </c>
      <c r="F351">
        <v>10</v>
      </c>
      <c r="G351">
        <v>2</v>
      </c>
      <c r="H351">
        <v>1</v>
      </c>
      <c r="I351" t="s">
        <v>27</v>
      </c>
      <c r="J351">
        <v>124</v>
      </c>
      <c r="K351" t="s">
        <v>19</v>
      </c>
      <c r="L351">
        <v>82</v>
      </c>
    </row>
    <row r="352" spans="1:12" x14ac:dyDescent="0.25">
      <c r="A352">
        <v>400578468</v>
      </c>
      <c r="B352">
        <v>2015</v>
      </c>
      <c r="C352" s="1">
        <v>41964</v>
      </c>
      <c r="D352" t="s">
        <v>22</v>
      </c>
      <c r="E352">
        <v>0</v>
      </c>
      <c r="F352">
        <v>4</v>
      </c>
      <c r="G352">
        <v>7</v>
      </c>
      <c r="H352">
        <v>0</v>
      </c>
      <c r="I352" t="s">
        <v>28</v>
      </c>
      <c r="J352">
        <v>117</v>
      </c>
      <c r="K352" t="s">
        <v>22</v>
      </c>
      <c r="L352">
        <v>100</v>
      </c>
    </row>
    <row r="353" spans="1:12" x14ac:dyDescent="0.25">
      <c r="A353">
        <v>400578468</v>
      </c>
      <c r="B353">
        <v>2015</v>
      </c>
      <c r="C353" s="1">
        <v>41964</v>
      </c>
      <c r="D353" t="s">
        <v>28</v>
      </c>
      <c r="E353">
        <v>1</v>
      </c>
      <c r="F353">
        <v>11</v>
      </c>
      <c r="G353">
        <v>2</v>
      </c>
      <c r="H353">
        <v>1</v>
      </c>
      <c r="I353" t="s">
        <v>28</v>
      </c>
      <c r="J353">
        <v>117</v>
      </c>
      <c r="K353" t="s">
        <v>22</v>
      </c>
      <c r="L353">
        <v>100</v>
      </c>
    </row>
    <row r="354" spans="1:12" x14ac:dyDescent="0.25">
      <c r="A354">
        <v>400578469</v>
      </c>
      <c r="B354">
        <v>2015</v>
      </c>
      <c r="C354" s="1">
        <v>41964</v>
      </c>
      <c r="D354" t="s">
        <v>29</v>
      </c>
      <c r="E354">
        <v>0</v>
      </c>
      <c r="F354">
        <v>3</v>
      </c>
      <c r="G354">
        <v>8</v>
      </c>
      <c r="H354">
        <v>1</v>
      </c>
      <c r="I354" t="s">
        <v>29</v>
      </c>
      <c r="J354">
        <v>92</v>
      </c>
      <c r="K354" t="s">
        <v>15</v>
      </c>
      <c r="L354">
        <v>121</v>
      </c>
    </row>
    <row r="355" spans="1:12" x14ac:dyDescent="0.25">
      <c r="A355">
        <v>400578469</v>
      </c>
      <c r="B355">
        <v>2015</v>
      </c>
      <c r="C355" s="1">
        <v>41964</v>
      </c>
      <c r="D355" t="s">
        <v>15</v>
      </c>
      <c r="E355">
        <v>1</v>
      </c>
      <c r="F355">
        <v>8</v>
      </c>
      <c r="G355">
        <v>4</v>
      </c>
      <c r="H355">
        <v>0</v>
      </c>
      <c r="I355" t="s">
        <v>29</v>
      </c>
      <c r="J355">
        <v>92</v>
      </c>
      <c r="K355" t="s">
        <v>15</v>
      </c>
      <c r="L355">
        <v>121</v>
      </c>
    </row>
    <row r="356" spans="1:12" x14ac:dyDescent="0.25">
      <c r="A356">
        <v>400578470</v>
      </c>
      <c r="B356">
        <v>2015</v>
      </c>
      <c r="C356" s="1">
        <v>41964</v>
      </c>
      <c r="D356" t="s">
        <v>23</v>
      </c>
      <c r="E356">
        <v>1</v>
      </c>
      <c r="F356">
        <v>5</v>
      </c>
      <c r="G356">
        <v>7</v>
      </c>
      <c r="H356">
        <v>0</v>
      </c>
      <c r="I356" t="s">
        <v>38</v>
      </c>
      <c r="J356">
        <v>92</v>
      </c>
      <c r="K356" t="s">
        <v>23</v>
      </c>
      <c r="L356">
        <v>94</v>
      </c>
    </row>
    <row r="357" spans="1:12" x14ac:dyDescent="0.25">
      <c r="A357">
        <v>400578470</v>
      </c>
      <c r="B357">
        <v>2015</v>
      </c>
      <c r="C357" s="1">
        <v>41964</v>
      </c>
      <c r="D357" t="s">
        <v>38</v>
      </c>
      <c r="E357">
        <v>0</v>
      </c>
      <c r="F357">
        <v>3</v>
      </c>
      <c r="G357">
        <v>11</v>
      </c>
      <c r="H357">
        <v>1</v>
      </c>
      <c r="I357" t="s">
        <v>38</v>
      </c>
      <c r="J357">
        <v>92</v>
      </c>
      <c r="K357" t="s">
        <v>23</v>
      </c>
      <c r="L357">
        <v>94</v>
      </c>
    </row>
    <row r="358" spans="1:12" x14ac:dyDescent="0.25">
      <c r="A358">
        <v>400578471</v>
      </c>
      <c r="B358">
        <v>2015</v>
      </c>
      <c r="C358" s="1">
        <v>41964</v>
      </c>
      <c r="D358" t="s">
        <v>40</v>
      </c>
      <c r="E358">
        <v>0</v>
      </c>
      <c r="F358">
        <v>5</v>
      </c>
      <c r="G358">
        <v>6</v>
      </c>
      <c r="H358">
        <v>0</v>
      </c>
      <c r="I358" t="s">
        <v>25</v>
      </c>
      <c r="J358">
        <v>91</v>
      </c>
      <c r="K358" t="s">
        <v>40</v>
      </c>
      <c r="L358">
        <v>78</v>
      </c>
    </row>
    <row r="359" spans="1:12" x14ac:dyDescent="0.25">
      <c r="A359">
        <v>400578471</v>
      </c>
      <c r="B359">
        <v>2015</v>
      </c>
      <c r="C359" s="1">
        <v>41964</v>
      </c>
      <c r="D359" t="s">
        <v>25</v>
      </c>
      <c r="E359">
        <v>1</v>
      </c>
      <c r="F359">
        <v>8</v>
      </c>
      <c r="G359">
        <v>3</v>
      </c>
      <c r="H359">
        <v>1</v>
      </c>
      <c r="I359" t="s">
        <v>25</v>
      </c>
      <c r="J359">
        <v>91</v>
      </c>
      <c r="K359" t="s">
        <v>40</v>
      </c>
      <c r="L359">
        <v>78</v>
      </c>
    </row>
    <row r="360" spans="1:12" x14ac:dyDescent="0.25">
      <c r="A360">
        <v>400578472</v>
      </c>
      <c r="B360">
        <v>2015</v>
      </c>
      <c r="C360" s="1">
        <v>41964</v>
      </c>
      <c r="D360" t="s">
        <v>14</v>
      </c>
      <c r="E360">
        <v>1</v>
      </c>
      <c r="F360">
        <v>10</v>
      </c>
      <c r="G360">
        <v>3</v>
      </c>
      <c r="H360">
        <v>1</v>
      </c>
      <c r="I360" t="s">
        <v>14</v>
      </c>
      <c r="J360">
        <v>140</v>
      </c>
      <c r="K360" t="s">
        <v>17</v>
      </c>
      <c r="L360">
        <v>106</v>
      </c>
    </row>
    <row r="361" spans="1:12" x14ac:dyDescent="0.25">
      <c r="A361">
        <v>400578472</v>
      </c>
      <c r="B361">
        <v>2015</v>
      </c>
      <c r="C361" s="1">
        <v>41964</v>
      </c>
      <c r="D361" t="s">
        <v>17</v>
      </c>
      <c r="E361">
        <v>0</v>
      </c>
      <c r="F361">
        <v>3</v>
      </c>
      <c r="G361">
        <v>10</v>
      </c>
      <c r="H361">
        <v>0</v>
      </c>
      <c r="I361" t="s">
        <v>14</v>
      </c>
      <c r="J361">
        <v>140</v>
      </c>
      <c r="K361" t="s">
        <v>17</v>
      </c>
      <c r="L361">
        <v>106</v>
      </c>
    </row>
    <row r="362" spans="1:12" x14ac:dyDescent="0.25">
      <c r="A362">
        <v>400578473</v>
      </c>
      <c r="B362">
        <v>2015</v>
      </c>
      <c r="C362" s="1">
        <v>41964</v>
      </c>
      <c r="D362" t="s">
        <v>32</v>
      </c>
      <c r="E362">
        <v>1</v>
      </c>
      <c r="F362">
        <v>5</v>
      </c>
      <c r="G362">
        <v>7</v>
      </c>
      <c r="H362">
        <v>1</v>
      </c>
      <c r="I362" t="s">
        <v>32</v>
      </c>
      <c r="J362">
        <v>117</v>
      </c>
      <c r="K362" t="s">
        <v>12</v>
      </c>
      <c r="L362">
        <v>97</v>
      </c>
    </row>
    <row r="363" spans="1:12" x14ac:dyDescent="0.25">
      <c r="A363">
        <v>400578473</v>
      </c>
      <c r="B363">
        <v>2015</v>
      </c>
      <c r="C363" s="1">
        <v>41964</v>
      </c>
      <c r="D363" t="s">
        <v>12</v>
      </c>
      <c r="E363">
        <v>0</v>
      </c>
      <c r="F363">
        <v>6</v>
      </c>
      <c r="G363">
        <v>5</v>
      </c>
      <c r="H363">
        <v>0</v>
      </c>
      <c r="I363" t="s">
        <v>32</v>
      </c>
      <c r="J363">
        <v>117</v>
      </c>
      <c r="K363" t="s">
        <v>12</v>
      </c>
      <c r="L363">
        <v>97</v>
      </c>
    </row>
    <row r="364" spans="1:12" x14ac:dyDescent="0.25">
      <c r="A364">
        <v>400578474</v>
      </c>
      <c r="B364">
        <v>2015</v>
      </c>
      <c r="C364" s="1">
        <v>41964</v>
      </c>
      <c r="D364" t="s">
        <v>36</v>
      </c>
      <c r="E364">
        <v>1</v>
      </c>
      <c r="F364">
        <v>9</v>
      </c>
      <c r="G364">
        <v>2</v>
      </c>
      <c r="H364">
        <v>1</v>
      </c>
      <c r="I364" t="s">
        <v>36</v>
      </c>
      <c r="J364">
        <v>101</v>
      </c>
      <c r="K364" t="s">
        <v>34</v>
      </c>
      <c r="L364">
        <v>88</v>
      </c>
    </row>
    <row r="365" spans="1:12" x14ac:dyDescent="0.25">
      <c r="A365">
        <v>400578474</v>
      </c>
      <c r="B365">
        <v>2015</v>
      </c>
      <c r="C365" s="1">
        <v>41964</v>
      </c>
      <c r="D365" t="s">
        <v>34</v>
      </c>
      <c r="E365">
        <v>0</v>
      </c>
      <c r="F365">
        <v>5</v>
      </c>
      <c r="G365">
        <v>8</v>
      </c>
      <c r="H365">
        <v>0</v>
      </c>
      <c r="I365" t="s">
        <v>36</v>
      </c>
      <c r="J365">
        <v>101</v>
      </c>
      <c r="K365" t="s">
        <v>34</v>
      </c>
      <c r="L365">
        <v>88</v>
      </c>
    </row>
    <row r="366" spans="1:12" x14ac:dyDescent="0.25">
      <c r="A366">
        <v>400578475</v>
      </c>
      <c r="B366">
        <v>2015</v>
      </c>
      <c r="C366" s="1">
        <v>41964</v>
      </c>
      <c r="D366" t="s">
        <v>30</v>
      </c>
      <c r="E366">
        <v>0</v>
      </c>
      <c r="F366">
        <v>8</v>
      </c>
      <c r="G366">
        <v>5</v>
      </c>
      <c r="H366">
        <v>0</v>
      </c>
      <c r="I366" t="s">
        <v>39</v>
      </c>
      <c r="J366">
        <v>105</v>
      </c>
      <c r="K366" t="s">
        <v>30</v>
      </c>
      <c r="L366">
        <v>87</v>
      </c>
    </row>
    <row r="367" spans="1:12" x14ac:dyDescent="0.25">
      <c r="A367">
        <v>400578475</v>
      </c>
      <c r="B367">
        <v>2015</v>
      </c>
      <c r="C367" s="1">
        <v>41964</v>
      </c>
      <c r="D367" t="s">
        <v>39</v>
      </c>
      <c r="E367">
        <v>1</v>
      </c>
      <c r="F367">
        <v>9</v>
      </c>
      <c r="G367">
        <v>3</v>
      </c>
      <c r="H367">
        <v>1</v>
      </c>
      <c r="I367" t="s">
        <v>39</v>
      </c>
      <c r="J367">
        <v>105</v>
      </c>
      <c r="K367" t="s">
        <v>30</v>
      </c>
      <c r="L367">
        <v>87</v>
      </c>
    </row>
    <row r="368" spans="1:12" x14ac:dyDescent="0.25">
      <c r="A368">
        <v>400578477</v>
      </c>
      <c r="B368">
        <v>2015</v>
      </c>
      <c r="C368" s="1">
        <v>41965</v>
      </c>
      <c r="D368" t="s">
        <v>24</v>
      </c>
      <c r="E368">
        <v>1</v>
      </c>
      <c r="F368">
        <v>7</v>
      </c>
      <c r="G368">
        <v>6</v>
      </c>
      <c r="H368">
        <v>0</v>
      </c>
      <c r="I368" t="s">
        <v>13</v>
      </c>
      <c r="J368">
        <v>92</v>
      </c>
      <c r="K368" t="s">
        <v>24</v>
      </c>
      <c r="L368">
        <v>99</v>
      </c>
    </row>
    <row r="369" spans="1:12" x14ac:dyDescent="0.25">
      <c r="A369">
        <v>400578477</v>
      </c>
      <c r="B369">
        <v>2015</v>
      </c>
      <c r="C369" s="1">
        <v>41965</v>
      </c>
      <c r="D369" t="s">
        <v>13</v>
      </c>
      <c r="E369">
        <v>0</v>
      </c>
      <c r="F369">
        <v>6</v>
      </c>
      <c r="G369">
        <v>9</v>
      </c>
      <c r="H369">
        <v>1</v>
      </c>
      <c r="I369" t="s">
        <v>13</v>
      </c>
      <c r="J369">
        <v>92</v>
      </c>
      <c r="K369" t="s">
        <v>24</v>
      </c>
      <c r="L369">
        <v>99</v>
      </c>
    </row>
    <row r="370" spans="1:12" x14ac:dyDescent="0.25">
      <c r="A370">
        <v>400578478</v>
      </c>
      <c r="B370">
        <v>2015</v>
      </c>
      <c r="C370" s="1">
        <v>41965</v>
      </c>
      <c r="D370" t="s">
        <v>40</v>
      </c>
      <c r="E370">
        <v>0</v>
      </c>
      <c r="F370">
        <v>5</v>
      </c>
      <c r="G370">
        <v>7</v>
      </c>
      <c r="H370">
        <v>1</v>
      </c>
      <c r="I370" t="s">
        <v>40</v>
      </c>
      <c r="J370">
        <v>93</v>
      </c>
      <c r="K370" t="s">
        <v>27</v>
      </c>
      <c r="L370">
        <v>110</v>
      </c>
    </row>
    <row r="371" spans="1:12" x14ac:dyDescent="0.25">
      <c r="A371">
        <v>400578478</v>
      </c>
      <c r="B371">
        <v>2015</v>
      </c>
      <c r="C371" s="1">
        <v>41965</v>
      </c>
      <c r="D371" t="s">
        <v>27</v>
      </c>
      <c r="E371">
        <v>1</v>
      </c>
      <c r="F371">
        <v>11</v>
      </c>
      <c r="G371">
        <v>2</v>
      </c>
      <c r="H371">
        <v>0</v>
      </c>
      <c r="I371" t="s">
        <v>40</v>
      </c>
      <c r="J371">
        <v>93</v>
      </c>
      <c r="K371" t="s">
        <v>27</v>
      </c>
      <c r="L371">
        <v>110</v>
      </c>
    </row>
    <row r="372" spans="1:12" x14ac:dyDescent="0.25">
      <c r="A372">
        <v>400578479</v>
      </c>
      <c r="B372">
        <v>2015</v>
      </c>
      <c r="C372" s="1">
        <v>41965</v>
      </c>
      <c r="D372" t="s">
        <v>31</v>
      </c>
      <c r="E372">
        <v>1</v>
      </c>
      <c r="F372">
        <v>4</v>
      </c>
      <c r="G372">
        <v>10</v>
      </c>
      <c r="H372">
        <v>1</v>
      </c>
      <c r="I372" t="s">
        <v>31</v>
      </c>
      <c r="J372">
        <v>91</v>
      </c>
      <c r="K372" t="s">
        <v>21</v>
      </c>
      <c r="L372">
        <v>83</v>
      </c>
    </row>
    <row r="373" spans="1:12" x14ac:dyDescent="0.25">
      <c r="A373">
        <v>400578479</v>
      </c>
      <c r="B373">
        <v>2015</v>
      </c>
      <c r="C373" s="1">
        <v>41965</v>
      </c>
      <c r="D373" t="s">
        <v>21</v>
      </c>
      <c r="E373">
        <v>0</v>
      </c>
      <c r="F373">
        <v>0</v>
      </c>
      <c r="G373">
        <v>13</v>
      </c>
      <c r="H373">
        <v>0</v>
      </c>
      <c r="I373" t="s">
        <v>31</v>
      </c>
      <c r="J373">
        <v>91</v>
      </c>
      <c r="K373" t="s">
        <v>21</v>
      </c>
      <c r="L373">
        <v>83</v>
      </c>
    </row>
    <row r="374" spans="1:12" x14ac:dyDescent="0.25">
      <c r="A374">
        <v>400578480</v>
      </c>
      <c r="B374">
        <v>2015</v>
      </c>
      <c r="C374" s="1">
        <v>41965</v>
      </c>
      <c r="D374" t="s">
        <v>14</v>
      </c>
      <c r="E374">
        <v>0</v>
      </c>
      <c r="F374">
        <v>10</v>
      </c>
      <c r="G374">
        <v>4</v>
      </c>
      <c r="H374">
        <v>0</v>
      </c>
      <c r="I374" t="s">
        <v>16</v>
      </c>
      <c r="J374">
        <v>95</v>
      </c>
      <c r="K374" t="s">
        <v>14</v>
      </c>
      <c r="L374">
        <v>92</v>
      </c>
    </row>
    <row r="375" spans="1:12" x14ac:dyDescent="0.25">
      <c r="A375">
        <v>400578480</v>
      </c>
      <c r="B375">
        <v>2015</v>
      </c>
      <c r="C375" s="1">
        <v>41965</v>
      </c>
      <c r="D375" t="s">
        <v>16</v>
      </c>
      <c r="E375">
        <v>1</v>
      </c>
      <c r="F375">
        <v>10</v>
      </c>
      <c r="G375">
        <v>3</v>
      </c>
      <c r="H375">
        <v>1</v>
      </c>
      <c r="I375" t="s">
        <v>16</v>
      </c>
      <c r="J375">
        <v>95</v>
      </c>
      <c r="K375" t="s">
        <v>14</v>
      </c>
      <c r="L375">
        <v>92</v>
      </c>
    </row>
    <row r="376" spans="1:12" x14ac:dyDescent="0.25">
      <c r="A376">
        <v>400578481</v>
      </c>
      <c r="B376">
        <v>2015</v>
      </c>
      <c r="C376" s="1">
        <v>41965</v>
      </c>
      <c r="D376" t="s">
        <v>29</v>
      </c>
      <c r="E376">
        <v>0</v>
      </c>
      <c r="F376">
        <v>3</v>
      </c>
      <c r="G376">
        <v>9</v>
      </c>
      <c r="H376">
        <v>1</v>
      </c>
      <c r="I376" t="s">
        <v>29</v>
      </c>
      <c r="J376">
        <v>101</v>
      </c>
      <c r="K376" t="s">
        <v>37</v>
      </c>
      <c r="L376">
        <v>113</v>
      </c>
    </row>
    <row r="377" spans="1:12" x14ac:dyDescent="0.25">
      <c r="A377">
        <v>400578481</v>
      </c>
      <c r="B377">
        <v>2015</v>
      </c>
      <c r="C377" s="1">
        <v>41965</v>
      </c>
      <c r="D377" t="s">
        <v>37</v>
      </c>
      <c r="E377">
        <v>1</v>
      </c>
      <c r="F377">
        <v>8</v>
      </c>
      <c r="G377">
        <v>5</v>
      </c>
      <c r="H377">
        <v>0</v>
      </c>
      <c r="I377" t="s">
        <v>29</v>
      </c>
      <c r="J377">
        <v>101</v>
      </c>
      <c r="K377" t="s">
        <v>37</v>
      </c>
      <c r="L377">
        <v>113</v>
      </c>
    </row>
    <row r="378" spans="1:12" x14ac:dyDescent="0.25">
      <c r="A378">
        <v>400578482</v>
      </c>
      <c r="B378">
        <v>2015</v>
      </c>
      <c r="C378" s="1">
        <v>41965</v>
      </c>
      <c r="D378" t="s">
        <v>19</v>
      </c>
      <c r="E378">
        <v>0</v>
      </c>
      <c r="F378">
        <v>7</v>
      </c>
      <c r="G378">
        <v>7</v>
      </c>
      <c r="H378">
        <v>1</v>
      </c>
      <c r="I378" t="s">
        <v>19</v>
      </c>
      <c r="J378">
        <v>100</v>
      </c>
      <c r="K378" t="s">
        <v>25</v>
      </c>
      <c r="L378">
        <v>111</v>
      </c>
    </row>
    <row r="379" spans="1:12" x14ac:dyDescent="0.25">
      <c r="A379">
        <v>400578482</v>
      </c>
      <c r="B379">
        <v>2015</v>
      </c>
      <c r="C379" s="1">
        <v>41965</v>
      </c>
      <c r="D379" t="s">
        <v>25</v>
      </c>
      <c r="E379">
        <v>1</v>
      </c>
      <c r="F379">
        <v>9</v>
      </c>
      <c r="G379">
        <v>3</v>
      </c>
      <c r="H379">
        <v>0</v>
      </c>
      <c r="I379" t="s">
        <v>19</v>
      </c>
      <c r="J379">
        <v>100</v>
      </c>
      <c r="K379" t="s">
        <v>25</v>
      </c>
      <c r="L379">
        <v>111</v>
      </c>
    </row>
    <row r="380" spans="1:12" x14ac:dyDescent="0.25">
      <c r="A380">
        <v>400578483</v>
      </c>
      <c r="B380">
        <v>2015</v>
      </c>
      <c r="C380" s="1">
        <v>41965</v>
      </c>
      <c r="D380" t="s">
        <v>23</v>
      </c>
      <c r="E380">
        <v>0</v>
      </c>
      <c r="F380">
        <v>5</v>
      </c>
      <c r="G380">
        <v>8</v>
      </c>
      <c r="H380">
        <v>0</v>
      </c>
      <c r="I380" t="s">
        <v>15</v>
      </c>
      <c r="J380">
        <v>99</v>
      </c>
      <c r="K380" t="s">
        <v>23</v>
      </c>
      <c r="L380">
        <v>87</v>
      </c>
    </row>
    <row r="381" spans="1:12" x14ac:dyDescent="0.25">
      <c r="A381">
        <v>400578483</v>
      </c>
      <c r="B381">
        <v>2015</v>
      </c>
      <c r="C381" s="1">
        <v>41965</v>
      </c>
      <c r="D381" t="s">
        <v>15</v>
      </c>
      <c r="E381">
        <v>1</v>
      </c>
      <c r="F381">
        <v>9</v>
      </c>
      <c r="G381">
        <v>4</v>
      </c>
      <c r="H381">
        <v>1</v>
      </c>
      <c r="I381" t="s">
        <v>15</v>
      </c>
      <c r="J381">
        <v>99</v>
      </c>
      <c r="K381" t="s">
        <v>23</v>
      </c>
      <c r="L381">
        <v>87</v>
      </c>
    </row>
    <row r="382" spans="1:12" x14ac:dyDescent="0.25">
      <c r="A382">
        <v>400578484</v>
      </c>
      <c r="B382">
        <v>2015</v>
      </c>
      <c r="C382" s="1">
        <v>41965</v>
      </c>
      <c r="D382" t="s">
        <v>12</v>
      </c>
      <c r="E382">
        <v>1</v>
      </c>
      <c r="F382">
        <v>7</v>
      </c>
      <c r="G382">
        <v>5</v>
      </c>
      <c r="H382">
        <v>0</v>
      </c>
      <c r="I382" t="s">
        <v>34</v>
      </c>
      <c r="J382">
        <v>94</v>
      </c>
      <c r="K382" t="s">
        <v>12</v>
      </c>
      <c r="L382">
        <v>106</v>
      </c>
    </row>
    <row r="383" spans="1:12" x14ac:dyDescent="0.25">
      <c r="A383">
        <v>400578484</v>
      </c>
      <c r="B383">
        <v>2015</v>
      </c>
      <c r="C383" s="1">
        <v>41965</v>
      </c>
      <c r="D383" t="s">
        <v>34</v>
      </c>
      <c r="E383">
        <v>0</v>
      </c>
      <c r="F383">
        <v>5</v>
      </c>
      <c r="G383">
        <v>9</v>
      </c>
      <c r="H383">
        <v>1</v>
      </c>
      <c r="I383" t="s">
        <v>34</v>
      </c>
      <c r="J383">
        <v>94</v>
      </c>
      <c r="K383" t="s">
        <v>12</v>
      </c>
      <c r="L383">
        <v>106</v>
      </c>
    </row>
    <row r="384" spans="1:12" x14ac:dyDescent="0.25">
      <c r="A384">
        <v>400578485</v>
      </c>
      <c r="B384">
        <v>2015</v>
      </c>
      <c r="C384" s="1">
        <v>41966</v>
      </c>
      <c r="D384" t="s">
        <v>41</v>
      </c>
      <c r="E384">
        <v>0</v>
      </c>
      <c r="F384">
        <v>7</v>
      </c>
      <c r="G384">
        <v>5</v>
      </c>
      <c r="H384">
        <v>0</v>
      </c>
      <c r="I384" t="s">
        <v>28</v>
      </c>
      <c r="J384">
        <v>107</v>
      </c>
      <c r="K384" t="s">
        <v>41</v>
      </c>
      <c r="L384">
        <v>91</v>
      </c>
    </row>
    <row r="385" spans="1:12" x14ac:dyDescent="0.25">
      <c r="A385">
        <v>400578485</v>
      </c>
      <c r="B385">
        <v>2015</v>
      </c>
      <c r="C385" s="1">
        <v>41966</v>
      </c>
      <c r="D385" t="s">
        <v>28</v>
      </c>
      <c r="E385">
        <v>1</v>
      </c>
      <c r="F385">
        <v>12</v>
      </c>
      <c r="G385">
        <v>2</v>
      </c>
      <c r="H385">
        <v>1</v>
      </c>
      <c r="I385" t="s">
        <v>28</v>
      </c>
      <c r="J385">
        <v>107</v>
      </c>
      <c r="K385" t="s">
        <v>41</v>
      </c>
      <c r="L385">
        <v>91</v>
      </c>
    </row>
    <row r="386" spans="1:12" x14ac:dyDescent="0.25">
      <c r="A386">
        <v>400578486</v>
      </c>
      <c r="B386">
        <v>2015</v>
      </c>
      <c r="C386" s="1">
        <v>41966</v>
      </c>
      <c r="D386" t="s">
        <v>22</v>
      </c>
      <c r="E386">
        <v>0</v>
      </c>
      <c r="F386">
        <v>4</v>
      </c>
      <c r="G386">
        <v>8</v>
      </c>
      <c r="H386">
        <v>1</v>
      </c>
      <c r="I386" t="s">
        <v>22</v>
      </c>
      <c r="J386">
        <v>88</v>
      </c>
      <c r="K386" t="s">
        <v>39</v>
      </c>
      <c r="L386">
        <v>94</v>
      </c>
    </row>
    <row r="387" spans="1:12" x14ac:dyDescent="0.25">
      <c r="A387">
        <v>400578486</v>
      </c>
      <c r="B387">
        <v>2015</v>
      </c>
      <c r="C387" s="1">
        <v>41966</v>
      </c>
      <c r="D387" t="s">
        <v>39</v>
      </c>
      <c r="E387">
        <v>1</v>
      </c>
      <c r="F387">
        <v>10</v>
      </c>
      <c r="G387">
        <v>3</v>
      </c>
      <c r="H387">
        <v>0</v>
      </c>
      <c r="I387" t="s">
        <v>22</v>
      </c>
      <c r="J387">
        <v>88</v>
      </c>
      <c r="K387" t="s">
        <v>39</v>
      </c>
      <c r="L387">
        <v>94</v>
      </c>
    </row>
    <row r="388" spans="1:12" x14ac:dyDescent="0.25">
      <c r="A388">
        <v>400578487</v>
      </c>
      <c r="B388">
        <v>2015</v>
      </c>
      <c r="C388" s="1">
        <v>41966</v>
      </c>
      <c r="D388" t="s">
        <v>18</v>
      </c>
      <c r="E388">
        <v>0</v>
      </c>
      <c r="F388">
        <v>4</v>
      </c>
      <c r="G388">
        <v>10</v>
      </c>
      <c r="H388">
        <v>0</v>
      </c>
      <c r="I388" t="s">
        <v>24</v>
      </c>
      <c r="J388">
        <v>94</v>
      </c>
      <c r="K388" t="s">
        <v>18</v>
      </c>
      <c r="L388">
        <v>93</v>
      </c>
    </row>
    <row r="389" spans="1:12" x14ac:dyDescent="0.25">
      <c r="A389">
        <v>400578487</v>
      </c>
      <c r="B389">
        <v>2015</v>
      </c>
      <c r="C389" s="1">
        <v>41966</v>
      </c>
      <c r="D389" t="s">
        <v>24</v>
      </c>
      <c r="E389">
        <v>1</v>
      </c>
      <c r="F389">
        <v>8</v>
      </c>
      <c r="G389">
        <v>6</v>
      </c>
      <c r="H389">
        <v>1</v>
      </c>
      <c r="I389" t="s">
        <v>24</v>
      </c>
      <c r="J389">
        <v>94</v>
      </c>
      <c r="K389" t="s">
        <v>18</v>
      </c>
      <c r="L389">
        <v>93</v>
      </c>
    </row>
    <row r="390" spans="1:12" x14ac:dyDescent="0.25">
      <c r="A390">
        <v>400578488</v>
      </c>
      <c r="B390">
        <v>2015</v>
      </c>
      <c r="C390" s="1">
        <v>41966</v>
      </c>
      <c r="D390" t="s">
        <v>36</v>
      </c>
      <c r="E390">
        <v>1</v>
      </c>
      <c r="F390">
        <v>10</v>
      </c>
      <c r="G390">
        <v>2</v>
      </c>
      <c r="H390">
        <v>0</v>
      </c>
      <c r="I390" t="s">
        <v>38</v>
      </c>
      <c r="J390">
        <v>86</v>
      </c>
      <c r="K390" t="s">
        <v>36</v>
      </c>
      <c r="L390">
        <v>91</v>
      </c>
    </row>
    <row r="391" spans="1:12" x14ac:dyDescent="0.25">
      <c r="A391">
        <v>400578488</v>
      </c>
      <c r="B391">
        <v>2015</v>
      </c>
      <c r="C391" s="1">
        <v>41966</v>
      </c>
      <c r="D391" t="s">
        <v>38</v>
      </c>
      <c r="E391">
        <v>0</v>
      </c>
      <c r="F391">
        <v>3</v>
      </c>
      <c r="G391">
        <v>12</v>
      </c>
      <c r="H391">
        <v>1</v>
      </c>
      <c r="I391" t="s">
        <v>38</v>
      </c>
      <c r="J391">
        <v>86</v>
      </c>
      <c r="K391" t="s">
        <v>36</v>
      </c>
      <c r="L391">
        <v>91</v>
      </c>
    </row>
    <row r="392" spans="1:12" x14ac:dyDescent="0.25">
      <c r="A392">
        <v>400578489</v>
      </c>
      <c r="B392">
        <v>2015</v>
      </c>
      <c r="C392" s="1">
        <v>41966</v>
      </c>
      <c r="D392" t="s">
        <v>32</v>
      </c>
      <c r="E392">
        <v>1</v>
      </c>
      <c r="F392">
        <v>6</v>
      </c>
      <c r="G392">
        <v>7</v>
      </c>
      <c r="H392">
        <v>0</v>
      </c>
      <c r="I392" t="s">
        <v>17</v>
      </c>
      <c r="J392">
        <v>94</v>
      </c>
      <c r="K392" t="s">
        <v>32</v>
      </c>
      <c r="L392">
        <v>101</v>
      </c>
    </row>
    <row r="393" spans="1:12" x14ac:dyDescent="0.25">
      <c r="A393">
        <v>400578489</v>
      </c>
      <c r="B393">
        <v>2015</v>
      </c>
      <c r="C393" s="1">
        <v>41966</v>
      </c>
      <c r="D393" t="s">
        <v>17</v>
      </c>
      <c r="E393">
        <v>0</v>
      </c>
      <c r="F393">
        <v>3</v>
      </c>
      <c r="G393">
        <v>11</v>
      </c>
      <c r="H393">
        <v>1</v>
      </c>
      <c r="I393" t="s">
        <v>17</v>
      </c>
      <c r="J393">
        <v>94</v>
      </c>
      <c r="K393" t="s">
        <v>32</v>
      </c>
      <c r="L393">
        <v>101</v>
      </c>
    </row>
    <row r="394" spans="1:12" x14ac:dyDescent="0.25">
      <c r="A394">
        <v>400578490</v>
      </c>
      <c r="B394">
        <v>2015</v>
      </c>
      <c r="C394" s="1">
        <v>41967</v>
      </c>
      <c r="D394" t="s">
        <v>18</v>
      </c>
      <c r="E394">
        <v>0</v>
      </c>
      <c r="F394">
        <v>4</v>
      </c>
      <c r="G394">
        <v>11</v>
      </c>
      <c r="H394">
        <v>1</v>
      </c>
      <c r="I394" t="s">
        <v>18</v>
      </c>
      <c r="J394">
        <v>92</v>
      </c>
      <c r="K394" t="s">
        <v>41</v>
      </c>
      <c r="L394">
        <v>113</v>
      </c>
    </row>
    <row r="395" spans="1:12" x14ac:dyDescent="0.25">
      <c r="A395">
        <v>400578490</v>
      </c>
      <c r="B395">
        <v>2015</v>
      </c>
      <c r="C395" s="1">
        <v>41967</v>
      </c>
      <c r="D395" t="s">
        <v>41</v>
      </c>
      <c r="E395">
        <v>1</v>
      </c>
      <c r="F395">
        <v>8</v>
      </c>
      <c r="G395">
        <v>5</v>
      </c>
      <c r="H395">
        <v>0</v>
      </c>
      <c r="I395" t="s">
        <v>18</v>
      </c>
      <c r="J395">
        <v>92</v>
      </c>
      <c r="K395" t="s">
        <v>41</v>
      </c>
      <c r="L395">
        <v>113</v>
      </c>
    </row>
    <row r="396" spans="1:12" x14ac:dyDescent="0.25">
      <c r="A396">
        <v>400578491</v>
      </c>
      <c r="B396">
        <v>2015</v>
      </c>
      <c r="C396" s="1">
        <v>41967</v>
      </c>
      <c r="D396" t="s">
        <v>40</v>
      </c>
      <c r="E396">
        <v>1</v>
      </c>
      <c r="F396">
        <v>6</v>
      </c>
      <c r="G396">
        <v>7</v>
      </c>
      <c r="H396">
        <v>1</v>
      </c>
      <c r="I396" t="s">
        <v>40</v>
      </c>
      <c r="J396">
        <v>106</v>
      </c>
      <c r="K396" t="s">
        <v>13</v>
      </c>
      <c r="L396">
        <v>74</v>
      </c>
    </row>
    <row r="397" spans="1:12" x14ac:dyDescent="0.25">
      <c r="A397">
        <v>400578491</v>
      </c>
      <c r="B397">
        <v>2015</v>
      </c>
      <c r="C397" s="1">
        <v>41967</v>
      </c>
      <c r="D397" t="s">
        <v>13</v>
      </c>
      <c r="E397">
        <v>0</v>
      </c>
      <c r="F397">
        <v>6</v>
      </c>
      <c r="G397">
        <v>10</v>
      </c>
      <c r="H397">
        <v>0</v>
      </c>
      <c r="I397" t="s">
        <v>40</v>
      </c>
      <c r="J397">
        <v>106</v>
      </c>
      <c r="K397" t="s">
        <v>13</v>
      </c>
      <c r="L397">
        <v>74</v>
      </c>
    </row>
    <row r="398" spans="1:12" x14ac:dyDescent="0.25">
      <c r="A398">
        <v>400578492</v>
      </c>
      <c r="B398">
        <v>2015</v>
      </c>
      <c r="C398" s="1">
        <v>41967</v>
      </c>
      <c r="D398" t="s">
        <v>21</v>
      </c>
      <c r="E398">
        <v>0</v>
      </c>
      <c r="F398">
        <v>0</v>
      </c>
      <c r="G398">
        <v>14</v>
      </c>
      <c r="H398">
        <v>1</v>
      </c>
      <c r="I398" t="s">
        <v>21</v>
      </c>
      <c r="J398">
        <v>104</v>
      </c>
      <c r="K398" t="s">
        <v>39</v>
      </c>
      <c r="L398">
        <v>114</v>
      </c>
    </row>
    <row r="399" spans="1:12" x14ac:dyDescent="0.25">
      <c r="A399">
        <v>400578492</v>
      </c>
      <c r="B399">
        <v>2015</v>
      </c>
      <c r="C399" s="1">
        <v>41967</v>
      </c>
      <c r="D399" t="s">
        <v>39</v>
      </c>
      <c r="E399">
        <v>1</v>
      </c>
      <c r="F399">
        <v>11</v>
      </c>
      <c r="G399">
        <v>3</v>
      </c>
      <c r="H399">
        <v>0</v>
      </c>
      <c r="I399" t="s">
        <v>21</v>
      </c>
      <c r="J399">
        <v>104</v>
      </c>
      <c r="K399" t="s">
        <v>39</v>
      </c>
      <c r="L399">
        <v>114</v>
      </c>
    </row>
    <row r="400" spans="1:12" x14ac:dyDescent="0.25">
      <c r="A400">
        <v>400578493</v>
      </c>
      <c r="B400">
        <v>2015</v>
      </c>
      <c r="C400" s="1">
        <v>41967</v>
      </c>
      <c r="D400" t="s">
        <v>35</v>
      </c>
      <c r="E400">
        <v>0</v>
      </c>
      <c r="F400">
        <v>9</v>
      </c>
      <c r="G400">
        <v>6</v>
      </c>
      <c r="H400">
        <v>0</v>
      </c>
      <c r="I400" t="s">
        <v>27</v>
      </c>
      <c r="J400">
        <v>104</v>
      </c>
      <c r="K400" t="s">
        <v>35</v>
      </c>
      <c r="L400">
        <v>100</v>
      </c>
    </row>
    <row r="401" spans="1:12" x14ac:dyDescent="0.25">
      <c r="A401">
        <v>400578493</v>
      </c>
      <c r="B401">
        <v>2015</v>
      </c>
      <c r="C401" s="1">
        <v>41967</v>
      </c>
      <c r="D401" t="s">
        <v>27</v>
      </c>
      <c r="E401">
        <v>1</v>
      </c>
      <c r="F401">
        <v>12</v>
      </c>
      <c r="G401">
        <v>2</v>
      </c>
      <c r="H401">
        <v>1</v>
      </c>
      <c r="I401" t="s">
        <v>27</v>
      </c>
      <c r="J401">
        <v>104</v>
      </c>
      <c r="K401" t="s">
        <v>35</v>
      </c>
      <c r="L401">
        <v>100</v>
      </c>
    </row>
    <row r="402" spans="1:12" x14ac:dyDescent="0.25">
      <c r="A402">
        <v>400578494</v>
      </c>
      <c r="B402">
        <v>2015</v>
      </c>
      <c r="C402" s="1">
        <v>41967</v>
      </c>
      <c r="D402" t="s">
        <v>16</v>
      </c>
      <c r="E402">
        <v>1</v>
      </c>
      <c r="F402">
        <v>11</v>
      </c>
      <c r="G402">
        <v>3</v>
      </c>
      <c r="H402">
        <v>1</v>
      </c>
      <c r="I402" t="s">
        <v>16</v>
      </c>
      <c r="J402">
        <v>91</v>
      </c>
      <c r="K402" t="s">
        <v>31</v>
      </c>
      <c r="L402">
        <v>86</v>
      </c>
    </row>
    <row r="403" spans="1:12" x14ac:dyDescent="0.25">
      <c r="A403">
        <v>400578494</v>
      </c>
      <c r="B403">
        <v>2015</v>
      </c>
      <c r="C403" s="1">
        <v>41967</v>
      </c>
      <c r="D403" t="s">
        <v>31</v>
      </c>
      <c r="E403">
        <v>0</v>
      </c>
      <c r="F403">
        <v>4</v>
      </c>
      <c r="G403">
        <v>11</v>
      </c>
      <c r="H403">
        <v>0</v>
      </c>
      <c r="I403" t="s">
        <v>16</v>
      </c>
      <c r="J403">
        <v>91</v>
      </c>
      <c r="K403" t="s">
        <v>31</v>
      </c>
      <c r="L403">
        <v>86</v>
      </c>
    </row>
    <row r="404" spans="1:12" x14ac:dyDescent="0.25">
      <c r="A404">
        <v>400578495</v>
      </c>
      <c r="B404">
        <v>2015</v>
      </c>
      <c r="C404" s="1">
        <v>41967</v>
      </c>
      <c r="D404" t="s">
        <v>14</v>
      </c>
      <c r="E404">
        <v>0</v>
      </c>
      <c r="F404">
        <v>10</v>
      </c>
      <c r="G404">
        <v>5</v>
      </c>
      <c r="H404">
        <v>1</v>
      </c>
      <c r="I404" t="s">
        <v>14</v>
      </c>
      <c r="J404">
        <v>100</v>
      </c>
      <c r="K404" t="s">
        <v>20</v>
      </c>
      <c r="L404">
        <v>111</v>
      </c>
    </row>
    <row r="405" spans="1:12" x14ac:dyDescent="0.25">
      <c r="A405">
        <v>400578495</v>
      </c>
      <c r="B405">
        <v>2015</v>
      </c>
      <c r="C405" s="1">
        <v>41967</v>
      </c>
      <c r="D405" t="s">
        <v>20</v>
      </c>
      <c r="E405">
        <v>1</v>
      </c>
      <c r="F405">
        <v>6</v>
      </c>
      <c r="G405">
        <v>8</v>
      </c>
      <c r="H405">
        <v>0</v>
      </c>
      <c r="I405" t="s">
        <v>14</v>
      </c>
      <c r="J405">
        <v>100</v>
      </c>
      <c r="K405" t="s">
        <v>20</v>
      </c>
      <c r="L405">
        <v>111</v>
      </c>
    </row>
    <row r="406" spans="1:12" x14ac:dyDescent="0.25">
      <c r="A406">
        <v>400578496</v>
      </c>
      <c r="B406">
        <v>2015</v>
      </c>
      <c r="C406" s="1">
        <v>41967</v>
      </c>
      <c r="D406" t="s">
        <v>30</v>
      </c>
      <c r="E406">
        <v>1</v>
      </c>
      <c r="F406">
        <v>9</v>
      </c>
      <c r="G406">
        <v>5</v>
      </c>
      <c r="H406">
        <v>0</v>
      </c>
      <c r="I406" t="s">
        <v>34</v>
      </c>
      <c r="J406">
        <v>95</v>
      </c>
      <c r="K406" t="s">
        <v>30</v>
      </c>
      <c r="L406">
        <v>97</v>
      </c>
    </row>
    <row r="407" spans="1:12" x14ac:dyDescent="0.25">
      <c r="A407">
        <v>400578496</v>
      </c>
      <c r="B407">
        <v>2015</v>
      </c>
      <c r="C407" s="1">
        <v>41967</v>
      </c>
      <c r="D407" t="s">
        <v>34</v>
      </c>
      <c r="E407">
        <v>0</v>
      </c>
      <c r="F407">
        <v>5</v>
      </c>
      <c r="G407">
        <v>10</v>
      </c>
      <c r="H407">
        <v>1</v>
      </c>
      <c r="I407" t="s">
        <v>34</v>
      </c>
      <c r="J407">
        <v>95</v>
      </c>
      <c r="K407" t="s">
        <v>30</v>
      </c>
      <c r="L407">
        <v>97</v>
      </c>
    </row>
    <row r="408" spans="1:12" x14ac:dyDescent="0.25">
      <c r="A408">
        <v>400578497</v>
      </c>
      <c r="B408">
        <v>2015</v>
      </c>
      <c r="C408" s="1">
        <v>41968</v>
      </c>
      <c r="D408" t="s">
        <v>26</v>
      </c>
      <c r="E408">
        <v>1</v>
      </c>
      <c r="F408">
        <v>7</v>
      </c>
      <c r="G408">
        <v>5</v>
      </c>
      <c r="H408">
        <v>0</v>
      </c>
      <c r="I408" t="s">
        <v>25</v>
      </c>
      <c r="J408">
        <v>102</v>
      </c>
      <c r="K408" t="s">
        <v>26</v>
      </c>
      <c r="L408">
        <v>106</v>
      </c>
    </row>
    <row r="409" spans="1:12" x14ac:dyDescent="0.25">
      <c r="A409">
        <v>400578497</v>
      </c>
      <c r="B409">
        <v>2015</v>
      </c>
      <c r="C409" s="1">
        <v>41968</v>
      </c>
      <c r="D409" t="s">
        <v>25</v>
      </c>
      <c r="E409">
        <v>0</v>
      </c>
      <c r="F409">
        <v>9</v>
      </c>
      <c r="G409">
        <v>4</v>
      </c>
      <c r="H409">
        <v>1</v>
      </c>
      <c r="I409" t="s">
        <v>25</v>
      </c>
      <c r="J409">
        <v>102</v>
      </c>
      <c r="K409" t="s">
        <v>26</v>
      </c>
      <c r="L409">
        <v>106</v>
      </c>
    </row>
    <row r="410" spans="1:12" x14ac:dyDescent="0.25">
      <c r="A410">
        <v>400578498</v>
      </c>
      <c r="B410">
        <v>2015</v>
      </c>
      <c r="C410" s="1">
        <v>41968</v>
      </c>
      <c r="D410" t="s">
        <v>36</v>
      </c>
      <c r="E410">
        <v>1</v>
      </c>
      <c r="F410">
        <v>11</v>
      </c>
      <c r="G410">
        <v>2</v>
      </c>
      <c r="H410">
        <v>0</v>
      </c>
      <c r="I410" t="s">
        <v>24</v>
      </c>
      <c r="J410">
        <v>97</v>
      </c>
      <c r="K410" t="s">
        <v>36</v>
      </c>
      <c r="L410">
        <v>114</v>
      </c>
    </row>
    <row r="411" spans="1:12" x14ac:dyDescent="0.25">
      <c r="A411">
        <v>400578498</v>
      </c>
      <c r="B411">
        <v>2015</v>
      </c>
      <c r="C411" s="1">
        <v>41968</v>
      </c>
      <c r="D411" t="s">
        <v>24</v>
      </c>
      <c r="E411">
        <v>0</v>
      </c>
      <c r="F411">
        <v>8</v>
      </c>
      <c r="G411">
        <v>7</v>
      </c>
      <c r="H411">
        <v>1</v>
      </c>
      <c r="I411" t="s">
        <v>24</v>
      </c>
      <c r="J411">
        <v>97</v>
      </c>
      <c r="K411" t="s">
        <v>36</v>
      </c>
      <c r="L411">
        <v>114</v>
      </c>
    </row>
    <row r="412" spans="1:12" x14ac:dyDescent="0.25">
      <c r="A412">
        <v>400578499</v>
      </c>
      <c r="B412">
        <v>2015</v>
      </c>
      <c r="C412" s="1">
        <v>41968</v>
      </c>
      <c r="D412" t="s">
        <v>33</v>
      </c>
      <c r="E412">
        <v>0</v>
      </c>
      <c r="F412">
        <v>3</v>
      </c>
      <c r="G412">
        <v>11</v>
      </c>
      <c r="H412">
        <v>0</v>
      </c>
      <c r="I412" t="s">
        <v>19</v>
      </c>
      <c r="J412">
        <v>98</v>
      </c>
      <c r="K412" t="s">
        <v>33</v>
      </c>
      <c r="L412">
        <v>86</v>
      </c>
    </row>
    <row r="413" spans="1:12" x14ac:dyDescent="0.25">
      <c r="A413">
        <v>400578499</v>
      </c>
      <c r="B413">
        <v>2015</v>
      </c>
      <c r="C413" s="1">
        <v>41968</v>
      </c>
      <c r="D413" t="s">
        <v>19</v>
      </c>
      <c r="E413">
        <v>1</v>
      </c>
      <c r="F413">
        <v>8</v>
      </c>
      <c r="G413">
        <v>7</v>
      </c>
      <c r="H413">
        <v>1</v>
      </c>
      <c r="I413" t="s">
        <v>19</v>
      </c>
      <c r="J413">
        <v>98</v>
      </c>
      <c r="K413" t="s">
        <v>33</v>
      </c>
      <c r="L413">
        <v>86</v>
      </c>
    </row>
    <row r="414" spans="1:12" x14ac:dyDescent="0.25">
      <c r="A414">
        <v>400578500</v>
      </c>
      <c r="B414">
        <v>2015</v>
      </c>
      <c r="C414" s="1">
        <v>41968</v>
      </c>
      <c r="D414" t="s">
        <v>12</v>
      </c>
      <c r="E414">
        <v>0</v>
      </c>
      <c r="F414">
        <v>7</v>
      </c>
      <c r="G414">
        <v>6</v>
      </c>
      <c r="H414">
        <v>1</v>
      </c>
      <c r="I414" t="s">
        <v>12</v>
      </c>
      <c r="J414">
        <v>89</v>
      </c>
      <c r="K414" t="s">
        <v>37</v>
      </c>
      <c r="L414">
        <v>99</v>
      </c>
    </row>
    <row r="415" spans="1:12" x14ac:dyDescent="0.25">
      <c r="A415">
        <v>400578500</v>
      </c>
      <c r="B415">
        <v>2015</v>
      </c>
      <c r="C415" s="1">
        <v>41968</v>
      </c>
      <c r="D415" t="s">
        <v>37</v>
      </c>
      <c r="E415">
        <v>1</v>
      </c>
      <c r="F415">
        <v>9</v>
      </c>
      <c r="G415">
        <v>5</v>
      </c>
      <c r="H415">
        <v>0</v>
      </c>
      <c r="I415" t="s">
        <v>12</v>
      </c>
      <c r="J415">
        <v>89</v>
      </c>
      <c r="K415" t="s">
        <v>37</v>
      </c>
      <c r="L415">
        <v>99</v>
      </c>
    </row>
    <row r="416" spans="1:12" x14ac:dyDescent="0.25">
      <c r="A416">
        <v>400578501</v>
      </c>
      <c r="B416">
        <v>2015</v>
      </c>
      <c r="C416" s="1">
        <v>41968</v>
      </c>
      <c r="D416" t="s">
        <v>30</v>
      </c>
      <c r="E416">
        <v>0</v>
      </c>
      <c r="F416">
        <v>9</v>
      </c>
      <c r="G416">
        <v>6</v>
      </c>
      <c r="H416">
        <v>0</v>
      </c>
      <c r="I416" t="s">
        <v>32</v>
      </c>
      <c r="J416">
        <v>114</v>
      </c>
      <c r="K416" t="s">
        <v>30</v>
      </c>
      <c r="L416">
        <v>109</v>
      </c>
    </row>
    <row r="417" spans="1:12" x14ac:dyDescent="0.25">
      <c r="A417">
        <v>400578501</v>
      </c>
      <c r="B417">
        <v>2015</v>
      </c>
      <c r="C417" s="1">
        <v>41968</v>
      </c>
      <c r="D417" t="s">
        <v>32</v>
      </c>
      <c r="E417">
        <v>1</v>
      </c>
      <c r="F417">
        <v>7</v>
      </c>
      <c r="G417">
        <v>7</v>
      </c>
      <c r="H417">
        <v>1</v>
      </c>
      <c r="I417" t="s">
        <v>32</v>
      </c>
      <c r="J417">
        <v>114</v>
      </c>
      <c r="K417" t="s">
        <v>30</v>
      </c>
      <c r="L417">
        <v>109</v>
      </c>
    </row>
    <row r="418" spans="1:12" x14ac:dyDescent="0.25">
      <c r="A418">
        <v>400578502</v>
      </c>
      <c r="B418">
        <v>2015</v>
      </c>
      <c r="C418" s="1">
        <v>41969</v>
      </c>
      <c r="D418" t="s">
        <v>18</v>
      </c>
      <c r="E418">
        <v>0</v>
      </c>
      <c r="F418">
        <v>4</v>
      </c>
      <c r="G418">
        <v>12</v>
      </c>
      <c r="H418">
        <v>1</v>
      </c>
      <c r="I418" t="s">
        <v>18</v>
      </c>
      <c r="J418">
        <v>97</v>
      </c>
      <c r="K418" t="s">
        <v>39</v>
      </c>
      <c r="L418">
        <v>105</v>
      </c>
    </row>
    <row r="419" spans="1:12" x14ac:dyDescent="0.25">
      <c r="A419">
        <v>400578502</v>
      </c>
      <c r="B419">
        <v>2015</v>
      </c>
      <c r="C419" s="1">
        <v>41969</v>
      </c>
      <c r="D419" t="s">
        <v>39</v>
      </c>
      <c r="E419">
        <v>1</v>
      </c>
      <c r="F419">
        <v>12</v>
      </c>
      <c r="G419">
        <v>3</v>
      </c>
      <c r="H419">
        <v>0</v>
      </c>
      <c r="I419" t="s">
        <v>18</v>
      </c>
      <c r="J419">
        <v>97</v>
      </c>
      <c r="K419" t="s">
        <v>39</v>
      </c>
      <c r="L419">
        <v>105</v>
      </c>
    </row>
    <row r="420" spans="1:12" x14ac:dyDescent="0.25">
      <c r="A420">
        <v>400578503</v>
      </c>
      <c r="B420">
        <v>2015</v>
      </c>
      <c r="C420" s="1">
        <v>41969</v>
      </c>
      <c r="D420" t="s">
        <v>40</v>
      </c>
      <c r="E420">
        <v>1</v>
      </c>
      <c r="F420">
        <v>7</v>
      </c>
      <c r="G420">
        <v>7</v>
      </c>
      <c r="H420">
        <v>1</v>
      </c>
      <c r="I420" t="s">
        <v>40</v>
      </c>
      <c r="J420">
        <v>113</v>
      </c>
      <c r="K420" t="s">
        <v>25</v>
      </c>
      <c r="L420">
        <v>87</v>
      </c>
    </row>
    <row r="421" spans="1:12" x14ac:dyDescent="0.25">
      <c r="A421">
        <v>400578503</v>
      </c>
      <c r="B421">
        <v>2015</v>
      </c>
      <c r="C421" s="1">
        <v>41969</v>
      </c>
      <c r="D421" t="s">
        <v>25</v>
      </c>
      <c r="E421">
        <v>0</v>
      </c>
      <c r="F421">
        <v>9</v>
      </c>
      <c r="G421">
        <v>5</v>
      </c>
      <c r="H421">
        <v>0</v>
      </c>
      <c r="I421" t="s">
        <v>40</v>
      </c>
      <c r="J421">
        <v>113</v>
      </c>
      <c r="K421" t="s">
        <v>25</v>
      </c>
      <c r="L421">
        <v>87</v>
      </c>
    </row>
    <row r="422" spans="1:12" x14ac:dyDescent="0.25">
      <c r="A422">
        <v>400578504</v>
      </c>
      <c r="B422">
        <v>2015</v>
      </c>
      <c r="C422" s="1">
        <v>41969</v>
      </c>
      <c r="D422" t="s">
        <v>36</v>
      </c>
      <c r="E422">
        <v>1</v>
      </c>
      <c r="F422">
        <v>12</v>
      </c>
      <c r="G422">
        <v>2</v>
      </c>
      <c r="H422">
        <v>0</v>
      </c>
      <c r="I422" t="s">
        <v>13</v>
      </c>
      <c r="J422">
        <v>96</v>
      </c>
      <c r="K422" t="s">
        <v>36</v>
      </c>
      <c r="L422">
        <v>111</v>
      </c>
    </row>
    <row r="423" spans="1:12" x14ac:dyDescent="0.25">
      <c r="A423">
        <v>400578504</v>
      </c>
      <c r="B423">
        <v>2015</v>
      </c>
      <c r="C423" s="1">
        <v>41969</v>
      </c>
      <c r="D423" t="s">
        <v>13</v>
      </c>
      <c r="E423">
        <v>0</v>
      </c>
      <c r="F423">
        <v>6</v>
      </c>
      <c r="G423">
        <v>11</v>
      </c>
      <c r="H423">
        <v>1</v>
      </c>
      <c r="I423" t="s">
        <v>13</v>
      </c>
      <c r="J423">
        <v>96</v>
      </c>
      <c r="K423" t="s">
        <v>36</v>
      </c>
      <c r="L423">
        <v>111</v>
      </c>
    </row>
    <row r="424" spans="1:12" x14ac:dyDescent="0.25">
      <c r="A424">
        <v>400578505</v>
      </c>
      <c r="B424">
        <v>2015</v>
      </c>
      <c r="C424" s="1">
        <v>41969</v>
      </c>
      <c r="D424" t="s">
        <v>23</v>
      </c>
      <c r="E424">
        <v>1</v>
      </c>
      <c r="F424">
        <v>6</v>
      </c>
      <c r="G424">
        <v>8</v>
      </c>
      <c r="H424">
        <v>0</v>
      </c>
      <c r="I424" t="s">
        <v>21</v>
      </c>
      <c r="J424">
        <v>91</v>
      </c>
      <c r="K424" t="s">
        <v>23</v>
      </c>
      <c r="L424">
        <v>99</v>
      </c>
    </row>
    <row r="425" spans="1:12" x14ac:dyDescent="0.25">
      <c r="A425">
        <v>400578505</v>
      </c>
      <c r="B425">
        <v>2015</v>
      </c>
      <c r="C425" s="1">
        <v>41969</v>
      </c>
      <c r="D425" t="s">
        <v>21</v>
      </c>
      <c r="E425">
        <v>0</v>
      </c>
      <c r="F425">
        <v>0</v>
      </c>
      <c r="G425">
        <v>15</v>
      </c>
      <c r="H425">
        <v>1</v>
      </c>
      <c r="I425" t="s">
        <v>21</v>
      </c>
      <c r="J425">
        <v>91</v>
      </c>
      <c r="K425" t="s">
        <v>23</v>
      </c>
      <c r="L425">
        <v>99</v>
      </c>
    </row>
    <row r="426" spans="1:12" x14ac:dyDescent="0.25">
      <c r="A426">
        <v>400578506</v>
      </c>
      <c r="B426">
        <v>2015</v>
      </c>
      <c r="C426" s="1">
        <v>41969</v>
      </c>
      <c r="D426" t="s">
        <v>14</v>
      </c>
      <c r="E426">
        <v>1</v>
      </c>
      <c r="F426">
        <v>11</v>
      </c>
      <c r="G426">
        <v>5</v>
      </c>
      <c r="H426">
        <v>1</v>
      </c>
      <c r="I426" t="s">
        <v>14</v>
      </c>
      <c r="J426">
        <v>109</v>
      </c>
      <c r="K426" t="s">
        <v>31</v>
      </c>
      <c r="L426">
        <v>102</v>
      </c>
    </row>
    <row r="427" spans="1:12" x14ac:dyDescent="0.25">
      <c r="A427">
        <v>400578506</v>
      </c>
      <c r="B427">
        <v>2015</v>
      </c>
      <c r="C427" s="1">
        <v>41969</v>
      </c>
      <c r="D427" t="s">
        <v>31</v>
      </c>
      <c r="E427">
        <v>0</v>
      </c>
      <c r="F427">
        <v>4</v>
      </c>
      <c r="G427">
        <v>12</v>
      </c>
      <c r="H427">
        <v>0</v>
      </c>
      <c r="I427" t="s">
        <v>14</v>
      </c>
      <c r="J427">
        <v>109</v>
      </c>
      <c r="K427" t="s">
        <v>31</v>
      </c>
      <c r="L427">
        <v>102</v>
      </c>
    </row>
    <row r="428" spans="1:12" x14ac:dyDescent="0.25">
      <c r="A428">
        <v>400578507</v>
      </c>
      <c r="B428">
        <v>2015</v>
      </c>
      <c r="C428" s="1">
        <v>41969</v>
      </c>
      <c r="D428" t="s">
        <v>26</v>
      </c>
      <c r="E428">
        <v>0</v>
      </c>
      <c r="F428">
        <v>7</v>
      </c>
      <c r="G428">
        <v>6</v>
      </c>
      <c r="H428">
        <v>1</v>
      </c>
      <c r="I428" t="s">
        <v>26</v>
      </c>
      <c r="J428">
        <v>115</v>
      </c>
      <c r="K428" t="s">
        <v>27</v>
      </c>
      <c r="L428">
        <v>126</v>
      </c>
    </row>
    <row r="429" spans="1:12" x14ac:dyDescent="0.25">
      <c r="A429">
        <v>400578507</v>
      </c>
      <c r="B429">
        <v>2015</v>
      </c>
      <c r="C429" s="1">
        <v>41969</v>
      </c>
      <c r="D429" t="s">
        <v>27</v>
      </c>
      <c r="E429">
        <v>1</v>
      </c>
      <c r="F429">
        <v>13</v>
      </c>
      <c r="G429">
        <v>2</v>
      </c>
      <c r="H429">
        <v>0</v>
      </c>
      <c r="I429" t="s">
        <v>26</v>
      </c>
      <c r="J429">
        <v>115</v>
      </c>
      <c r="K429" t="s">
        <v>27</v>
      </c>
      <c r="L429">
        <v>126</v>
      </c>
    </row>
    <row r="430" spans="1:12" x14ac:dyDescent="0.25">
      <c r="A430">
        <v>400578508</v>
      </c>
      <c r="B430">
        <v>2015</v>
      </c>
      <c r="C430" s="1">
        <v>41969</v>
      </c>
      <c r="D430" t="s">
        <v>33</v>
      </c>
      <c r="E430">
        <v>0</v>
      </c>
      <c r="F430">
        <v>3</v>
      </c>
      <c r="G430">
        <v>12</v>
      </c>
      <c r="H430">
        <v>1</v>
      </c>
      <c r="I430" t="s">
        <v>33</v>
      </c>
      <c r="J430">
        <v>98</v>
      </c>
      <c r="K430" t="s">
        <v>41</v>
      </c>
      <c r="L430">
        <v>104</v>
      </c>
    </row>
    <row r="431" spans="1:12" x14ac:dyDescent="0.25">
      <c r="A431">
        <v>400578508</v>
      </c>
      <c r="B431">
        <v>2015</v>
      </c>
      <c r="C431" s="1">
        <v>41969</v>
      </c>
      <c r="D431" t="s">
        <v>41</v>
      </c>
      <c r="E431">
        <v>1</v>
      </c>
      <c r="F431">
        <v>9</v>
      </c>
      <c r="G431">
        <v>5</v>
      </c>
      <c r="H431">
        <v>0</v>
      </c>
      <c r="I431" t="s">
        <v>33</v>
      </c>
      <c r="J431">
        <v>98</v>
      </c>
      <c r="K431" t="s">
        <v>41</v>
      </c>
      <c r="L431">
        <v>104</v>
      </c>
    </row>
    <row r="432" spans="1:12" x14ac:dyDescent="0.25">
      <c r="A432">
        <v>400578509</v>
      </c>
      <c r="B432">
        <v>2015</v>
      </c>
      <c r="C432" s="1">
        <v>41969</v>
      </c>
      <c r="D432" t="s">
        <v>16</v>
      </c>
      <c r="E432">
        <v>1</v>
      </c>
      <c r="F432">
        <v>12</v>
      </c>
      <c r="G432">
        <v>3</v>
      </c>
      <c r="H432">
        <v>1</v>
      </c>
      <c r="I432" t="s">
        <v>16</v>
      </c>
      <c r="J432">
        <v>102</v>
      </c>
      <c r="K432" t="s">
        <v>37</v>
      </c>
      <c r="L432">
        <v>89</v>
      </c>
    </row>
    <row r="433" spans="1:12" x14ac:dyDescent="0.25">
      <c r="A433">
        <v>400578509</v>
      </c>
      <c r="B433">
        <v>2015</v>
      </c>
      <c r="C433" s="1">
        <v>41969</v>
      </c>
      <c r="D433" t="s">
        <v>37</v>
      </c>
      <c r="E433">
        <v>0</v>
      </c>
      <c r="F433">
        <v>9</v>
      </c>
      <c r="G433">
        <v>6</v>
      </c>
      <c r="H433">
        <v>0</v>
      </c>
      <c r="I433" t="s">
        <v>16</v>
      </c>
      <c r="J433">
        <v>102</v>
      </c>
      <c r="K433" t="s">
        <v>37</v>
      </c>
      <c r="L433">
        <v>89</v>
      </c>
    </row>
    <row r="434" spans="1:12" x14ac:dyDescent="0.25">
      <c r="A434">
        <v>400578510</v>
      </c>
      <c r="B434">
        <v>2015</v>
      </c>
      <c r="C434" s="1">
        <v>41969</v>
      </c>
      <c r="D434" t="s">
        <v>19</v>
      </c>
      <c r="E434">
        <v>1</v>
      </c>
      <c r="F434">
        <v>9</v>
      </c>
      <c r="G434">
        <v>7</v>
      </c>
      <c r="H434">
        <v>0</v>
      </c>
      <c r="I434" t="s">
        <v>29</v>
      </c>
      <c r="J434">
        <v>86</v>
      </c>
      <c r="K434" t="s">
        <v>19</v>
      </c>
      <c r="L434">
        <v>103</v>
      </c>
    </row>
    <row r="435" spans="1:12" x14ac:dyDescent="0.25">
      <c r="A435">
        <v>400578510</v>
      </c>
      <c r="B435">
        <v>2015</v>
      </c>
      <c r="C435" s="1">
        <v>41969</v>
      </c>
      <c r="D435" t="s">
        <v>29</v>
      </c>
      <c r="E435">
        <v>0</v>
      </c>
      <c r="F435">
        <v>3</v>
      </c>
      <c r="G435">
        <v>10</v>
      </c>
      <c r="H435">
        <v>1</v>
      </c>
      <c r="I435" t="s">
        <v>29</v>
      </c>
      <c r="J435">
        <v>86</v>
      </c>
      <c r="K435" t="s">
        <v>19</v>
      </c>
      <c r="L435">
        <v>103</v>
      </c>
    </row>
    <row r="436" spans="1:12" x14ac:dyDescent="0.25">
      <c r="A436">
        <v>400578511</v>
      </c>
      <c r="B436">
        <v>2015</v>
      </c>
      <c r="C436" s="1">
        <v>41969</v>
      </c>
      <c r="D436" t="s">
        <v>38</v>
      </c>
      <c r="E436">
        <v>1</v>
      </c>
      <c r="F436">
        <v>4</v>
      </c>
      <c r="G436">
        <v>12</v>
      </c>
      <c r="H436">
        <v>1</v>
      </c>
      <c r="I436" t="s">
        <v>38</v>
      </c>
      <c r="J436">
        <v>97</v>
      </c>
      <c r="K436" t="s">
        <v>34</v>
      </c>
      <c r="L436">
        <v>82</v>
      </c>
    </row>
    <row r="437" spans="1:12" x14ac:dyDescent="0.25">
      <c r="A437">
        <v>400578511</v>
      </c>
      <c r="B437">
        <v>2015</v>
      </c>
      <c r="C437" s="1">
        <v>41969</v>
      </c>
      <c r="D437" t="s">
        <v>34</v>
      </c>
      <c r="E437">
        <v>0</v>
      </c>
      <c r="F437">
        <v>5</v>
      </c>
      <c r="G437">
        <v>11</v>
      </c>
      <c r="H437">
        <v>0</v>
      </c>
      <c r="I437" t="s">
        <v>38</v>
      </c>
      <c r="J437">
        <v>97</v>
      </c>
      <c r="K437" t="s">
        <v>34</v>
      </c>
      <c r="L437">
        <v>82</v>
      </c>
    </row>
    <row r="438" spans="1:12" x14ac:dyDescent="0.25">
      <c r="A438">
        <v>400578512</v>
      </c>
      <c r="B438">
        <v>2015</v>
      </c>
      <c r="C438" s="1">
        <v>41969</v>
      </c>
      <c r="D438" t="s">
        <v>20</v>
      </c>
      <c r="E438">
        <v>0</v>
      </c>
      <c r="F438">
        <v>6</v>
      </c>
      <c r="G438">
        <v>9</v>
      </c>
      <c r="H438">
        <v>0</v>
      </c>
      <c r="I438" t="s">
        <v>15</v>
      </c>
      <c r="J438">
        <v>106</v>
      </c>
      <c r="K438" t="s">
        <v>20</v>
      </c>
      <c r="L438">
        <v>100</v>
      </c>
    </row>
    <row r="439" spans="1:12" x14ac:dyDescent="0.25">
      <c r="A439">
        <v>400578512</v>
      </c>
      <c r="B439">
        <v>2015</v>
      </c>
      <c r="C439" s="1">
        <v>41969</v>
      </c>
      <c r="D439" t="s">
        <v>15</v>
      </c>
      <c r="E439">
        <v>1</v>
      </c>
      <c r="F439">
        <v>10</v>
      </c>
      <c r="G439">
        <v>4</v>
      </c>
      <c r="H439">
        <v>1</v>
      </c>
      <c r="I439" t="s">
        <v>15</v>
      </c>
      <c r="J439">
        <v>106</v>
      </c>
      <c r="K439" t="s">
        <v>20</v>
      </c>
      <c r="L439">
        <v>100</v>
      </c>
    </row>
    <row r="440" spans="1:12" x14ac:dyDescent="0.25">
      <c r="A440">
        <v>400578513</v>
      </c>
      <c r="B440">
        <v>2015</v>
      </c>
      <c r="C440" s="1">
        <v>41969</v>
      </c>
      <c r="D440" t="s">
        <v>32</v>
      </c>
      <c r="E440">
        <v>0</v>
      </c>
      <c r="F440">
        <v>7</v>
      </c>
      <c r="G440">
        <v>8</v>
      </c>
      <c r="H440">
        <v>0</v>
      </c>
      <c r="I440" t="s">
        <v>35</v>
      </c>
      <c r="J440">
        <v>120</v>
      </c>
      <c r="K440" t="s">
        <v>32</v>
      </c>
      <c r="L440">
        <v>112</v>
      </c>
    </row>
    <row r="441" spans="1:12" x14ac:dyDescent="0.25">
      <c r="A441">
        <v>400578513</v>
      </c>
      <c r="B441">
        <v>2015</v>
      </c>
      <c r="C441" s="1">
        <v>41969</v>
      </c>
      <c r="D441" t="s">
        <v>35</v>
      </c>
      <c r="E441">
        <v>1</v>
      </c>
      <c r="F441">
        <v>10</v>
      </c>
      <c r="G441">
        <v>6</v>
      </c>
      <c r="H441">
        <v>1</v>
      </c>
      <c r="I441" t="s">
        <v>35</v>
      </c>
      <c r="J441">
        <v>120</v>
      </c>
      <c r="K441" t="s">
        <v>32</v>
      </c>
      <c r="L441">
        <v>112</v>
      </c>
    </row>
    <row r="442" spans="1:12" x14ac:dyDescent="0.25">
      <c r="A442">
        <v>400578514</v>
      </c>
      <c r="B442">
        <v>2015</v>
      </c>
      <c r="C442" s="1">
        <v>41969</v>
      </c>
      <c r="D442" t="s">
        <v>17</v>
      </c>
      <c r="E442">
        <v>0</v>
      </c>
      <c r="F442">
        <v>3</v>
      </c>
      <c r="G442">
        <v>12</v>
      </c>
      <c r="H442">
        <v>1</v>
      </c>
      <c r="I442" t="s">
        <v>17</v>
      </c>
      <c r="J442">
        <v>93</v>
      </c>
      <c r="K442" t="s">
        <v>28</v>
      </c>
      <c r="L442">
        <v>99</v>
      </c>
    </row>
    <row r="443" spans="1:12" x14ac:dyDescent="0.25">
      <c r="A443">
        <v>400578514</v>
      </c>
      <c r="B443">
        <v>2015</v>
      </c>
      <c r="C443" s="1">
        <v>41969</v>
      </c>
      <c r="D443" t="s">
        <v>28</v>
      </c>
      <c r="E443">
        <v>1</v>
      </c>
      <c r="F443">
        <v>13</v>
      </c>
      <c r="G443">
        <v>2</v>
      </c>
      <c r="H443">
        <v>0</v>
      </c>
      <c r="I443" t="s">
        <v>17</v>
      </c>
      <c r="J443">
        <v>93</v>
      </c>
      <c r="K443" t="s">
        <v>28</v>
      </c>
      <c r="L443">
        <v>99</v>
      </c>
    </row>
    <row r="444" spans="1:12" x14ac:dyDescent="0.25">
      <c r="A444">
        <v>400578515</v>
      </c>
      <c r="B444">
        <v>2015</v>
      </c>
      <c r="C444" s="1">
        <v>41971</v>
      </c>
      <c r="D444" t="s">
        <v>22</v>
      </c>
      <c r="E444">
        <v>0</v>
      </c>
      <c r="F444">
        <v>4</v>
      </c>
      <c r="G444">
        <v>9</v>
      </c>
      <c r="H444">
        <v>1</v>
      </c>
      <c r="I444" t="s">
        <v>22</v>
      </c>
      <c r="J444">
        <v>102</v>
      </c>
      <c r="K444" t="s">
        <v>30</v>
      </c>
      <c r="L444">
        <v>109</v>
      </c>
    </row>
    <row r="445" spans="1:12" x14ac:dyDescent="0.25">
      <c r="A445">
        <v>400578515</v>
      </c>
      <c r="B445">
        <v>2015</v>
      </c>
      <c r="C445" s="1">
        <v>41971</v>
      </c>
      <c r="D445" t="s">
        <v>30</v>
      </c>
      <c r="E445">
        <v>1</v>
      </c>
      <c r="F445">
        <v>10</v>
      </c>
      <c r="G445">
        <v>6</v>
      </c>
      <c r="H445">
        <v>0</v>
      </c>
      <c r="I445" t="s">
        <v>22</v>
      </c>
      <c r="J445">
        <v>102</v>
      </c>
      <c r="K445" t="s">
        <v>30</v>
      </c>
      <c r="L445">
        <v>109</v>
      </c>
    </row>
    <row r="446" spans="1:12" x14ac:dyDescent="0.25">
      <c r="A446">
        <v>400578516</v>
      </c>
      <c r="B446">
        <v>2015</v>
      </c>
      <c r="C446" s="1">
        <v>41971</v>
      </c>
      <c r="D446" t="s">
        <v>18</v>
      </c>
      <c r="E446">
        <v>0</v>
      </c>
      <c r="F446">
        <v>4</v>
      </c>
      <c r="G446">
        <v>13</v>
      </c>
      <c r="H446">
        <v>1</v>
      </c>
      <c r="I446" t="s">
        <v>18</v>
      </c>
      <c r="J446">
        <v>101</v>
      </c>
      <c r="K446" t="s">
        <v>36</v>
      </c>
      <c r="L446">
        <v>106</v>
      </c>
    </row>
    <row r="447" spans="1:12" x14ac:dyDescent="0.25">
      <c r="A447">
        <v>400578516</v>
      </c>
      <c r="B447">
        <v>2015</v>
      </c>
      <c r="C447" s="1">
        <v>41971</v>
      </c>
      <c r="D447" t="s">
        <v>36</v>
      </c>
      <c r="E447">
        <v>1</v>
      </c>
      <c r="F447">
        <v>13</v>
      </c>
      <c r="G447">
        <v>2</v>
      </c>
      <c r="H447">
        <v>0</v>
      </c>
      <c r="I447" t="s">
        <v>18</v>
      </c>
      <c r="J447">
        <v>101</v>
      </c>
      <c r="K447" t="s">
        <v>36</v>
      </c>
      <c r="L447">
        <v>106</v>
      </c>
    </row>
    <row r="448" spans="1:12" x14ac:dyDescent="0.25">
      <c r="A448">
        <v>400578517</v>
      </c>
      <c r="B448">
        <v>2015</v>
      </c>
      <c r="C448" s="1">
        <v>41971</v>
      </c>
      <c r="D448" t="s">
        <v>26</v>
      </c>
      <c r="E448">
        <v>1</v>
      </c>
      <c r="F448">
        <v>8</v>
      </c>
      <c r="G448">
        <v>6</v>
      </c>
      <c r="H448">
        <v>1</v>
      </c>
      <c r="I448" t="s">
        <v>26</v>
      </c>
      <c r="J448">
        <v>100</v>
      </c>
      <c r="K448" t="s">
        <v>12</v>
      </c>
      <c r="L448">
        <v>91</v>
      </c>
    </row>
    <row r="449" spans="1:12" x14ac:dyDescent="0.25">
      <c r="A449">
        <v>400578517</v>
      </c>
      <c r="B449">
        <v>2015</v>
      </c>
      <c r="C449" s="1">
        <v>41971</v>
      </c>
      <c r="D449" t="s">
        <v>12</v>
      </c>
      <c r="E449">
        <v>0</v>
      </c>
      <c r="F449">
        <v>7</v>
      </c>
      <c r="G449">
        <v>7</v>
      </c>
      <c r="H449">
        <v>0</v>
      </c>
      <c r="I449" t="s">
        <v>26</v>
      </c>
      <c r="J449">
        <v>100</v>
      </c>
      <c r="K449" t="s">
        <v>12</v>
      </c>
      <c r="L449">
        <v>91</v>
      </c>
    </row>
    <row r="450" spans="1:12" x14ac:dyDescent="0.25">
      <c r="A450">
        <v>400578518</v>
      </c>
      <c r="B450">
        <v>2015</v>
      </c>
      <c r="C450" s="1">
        <v>41971</v>
      </c>
      <c r="D450" t="s">
        <v>33</v>
      </c>
      <c r="E450">
        <v>0</v>
      </c>
      <c r="F450">
        <v>3</v>
      </c>
      <c r="G450">
        <v>13</v>
      </c>
      <c r="H450">
        <v>1</v>
      </c>
      <c r="I450" t="s">
        <v>33</v>
      </c>
      <c r="J450">
        <v>88</v>
      </c>
      <c r="K450" t="s">
        <v>19</v>
      </c>
      <c r="L450">
        <v>104</v>
      </c>
    </row>
    <row r="451" spans="1:12" x14ac:dyDescent="0.25">
      <c r="A451">
        <v>400578518</v>
      </c>
      <c r="B451">
        <v>2015</v>
      </c>
      <c r="C451" s="1">
        <v>41971</v>
      </c>
      <c r="D451" t="s">
        <v>19</v>
      </c>
      <c r="E451">
        <v>1</v>
      </c>
      <c r="F451">
        <v>10</v>
      </c>
      <c r="G451">
        <v>7</v>
      </c>
      <c r="H451">
        <v>0</v>
      </c>
      <c r="I451" t="s">
        <v>33</v>
      </c>
      <c r="J451">
        <v>88</v>
      </c>
      <c r="K451" t="s">
        <v>19</v>
      </c>
      <c r="L451">
        <v>104</v>
      </c>
    </row>
    <row r="452" spans="1:12" x14ac:dyDescent="0.25">
      <c r="A452">
        <v>400578519</v>
      </c>
      <c r="B452">
        <v>2015</v>
      </c>
      <c r="C452" s="1">
        <v>41971</v>
      </c>
      <c r="D452" t="s">
        <v>14</v>
      </c>
      <c r="E452">
        <v>1</v>
      </c>
      <c r="F452">
        <v>12</v>
      </c>
      <c r="G452">
        <v>5</v>
      </c>
      <c r="H452">
        <v>0</v>
      </c>
      <c r="I452" t="s">
        <v>27</v>
      </c>
      <c r="J452">
        <v>102</v>
      </c>
      <c r="K452" t="s">
        <v>14</v>
      </c>
      <c r="L452">
        <v>106</v>
      </c>
    </row>
    <row r="453" spans="1:12" x14ac:dyDescent="0.25">
      <c r="A453">
        <v>400578519</v>
      </c>
      <c r="B453">
        <v>2015</v>
      </c>
      <c r="C453" s="1">
        <v>41971</v>
      </c>
      <c r="D453" t="s">
        <v>27</v>
      </c>
      <c r="E453">
        <v>0</v>
      </c>
      <c r="F453">
        <v>13</v>
      </c>
      <c r="G453">
        <v>3</v>
      </c>
      <c r="H453">
        <v>1</v>
      </c>
      <c r="I453" t="s">
        <v>27</v>
      </c>
      <c r="J453">
        <v>102</v>
      </c>
      <c r="K453" t="s">
        <v>14</v>
      </c>
      <c r="L453">
        <v>106</v>
      </c>
    </row>
    <row r="454" spans="1:12" x14ac:dyDescent="0.25">
      <c r="A454">
        <v>400578520</v>
      </c>
      <c r="B454">
        <v>2015</v>
      </c>
      <c r="C454" s="1">
        <v>41971</v>
      </c>
      <c r="D454" t="s">
        <v>16</v>
      </c>
      <c r="E454">
        <v>0</v>
      </c>
      <c r="F454">
        <v>12</v>
      </c>
      <c r="G454">
        <v>4</v>
      </c>
      <c r="H454">
        <v>1</v>
      </c>
      <c r="I454" t="s">
        <v>16</v>
      </c>
      <c r="J454">
        <v>85</v>
      </c>
      <c r="K454" t="s">
        <v>41</v>
      </c>
      <c r="L454">
        <v>102</v>
      </c>
    </row>
    <row r="455" spans="1:12" x14ac:dyDescent="0.25">
      <c r="A455">
        <v>400578520</v>
      </c>
      <c r="B455">
        <v>2015</v>
      </c>
      <c r="C455" s="1">
        <v>41971</v>
      </c>
      <c r="D455" t="s">
        <v>41</v>
      </c>
      <c r="E455">
        <v>1</v>
      </c>
      <c r="F455">
        <v>10</v>
      </c>
      <c r="G455">
        <v>5</v>
      </c>
      <c r="H455">
        <v>0</v>
      </c>
      <c r="I455" t="s">
        <v>16</v>
      </c>
      <c r="J455">
        <v>85</v>
      </c>
      <c r="K455" t="s">
        <v>41</v>
      </c>
      <c r="L455">
        <v>102</v>
      </c>
    </row>
    <row r="456" spans="1:12" x14ac:dyDescent="0.25">
      <c r="A456">
        <v>400578521</v>
      </c>
      <c r="B456">
        <v>2015</v>
      </c>
      <c r="C456" s="1">
        <v>41971</v>
      </c>
      <c r="D456" t="s">
        <v>31</v>
      </c>
      <c r="E456">
        <v>0</v>
      </c>
      <c r="F456">
        <v>4</v>
      </c>
      <c r="G456">
        <v>13</v>
      </c>
      <c r="H456">
        <v>0</v>
      </c>
      <c r="I456" t="s">
        <v>38</v>
      </c>
      <c r="J456">
        <v>105</v>
      </c>
      <c r="K456" t="s">
        <v>31</v>
      </c>
      <c r="L456">
        <v>78</v>
      </c>
    </row>
    <row r="457" spans="1:12" x14ac:dyDescent="0.25">
      <c r="A457">
        <v>400578521</v>
      </c>
      <c r="B457">
        <v>2015</v>
      </c>
      <c r="C457" s="1">
        <v>41971</v>
      </c>
      <c r="D457" t="s">
        <v>38</v>
      </c>
      <c r="E457">
        <v>1</v>
      </c>
      <c r="F457">
        <v>5</v>
      </c>
      <c r="G457">
        <v>12</v>
      </c>
      <c r="H457">
        <v>1</v>
      </c>
      <c r="I457" t="s">
        <v>38</v>
      </c>
      <c r="J457">
        <v>105</v>
      </c>
      <c r="K457" t="s">
        <v>31</v>
      </c>
      <c r="L457">
        <v>78</v>
      </c>
    </row>
    <row r="458" spans="1:12" x14ac:dyDescent="0.25">
      <c r="A458">
        <v>400578522</v>
      </c>
      <c r="B458">
        <v>2015</v>
      </c>
      <c r="C458" s="1">
        <v>41971</v>
      </c>
      <c r="D458" t="s">
        <v>20</v>
      </c>
      <c r="E458">
        <v>1</v>
      </c>
      <c r="F458">
        <v>7</v>
      </c>
      <c r="G458">
        <v>9</v>
      </c>
      <c r="H458">
        <v>1</v>
      </c>
      <c r="I458" t="s">
        <v>20</v>
      </c>
      <c r="J458">
        <v>98</v>
      </c>
      <c r="K458" t="s">
        <v>13</v>
      </c>
      <c r="L458">
        <v>83</v>
      </c>
    </row>
    <row r="459" spans="1:12" x14ac:dyDescent="0.25">
      <c r="A459">
        <v>400578522</v>
      </c>
      <c r="B459">
        <v>2015</v>
      </c>
      <c r="C459" s="1">
        <v>41971</v>
      </c>
      <c r="D459" t="s">
        <v>13</v>
      </c>
      <c r="E459">
        <v>0</v>
      </c>
      <c r="F459">
        <v>6</v>
      </c>
      <c r="G459">
        <v>12</v>
      </c>
      <c r="H459">
        <v>0</v>
      </c>
      <c r="I459" t="s">
        <v>20</v>
      </c>
      <c r="J459">
        <v>98</v>
      </c>
      <c r="K459" t="s">
        <v>13</v>
      </c>
      <c r="L459">
        <v>83</v>
      </c>
    </row>
    <row r="460" spans="1:12" x14ac:dyDescent="0.25">
      <c r="A460">
        <v>400578523</v>
      </c>
      <c r="B460">
        <v>2015</v>
      </c>
      <c r="C460" s="1">
        <v>41971</v>
      </c>
      <c r="D460" t="s">
        <v>37</v>
      </c>
      <c r="E460">
        <v>0</v>
      </c>
      <c r="F460">
        <v>9</v>
      </c>
      <c r="G460">
        <v>7</v>
      </c>
      <c r="H460">
        <v>0</v>
      </c>
      <c r="I460" t="s">
        <v>15</v>
      </c>
      <c r="J460">
        <v>112</v>
      </c>
      <c r="K460" t="s">
        <v>37</v>
      </c>
      <c r="L460">
        <v>104</v>
      </c>
    </row>
    <row r="461" spans="1:12" x14ac:dyDescent="0.25">
      <c r="A461">
        <v>400578523</v>
      </c>
      <c r="B461">
        <v>2015</v>
      </c>
      <c r="C461" s="1">
        <v>41971</v>
      </c>
      <c r="D461" t="s">
        <v>15</v>
      </c>
      <c r="E461">
        <v>1</v>
      </c>
      <c r="F461">
        <v>11</v>
      </c>
      <c r="G461">
        <v>4</v>
      </c>
      <c r="H461">
        <v>1</v>
      </c>
      <c r="I461" t="s">
        <v>15</v>
      </c>
      <c r="J461">
        <v>112</v>
      </c>
      <c r="K461" t="s">
        <v>37</v>
      </c>
      <c r="L461">
        <v>104</v>
      </c>
    </row>
    <row r="462" spans="1:12" x14ac:dyDescent="0.25">
      <c r="A462">
        <v>400578524</v>
      </c>
      <c r="B462">
        <v>2015</v>
      </c>
      <c r="C462" s="1">
        <v>41971</v>
      </c>
      <c r="D462" t="s">
        <v>32</v>
      </c>
      <c r="E462">
        <v>1</v>
      </c>
      <c r="F462">
        <v>8</v>
      </c>
      <c r="G462">
        <v>8</v>
      </c>
      <c r="H462">
        <v>1</v>
      </c>
      <c r="I462" t="s">
        <v>32</v>
      </c>
      <c r="J462">
        <v>122</v>
      </c>
      <c r="K462" t="s">
        <v>35</v>
      </c>
      <c r="L462">
        <v>97</v>
      </c>
    </row>
    <row r="463" spans="1:12" x14ac:dyDescent="0.25">
      <c r="A463">
        <v>400578524</v>
      </c>
      <c r="B463">
        <v>2015</v>
      </c>
      <c r="C463" s="1">
        <v>41971</v>
      </c>
      <c r="D463" t="s">
        <v>35</v>
      </c>
      <c r="E463">
        <v>0</v>
      </c>
      <c r="F463">
        <v>10</v>
      </c>
      <c r="G463">
        <v>7</v>
      </c>
      <c r="H463">
        <v>0</v>
      </c>
      <c r="I463" t="s">
        <v>32</v>
      </c>
      <c r="J463">
        <v>122</v>
      </c>
      <c r="K463" t="s">
        <v>35</v>
      </c>
      <c r="L463">
        <v>97</v>
      </c>
    </row>
    <row r="464" spans="1:12" x14ac:dyDescent="0.25">
      <c r="A464">
        <v>400578525</v>
      </c>
      <c r="B464">
        <v>2015</v>
      </c>
      <c r="C464" s="1">
        <v>41971</v>
      </c>
      <c r="D464" t="s">
        <v>28</v>
      </c>
      <c r="E464">
        <v>1</v>
      </c>
      <c r="F464">
        <v>14</v>
      </c>
      <c r="G464">
        <v>2</v>
      </c>
      <c r="H464">
        <v>0</v>
      </c>
      <c r="I464" t="s">
        <v>39</v>
      </c>
      <c r="J464">
        <v>99</v>
      </c>
      <c r="K464" t="s">
        <v>28</v>
      </c>
      <c r="L464">
        <v>112</v>
      </c>
    </row>
    <row r="465" spans="1:12" x14ac:dyDescent="0.25">
      <c r="A465">
        <v>400578525</v>
      </c>
      <c r="B465">
        <v>2015</v>
      </c>
      <c r="C465" s="1">
        <v>41971</v>
      </c>
      <c r="D465" t="s">
        <v>39</v>
      </c>
      <c r="E465">
        <v>0</v>
      </c>
      <c r="F465">
        <v>12</v>
      </c>
      <c r="G465">
        <v>4</v>
      </c>
      <c r="H465">
        <v>1</v>
      </c>
      <c r="I465" t="s">
        <v>39</v>
      </c>
      <c r="J465">
        <v>99</v>
      </c>
      <c r="K465" t="s">
        <v>28</v>
      </c>
      <c r="L465">
        <v>112</v>
      </c>
    </row>
    <row r="466" spans="1:12" x14ac:dyDescent="0.25">
      <c r="A466">
        <v>400578526</v>
      </c>
      <c r="B466">
        <v>2015</v>
      </c>
      <c r="C466" s="1">
        <v>41971</v>
      </c>
      <c r="D466" t="s">
        <v>17</v>
      </c>
      <c r="E466">
        <v>0</v>
      </c>
      <c r="F466">
        <v>3</v>
      </c>
      <c r="G466">
        <v>13</v>
      </c>
      <c r="H466">
        <v>1</v>
      </c>
      <c r="I466" t="s">
        <v>17</v>
      </c>
      <c r="J466">
        <v>119</v>
      </c>
      <c r="K466" t="s">
        <v>29</v>
      </c>
      <c r="L466">
        <v>120</v>
      </c>
    </row>
    <row r="467" spans="1:12" x14ac:dyDescent="0.25">
      <c r="A467">
        <v>400578526</v>
      </c>
      <c r="B467">
        <v>2015</v>
      </c>
      <c r="C467" s="1">
        <v>41971</v>
      </c>
      <c r="D467" t="s">
        <v>29</v>
      </c>
      <c r="E467">
        <v>1</v>
      </c>
      <c r="F467">
        <v>4</v>
      </c>
      <c r="G467">
        <v>10</v>
      </c>
      <c r="H467">
        <v>0</v>
      </c>
      <c r="I467" t="s">
        <v>17</v>
      </c>
      <c r="J467">
        <v>119</v>
      </c>
      <c r="K467" t="s">
        <v>29</v>
      </c>
      <c r="L467">
        <v>120</v>
      </c>
    </row>
    <row r="468" spans="1:12" x14ac:dyDescent="0.25">
      <c r="A468">
        <v>400578527</v>
      </c>
      <c r="B468">
        <v>2015</v>
      </c>
      <c r="C468" s="1">
        <v>41972</v>
      </c>
      <c r="D468" t="s">
        <v>14</v>
      </c>
      <c r="E468">
        <v>1</v>
      </c>
      <c r="F468">
        <v>13</v>
      </c>
      <c r="G468">
        <v>5</v>
      </c>
      <c r="H468">
        <v>0</v>
      </c>
      <c r="I468" t="s">
        <v>21</v>
      </c>
      <c r="J468">
        <v>103</v>
      </c>
      <c r="K468" t="s">
        <v>14</v>
      </c>
      <c r="L468">
        <v>110</v>
      </c>
    </row>
    <row r="469" spans="1:12" x14ac:dyDescent="0.25">
      <c r="A469">
        <v>400578527</v>
      </c>
      <c r="B469">
        <v>2015</v>
      </c>
      <c r="C469" s="1">
        <v>41972</v>
      </c>
      <c r="D469" t="s">
        <v>21</v>
      </c>
      <c r="E469">
        <v>0</v>
      </c>
      <c r="F469">
        <v>0</v>
      </c>
      <c r="G469">
        <v>16</v>
      </c>
      <c r="H469">
        <v>1</v>
      </c>
      <c r="I469" t="s">
        <v>21</v>
      </c>
      <c r="J469">
        <v>103</v>
      </c>
      <c r="K469" t="s">
        <v>14</v>
      </c>
      <c r="L469">
        <v>110</v>
      </c>
    </row>
    <row r="470" spans="1:12" x14ac:dyDescent="0.25">
      <c r="A470">
        <v>400578528</v>
      </c>
      <c r="B470">
        <v>2015</v>
      </c>
      <c r="C470" s="1">
        <v>41972</v>
      </c>
      <c r="D470" t="s">
        <v>12</v>
      </c>
      <c r="E470">
        <v>0</v>
      </c>
      <c r="F470">
        <v>7</v>
      </c>
      <c r="G470">
        <v>8</v>
      </c>
      <c r="H470">
        <v>0</v>
      </c>
      <c r="I470" t="s">
        <v>25</v>
      </c>
      <c r="J470">
        <v>83</v>
      </c>
      <c r="K470" t="s">
        <v>12</v>
      </c>
      <c r="L470">
        <v>80</v>
      </c>
    </row>
    <row r="471" spans="1:12" x14ac:dyDescent="0.25">
      <c r="A471">
        <v>400578528</v>
      </c>
      <c r="B471">
        <v>2015</v>
      </c>
      <c r="C471" s="1">
        <v>41972</v>
      </c>
      <c r="D471" t="s">
        <v>25</v>
      </c>
      <c r="E471">
        <v>1</v>
      </c>
      <c r="F471">
        <v>10</v>
      </c>
      <c r="G471">
        <v>5</v>
      </c>
      <c r="H471">
        <v>1</v>
      </c>
      <c r="I471" t="s">
        <v>25</v>
      </c>
      <c r="J471">
        <v>83</v>
      </c>
      <c r="K471" t="s">
        <v>12</v>
      </c>
      <c r="L471">
        <v>80</v>
      </c>
    </row>
    <row r="472" spans="1:12" x14ac:dyDescent="0.25">
      <c r="A472">
        <v>400578529</v>
      </c>
      <c r="B472">
        <v>2015</v>
      </c>
      <c r="C472" s="1">
        <v>41972</v>
      </c>
      <c r="D472" t="s">
        <v>26</v>
      </c>
      <c r="E472">
        <v>1</v>
      </c>
      <c r="F472">
        <v>9</v>
      </c>
      <c r="G472">
        <v>6</v>
      </c>
      <c r="H472">
        <v>1</v>
      </c>
      <c r="I472" t="s">
        <v>26</v>
      </c>
      <c r="J472">
        <v>105</v>
      </c>
      <c r="K472" t="s">
        <v>18</v>
      </c>
      <c r="L472">
        <v>75</v>
      </c>
    </row>
    <row r="473" spans="1:12" x14ac:dyDescent="0.25">
      <c r="A473">
        <v>400578529</v>
      </c>
      <c r="B473">
        <v>2015</v>
      </c>
      <c r="C473" s="1">
        <v>41972</v>
      </c>
      <c r="D473" t="s">
        <v>18</v>
      </c>
      <c r="E473">
        <v>0</v>
      </c>
      <c r="F473">
        <v>4</v>
      </c>
      <c r="G473">
        <v>14</v>
      </c>
      <c r="H473">
        <v>0</v>
      </c>
      <c r="I473" t="s">
        <v>26</v>
      </c>
      <c r="J473">
        <v>105</v>
      </c>
      <c r="K473" t="s">
        <v>18</v>
      </c>
      <c r="L473">
        <v>75</v>
      </c>
    </row>
    <row r="474" spans="1:12" x14ac:dyDescent="0.25">
      <c r="A474">
        <v>400578530</v>
      </c>
      <c r="B474">
        <v>2015</v>
      </c>
      <c r="C474" s="1">
        <v>41972</v>
      </c>
      <c r="D474" t="s">
        <v>40</v>
      </c>
      <c r="E474">
        <v>1</v>
      </c>
      <c r="F474">
        <v>8</v>
      </c>
      <c r="G474">
        <v>7</v>
      </c>
      <c r="H474">
        <v>1</v>
      </c>
      <c r="I474" t="s">
        <v>40</v>
      </c>
      <c r="J474">
        <v>109</v>
      </c>
      <c r="K474" t="s">
        <v>20</v>
      </c>
      <c r="L474">
        <v>97</v>
      </c>
    </row>
    <row r="475" spans="1:12" x14ac:dyDescent="0.25">
      <c r="A475">
        <v>400578530</v>
      </c>
      <c r="B475">
        <v>2015</v>
      </c>
      <c r="C475" s="1">
        <v>41972</v>
      </c>
      <c r="D475" t="s">
        <v>20</v>
      </c>
      <c r="E475">
        <v>0</v>
      </c>
      <c r="F475">
        <v>7</v>
      </c>
      <c r="G475">
        <v>10</v>
      </c>
      <c r="H475">
        <v>0</v>
      </c>
      <c r="I475" t="s">
        <v>40</v>
      </c>
      <c r="J475">
        <v>109</v>
      </c>
      <c r="K475" t="s">
        <v>20</v>
      </c>
      <c r="L475">
        <v>97</v>
      </c>
    </row>
    <row r="476" spans="1:12" x14ac:dyDescent="0.25">
      <c r="A476">
        <v>400578531</v>
      </c>
      <c r="B476">
        <v>2015</v>
      </c>
      <c r="C476" s="1">
        <v>41972</v>
      </c>
      <c r="D476" t="s">
        <v>41</v>
      </c>
      <c r="E476">
        <v>1</v>
      </c>
      <c r="F476">
        <v>11</v>
      </c>
      <c r="G476">
        <v>5</v>
      </c>
      <c r="H476">
        <v>0</v>
      </c>
      <c r="I476" t="s">
        <v>34</v>
      </c>
      <c r="J476">
        <v>96</v>
      </c>
      <c r="K476" t="s">
        <v>41</v>
      </c>
      <c r="L476">
        <v>112</v>
      </c>
    </row>
    <row r="477" spans="1:12" x14ac:dyDescent="0.25">
      <c r="A477">
        <v>400578531</v>
      </c>
      <c r="B477">
        <v>2015</v>
      </c>
      <c r="C477" s="1">
        <v>41972</v>
      </c>
      <c r="D477" t="s">
        <v>34</v>
      </c>
      <c r="E477">
        <v>0</v>
      </c>
      <c r="F477">
        <v>5</v>
      </c>
      <c r="G477">
        <v>12</v>
      </c>
      <c r="H477">
        <v>1</v>
      </c>
      <c r="I477" t="s">
        <v>34</v>
      </c>
      <c r="J477">
        <v>96</v>
      </c>
      <c r="K477" t="s">
        <v>41</v>
      </c>
      <c r="L477">
        <v>112</v>
      </c>
    </row>
    <row r="478" spans="1:12" x14ac:dyDescent="0.25">
      <c r="A478">
        <v>400578532</v>
      </c>
      <c r="B478">
        <v>2015</v>
      </c>
      <c r="C478" s="1">
        <v>41972</v>
      </c>
      <c r="D478" t="s">
        <v>16</v>
      </c>
      <c r="E478">
        <v>1</v>
      </c>
      <c r="F478">
        <v>13</v>
      </c>
      <c r="G478">
        <v>4</v>
      </c>
      <c r="H478">
        <v>0</v>
      </c>
      <c r="I478" t="s">
        <v>19</v>
      </c>
      <c r="J478">
        <v>103</v>
      </c>
      <c r="K478" t="s">
        <v>16</v>
      </c>
      <c r="L478">
        <v>117</v>
      </c>
    </row>
    <row r="479" spans="1:12" x14ac:dyDescent="0.25">
      <c r="A479">
        <v>400578532</v>
      </c>
      <c r="B479">
        <v>2015</v>
      </c>
      <c r="C479" s="1">
        <v>41972</v>
      </c>
      <c r="D479" t="s">
        <v>19</v>
      </c>
      <c r="E479">
        <v>0</v>
      </c>
      <c r="F479">
        <v>10</v>
      </c>
      <c r="G479">
        <v>8</v>
      </c>
      <c r="H479">
        <v>1</v>
      </c>
      <c r="I479" t="s">
        <v>19</v>
      </c>
      <c r="J479">
        <v>103</v>
      </c>
      <c r="K479" t="s">
        <v>16</v>
      </c>
      <c r="L479">
        <v>117</v>
      </c>
    </row>
    <row r="480" spans="1:12" x14ac:dyDescent="0.25">
      <c r="A480">
        <v>400578533</v>
      </c>
      <c r="B480">
        <v>2015</v>
      </c>
      <c r="C480" s="1">
        <v>41973</v>
      </c>
      <c r="D480" t="s">
        <v>22</v>
      </c>
      <c r="E480">
        <v>0</v>
      </c>
      <c r="F480">
        <v>4</v>
      </c>
      <c r="G480">
        <v>10</v>
      </c>
      <c r="H480">
        <v>1</v>
      </c>
      <c r="I480" t="s">
        <v>22</v>
      </c>
      <c r="J480">
        <v>89</v>
      </c>
      <c r="K480" t="s">
        <v>15</v>
      </c>
      <c r="L480">
        <v>111</v>
      </c>
    </row>
    <row r="481" spans="1:12" x14ac:dyDescent="0.25">
      <c r="A481">
        <v>400578533</v>
      </c>
      <c r="B481">
        <v>2015</v>
      </c>
      <c r="C481" s="1">
        <v>41973</v>
      </c>
      <c r="D481" t="s">
        <v>15</v>
      </c>
      <c r="E481">
        <v>1</v>
      </c>
      <c r="F481">
        <v>12</v>
      </c>
      <c r="G481">
        <v>4</v>
      </c>
      <c r="H481">
        <v>0</v>
      </c>
      <c r="I481" t="s">
        <v>22</v>
      </c>
      <c r="J481">
        <v>89</v>
      </c>
      <c r="K481" t="s">
        <v>15</v>
      </c>
      <c r="L481">
        <v>111</v>
      </c>
    </row>
    <row r="482" spans="1:12" x14ac:dyDescent="0.25">
      <c r="A482">
        <v>400578534</v>
      </c>
      <c r="B482">
        <v>2015</v>
      </c>
      <c r="C482" s="1">
        <v>41973</v>
      </c>
      <c r="D482" t="s">
        <v>23</v>
      </c>
      <c r="E482">
        <v>0</v>
      </c>
      <c r="F482">
        <v>6</v>
      </c>
      <c r="G482">
        <v>9</v>
      </c>
      <c r="H482">
        <v>1</v>
      </c>
      <c r="I482" t="s">
        <v>23</v>
      </c>
      <c r="J482">
        <v>84</v>
      </c>
      <c r="K482" t="s">
        <v>30</v>
      </c>
      <c r="L482">
        <v>102</v>
      </c>
    </row>
    <row r="483" spans="1:12" x14ac:dyDescent="0.25">
      <c r="A483">
        <v>400578534</v>
      </c>
      <c r="B483">
        <v>2015</v>
      </c>
      <c r="C483" s="1">
        <v>41973</v>
      </c>
      <c r="D483" t="s">
        <v>30</v>
      </c>
      <c r="E483">
        <v>1</v>
      </c>
      <c r="F483">
        <v>11</v>
      </c>
      <c r="G483">
        <v>6</v>
      </c>
      <c r="H483">
        <v>0</v>
      </c>
      <c r="I483" t="s">
        <v>23</v>
      </c>
      <c r="J483">
        <v>84</v>
      </c>
      <c r="K483" t="s">
        <v>30</v>
      </c>
      <c r="L483">
        <v>102</v>
      </c>
    </row>
    <row r="484" spans="1:12" x14ac:dyDescent="0.25">
      <c r="A484">
        <v>400578535</v>
      </c>
      <c r="B484">
        <v>2015</v>
      </c>
      <c r="C484" s="1">
        <v>41973</v>
      </c>
      <c r="D484" t="s">
        <v>33</v>
      </c>
      <c r="E484">
        <v>0</v>
      </c>
      <c r="F484">
        <v>3</v>
      </c>
      <c r="G484">
        <v>14</v>
      </c>
      <c r="H484">
        <v>1</v>
      </c>
      <c r="I484" t="s">
        <v>33</v>
      </c>
      <c r="J484">
        <v>93</v>
      </c>
      <c r="K484" t="s">
        <v>36</v>
      </c>
      <c r="L484">
        <v>104</v>
      </c>
    </row>
    <row r="485" spans="1:12" x14ac:dyDescent="0.25">
      <c r="A485">
        <v>400578535</v>
      </c>
      <c r="B485">
        <v>2015</v>
      </c>
      <c r="C485" s="1">
        <v>41973</v>
      </c>
      <c r="D485" t="s">
        <v>36</v>
      </c>
      <c r="E485">
        <v>1</v>
      </c>
      <c r="F485">
        <v>14</v>
      </c>
      <c r="G485">
        <v>2</v>
      </c>
      <c r="H485">
        <v>0</v>
      </c>
      <c r="I485" t="s">
        <v>33</v>
      </c>
      <c r="J485">
        <v>93</v>
      </c>
      <c r="K485" t="s">
        <v>36</v>
      </c>
      <c r="L485">
        <v>104</v>
      </c>
    </row>
    <row r="486" spans="1:12" x14ac:dyDescent="0.25">
      <c r="A486">
        <v>400578536</v>
      </c>
      <c r="B486">
        <v>2015</v>
      </c>
      <c r="C486" s="1">
        <v>41973</v>
      </c>
      <c r="D486" t="s">
        <v>28</v>
      </c>
      <c r="E486">
        <v>1</v>
      </c>
      <c r="F486">
        <v>15</v>
      </c>
      <c r="G486">
        <v>2</v>
      </c>
      <c r="H486">
        <v>0</v>
      </c>
      <c r="I486" t="s">
        <v>37</v>
      </c>
      <c r="J486">
        <v>85</v>
      </c>
      <c r="K486" t="s">
        <v>28</v>
      </c>
      <c r="L486">
        <v>97</v>
      </c>
    </row>
    <row r="487" spans="1:12" x14ac:dyDescent="0.25">
      <c r="A487">
        <v>400578536</v>
      </c>
      <c r="B487">
        <v>2015</v>
      </c>
      <c r="C487" s="1">
        <v>41973</v>
      </c>
      <c r="D487" t="s">
        <v>37</v>
      </c>
      <c r="E487">
        <v>0</v>
      </c>
      <c r="F487">
        <v>9</v>
      </c>
      <c r="G487">
        <v>8</v>
      </c>
      <c r="H487">
        <v>1</v>
      </c>
      <c r="I487" t="s">
        <v>37</v>
      </c>
      <c r="J487">
        <v>85</v>
      </c>
      <c r="K487" t="s">
        <v>28</v>
      </c>
      <c r="L487">
        <v>97</v>
      </c>
    </row>
    <row r="488" spans="1:12" x14ac:dyDescent="0.25">
      <c r="A488">
        <v>400578537</v>
      </c>
      <c r="B488">
        <v>2015</v>
      </c>
      <c r="C488" s="1">
        <v>41973</v>
      </c>
      <c r="D488" t="s">
        <v>24</v>
      </c>
      <c r="E488">
        <v>1</v>
      </c>
      <c r="F488">
        <v>9</v>
      </c>
      <c r="G488">
        <v>7</v>
      </c>
      <c r="H488">
        <v>0</v>
      </c>
      <c r="I488" t="s">
        <v>31</v>
      </c>
      <c r="J488">
        <v>79</v>
      </c>
      <c r="K488" t="s">
        <v>24</v>
      </c>
      <c r="L488">
        <v>86</v>
      </c>
    </row>
    <row r="489" spans="1:12" x14ac:dyDescent="0.25">
      <c r="A489">
        <v>400578537</v>
      </c>
      <c r="B489">
        <v>2015</v>
      </c>
      <c r="C489" s="1">
        <v>41973</v>
      </c>
      <c r="D489" t="s">
        <v>31</v>
      </c>
      <c r="E489">
        <v>0</v>
      </c>
      <c r="F489">
        <v>4</v>
      </c>
      <c r="G489">
        <v>14</v>
      </c>
      <c r="H489">
        <v>1</v>
      </c>
      <c r="I489" t="s">
        <v>31</v>
      </c>
      <c r="J489">
        <v>79</v>
      </c>
      <c r="K489" t="s">
        <v>24</v>
      </c>
      <c r="L489">
        <v>86</v>
      </c>
    </row>
    <row r="490" spans="1:12" x14ac:dyDescent="0.25">
      <c r="A490">
        <v>400578538</v>
      </c>
      <c r="B490">
        <v>2015</v>
      </c>
      <c r="C490" s="1">
        <v>41973</v>
      </c>
      <c r="D490" t="s">
        <v>13</v>
      </c>
      <c r="E490">
        <v>1</v>
      </c>
      <c r="F490">
        <v>7</v>
      </c>
      <c r="G490">
        <v>12</v>
      </c>
      <c r="H490">
        <v>0</v>
      </c>
      <c r="I490" t="s">
        <v>35</v>
      </c>
      <c r="J490">
        <v>90</v>
      </c>
      <c r="K490" t="s">
        <v>13</v>
      </c>
      <c r="L490">
        <v>93</v>
      </c>
    </row>
    <row r="491" spans="1:12" x14ac:dyDescent="0.25">
      <c r="A491">
        <v>400578538</v>
      </c>
      <c r="B491">
        <v>2015</v>
      </c>
      <c r="C491" s="1">
        <v>41973</v>
      </c>
      <c r="D491" t="s">
        <v>35</v>
      </c>
      <c r="E491">
        <v>0</v>
      </c>
      <c r="F491">
        <v>10</v>
      </c>
      <c r="G491">
        <v>8</v>
      </c>
      <c r="H491">
        <v>1</v>
      </c>
      <c r="I491" t="s">
        <v>35</v>
      </c>
      <c r="J491">
        <v>90</v>
      </c>
      <c r="K491" t="s">
        <v>13</v>
      </c>
      <c r="L491">
        <v>93</v>
      </c>
    </row>
    <row r="492" spans="1:12" x14ac:dyDescent="0.25">
      <c r="A492">
        <v>400578539</v>
      </c>
      <c r="B492">
        <v>2015</v>
      </c>
      <c r="C492" s="1">
        <v>41973</v>
      </c>
      <c r="D492" t="s">
        <v>29</v>
      </c>
      <c r="E492">
        <v>0</v>
      </c>
      <c r="F492">
        <v>4</v>
      </c>
      <c r="G492">
        <v>11</v>
      </c>
      <c r="H492">
        <v>0</v>
      </c>
      <c r="I492" t="s">
        <v>39</v>
      </c>
      <c r="J492">
        <v>107</v>
      </c>
      <c r="K492" t="s">
        <v>29</v>
      </c>
      <c r="L492">
        <v>93</v>
      </c>
    </row>
    <row r="493" spans="1:12" x14ac:dyDescent="0.25">
      <c r="A493">
        <v>400578539</v>
      </c>
      <c r="B493">
        <v>2015</v>
      </c>
      <c r="C493" s="1">
        <v>41973</v>
      </c>
      <c r="D493" t="s">
        <v>39</v>
      </c>
      <c r="E493">
        <v>1</v>
      </c>
      <c r="F493">
        <v>13</v>
      </c>
      <c r="G493">
        <v>4</v>
      </c>
      <c r="H493">
        <v>1</v>
      </c>
      <c r="I493" t="s">
        <v>39</v>
      </c>
      <c r="J493">
        <v>107</v>
      </c>
      <c r="K493" t="s">
        <v>29</v>
      </c>
      <c r="L493">
        <v>93</v>
      </c>
    </row>
    <row r="494" spans="1:12" x14ac:dyDescent="0.25">
      <c r="A494">
        <v>400578540</v>
      </c>
      <c r="B494">
        <v>2015</v>
      </c>
      <c r="C494" s="1">
        <v>41973</v>
      </c>
      <c r="D494" t="s">
        <v>17</v>
      </c>
      <c r="E494">
        <v>1</v>
      </c>
      <c r="F494">
        <v>4</v>
      </c>
      <c r="G494">
        <v>13</v>
      </c>
      <c r="H494">
        <v>1</v>
      </c>
      <c r="I494" t="s">
        <v>17</v>
      </c>
      <c r="J494">
        <v>129</v>
      </c>
      <c r="K494" t="s">
        <v>27</v>
      </c>
      <c r="L494">
        <v>122</v>
      </c>
    </row>
    <row r="495" spans="1:12" x14ac:dyDescent="0.25">
      <c r="A495">
        <v>400578540</v>
      </c>
      <c r="B495">
        <v>2015</v>
      </c>
      <c r="C495" s="1">
        <v>41973</v>
      </c>
      <c r="D495" t="s">
        <v>27</v>
      </c>
      <c r="E495">
        <v>0</v>
      </c>
      <c r="F495">
        <v>13</v>
      </c>
      <c r="G495">
        <v>4</v>
      </c>
      <c r="H495">
        <v>0</v>
      </c>
      <c r="I495" t="s">
        <v>17</v>
      </c>
      <c r="J495">
        <v>129</v>
      </c>
      <c r="K495" t="s">
        <v>27</v>
      </c>
      <c r="L495">
        <v>122</v>
      </c>
    </row>
    <row r="496" spans="1:12" x14ac:dyDescent="0.25">
      <c r="A496">
        <v>400578541</v>
      </c>
      <c r="B496">
        <v>2015</v>
      </c>
      <c r="C496" s="1">
        <v>41974</v>
      </c>
      <c r="D496" t="s">
        <v>21</v>
      </c>
      <c r="E496">
        <v>0</v>
      </c>
      <c r="F496">
        <v>0</v>
      </c>
      <c r="G496">
        <v>17</v>
      </c>
      <c r="H496">
        <v>1</v>
      </c>
      <c r="I496" t="s">
        <v>21</v>
      </c>
      <c r="J496">
        <v>103</v>
      </c>
      <c r="K496" t="s">
        <v>15</v>
      </c>
      <c r="L496">
        <v>109</v>
      </c>
    </row>
    <row r="497" spans="1:12" x14ac:dyDescent="0.25">
      <c r="A497">
        <v>400578541</v>
      </c>
      <c r="B497">
        <v>2015</v>
      </c>
      <c r="C497" s="1">
        <v>41974</v>
      </c>
      <c r="D497" t="s">
        <v>15</v>
      </c>
      <c r="E497">
        <v>1</v>
      </c>
      <c r="F497">
        <v>13</v>
      </c>
      <c r="G497">
        <v>4</v>
      </c>
      <c r="H497">
        <v>0</v>
      </c>
      <c r="I497" t="s">
        <v>21</v>
      </c>
      <c r="J497">
        <v>103</v>
      </c>
      <c r="K497" t="s">
        <v>15</v>
      </c>
      <c r="L497">
        <v>109</v>
      </c>
    </row>
    <row r="498" spans="1:12" x14ac:dyDescent="0.25">
      <c r="A498">
        <v>400578542</v>
      </c>
      <c r="B498">
        <v>2015</v>
      </c>
      <c r="C498" s="1">
        <v>41974</v>
      </c>
      <c r="D498" t="s">
        <v>24</v>
      </c>
      <c r="E498">
        <v>0</v>
      </c>
      <c r="F498">
        <v>9</v>
      </c>
      <c r="G498">
        <v>8</v>
      </c>
      <c r="H498">
        <v>0</v>
      </c>
      <c r="I498" t="s">
        <v>25</v>
      </c>
      <c r="J498">
        <v>107</v>
      </c>
      <c r="K498" t="s">
        <v>24</v>
      </c>
      <c r="L498">
        <v>86</v>
      </c>
    </row>
    <row r="499" spans="1:12" x14ac:dyDescent="0.25">
      <c r="A499">
        <v>400578542</v>
      </c>
      <c r="B499">
        <v>2015</v>
      </c>
      <c r="C499" s="1">
        <v>41974</v>
      </c>
      <c r="D499" t="s">
        <v>25</v>
      </c>
      <c r="E499">
        <v>1</v>
      </c>
      <c r="F499">
        <v>11</v>
      </c>
      <c r="G499">
        <v>5</v>
      </c>
      <c r="H499">
        <v>1</v>
      </c>
      <c r="I499" t="s">
        <v>25</v>
      </c>
      <c r="J499">
        <v>107</v>
      </c>
      <c r="K499" t="s">
        <v>24</v>
      </c>
      <c r="L499">
        <v>86</v>
      </c>
    </row>
    <row r="500" spans="1:12" x14ac:dyDescent="0.25">
      <c r="A500">
        <v>400578543</v>
      </c>
      <c r="B500">
        <v>2015</v>
      </c>
      <c r="C500" s="1">
        <v>41974</v>
      </c>
      <c r="D500" t="s">
        <v>32</v>
      </c>
      <c r="E500">
        <v>1</v>
      </c>
      <c r="F500">
        <v>9</v>
      </c>
      <c r="G500">
        <v>8</v>
      </c>
      <c r="H500">
        <v>0</v>
      </c>
      <c r="I500" t="s">
        <v>34</v>
      </c>
      <c r="J500">
        <v>101</v>
      </c>
      <c r="K500" t="s">
        <v>32</v>
      </c>
      <c r="L500">
        <v>103</v>
      </c>
    </row>
    <row r="501" spans="1:12" x14ac:dyDescent="0.25">
      <c r="A501">
        <v>400578543</v>
      </c>
      <c r="B501">
        <v>2015</v>
      </c>
      <c r="C501" s="1">
        <v>41974</v>
      </c>
      <c r="D501" t="s">
        <v>34</v>
      </c>
      <c r="E501">
        <v>0</v>
      </c>
      <c r="F501">
        <v>5</v>
      </c>
      <c r="G501">
        <v>13</v>
      </c>
      <c r="H501">
        <v>1</v>
      </c>
      <c r="I501" t="s">
        <v>34</v>
      </c>
      <c r="J501">
        <v>101</v>
      </c>
      <c r="K501" t="s">
        <v>32</v>
      </c>
      <c r="L501">
        <v>103</v>
      </c>
    </row>
    <row r="502" spans="1:12" x14ac:dyDescent="0.25">
      <c r="A502">
        <v>400578544</v>
      </c>
      <c r="B502">
        <v>2015</v>
      </c>
      <c r="C502" s="1">
        <v>41974</v>
      </c>
      <c r="D502" t="s">
        <v>41</v>
      </c>
      <c r="E502">
        <v>1</v>
      </c>
      <c r="F502">
        <v>12</v>
      </c>
      <c r="G502">
        <v>5</v>
      </c>
      <c r="H502">
        <v>1</v>
      </c>
      <c r="I502" t="s">
        <v>41</v>
      </c>
      <c r="J502">
        <v>127</v>
      </c>
      <c r="K502" t="s">
        <v>29</v>
      </c>
      <c r="L502">
        <v>101</v>
      </c>
    </row>
    <row r="503" spans="1:12" x14ac:dyDescent="0.25">
      <c r="A503">
        <v>400578544</v>
      </c>
      <c r="B503">
        <v>2015</v>
      </c>
      <c r="C503" s="1">
        <v>41974</v>
      </c>
      <c r="D503" t="s">
        <v>29</v>
      </c>
      <c r="E503">
        <v>0</v>
      </c>
      <c r="F503">
        <v>4</v>
      </c>
      <c r="G503">
        <v>12</v>
      </c>
      <c r="H503">
        <v>0</v>
      </c>
      <c r="I503" t="s">
        <v>41</v>
      </c>
      <c r="J503">
        <v>127</v>
      </c>
      <c r="K503" t="s">
        <v>29</v>
      </c>
      <c r="L503">
        <v>101</v>
      </c>
    </row>
    <row r="504" spans="1:12" x14ac:dyDescent="0.25">
      <c r="A504">
        <v>400578545</v>
      </c>
      <c r="B504">
        <v>2015</v>
      </c>
      <c r="C504" s="1">
        <v>41975</v>
      </c>
      <c r="D504" t="s">
        <v>40</v>
      </c>
      <c r="E504">
        <v>1</v>
      </c>
      <c r="F504">
        <v>9</v>
      </c>
      <c r="G504">
        <v>7</v>
      </c>
      <c r="H504">
        <v>1</v>
      </c>
      <c r="I504" t="s">
        <v>40</v>
      </c>
      <c r="J504">
        <v>111</v>
      </c>
      <c r="K504" t="s">
        <v>19</v>
      </c>
      <c r="L504">
        <v>108</v>
      </c>
    </row>
    <row r="505" spans="1:12" x14ac:dyDescent="0.25">
      <c r="A505">
        <v>400578545</v>
      </c>
      <c r="B505">
        <v>2015</v>
      </c>
      <c r="C505" s="1">
        <v>41975</v>
      </c>
      <c r="D505" t="s">
        <v>19</v>
      </c>
      <c r="E505">
        <v>0</v>
      </c>
      <c r="F505">
        <v>10</v>
      </c>
      <c r="G505">
        <v>9</v>
      </c>
      <c r="H505">
        <v>0</v>
      </c>
      <c r="I505" t="s">
        <v>40</v>
      </c>
      <c r="J505">
        <v>111</v>
      </c>
      <c r="K505" t="s">
        <v>19</v>
      </c>
      <c r="L505">
        <v>108</v>
      </c>
    </row>
    <row r="506" spans="1:12" x14ac:dyDescent="0.25">
      <c r="A506">
        <v>400578546</v>
      </c>
      <c r="B506">
        <v>2015</v>
      </c>
      <c r="C506" s="1">
        <v>41975</v>
      </c>
      <c r="D506" t="s">
        <v>26</v>
      </c>
      <c r="E506">
        <v>1</v>
      </c>
      <c r="F506">
        <v>10</v>
      </c>
      <c r="G506">
        <v>6</v>
      </c>
      <c r="H506">
        <v>1</v>
      </c>
      <c r="I506" t="s">
        <v>26</v>
      </c>
      <c r="J506">
        <v>109</v>
      </c>
      <c r="K506" t="s">
        <v>22</v>
      </c>
      <c r="L506">
        <v>105</v>
      </c>
    </row>
    <row r="507" spans="1:12" x14ac:dyDescent="0.25">
      <c r="A507">
        <v>400578546</v>
      </c>
      <c r="B507">
        <v>2015</v>
      </c>
      <c r="C507" s="1">
        <v>41975</v>
      </c>
      <c r="D507" t="s">
        <v>22</v>
      </c>
      <c r="E507">
        <v>0</v>
      </c>
      <c r="F507">
        <v>4</v>
      </c>
      <c r="G507">
        <v>11</v>
      </c>
      <c r="H507">
        <v>0</v>
      </c>
      <c r="I507" t="s">
        <v>26</v>
      </c>
      <c r="J507">
        <v>109</v>
      </c>
      <c r="K507" t="s">
        <v>22</v>
      </c>
      <c r="L507">
        <v>105</v>
      </c>
    </row>
    <row r="508" spans="1:12" x14ac:dyDescent="0.25">
      <c r="A508">
        <v>400578547</v>
      </c>
      <c r="B508">
        <v>2015</v>
      </c>
      <c r="C508" s="1">
        <v>41975</v>
      </c>
      <c r="D508" t="s">
        <v>33</v>
      </c>
      <c r="E508">
        <v>0</v>
      </c>
      <c r="F508">
        <v>3</v>
      </c>
      <c r="G508">
        <v>15</v>
      </c>
      <c r="H508">
        <v>1</v>
      </c>
      <c r="I508" t="s">
        <v>33</v>
      </c>
      <c r="J508">
        <v>96</v>
      </c>
      <c r="K508" t="s">
        <v>17</v>
      </c>
      <c r="L508">
        <v>106</v>
      </c>
    </row>
    <row r="509" spans="1:12" x14ac:dyDescent="0.25">
      <c r="A509">
        <v>400578547</v>
      </c>
      <c r="B509">
        <v>2015</v>
      </c>
      <c r="C509" s="1">
        <v>41975</v>
      </c>
      <c r="D509" t="s">
        <v>17</v>
      </c>
      <c r="E509">
        <v>1</v>
      </c>
      <c r="F509">
        <v>5</v>
      </c>
      <c r="G509">
        <v>13</v>
      </c>
      <c r="H509">
        <v>0</v>
      </c>
      <c r="I509" t="s">
        <v>33</v>
      </c>
      <c r="J509">
        <v>96</v>
      </c>
      <c r="K509" t="s">
        <v>17</v>
      </c>
      <c r="L509">
        <v>106</v>
      </c>
    </row>
    <row r="510" spans="1:12" x14ac:dyDescent="0.25">
      <c r="A510">
        <v>400578548</v>
      </c>
      <c r="B510">
        <v>2015</v>
      </c>
      <c r="C510" s="1">
        <v>41975</v>
      </c>
      <c r="D510" t="s">
        <v>23</v>
      </c>
      <c r="E510">
        <v>1</v>
      </c>
      <c r="F510">
        <v>7</v>
      </c>
      <c r="G510">
        <v>9</v>
      </c>
      <c r="H510">
        <v>0</v>
      </c>
      <c r="I510" t="s">
        <v>31</v>
      </c>
      <c r="J510">
        <v>93</v>
      </c>
      <c r="K510" t="s">
        <v>23</v>
      </c>
      <c r="L510">
        <v>98</v>
      </c>
    </row>
    <row r="511" spans="1:12" x14ac:dyDescent="0.25">
      <c r="A511">
        <v>400578548</v>
      </c>
      <c r="B511">
        <v>2015</v>
      </c>
      <c r="C511" s="1">
        <v>41975</v>
      </c>
      <c r="D511" t="s">
        <v>31</v>
      </c>
      <c r="E511">
        <v>0</v>
      </c>
      <c r="F511">
        <v>4</v>
      </c>
      <c r="G511">
        <v>15</v>
      </c>
      <c r="H511">
        <v>1</v>
      </c>
      <c r="I511" t="s">
        <v>31</v>
      </c>
      <c r="J511">
        <v>93</v>
      </c>
      <c r="K511" t="s">
        <v>23</v>
      </c>
      <c r="L511">
        <v>98</v>
      </c>
    </row>
    <row r="512" spans="1:12" x14ac:dyDescent="0.25">
      <c r="A512">
        <v>400578549</v>
      </c>
      <c r="B512">
        <v>2015</v>
      </c>
      <c r="C512" s="1">
        <v>41975</v>
      </c>
      <c r="D512" t="s">
        <v>30</v>
      </c>
      <c r="E512">
        <v>0</v>
      </c>
      <c r="F512">
        <v>11</v>
      </c>
      <c r="G512">
        <v>7</v>
      </c>
      <c r="H512">
        <v>1</v>
      </c>
      <c r="I512" t="s">
        <v>30</v>
      </c>
      <c r="J512">
        <v>129</v>
      </c>
      <c r="K512" t="s">
        <v>14</v>
      </c>
      <c r="L512">
        <v>132</v>
      </c>
    </row>
    <row r="513" spans="1:12" x14ac:dyDescent="0.25">
      <c r="A513">
        <v>400578549</v>
      </c>
      <c r="B513">
        <v>2015</v>
      </c>
      <c r="C513" s="1">
        <v>41975</v>
      </c>
      <c r="D513" t="s">
        <v>14</v>
      </c>
      <c r="E513">
        <v>1</v>
      </c>
      <c r="F513">
        <v>14</v>
      </c>
      <c r="G513">
        <v>5</v>
      </c>
      <c r="H513">
        <v>0</v>
      </c>
      <c r="I513" t="s">
        <v>30</v>
      </c>
      <c r="J513">
        <v>129</v>
      </c>
      <c r="K513" t="s">
        <v>14</v>
      </c>
      <c r="L513">
        <v>132</v>
      </c>
    </row>
    <row r="514" spans="1:12" x14ac:dyDescent="0.25">
      <c r="A514">
        <v>400578550</v>
      </c>
      <c r="B514">
        <v>2015</v>
      </c>
      <c r="C514" s="1">
        <v>41975</v>
      </c>
      <c r="D514" t="s">
        <v>12</v>
      </c>
      <c r="E514">
        <v>1</v>
      </c>
      <c r="F514">
        <v>8</v>
      </c>
      <c r="G514">
        <v>8</v>
      </c>
      <c r="H514">
        <v>1</v>
      </c>
      <c r="I514" t="s">
        <v>12</v>
      </c>
      <c r="J514">
        <v>112</v>
      </c>
      <c r="K514" t="s">
        <v>38</v>
      </c>
      <c r="L514">
        <v>104</v>
      </c>
    </row>
    <row r="515" spans="1:12" x14ac:dyDescent="0.25">
      <c r="A515">
        <v>400578550</v>
      </c>
      <c r="B515">
        <v>2015</v>
      </c>
      <c r="C515" s="1">
        <v>41975</v>
      </c>
      <c r="D515" t="s">
        <v>38</v>
      </c>
      <c r="E515">
        <v>0</v>
      </c>
      <c r="F515">
        <v>5</v>
      </c>
      <c r="G515">
        <v>13</v>
      </c>
      <c r="H515">
        <v>0</v>
      </c>
      <c r="I515" t="s">
        <v>12</v>
      </c>
      <c r="J515">
        <v>112</v>
      </c>
      <c r="K515" t="s">
        <v>38</v>
      </c>
      <c r="L515">
        <v>104</v>
      </c>
    </row>
    <row r="516" spans="1:12" x14ac:dyDescent="0.25">
      <c r="A516">
        <v>400578551</v>
      </c>
      <c r="B516">
        <v>2015</v>
      </c>
      <c r="C516" s="1">
        <v>41975</v>
      </c>
      <c r="D516" t="s">
        <v>32</v>
      </c>
      <c r="E516">
        <v>0</v>
      </c>
      <c r="F516">
        <v>9</v>
      </c>
      <c r="G516">
        <v>9</v>
      </c>
      <c r="H516">
        <v>1</v>
      </c>
      <c r="I516" t="s">
        <v>32</v>
      </c>
      <c r="J516">
        <v>103</v>
      </c>
      <c r="K516" t="s">
        <v>39</v>
      </c>
      <c r="L516">
        <v>105</v>
      </c>
    </row>
    <row r="517" spans="1:12" x14ac:dyDescent="0.25">
      <c r="A517">
        <v>400578551</v>
      </c>
      <c r="B517">
        <v>2015</v>
      </c>
      <c r="C517" s="1">
        <v>41975</v>
      </c>
      <c r="D517" t="s">
        <v>39</v>
      </c>
      <c r="E517">
        <v>1</v>
      </c>
      <c r="F517">
        <v>14</v>
      </c>
      <c r="G517">
        <v>4</v>
      </c>
      <c r="H517">
        <v>0</v>
      </c>
      <c r="I517" t="s">
        <v>32</v>
      </c>
      <c r="J517">
        <v>103</v>
      </c>
      <c r="K517" t="s">
        <v>39</v>
      </c>
      <c r="L517">
        <v>105</v>
      </c>
    </row>
    <row r="518" spans="1:12" x14ac:dyDescent="0.25">
      <c r="A518">
        <v>400578552</v>
      </c>
      <c r="B518">
        <v>2015</v>
      </c>
      <c r="C518" s="1">
        <v>41975</v>
      </c>
      <c r="D518" t="s">
        <v>20</v>
      </c>
      <c r="E518">
        <v>0</v>
      </c>
      <c r="F518">
        <v>7</v>
      </c>
      <c r="G518">
        <v>11</v>
      </c>
      <c r="H518">
        <v>0</v>
      </c>
      <c r="I518" t="s">
        <v>35</v>
      </c>
      <c r="J518">
        <v>116</v>
      </c>
      <c r="K518" t="s">
        <v>20</v>
      </c>
      <c r="L518">
        <v>99</v>
      </c>
    </row>
    <row r="519" spans="1:12" x14ac:dyDescent="0.25">
      <c r="A519">
        <v>400578552</v>
      </c>
      <c r="B519">
        <v>2015</v>
      </c>
      <c r="C519" s="1">
        <v>41975</v>
      </c>
      <c r="D519" t="s">
        <v>35</v>
      </c>
      <c r="E519">
        <v>1</v>
      </c>
      <c r="F519">
        <v>11</v>
      </c>
      <c r="G519">
        <v>8</v>
      </c>
      <c r="H519">
        <v>1</v>
      </c>
      <c r="I519" t="s">
        <v>35</v>
      </c>
      <c r="J519">
        <v>116</v>
      </c>
      <c r="K519" t="s">
        <v>20</v>
      </c>
      <c r="L519">
        <v>99</v>
      </c>
    </row>
    <row r="520" spans="1:12" x14ac:dyDescent="0.25">
      <c r="A520">
        <v>400578553</v>
      </c>
      <c r="B520">
        <v>2015</v>
      </c>
      <c r="C520" s="1">
        <v>41975</v>
      </c>
      <c r="D520" t="s">
        <v>37</v>
      </c>
      <c r="E520">
        <v>0</v>
      </c>
      <c r="F520">
        <v>9</v>
      </c>
      <c r="G520">
        <v>9</v>
      </c>
      <c r="H520">
        <v>1</v>
      </c>
      <c r="I520" t="s">
        <v>37</v>
      </c>
      <c r="J520">
        <v>109</v>
      </c>
      <c r="K520" t="s">
        <v>27</v>
      </c>
      <c r="L520">
        <v>117</v>
      </c>
    </row>
    <row r="521" spans="1:12" x14ac:dyDescent="0.25">
      <c r="A521">
        <v>400578553</v>
      </c>
      <c r="B521">
        <v>2015</v>
      </c>
      <c r="C521" s="1">
        <v>41975</v>
      </c>
      <c r="D521" t="s">
        <v>27</v>
      </c>
      <c r="E521">
        <v>1</v>
      </c>
      <c r="F521">
        <v>14</v>
      </c>
      <c r="G521">
        <v>4</v>
      </c>
      <c r="H521">
        <v>0</v>
      </c>
      <c r="I521" t="s">
        <v>37</v>
      </c>
      <c r="J521">
        <v>109</v>
      </c>
      <c r="K521" t="s">
        <v>27</v>
      </c>
      <c r="L521">
        <v>117</v>
      </c>
    </row>
    <row r="522" spans="1:12" x14ac:dyDescent="0.25">
      <c r="A522">
        <v>400578554</v>
      </c>
      <c r="B522">
        <v>2015</v>
      </c>
      <c r="C522" s="1">
        <v>41975</v>
      </c>
      <c r="D522" t="s">
        <v>36</v>
      </c>
      <c r="E522">
        <v>1</v>
      </c>
      <c r="F522">
        <v>15</v>
      </c>
      <c r="G522">
        <v>2</v>
      </c>
      <c r="H522">
        <v>1</v>
      </c>
      <c r="I522" t="s">
        <v>36</v>
      </c>
      <c r="J522">
        <v>98</v>
      </c>
      <c r="K522" t="s">
        <v>13</v>
      </c>
      <c r="L522">
        <v>97</v>
      </c>
    </row>
    <row r="523" spans="1:12" x14ac:dyDescent="0.25">
      <c r="A523">
        <v>400578554</v>
      </c>
      <c r="B523">
        <v>2015</v>
      </c>
      <c r="C523" s="1">
        <v>41975</v>
      </c>
      <c r="D523" t="s">
        <v>13</v>
      </c>
      <c r="E523">
        <v>0</v>
      </c>
      <c r="F523">
        <v>7</v>
      </c>
      <c r="G523">
        <v>13</v>
      </c>
      <c r="H523">
        <v>0</v>
      </c>
      <c r="I523" t="s">
        <v>36</v>
      </c>
      <c r="J523">
        <v>98</v>
      </c>
      <c r="K523" t="s">
        <v>13</v>
      </c>
      <c r="L523">
        <v>97</v>
      </c>
    </row>
    <row r="524" spans="1:12" x14ac:dyDescent="0.25">
      <c r="A524">
        <v>400578555</v>
      </c>
      <c r="B524">
        <v>2015</v>
      </c>
      <c r="C524" s="1">
        <v>41976</v>
      </c>
      <c r="D524" t="s">
        <v>18</v>
      </c>
      <c r="E524">
        <v>0</v>
      </c>
      <c r="F524">
        <v>4</v>
      </c>
      <c r="G524">
        <v>15</v>
      </c>
      <c r="H524">
        <v>1</v>
      </c>
      <c r="I524" t="s">
        <v>18</v>
      </c>
      <c r="J524">
        <v>95</v>
      </c>
      <c r="K524" t="s">
        <v>30</v>
      </c>
      <c r="L524">
        <v>102</v>
      </c>
    </row>
    <row r="525" spans="1:12" x14ac:dyDescent="0.25">
      <c r="A525">
        <v>400578555</v>
      </c>
      <c r="B525">
        <v>2015</v>
      </c>
      <c r="C525" s="1">
        <v>41976</v>
      </c>
      <c r="D525" t="s">
        <v>30</v>
      </c>
      <c r="E525">
        <v>1</v>
      </c>
      <c r="F525">
        <v>12</v>
      </c>
      <c r="G525">
        <v>7</v>
      </c>
      <c r="H525">
        <v>0</v>
      </c>
      <c r="I525" t="s">
        <v>18</v>
      </c>
      <c r="J525">
        <v>95</v>
      </c>
      <c r="K525" t="s">
        <v>30</v>
      </c>
      <c r="L525">
        <v>102</v>
      </c>
    </row>
    <row r="526" spans="1:12" x14ac:dyDescent="0.25">
      <c r="A526">
        <v>400578556</v>
      </c>
      <c r="B526">
        <v>2015</v>
      </c>
      <c r="C526" s="1">
        <v>41976</v>
      </c>
      <c r="D526" t="s">
        <v>17</v>
      </c>
      <c r="E526">
        <v>0</v>
      </c>
      <c r="F526">
        <v>5</v>
      </c>
      <c r="G526">
        <v>14</v>
      </c>
      <c r="H526">
        <v>0</v>
      </c>
      <c r="I526" t="s">
        <v>25</v>
      </c>
      <c r="J526">
        <v>111</v>
      </c>
      <c r="K526" t="s">
        <v>17</v>
      </c>
      <c r="L526">
        <v>95</v>
      </c>
    </row>
    <row r="527" spans="1:12" x14ac:dyDescent="0.25">
      <c r="A527">
        <v>400578556</v>
      </c>
      <c r="B527">
        <v>2015</v>
      </c>
      <c r="C527" s="1">
        <v>41976</v>
      </c>
      <c r="D527" t="s">
        <v>25</v>
      </c>
      <c r="E527">
        <v>1</v>
      </c>
      <c r="F527">
        <v>12</v>
      </c>
      <c r="G527">
        <v>5</v>
      </c>
      <c r="H527">
        <v>1</v>
      </c>
      <c r="I527" t="s">
        <v>25</v>
      </c>
      <c r="J527">
        <v>111</v>
      </c>
      <c r="K527" t="s">
        <v>17</v>
      </c>
      <c r="L527">
        <v>95</v>
      </c>
    </row>
    <row r="528" spans="1:12" x14ac:dyDescent="0.25">
      <c r="A528">
        <v>400578557</v>
      </c>
      <c r="B528">
        <v>2015</v>
      </c>
      <c r="C528" s="1">
        <v>41976</v>
      </c>
      <c r="D528" t="s">
        <v>22</v>
      </c>
      <c r="E528">
        <v>1</v>
      </c>
      <c r="F528">
        <v>5</v>
      </c>
      <c r="G528">
        <v>11</v>
      </c>
      <c r="H528">
        <v>1</v>
      </c>
      <c r="I528" t="s">
        <v>22</v>
      </c>
      <c r="J528">
        <v>109</v>
      </c>
      <c r="K528" t="s">
        <v>33</v>
      </c>
      <c r="L528">
        <v>102</v>
      </c>
    </row>
    <row r="529" spans="1:12" x14ac:dyDescent="0.25">
      <c r="A529">
        <v>400578557</v>
      </c>
      <c r="B529">
        <v>2015</v>
      </c>
      <c r="C529" s="1">
        <v>41976</v>
      </c>
      <c r="D529" t="s">
        <v>33</v>
      </c>
      <c r="E529">
        <v>0</v>
      </c>
      <c r="F529">
        <v>3</v>
      </c>
      <c r="G529">
        <v>16</v>
      </c>
      <c r="H529">
        <v>0</v>
      </c>
      <c r="I529" t="s">
        <v>22</v>
      </c>
      <c r="J529">
        <v>109</v>
      </c>
      <c r="K529" t="s">
        <v>33</v>
      </c>
      <c r="L529">
        <v>102</v>
      </c>
    </row>
    <row r="530" spans="1:12" x14ac:dyDescent="0.25">
      <c r="A530">
        <v>400578558</v>
      </c>
      <c r="B530">
        <v>2015</v>
      </c>
      <c r="C530" s="1">
        <v>41976</v>
      </c>
      <c r="D530" t="s">
        <v>23</v>
      </c>
      <c r="E530">
        <v>1</v>
      </c>
      <c r="F530">
        <v>8</v>
      </c>
      <c r="G530">
        <v>9</v>
      </c>
      <c r="H530">
        <v>1</v>
      </c>
      <c r="I530" t="s">
        <v>23</v>
      </c>
      <c r="J530">
        <v>95</v>
      </c>
      <c r="K530" t="s">
        <v>15</v>
      </c>
      <c r="L530">
        <v>93</v>
      </c>
    </row>
    <row r="531" spans="1:12" x14ac:dyDescent="0.25">
      <c r="A531">
        <v>400578558</v>
      </c>
      <c r="B531">
        <v>2015</v>
      </c>
      <c r="C531" s="1">
        <v>41976</v>
      </c>
      <c r="D531" t="s">
        <v>15</v>
      </c>
      <c r="E531">
        <v>0</v>
      </c>
      <c r="F531">
        <v>13</v>
      </c>
      <c r="G531">
        <v>5</v>
      </c>
      <c r="H531">
        <v>0</v>
      </c>
      <c r="I531" t="s">
        <v>23</v>
      </c>
      <c r="J531">
        <v>95</v>
      </c>
      <c r="K531" t="s">
        <v>15</v>
      </c>
      <c r="L531">
        <v>93</v>
      </c>
    </row>
    <row r="532" spans="1:12" x14ac:dyDescent="0.25">
      <c r="A532">
        <v>400578559</v>
      </c>
      <c r="B532">
        <v>2015</v>
      </c>
      <c r="C532" s="1">
        <v>41976</v>
      </c>
      <c r="D532" t="s">
        <v>26</v>
      </c>
      <c r="E532">
        <v>1</v>
      </c>
      <c r="F532">
        <v>11</v>
      </c>
      <c r="G532">
        <v>6</v>
      </c>
      <c r="H532">
        <v>0</v>
      </c>
      <c r="I532" t="s">
        <v>24</v>
      </c>
      <c r="J532">
        <v>102</v>
      </c>
      <c r="K532" t="s">
        <v>26</v>
      </c>
      <c r="L532">
        <v>112</v>
      </c>
    </row>
    <row r="533" spans="1:12" x14ac:dyDescent="0.25">
      <c r="A533">
        <v>400578559</v>
      </c>
      <c r="B533">
        <v>2015</v>
      </c>
      <c r="C533" s="1">
        <v>41976</v>
      </c>
      <c r="D533" t="s">
        <v>24</v>
      </c>
      <c r="E533">
        <v>0</v>
      </c>
      <c r="F533">
        <v>9</v>
      </c>
      <c r="G533">
        <v>9</v>
      </c>
      <c r="H533">
        <v>1</v>
      </c>
      <c r="I533" t="s">
        <v>24</v>
      </c>
      <c r="J533">
        <v>102</v>
      </c>
      <c r="K533" t="s">
        <v>26</v>
      </c>
      <c r="L533">
        <v>112</v>
      </c>
    </row>
    <row r="534" spans="1:12" x14ac:dyDescent="0.25">
      <c r="A534">
        <v>400578560</v>
      </c>
      <c r="B534">
        <v>2015</v>
      </c>
      <c r="C534" s="1">
        <v>41976</v>
      </c>
      <c r="D534" t="s">
        <v>16</v>
      </c>
      <c r="E534">
        <v>1</v>
      </c>
      <c r="F534">
        <v>14</v>
      </c>
      <c r="G534">
        <v>4</v>
      </c>
      <c r="H534">
        <v>1</v>
      </c>
      <c r="I534" t="s">
        <v>16</v>
      </c>
      <c r="J534">
        <v>105</v>
      </c>
      <c r="K534" t="s">
        <v>28</v>
      </c>
      <c r="L534">
        <v>96</v>
      </c>
    </row>
    <row r="535" spans="1:12" x14ac:dyDescent="0.25">
      <c r="A535">
        <v>400578560</v>
      </c>
      <c r="B535">
        <v>2015</v>
      </c>
      <c r="C535" s="1">
        <v>41976</v>
      </c>
      <c r="D535" t="s">
        <v>28</v>
      </c>
      <c r="E535">
        <v>0</v>
      </c>
      <c r="F535">
        <v>15</v>
      </c>
      <c r="G535">
        <v>3</v>
      </c>
      <c r="H535">
        <v>0</v>
      </c>
      <c r="I535" t="s">
        <v>16</v>
      </c>
      <c r="J535">
        <v>105</v>
      </c>
      <c r="K535" t="s">
        <v>28</v>
      </c>
      <c r="L535">
        <v>96</v>
      </c>
    </row>
    <row r="536" spans="1:12" x14ac:dyDescent="0.25">
      <c r="A536">
        <v>400578561</v>
      </c>
      <c r="B536">
        <v>2015</v>
      </c>
      <c r="C536" s="1">
        <v>41976</v>
      </c>
      <c r="D536" t="s">
        <v>14</v>
      </c>
      <c r="E536">
        <v>1</v>
      </c>
      <c r="F536">
        <v>15</v>
      </c>
      <c r="G536">
        <v>5</v>
      </c>
      <c r="H536">
        <v>0</v>
      </c>
      <c r="I536" t="s">
        <v>19</v>
      </c>
      <c r="J536">
        <v>105</v>
      </c>
      <c r="K536" t="s">
        <v>14</v>
      </c>
      <c r="L536">
        <v>107</v>
      </c>
    </row>
    <row r="537" spans="1:12" x14ac:dyDescent="0.25">
      <c r="A537">
        <v>400578561</v>
      </c>
      <c r="B537">
        <v>2015</v>
      </c>
      <c r="C537" s="1">
        <v>41976</v>
      </c>
      <c r="D537" t="s">
        <v>19</v>
      </c>
      <c r="E537">
        <v>0</v>
      </c>
      <c r="F537">
        <v>10</v>
      </c>
      <c r="G537">
        <v>10</v>
      </c>
      <c r="H537">
        <v>1</v>
      </c>
      <c r="I537" t="s">
        <v>19</v>
      </c>
      <c r="J537">
        <v>105</v>
      </c>
      <c r="K537" t="s">
        <v>14</v>
      </c>
      <c r="L537">
        <v>107</v>
      </c>
    </row>
    <row r="538" spans="1:12" x14ac:dyDescent="0.25">
      <c r="A538">
        <v>400578562</v>
      </c>
      <c r="B538">
        <v>2015</v>
      </c>
      <c r="C538" s="1">
        <v>41976</v>
      </c>
      <c r="D538" t="s">
        <v>29</v>
      </c>
      <c r="E538">
        <v>0</v>
      </c>
      <c r="F538">
        <v>4</v>
      </c>
      <c r="G538">
        <v>13</v>
      </c>
      <c r="H538">
        <v>1</v>
      </c>
      <c r="I538" t="s">
        <v>29</v>
      </c>
      <c r="J538">
        <v>77</v>
      </c>
      <c r="K538" t="s">
        <v>21</v>
      </c>
      <c r="L538">
        <v>85</v>
      </c>
    </row>
    <row r="539" spans="1:12" x14ac:dyDescent="0.25">
      <c r="A539">
        <v>400578562</v>
      </c>
      <c r="B539">
        <v>2015</v>
      </c>
      <c r="C539" s="1">
        <v>41976</v>
      </c>
      <c r="D539" t="s">
        <v>21</v>
      </c>
      <c r="E539">
        <v>1</v>
      </c>
      <c r="F539">
        <v>1</v>
      </c>
      <c r="G539">
        <v>17</v>
      </c>
      <c r="H539">
        <v>0</v>
      </c>
      <c r="I539" t="s">
        <v>29</v>
      </c>
      <c r="J539">
        <v>77</v>
      </c>
      <c r="K539" t="s">
        <v>21</v>
      </c>
      <c r="L539">
        <v>85</v>
      </c>
    </row>
    <row r="540" spans="1:12" x14ac:dyDescent="0.25">
      <c r="A540">
        <v>400578563</v>
      </c>
      <c r="B540">
        <v>2015</v>
      </c>
      <c r="C540" s="1">
        <v>41976</v>
      </c>
      <c r="D540" t="s">
        <v>27</v>
      </c>
      <c r="E540">
        <v>1</v>
      </c>
      <c r="F540">
        <v>15</v>
      </c>
      <c r="G540">
        <v>4</v>
      </c>
      <c r="H540">
        <v>0</v>
      </c>
      <c r="I540" t="s">
        <v>34</v>
      </c>
      <c r="J540">
        <v>104</v>
      </c>
      <c r="K540" t="s">
        <v>27</v>
      </c>
      <c r="L540">
        <v>123</v>
      </c>
    </row>
    <row r="541" spans="1:12" x14ac:dyDescent="0.25">
      <c r="A541">
        <v>400578563</v>
      </c>
      <c r="B541">
        <v>2015</v>
      </c>
      <c r="C541" s="1">
        <v>41976</v>
      </c>
      <c r="D541" t="s">
        <v>34</v>
      </c>
      <c r="E541">
        <v>0</v>
      </c>
      <c r="F541">
        <v>5</v>
      </c>
      <c r="G541">
        <v>14</v>
      </c>
      <c r="H541">
        <v>1</v>
      </c>
      <c r="I541" t="s">
        <v>34</v>
      </c>
      <c r="J541">
        <v>104</v>
      </c>
      <c r="K541" t="s">
        <v>27</v>
      </c>
      <c r="L541">
        <v>123</v>
      </c>
    </row>
    <row r="542" spans="1:12" x14ac:dyDescent="0.25">
      <c r="A542">
        <v>400578564</v>
      </c>
      <c r="B542">
        <v>2015</v>
      </c>
      <c r="C542" s="1">
        <v>41976</v>
      </c>
      <c r="D542" t="s">
        <v>41</v>
      </c>
      <c r="E542">
        <v>1</v>
      </c>
      <c r="F542">
        <v>13</v>
      </c>
      <c r="G542">
        <v>5</v>
      </c>
      <c r="H542">
        <v>1</v>
      </c>
      <c r="I542" t="s">
        <v>41</v>
      </c>
      <c r="J542">
        <v>114</v>
      </c>
      <c r="K542" t="s">
        <v>13</v>
      </c>
      <c r="L542">
        <v>86</v>
      </c>
    </row>
    <row r="543" spans="1:12" x14ac:dyDescent="0.25">
      <c r="A543">
        <v>400578564</v>
      </c>
      <c r="B543">
        <v>2015</v>
      </c>
      <c r="C543" s="1">
        <v>41976</v>
      </c>
      <c r="D543" t="s">
        <v>13</v>
      </c>
      <c r="E543">
        <v>0</v>
      </c>
      <c r="F543">
        <v>7</v>
      </c>
      <c r="G543">
        <v>14</v>
      </c>
      <c r="H543">
        <v>0</v>
      </c>
      <c r="I543" t="s">
        <v>41</v>
      </c>
      <c r="J543">
        <v>114</v>
      </c>
      <c r="K543" t="s">
        <v>13</v>
      </c>
      <c r="L543">
        <v>86</v>
      </c>
    </row>
    <row r="544" spans="1:12" x14ac:dyDescent="0.25">
      <c r="A544">
        <v>400578565</v>
      </c>
      <c r="B544">
        <v>2015</v>
      </c>
      <c r="C544" s="1">
        <v>41977</v>
      </c>
      <c r="D544" t="s">
        <v>40</v>
      </c>
      <c r="E544">
        <v>1</v>
      </c>
      <c r="F544">
        <v>10</v>
      </c>
      <c r="G544">
        <v>7</v>
      </c>
      <c r="H544">
        <v>0</v>
      </c>
      <c r="I544" t="s">
        <v>31</v>
      </c>
      <c r="J544">
        <v>87</v>
      </c>
      <c r="K544" t="s">
        <v>40</v>
      </c>
      <c r="L544">
        <v>90</v>
      </c>
    </row>
    <row r="545" spans="1:12" x14ac:dyDescent="0.25">
      <c r="A545">
        <v>400578565</v>
      </c>
      <c r="B545">
        <v>2015</v>
      </c>
      <c r="C545" s="1">
        <v>41977</v>
      </c>
      <c r="D545" t="s">
        <v>31</v>
      </c>
      <c r="E545">
        <v>0</v>
      </c>
      <c r="F545">
        <v>4</v>
      </c>
      <c r="G545">
        <v>16</v>
      </c>
      <c r="H545">
        <v>1</v>
      </c>
      <c r="I545" t="s">
        <v>31</v>
      </c>
      <c r="J545">
        <v>87</v>
      </c>
      <c r="K545" t="s">
        <v>40</v>
      </c>
      <c r="L545">
        <v>90</v>
      </c>
    </row>
    <row r="546" spans="1:12" x14ac:dyDescent="0.25">
      <c r="A546">
        <v>400578566</v>
      </c>
      <c r="B546">
        <v>2015</v>
      </c>
      <c r="C546" s="1">
        <v>41977</v>
      </c>
      <c r="D546" t="s">
        <v>20</v>
      </c>
      <c r="E546">
        <v>0</v>
      </c>
      <c r="F546">
        <v>7</v>
      </c>
      <c r="G546">
        <v>12</v>
      </c>
      <c r="H546">
        <v>0</v>
      </c>
      <c r="I546" t="s">
        <v>39</v>
      </c>
      <c r="J546">
        <v>88</v>
      </c>
      <c r="K546" t="s">
        <v>20</v>
      </c>
      <c r="L546">
        <v>82</v>
      </c>
    </row>
    <row r="547" spans="1:12" x14ac:dyDescent="0.25">
      <c r="A547">
        <v>400578566</v>
      </c>
      <c r="B547">
        <v>2015</v>
      </c>
      <c r="C547" s="1">
        <v>41977</v>
      </c>
      <c r="D547" t="s">
        <v>39</v>
      </c>
      <c r="E547">
        <v>1</v>
      </c>
      <c r="F547">
        <v>15</v>
      </c>
      <c r="G547">
        <v>4</v>
      </c>
      <c r="H547">
        <v>1</v>
      </c>
      <c r="I547" t="s">
        <v>39</v>
      </c>
      <c r="J547">
        <v>88</v>
      </c>
      <c r="K547" t="s">
        <v>20</v>
      </c>
      <c r="L547">
        <v>82</v>
      </c>
    </row>
    <row r="548" spans="1:12" x14ac:dyDescent="0.25">
      <c r="A548">
        <v>400578567</v>
      </c>
      <c r="B548">
        <v>2015</v>
      </c>
      <c r="C548" s="1">
        <v>41977</v>
      </c>
      <c r="D548" t="s">
        <v>36</v>
      </c>
      <c r="E548">
        <v>1</v>
      </c>
      <c r="F548">
        <v>16</v>
      </c>
      <c r="G548">
        <v>2</v>
      </c>
      <c r="H548">
        <v>1</v>
      </c>
      <c r="I548" t="s">
        <v>36</v>
      </c>
      <c r="J548">
        <v>112</v>
      </c>
      <c r="K548" t="s">
        <v>12</v>
      </c>
      <c r="L548">
        <v>85</v>
      </c>
    </row>
    <row r="549" spans="1:12" x14ac:dyDescent="0.25">
      <c r="A549">
        <v>400578567</v>
      </c>
      <c r="B549">
        <v>2015</v>
      </c>
      <c r="C549" s="1">
        <v>41977</v>
      </c>
      <c r="D549" t="s">
        <v>12</v>
      </c>
      <c r="E549">
        <v>0</v>
      </c>
      <c r="F549">
        <v>8</v>
      </c>
      <c r="G549">
        <v>9</v>
      </c>
      <c r="H549">
        <v>0</v>
      </c>
      <c r="I549" t="s">
        <v>36</v>
      </c>
      <c r="J549">
        <v>112</v>
      </c>
      <c r="K549" t="s">
        <v>12</v>
      </c>
      <c r="L549">
        <v>85</v>
      </c>
    </row>
    <row r="550" spans="1:12" x14ac:dyDescent="0.25">
      <c r="A550">
        <v>400578568</v>
      </c>
      <c r="B550">
        <v>2015</v>
      </c>
      <c r="C550" s="1">
        <v>41978</v>
      </c>
      <c r="D550" t="s">
        <v>18</v>
      </c>
      <c r="E550">
        <v>1</v>
      </c>
      <c r="F550">
        <v>5</v>
      </c>
      <c r="G550">
        <v>15</v>
      </c>
      <c r="H550">
        <v>1</v>
      </c>
      <c r="I550" t="s">
        <v>18</v>
      </c>
      <c r="J550">
        <v>103</v>
      </c>
      <c r="K550" t="s">
        <v>31</v>
      </c>
      <c r="L550">
        <v>102</v>
      </c>
    </row>
    <row r="551" spans="1:12" x14ac:dyDescent="0.25">
      <c r="A551">
        <v>400578568</v>
      </c>
      <c r="B551">
        <v>2015</v>
      </c>
      <c r="C551" s="1">
        <v>41978</v>
      </c>
      <c r="D551" t="s">
        <v>31</v>
      </c>
      <c r="E551">
        <v>0</v>
      </c>
      <c r="F551">
        <v>4</v>
      </c>
      <c r="G551">
        <v>17</v>
      </c>
      <c r="H551">
        <v>0</v>
      </c>
      <c r="I551" t="s">
        <v>18</v>
      </c>
      <c r="J551">
        <v>103</v>
      </c>
      <c r="K551" t="s">
        <v>31</v>
      </c>
      <c r="L551">
        <v>102</v>
      </c>
    </row>
    <row r="552" spans="1:12" x14ac:dyDescent="0.25">
      <c r="A552">
        <v>400578569</v>
      </c>
      <c r="B552">
        <v>2015</v>
      </c>
      <c r="C552" s="1">
        <v>41978</v>
      </c>
      <c r="D552" t="s">
        <v>38</v>
      </c>
      <c r="E552">
        <v>1</v>
      </c>
      <c r="F552">
        <v>6</v>
      </c>
      <c r="G552">
        <v>13</v>
      </c>
      <c r="H552">
        <v>0</v>
      </c>
      <c r="I552" t="s">
        <v>21</v>
      </c>
      <c r="J552">
        <v>91</v>
      </c>
      <c r="K552" t="s">
        <v>38</v>
      </c>
      <c r="L552">
        <v>103</v>
      </c>
    </row>
    <row r="553" spans="1:12" x14ac:dyDescent="0.25">
      <c r="A553">
        <v>400578569</v>
      </c>
      <c r="B553">
        <v>2015</v>
      </c>
      <c r="C553" s="1">
        <v>41978</v>
      </c>
      <c r="D553" t="s">
        <v>21</v>
      </c>
      <c r="E553">
        <v>0</v>
      </c>
      <c r="F553">
        <v>1</v>
      </c>
      <c r="G553">
        <v>18</v>
      </c>
      <c r="H553">
        <v>1</v>
      </c>
      <c r="I553" t="s">
        <v>21</v>
      </c>
      <c r="J553">
        <v>91</v>
      </c>
      <c r="K553" t="s">
        <v>38</v>
      </c>
      <c r="L553">
        <v>103</v>
      </c>
    </row>
    <row r="554" spans="1:12" x14ac:dyDescent="0.25">
      <c r="A554">
        <v>400578570</v>
      </c>
      <c r="B554">
        <v>2015</v>
      </c>
      <c r="C554" s="1">
        <v>41978</v>
      </c>
      <c r="D554" t="s">
        <v>32</v>
      </c>
      <c r="E554">
        <v>0</v>
      </c>
      <c r="F554">
        <v>9</v>
      </c>
      <c r="G554">
        <v>10</v>
      </c>
      <c r="H554">
        <v>0</v>
      </c>
      <c r="I554" t="s">
        <v>25</v>
      </c>
      <c r="J554">
        <v>119</v>
      </c>
      <c r="K554" t="s">
        <v>32</v>
      </c>
      <c r="L554">
        <v>89</v>
      </c>
    </row>
    <row r="555" spans="1:12" x14ac:dyDescent="0.25">
      <c r="A555">
        <v>400578570</v>
      </c>
      <c r="B555">
        <v>2015</v>
      </c>
      <c r="C555" s="1">
        <v>41978</v>
      </c>
      <c r="D555" t="s">
        <v>25</v>
      </c>
      <c r="E555">
        <v>1</v>
      </c>
      <c r="F555">
        <v>13</v>
      </c>
      <c r="G555">
        <v>5</v>
      </c>
      <c r="H555">
        <v>1</v>
      </c>
      <c r="I555" t="s">
        <v>25</v>
      </c>
      <c r="J555">
        <v>119</v>
      </c>
      <c r="K555" t="s">
        <v>32</v>
      </c>
      <c r="L555">
        <v>89</v>
      </c>
    </row>
    <row r="556" spans="1:12" x14ac:dyDescent="0.25">
      <c r="A556">
        <v>400578571</v>
      </c>
      <c r="B556">
        <v>2015</v>
      </c>
      <c r="C556" s="1">
        <v>41978</v>
      </c>
      <c r="D556" t="s">
        <v>22</v>
      </c>
      <c r="E556">
        <v>1</v>
      </c>
      <c r="F556">
        <v>6</v>
      </c>
      <c r="G556">
        <v>11</v>
      </c>
      <c r="H556">
        <v>1</v>
      </c>
      <c r="I556" t="s">
        <v>22</v>
      </c>
      <c r="J556">
        <v>113</v>
      </c>
      <c r="K556" t="s">
        <v>17</v>
      </c>
      <c r="L556">
        <v>96</v>
      </c>
    </row>
    <row r="557" spans="1:12" x14ac:dyDescent="0.25">
      <c r="A557">
        <v>400578571</v>
      </c>
      <c r="B557">
        <v>2015</v>
      </c>
      <c r="C557" s="1">
        <v>41978</v>
      </c>
      <c r="D557" t="s">
        <v>17</v>
      </c>
      <c r="E557">
        <v>0</v>
      </c>
      <c r="F557">
        <v>5</v>
      </c>
      <c r="G557">
        <v>15</v>
      </c>
      <c r="H557">
        <v>0</v>
      </c>
      <c r="I557" t="s">
        <v>22</v>
      </c>
      <c r="J557">
        <v>113</v>
      </c>
      <c r="K557" t="s">
        <v>17</v>
      </c>
      <c r="L557">
        <v>96</v>
      </c>
    </row>
    <row r="558" spans="1:12" x14ac:dyDescent="0.25">
      <c r="A558">
        <v>400578572</v>
      </c>
      <c r="B558">
        <v>2015</v>
      </c>
      <c r="C558" s="1">
        <v>41978</v>
      </c>
      <c r="D558" t="s">
        <v>26</v>
      </c>
      <c r="E558">
        <v>1</v>
      </c>
      <c r="F558">
        <v>12</v>
      </c>
      <c r="G558">
        <v>6</v>
      </c>
      <c r="H558">
        <v>0</v>
      </c>
      <c r="I558" t="s">
        <v>23</v>
      </c>
      <c r="J558">
        <v>75</v>
      </c>
      <c r="K558" t="s">
        <v>26</v>
      </c>
      <c r="L558">
        <v>98</v>
      </c>
    </row>
    <row r="559" spans="1:12" x14ac:dyDescent="0.25">
      <c r="A559">
        <v>400578572</v>
      </c>
      <c r="B559">
        <v>2015</v>
      </c>
      <c r="C559" s="1">
        <v>41978</v>
      </c>
      <c r="D559" t="s">
        <v>23</v>
      </c>
      <c r="E559">
        <v>0</v>
      </c>
      <c r="F559">
        <v>8</v>
      </c>
      <c r="G559">
        <v>10</v>
      </c>
      <c r="H559">
        <v>1</v>
      </c>
      <c r="I559" t="s">
        <v>23</v>
      </c>
      <c r="J559">
        <v>75</v>
      </c>
      <c r="K559" t="s">
        <v>26</v>
      </c>
      <c r="L559">
        <v>98</v>
      </c>
    </row>
    <row r="560" spans="1:12" x14ac:dyDescent="0.25">
      <c r="A560">
        <v>400578573</v>
      </c>
      <c r="B560">
        <v>2015</v>
      </c>
      <c r="C560" s="1">
        <v>41978</v>
      </c>
      <c r="D560" t="s">
        <v>40</v>
      </c>
      <c r="E560">
        <v>1</v>
      </c>
      <c r="F560">
        <v>11</v>
      </c>
      <c r="G560">
        <v>7</v>
      </c>
      <c r="H560">
        <v>0</v>
      </c>
      <c r="I560" t="s">
        <v>27</v>
      </c>
      <c r="J560">
        <v>91</v>
      </c>
      <c r="K560" t="s">
        <v>40</v>
      </c>
      <c r="L560">
        <v>105</v>
      </c>
    </row>
    <row r="561" spans="1:12" x14ac:dyDescent="0.25">
      <c r="A561">
        <v>400578573</v>
      </c>
      <c r="B561">
        <v>2015</v>
      </c>
      <c r="C561" s="1">
        <v>41978</v>
      </c>
      <c r="D561" t="s">
        <v>27</v>
      </c>
      <c r="E561">
        <v>0</v>
      </c>
      <c r="F561">
        <v>15</v>
      </c>
      <c r="G561">
        <v>5</v>
      </c>
      <c r="H561">
        <v>1</v>
      </c>
      <c r="I561" t="s">
        <v>27</v>
      </c>
      <c r="J561">
        <v>91</v>
      </c>
      <c r="K561" t="s">
        <v>40</v>
      </c>
      <c r="L561">
        <v>105</v>
      </c>
    </row>
    <row r="562" spans="1:12" x14ac:dyDescent="0.25">
      <c r="A562">
        <v>400578574</v>
      </c>
      <c r="B562">
        <v>2015</v>
      </c>
      <c r="C562" s="1">
        <v>41978</v>
      </c>
      <c r="D562" t="s">
        <v>28</v>
      </c>
      <c r="E562">
        <v>0</v>
      </c>
      <c r="F562">
        <v>15</v>
      </c>
      <c r="G562">
        <v>4</v>
      </c>
      <c r="H562">
        <v>1</v>
      </c>
      <c r="I562" t="s">
        <v>28</v>
      </c>
      <c r="J562">
        <v>101</v>
      </c>
      <c r="K562" t="s">
        <v>15</v>
      </c>
      <c r="L562">
        <v>107</v>
      </c>
    </row>
    <row r="563" spans="1:12" x14ac:dyDescent="0.25">
      <c r="A563">
        <v>400578574</v>
      </c>
      <c r="B563">
        <v>2015</v>
      </c>
      <c r="C563" s="1">
        <v>41978</v>
      </c>
      <c r="D563" t="s">
        <v>15</v>
      </c>
      <c r="E563">
        <v>1</v>
      </c>
      <c r="F563">
        <v>14</v>
      </c>
      <c r="G563">
        <v>5</v>
      </c>
      <c r="H563">
        <v>0</v>
      </c>
      <c r="I563" t="s">
        <v>28</v>
      </c>
      <c r="J563">
        <v>101</v>
      </c>
      <c r="K563" t="s">
        <v>15</v>
      </c>
      <c r="L563">
        <v>107</v>
      </c>
    </row>
    <row r="564" spans="1:12" x14ac:dyDescent="0.25">
      <c r="A564">
        <v>400578575</v>
      </c>
      <c r="B564">
        <v>2015</v>
      </c>
      <c r="C564" s="1">
        <v>41978</v>
      </c>
      <c r="D564" t="s">
        <v>16</v>
      </c>
      <c r="E564">
        <v>1</v>
      </c>
      <c r="F564">
        <v>15</v>
      </c>
      <c r="G564">
        <v>4</v>
      </c>
      <c r="H564">
        <v>0</v>
      </c>
      <c r="I564" t="s">
        <v>29</v>
      </c>
      <c r="J564">
        <v>112</v>
      </c>
      <c r="K564" t="s">
        <v>16</v>
      </c>
      <c r="L564">
        <v>114</v>
      </c>
    </row>
    <row r="565" spans="1:12" x14ac:dyDescent="0.25">
      <c r="A565">
        <v>400578575</v>
      </c>
      <c r="B565">
        <v>2015</v>
      </c>
      <c r="C565" s="1">
        <v>41978</v>
      </c>
      <c r="D565" t="s">
        <v>29</v>
      </c>
      <c r="E565">
        <v>0</v>
      </c>
      <c r="F565">
        <v>4</v>
      </c>
      <c r="G565">
        <v>14</v>
      </c>
      <c r="H565">
        <v>1</v>
      </c>
      <c r="I565" t="s">
        <v>29</v>
      </c>
      <c r="J565">
        <v>112</v>
      </c>
      <c r="K565" t="s">
        <v>16</v>
      </c>
      <c r="L565">
        <v>114</v>
      </c>
    </row>
    <row r="566" spans="1:12" x14ac:dyDescent="0.25">
      <c r="A566">
        <v>400578576</v>
      </c>
      <c r="B566">
        <v>2015</v>
      </c>
      <c r="C566" s="1">
        <v>41978</v>
      </c>
      <c r="D566" t="s">
        <v>14</v>
      </c>
      <c r="E566">
        <v>0</v>
      </c>
      <c r="F566">
        <v>15</v>
      </c>
      <c r="G566">
        <v>6</v>
      </c>
      <c r="H566">
        <v>1</v>
      </c>
      <c r="I566" t="s">
        <v>14</v>
      </c>
      <c r="J566">
        <v>106</v>
      </c>
      <c r="K566" t="s">
        <v>35</v>
      </c>
      <c r="L566">
        <v>118</v>
      </c>
    </row>
    <row r="567" spans="1:12" x14ac:dyDescent="0.25">
      <c r="A567">
        <v>400578576</v>
      </c>
      <c r="B567">
        <v>2015</v>
      </c>
      <c r="C567" s="1">
        <v>41978</v>
      </c>
      <c r="D567" t="s">
        <v>35</v>
      </c>
      <c r="E567">
        <v>1</v>
      </c>
      <c r="F567">
        <v>12</v>
      </c>
      <c r="G567">
        <v>8</v>
      </c>
      <c r="H567">
        <v>0</v>
      </c>
      <c r="I567" t="s">
        <v>14</v>
      </c>
      <c r="J567">
        <v>106</v>
      </c>
      <c r="K567" t="s">
        <v>35</v>
      </c>
      <c r="L567">
        <v>118</v>
      </c>
    </row>
    <row r="568" spans="1:12" x14ac:dyDescent="0.25">
      <c r="A568">
        <v>400578577</v>
      </c>
      <c r="B568">
        <v>2015</v>
      </c>
      <c r="C568" s="1">
        <v>41978</v>
      </c>
      <c r="D568" t="s">
        <v>24</v>
      </c>
      <c r="E568">
        <v>0</v>
      </c>
      <c r="F568">
        <v>9</v>
      </c>
      <c r="G568">
        <v>10</v>
      </c>
      <c r="H568">
        <v>0</v>
      </c>
      <c r="I568" t="s">
        <v>19</v>
      </c>
      <c r="J568">
        <v>109</v>
      </c>
      <c r="K568" t="s">
        <v>24</v>
      </c>
      <c r="L568">
        <v>85</v>
      </c>
    </row>
    <row r="569" spans="1:12" x14ac:dyDescent="0.25">
      <c r="A569">
        <v>400578577</v>
      </c>
      <c r="B569">
        <v>2015</v>
      </c>
      <c r="C569" s="1">
        <v>41978</v>
      </c>
      <c r="D569" t="s">
        <v>19</v>
      </c>
      <c r="E569">
        <v>1</v>
      </c>
      <c r="F569">
        <v>11</v>
      </c>
      <c r="G569">
        <v>10</v>
      </c>
      <c r="H569">
        <v>1</v>
      </c>
      <c r="I569" t="s">
        <v>19</v>
      </c>
      <c r="J569">
        <v>109</v>
      </c>
      <c r="K569" t="s">
        <v>24</v>
      </c>
      <c r="L569">
        <v>85</v>
      </c>
    </row>
    <row r="570" spans="1:12" x14ac:dyDescent="0.25">
      <c r="A570">
        <v>400578578</v>
      </c>
      <c r="B570">
        <v>2015</v>
      </c>
      <c r="C570" s="1">
        <v>41978</v>
      </c>
      <c r="D570" t="s">
        <v>13</v>
      </c>
      <c r="E570">
        <v>1</v>
      </c>
      <c r="F570">
        <v>8</v>
      </c>
      <c r="G570">
        <v>14</v>
      </c>
      <c r="H570">
        <v>0</v>
      </c>
      <c r="I570" t="s">
        <v>34</v>
      </c>
      <c r="J570">
        <v>93</v>
      </c>
      <c r="K570" t="s">
        <v>13</v>
      </c>
      <c r="L570">
        <v>98</v>
      </c>
    </row>
    <row r="571" spans="1:12" x14ac:dyDescent="0.25">
      <c r="A571">
        <v>400578578</v>
      </c>
      <c r="B571">
        <v>2015</v>
      </c>
      <c r="C571" s="1">
        <v>41978</v>
      </c>
      <c r="D571" t="s">
        <v>34</v>
      </c>
      <c r="E571">
        <v>0</v>
      </c>
      <c r="F571">
        <v>5</v>
      </c>
      <c r="G571">
        <v>15</v>
      </c>
      <c r="H571">
        <v>1</v>
      </c>
      <c r="I571" t="s">
        <v>34</v>
      </c>
      <c r="J571">
        <v>93</v>
      </c>
      <c r="K571" t="s">
        <v>13</v>
      </c>
      <c r="L571">
        <v>98</v>
      </c>
    </row>
    <row r="572" spans="1:12" x14ac:dyDescent="0.25">
      <c r="A572">
        <v>400578579</v>
      </c>
      <c r="B572">
        <v>2015</v>
      </c>
      <c r="C572" s="1">
        <v>41978</v>
      </c>
      <c r="D572" t="s">
        <v>20</v>
      </c>
      <c r="E572">
        <v>0</v>
      </c>
      <c r="F572">
        <v>7</v>
      </c>
      <c r="G572">
        <v>13</v>
      </c>
      <c r="H572">
        <v>0</v>
      </c>
      <c r="I572" t="s">
        <v>37</v>
      </c>
      <c r="J572">
        <v>102</v>
      </c>
      <c r="K572" t="s">
        <v>20</v>
      </c>
      <c r="L572">
        <v>101</v>
      </c>
    </row>
    <row r="573" spans="1:12" x14ac:dyDescent="0.25">
      <c r="A573">
        <v>400578579</v>
      </c>
      <c r="B573">
        <v>2015</v>
      </c>
      <c r="C573" s="1">
        <v>41978</v>
      </c>
      <c r="D573" t="s">
        <v>37</v>
      </c>
      <c r="E573">
        <v>1</v>
      </c>
      <c r="F573">
        <v>10</v>
      </c>
      <c r="G573">
        <v>9</v>
      </c>
      <c r="H573">
        <v>1</v>
      </c>
      <c r="I573" t="s">
        <v>37</v>
      </c>
      <c r="J573">
        <v>102</v>
      </c>
      <c r="K573" t="s">
        <v>20</v>
      </c>
      <c r="L573">
        <v>101</v>
      </c>
    </row>
    <row r="574" spans="1:12" x14ac:dyDescent="0.25">
      <c r="A574">
        <v>400578580</v>
      </c>
      <c r="B574">
        <v>2015</v>
      </c>
      <c r="C574" s="1">
        <v>41979</v>
      </c>
      <c r="D574" t="s">
        <v>33</v>
      </c>
      <c r="E574">
        <v>0</v>
      </c>
      <c r="F574">
        <v>3</v>
      </c>
      <c r="G574">
        <v>17</v>
      </c>
      <c r="H574">
        <v>1</v>
      </c>
      <c r="I574" t="s">
        <v>33</v>
      </c>
      <c r="J574">
        <v>101</v>
      </c>
      <c r="K574" t="s">
        <v>21</v>
      </c>
      <c r="L574">
        <v>108</v>
      </c>
    </row>
    <row r="575" spans="1:12" x14ac:dyDescent="0.25">
      <c r="A575">
        <v>400578580</v>
      </c>
      <c r="B575">
        <v>2015</v>
      </c>
      <c r="C575" s="1">
        <v>41979</v>
      </c>
      <c r="D575" t="s">
        <v>21</v>
      </c>
      <c r="E575">
        <v>1</v>
      </c>
      <c r="F575">
        <v>2</v>
      </c>
      <c r="G575">
        <v>18</v>
      </c>
      <c r="H575">
        <v>0</v>
      </c>
      <c r="I575" t="s">
        <v>33</v>
      </c>
      <c r="J575">
        <v>101</v>
      </c>
      <c r="K575" t="s">
        <v>21</v>
      </c>
      <c r="L575">
        <v>108</v>
      </c>
    </row>
    <row r="576" spans="1:12" x14ac:dyDescent="0.25">
      <c r="A576">
        <v>400578581</v>
      </c>
      <c r="B576">
        <v>2015</v>
      </c>
      <c r="C576" s="1">
        <v>41979</v>
      </c>
      <c r="D576" t="s">
        <v>30</v>
      </c>
      <c r="E576">
        <v>0</v>
      </c>
      <c r="F576">
        <v>12</v>
      </c>
      <c r="G576">
        <v>8</v>
      </c>
      <c r="H576">
        <v>1</v>
      </c>
      <c r="I576" t="s">
        <v>30</v>
      </c>
      <c r="J576">
        <v>102</v>
      </c>
      <c r="K576" t="s">
        <v>36</v>
      </c>
      <c r="L576">
        <v>112</v>
      </c>
    </row>
    <row r="577" spans="1:12" x14ac:dyDescent="0.25">
      <c r="A577">
        <v>400578581</v>
      </c>
      <c r="B577">
        <v>2015</v>
      </c>
      <c r="C577" s="1">
        <v>41979</v>
      </c>
      <c r="D577" t="s">
        <v>36</v>
      </c>
      <c r="E577">
        <v>1</v>
      </c>
      <c r="F577">
        <v>17</v>
      </c>
      <c r="G577">
        <v>2</v>
      </c>
      <c r="H577">
        <v>0</v>
      </c>
      <c r="I577" t="s">
        <v>30</v>
      </c>
      <c r="J577">
        <v>102</v>
      </c>
      <c r="K577" t="s">
        <v>36</v>
      </c>
      <c r="L577">
        <v>112</v>
      </c>
    </row>
    <row r="578" spans="1:12" x14ac:dyDescent="0.25">
      <c r="A578">
        <v>400578582</v>
      </c>
      <c r="B578">
        <v>2015</v>
      </c>
      <c r="C578" s="1">
        <v>41979</v>
      </c>
      <c r="D578" t="s">
        <v>16</v>
      </c>
      <c r="E578">
        <v>1</v>
      </c>
      <c r="F578">
        <v>16</v>
      </c>
      <c r="G578">
        <v>4</v>
      </c>
      <c r="H578">
        <v>1</v>
      </c>
      <c r="I578" t="s">
        <v>16</v>
      </c>
      <c r="J578">
        <v>100</v>
      </c>
      <c r="K578" t="s">
        <v>35</v>
      </c>
      <c r="L578">
        <v>95</v>
      </c>
    </row>
    <row r="579" spans="1:12" x14ac:dyDescent="0.25">
      <c r="A579">
        <v>400578582</v>
      </c>
      <c r="B579">
        <v>2015</v>
      </c>
      <c r="C579" s="1">
        <v>41979</v>
      </c>
      <c r="D579" t="s">
        <v>35</v>
      </c>
      <c r="E579">
        <v>0</v>
      </c>
      <c r="F579">
        <v>12</v>
      </c>
      <c r="G579">
        <v>9</v>
      </c>
      <c r="H579">
        <v>0</v>
      </c>
      <c r="I579" t="s">
        <v>16</v>
      </c>
      <c r="J579">
        <v>100</v>
      </c>
      <c r="K579" t="s">
        <v>35</v>
      </c>
      <c r="L579">
        <v>95</v>
      </c>
    </row>
    <row r="580" spans="1:12" x14ac:dyDescent="0.25">
      <c r="A580">
        <v>400578583</v>
      </c>
      <c r="B580">
        <v>2015</v>
      </c>
      <c r="C580" s="1">
        <v>41979</v>
      </c>
      <c r="D580" t="s">
        <v>29</v>
      </c>
      <c r="E580">
        <v>0</v>
      </c>
      <c r="F580">
        <v>4</v>
      </c>
      <c r="G580">
        <v>15</v>
      </c>
      <c r="H580">
        <v>0</v>
      </c>
      <c r="I580" t="s">
        <v>15</v>
      </c>
      <c r="J580">
        <v>123</v>
      </c>
      <c r="K580" t="s">
        <v>29</v>
      </c>
      <c r="L580">
        <v>101</v>
      </c>
    </row>
    <row r="581" spans="1:12" x14ac:dyDescent="0.25">
      <c r="A581">
        <v>400578583</v>
      </c>
      <c r="B581">
        <v>2015</v>
      </c>
      <c r="C581" s="1">
        <v>41979</v>
      </c>
      <c r="D581" t="s">
        <v>15</v>
      </c>
      <c r="E581">
        <v>1</v>
      </c>
      <c r="F581">
        <v>15</v>
      </c>
      <c r="G581">
        <v>5</v>
      </c>
      <c r="H581">
        <v>1</v>
      </c>
      <c r="I581" t="s">
        <v>15</v>
      </c>
      <c r="J581">
        <v>123</v>
      </c>
      <c r="K581" t="s">
        <v>29</v>
      </c>
      <c r="L581">
        <v>101</v>
      </c>
    </row>
    <row r="582" spans="1:12" x14ac:dyDescent="0.25">
      <c r="A582">
        <v>400578584</v>
      </c>
      <c r="B582">
        <v>2015</v>
      </c>
      <c r="C582" s="1">
        <v>41979</v>
      </c>
      <c r="D582" t="s">
        <v>13</v>
      </c>
      <c r="E582">
        <v>1</v>
      </c>
      <c r="F582">
        <v>9</v>
      </c>
      <c r="G582">
        <v>14</v>
      </c>
      <c r="H582">
        <v>0</v>
      </c>
      <c r="I582" t="s">
        <v>37</v>
      </c>
      <c r="J582">
        <v>96</v>
      </c>
      <c r="K582" t="s">
        <v>13</v>
      </c>
      <c r="L582">
        <v>105</v>
      </c>
    </row>
    <row r="583" spans="1:12" x14ac:dyDescent="0.25">
      <c r="A583">
        <v>400578584</v>
      </c>
      <c r="B583">
        <v>2015</v>
      </c>
      <c r="C583" s="1">
        <v>41979</v>
      </c>
      <c r="D583" t="s">
        <v>37</v>
      </c>
      <c r="E583">
        <v>0</v>
      </c>
      <c r="F583">
        <v>10</v>
      </c>
      <c r="G583">
        <v>10</v>
      </c>
      <c r="H583">
        <v>1</v>
      </c>
      <c r="I583" t="s">
        <v>37</v>
      </c>
      <c r="J583">
        <v>96</v>
      </c>
      <c r="K583" t="s">
        <v>13</v>
      </c>
      <c r="L583">
        <v>105</v>
      </c>
    </row>
    <row r="584" spans="1:12" x14ac:dyDescent="0.25">
      <c r="A584">
        <v>400578585</v>
      </c>
      <c r="B584">
        <v>2015</v>
      </c>
      <c r="C584" s="1">
        <v>41979</v>
      </c>
      <c r="D584" t="s">
        <v>41</v>
      </c>
      <c r="E584">
        <v>1</v>
      </c>
      <c r="F584">
        <v>14</v>
      </c>
      <c r="G584">
        <v>5</v>
      </c>
      <c r="H584">
        <v>1</v>
      </c>
      <c r="I584" t="s">
        <v>41</v>
      </c>
      <c r="J584">
        <v>120</v>
      </c>
      <c r="K584" t="s">
        <v>12</v>
      </c>
      <c r="L584">
        <v>100</v>
      </c>
    </row>
    <row r="585" spans="1:12" x14ac:dyDescent="0.25">
      <c r="A585">
        <v>400578585</v>
      </c>
      <c r="B585">
        <v>2015</v>
      </c>
      <c r="C585" s="1">
        <v>41979</v>
      </c>
      <c r="D585" t="s">
        <v>12</v>
      </c>
      <c r="E585">
        <v>0</v>
      </c>
      <c r="F585">
        <v>8</v>
      </c>
      <c r="G585">
        <v>10</v>
      </c>
      <c r="H585">
        <v>0</v>
      </c>
      <c r="I585" t="s">
        <v>41</v>
      </c>
      <c r="J585">
        <v>120</v>
      </c>
      <c r="K585" t="s">
        <v>12</v>
      </c>
      <c r="L585">
        <v>100</v>
      </c>
    </row>
    <row r="586" spans="1:12" x14ac:dyDescent="0.25">
      <c r="A586">
        <v>400578586</v>
      </c>
      <c r="B586">
        <v>2015</v>
      </c>
      <c r="C586" s="1">
        <v>41980</v>
      </c>
      <c r="D586" t="s">
        <v>22</v>
      </c>
      <c r="E586">
        <v>1</v>
      </c>
      <c r="F586">
        <v>7</v>
      </c>
      <c r="G586">
        <v>11</v>
      </c>
      <c r="H586">
        <v>1</v>
      </c>
      <c r="I586" t="s">
        <v>22</v>
      </c>
      <c r="J586">
        <v>101</v>
      </c>
      <c r="K586" t="s">
        <v>25</v>
      </c>
      <c r="L586">
        <v>93</v>
      </c>
    </row>
    <row r="587" spans="1:12" x14ac:dyDescent="0.25">
      <c r="A587">
        <v>400578586</v>
      </c>
      <c r="B587">
        <v>2015</v>
      </c>
      <c r="C587" s="1">
        <v>41980</v>
      </c>
      <c r="D587" t="s">
        <v>25</v>
      </c>
      <c r="E587">
        <v>0</v>
      </c>
      <c r="F587">
        <v>13</v>
      </c>
      <c r="G587">
        <v>6</v>
      </c>
      <c r="H587">
        <v>0</v>
      </c>
      <c r="I587" t="s">
        <v>22</v>
      </c>
      <c r="J587">
        <v>101</v>
      </c>
      <c r="K587" t="s">
        <v>25</v>
      </c>
      <c r="L587">
        <v>93</v>
      </c>
    </row>
    <row r="588" spans="1:12" x14ac:dyDescent="0.25">
      <c r="A588">
        <v>400578587</v>
      </c>
      <c r="B588">
        <v>2015</v>
      </c>
      <c r="C588" s="1">
        <v>41980</v>
      </c>
      <c r="D588" t="s">
        <v>26</v>
      </c>
      <c r="E588">
        <v>1</v>
      </c>
      <c r="F588">
        <v>13</v>
      </c>
      <c r="G588">
        <v>6</v>
      </c>
      <c r="H588">
        <v>1</v>
      </c>
      <c r="I588" t="s">
        <v>26</v>
      </c>
      <c r="J588">
        <v>96</v>
      </c>
      <c r="K588" t="s">
        <v>32</v>
      </c>
      <c r="L588">
        <v>84</v>
      </c>
    </row>
    <row r="589" spans="1:12" x14ac:dyDescent="0.25">
      <c r="A589">
        <v>400578587</v>
      </c>
      <c r="B589">
        <v>2015</v>
      </c>
      <c r="C589" s="1">
        <v>41980</v>
      </c>
      <c r="D589" t="s">
        <v>32</v>
      </c>
      <c r="E589">
        <v>0</v>
      </c>
      <c r="F589">
        <v>9</v>
      </c>
      <c r="G589">
        <v>11</v>
      </c>
      <c r="H589">
        <v>0</v>
      </c>
      <c r="I589" t="s">
        <v>26</v>
      </c>
      <c r="J589">
        <v>96</v>
      </c>
      <c r="K589" t="s">
        <v>32</v>
      </c>
      <c r="L589">
        <v>84</v>
      </c>
    </row>
    <row r="590" spans="1:12" x14ac:dyDescent="0.25">
      <c r="A590">
        <v>400578588</v>
      </c>
      <c r="B590">
        <v>2015</v>
      </c>
      <c r="C590" s="1">
        <v>41980</v>
      </c>
      <c r="D590" t="s">
        <v>28</v>
      </c>
      <c r="E590">
        <v>1</v>
      </c>
      <c r="F590">
        <v>16</v>
      </c>
      <c r="G590">
        <v>4</v>
      </c>
      <c r="H590">
        <v>1</v>
      </c>
      <c r="I590" t="s">
        <v>28</v>
      </c>
      <c r="J590">
        <v>103</v>
      </c>
      <c r="K590" t="s">
        <v>24</v>
      </c>
      <c r="L590">
        <v>87</v>
      </c>
    </row>
    <row r="591" spans="1:12" x14ac:dyDescent="0.25">
      <c r="A591">
        <v>400578588</v>
      </c>
      <c r="B591">
        <v>2015</v>
      </c>
      <c r="C591" s="1">
        <v>41980</v>
      </c>
      <c r="D591" t="s">
        <v>24</v>
      </c>
      <c r="E591">
        <v>0</v>
      </c>
      <c r="F591">
        <v>9</v>
      </c>
      <c r="G591">
        <v>11</v>
      </c>
      <c r="H591">
        <v>0</v>
      </c>
      <c r="I591" t="s">
        <v>28</v>
      </c>
      <c r="J591">
        <v>103</v>
      </c>
      <c r="K591" t="s">
        <v>24</v>
      </c>
      <c r="L591">
        <v>87</v>
      </c>
    </row>
    <row r="592" spans="1:12" x14ac:dyDescent="0.25">
      <c r="A592">
        <v>400578589</v>
      </c>
      <c r="B592">
        <v>2015</v>
      </c>
      <c r="C592" s="1">
        <v>41980</v>
      </c>
      <c r="D592" t="s">
        <v>33</v>
      </c>
      <c r="E592">
        <v>0</v>
      </c>
      <c r="F592">
        <v>3</v>
      </c>
      <c r="G592">
        <v>18</v>
      </c>
      <c r="H592">
        <v>1</v>
      </c>
      <c r="I592" t="s">
        <v>33</v>
      </c>
      <c r="J592">
        <v>94</v>
      </c>
      <c r="K592" t="s">
        <v>38</v>
      </c>
      <c r="L592">
        <v>96</v>
      </c>
    </row>
    <row r="593" spans="1:12" x14ac:dyDescent="0.25">
      <c r="A593">
        <v>400578589</v>
      </c>
      <c r="B593">
        <v>2015</v>
      </c>
      <c r="C593" s="1">
        <v>41980</v>
      </c>
      <c r="D593" t="s">
        <v>38</v>
      </c>
      <c r="E593">
        <v>1</v>
      </c>
      <c r="F593">
        <v>7</v>
      </c>
      <c r="G593">
        <v>13</v>
      </c>
      <c r="H593">
        <v>0</v>
      </c>
      <c r="I593" t="s">
        <v>33</v>
      </c>
      <c r="J593">
        <v>94</v>
      </c>
      <c r="K593" t="s">
        <v>38</v>
      </c>
      <c r="L593">
        <v>96</v>
      </c>
    </row>
    <row r="594" spans="1:12" x14ac:dyDescent="0.25">
      <c r="A594">
        <v>400578590</v>
      </c>
      <c r="B594">
        <v>2015</v>
      </c>
      <c r="C594" s="1">
        <v>41980</v>
      </c>
      <c r="D594" t="s">
        <v>14</v>
      </c>
      <c r="E594">
        <v>1</v>
      </c>
      <c r="F594">
        <v>16</v>
      </c>
      <c r="G594">
        <v>6</v>
      </c>
      <c r="H594">
        <v>1</v>
      </c>
      <c r="I594" t="s">
        <v>14</v>
      </c>
      <c r="J594">
        <v>125</v>
      </c>
      <c r="K594" t="s">
        <v>19</v>
      </c>
      <c r="L594">
        <v>102</v>
      </c>
    </row>
    <row r="595" spans="1:12" x14ac:dyDescent="0.25">
      <c r="A595">
        <v>400578590</v>
      </c>
      <c r="B595">
        <v>2015</v>
      </c>
      <c r="C595" s="1">
        <v>41980</v>
      </c>
      <c r="D595" t="s">
        <v>19</v>
      </c>
      <c r="E595">
        <v>0</v>
      </c>
      <c r="F595">
        <v>11</v>
      </c>
      <c r="G595">
        <v>11</v>
      </c>
      <c r="H595">
        <v>0</v>
      </c>
      <c r="I595" t="s">
        <v>14</v>
      </c>
      <c r="J595">
        <v>125</v>
      </c>
      <c r="K595" t="s">
        <v>19</v>
      </c>
      <c r="L595">
        <v>102</v>
      </c>
    </row>
    <row r="596" spans="1:12" x14ac:dyDescent="0.25">
      <c r="A596">
        <v>400578591</v>
      </c>
      <c r="B596">
        <v>2015</v>
      </c>
      <c r="C596" s="1">
        <v>41980</v>
      </c>
      <c r="D596" t="s">
        <v>31</v>
      </c>
      <c r="E596">
        <v>0</v>
      </c>
      <c r="F596">
        <v>4</v>
      </c>
      <c r="G596">
        <v>18</v>
      </c>
      <c r="H596">
        <v>1</v>
      </c>
      <c r="I596" t="s">
        <v>31</v>
      </c>
      <c r="J596">
        <v>99</v>
      </c>
      <c r="K596" t="s">
        <v>39</v>
      </c>
      <c r="L596">
        <v>103</v>
      </c>
    </row>
    <row r="597" spans="1:12" x14ac:dyDescent="0.25">
      <c r="A597">
        <v>400578591</v>
      </c>
      <c r="B597">
        <v>2015</v>
      </c>
      <c r="C597" s="1">
        <v>41980</v>
      </c>
      <c r="D597" t="s">
        <v>39</v>
      </c>
      <c r="E597">
        <v>1</v>
      </c>
      <c r="F597">
        <v>16</v>
      </c>
      <c r="G597">
        <v>4</v>
      </c>
      <c r="H597">
        <v>0</v>
      </c>
      <c r="I597" t="s">
        <v>31</v>
      </c>
      <c r="J597">
        <v>99</v>
      </c>
      <c r="K597" t="s">
        <v>39</v>
      </c>
      <c r="L597">
        <v>103</v>
      </c>
    </row>
    <row r="598" spans="1:12" x14ac:dyDescent="0.25">
      <c r="A598">
        <v>400578592</v>
      </c>
      <c r="B598">
        <v>2015</v>
      </c>
      <c r="C598" s="1">
        <v>41980</v>
      </c>
      <c r="D598" t="s">
        <v>17</v>
      </c>
      <c r="E598">
        <v>0</v>
      </c>
      <c r="F598">
        <v>5</v>
      </c>
      <c r="G598">
        <v>16</v>
      </c>
      <c r="H598">
        <v>1</v>
      </c>
      <c r="I598" t="s">
        <v>17</v>
      </c>
      <c r="J598">
        <v>87</v>
      </c>
      <c r="K598" t="s">
        <v>12</v>
      </c>
      <c r="L598">
        <v>104</v>
      </c>
    </row>
    <row r="599" spans="1:12" x14ac:dyDescent="0.25">
      <c r="A599">
        <v>400578592</v>
      </c>
      <c r="B599">
        <v>2015</v>
      </c>
      <c r="C599" s="1">
        <v>41980</v>
      </c>
      <c r="D599" t="s">
        <v>12</v>
      </c>
      <c r="E599">
        <v>1</v>
      </c>
      <c r="F599">
        <v>9</v>
      </c>
      <c r="G599">
        <v>10</v>
      </c>
      <c r="H599">
        <v>0</v>
      </c>
      <c r="I599" t="s">
        <v>17</v>
      </c>
      <c r="J599">
        <v>87</v>
      </c>
      <c r="K599" t="s">
        <v>12</v>
      </c>
      <c r="L599">
        <v>104</v>
      </c>
    </row>
    <row r="600" spans="1:12" x14ac:dyDescent="0.25">
      <c r="A600">
        <v>400578593</v>
      </c>
      <c r="B600">
        <v>2015</v>
      </c>
      <c r="C600" s="1">
        <v>41981</v>
      </c>
      <c r="D600" t="s">
        <v>26</v>
      </c>
      <c r="E600">
        <v>1</v>
      </c>
      <c r="F600">
        <v>14</v>
      </c>
      <c r="G600">
        <v>6</v>
      </c>
      <c r="H600">
        <v>0</v>
      </c>
      <c r="I600" t="s">
        <v>20</v>
      </c>
      <c r="J600">
        <v>92</v>
      </c>
      <c r="K600" t="s">
        <v>26</v>
      </c>
      <c r="L600">
        <v>108</v>
      </c>
    </row>
    <row r="601" spans="1:12" x14ac:dyDescent="0.25">
      <c r="A601">
        <v>400578593</v>
      </c>
      <c r="B601">
        <v>2015</v>
      </c>
      <c r="C601" s="1">
        <v>41981</v>
      </c>
      <c r="D601" t="s">
        <v>20</v>
      </c>
      <c r="E601">
        <v>0</v>
      </c>
      <c r="F601">
        <v>7</v>
      </c>
      <c r="G601">
        <v>14</v>
      </c>
      <c r="H601">
        <v>1</v>
      </c>
      <c r="I601" t="s">
        <v>20</v>
      </c>
      <c r="J601">
        <v>92</v>
      </c>
      <c r="K601" t="s">
        <v>26</v>
      </c>
      <c r="L601">
        <v>108</v>
      </c>
    </row>
    <row r="602" spans="1:12" x14ac:dyDescent="0.25">
      <c r="A602">
        <v>400578594</v>
      </c>
      <c r="B602">
        <v>2015</v>
      </c>
      <c r="C602" s="1">
        <v>41981</v>
      </c>
      <c r="D602" t="s">
        <v>22</v>
      </c>
      <c r="E602">
        <v>0</v>
      </c>
      <c r="F602">
        <v>7</v>
      </c>
      <c r="G602">
        <v>12</v>
      </c>
      <c r="H602">
        <v>0</v>
      </c>
      <c r="I602" t="s">
        <v>25</v>
      </c>
      <c r="J602">
        <v>133</v>
      </c>
      <c r="K602" t="s">
        <v>22</v>
      </c>
      <c r="L602">
        <v>132</v>
      </c>
    </row>
    <row r="603" spans="1:12" x14ac:dyDescent="0.25">
      <c r="A603">
        <v>400578594</v>
      </c>
      <c r="B603">
        <v>2015</v>
      </c>
      <c r="C603" s="1">
        <v>41981</v>
      </c>
      <c r="D603" t="s">
        <v>25</v>
      </c>
      <c r="E603">
        <v>1</v>
      </c>
      <c r="F603">
        <v>14</v>
      </c>
      <c r="G603">
        <v>6</v>
      </c>
      <c r="H603">
        <v>1</v>
      </c>
      <c r="I603" t="s">
        <v>25</v>
      </c>
      <c r="J603">
        <v>133</v>
      </c>
      <c r="K603" t="s">
        <v>22</v>
      </c>
      <c r="L603">
        <v>132</v>
      </c>
    </row>
    <row r="604" spans="1:12" x14ac:dyDescent="0.25">
      <c r="A604">
        <v>400578595</v>
      </c>
      <c r="B604">
        <v>2015</v>
      </c>
      <c r="C604" s="1">
        <v>41981</v>
      </c>
      <c r="D604" t="s">
        <v>23</v>
      </c>
      <c r="E604">
        <v>0</v>
      </c>
      <c r="F604">
        <v>8</v>
      </c>
      <c r="G604">
        <v>11</v>
      </c>
      <c r="H604">
        <v>1</v>
      </c>
      <c r="I604" t="s">
        <v>23</v>
      </c>
      <c r="J604">
        <v>88</v>
      </c>
      <c r="K604" t="s">
        <v>40</v>
      </c>
      <c r="L604">
        <v>110</v>
      </c>
    </row>
    <row r="605" spans="1:12" x14ac:dyDescent="0.25">
      <c r="A605">
        <v>400578595</v>
      </c>
      <c r="B605">
        <v>2015</v>
      </c>
      <c r="C605" s="1">
        <v>41981</v>
      </c>
      <c r="D605" t="s">
        <v>40</v>
      </c>
      <c r="E605">
        <v>1</v>
      </c>
      <c r="F605">
        <v>12</v>
      </c>
      <c r="G605">
        <v>7</v>
      </c>
      <c r="H605">
        <v>0</v>
      </c>
      <c r="I605" t="s">
        <v>23</v>
      </c>
      <c r="J605">
        <v>88</v>
      </c>
      <c r="K605" t="s">
        <v>40</v>
      </c>
      <c r="L605">
        <v>110</v>
      </c>
    </row>
    <row r="606" spans="1:12" x14ac:dyDescent="0.25">
      <c r="A606">
        <v>400578596</v>
      </c>
      <c r="B606">
        <v>2015</v>
      </c>
      <c r="C606" s="1">
        <v>41981</v>
      </c>
      <c r="D606" t="s">
        <v>32</v>
      </c>
      <c r="E606">
        <v>0</v>
      </c>
      <c r="F606">
        <v>9</v>
      </c>
      <c r="G606">
        <v>12</v>
      </c>
      <c r="H606">
        <v>0</v>
      </c>
      <c r="I606" t="s">
        <v>27</v>
      </c>
      <c r="J606">
        <v>112</v>
      </c>
      <c r="K606" t="s">
        <v>32</v>
      </c>
      <c r="L606">
        <v>107</v>
      </c>
    </row>
    <row r="607" spans="1:12" x14ac:dyDescent="0.25">
      <c r="A607">
        <v>400578596</v>
      </c>
      <c r="B607">
        <v>2015</v>
      </c>
      <c r="C607" s="1">
        <v>41981</v>
      </c>
      <c r="D607" t="s">
        <v>27</v>
      </c>
      <c r="E607">
        <v>1</v>
      </c>
      <c r="F607">
        <v>16</v>
      </c>
      <c r="G607">
        <v>5</v>
      </c>
      <c r="H607">
        <v>1</v>
      </c>
      <c r="I607" t="s">
        <v>27</v>
      </c>
      <c r="J607">
        <v>112</v>
      </c>
      <c r="K607" t="s">
        <v>32</v>
      </c>
      <c r="L607">
        <v>107</v>
      </c>
    </row>
    <row r="608" spans="1:12" x14ac:dyDescent="0.25">
      <c r="A608">
        <v>400578597</v>
      </c>
      <c r="B608">
        <v>2015</v>
      </c>
      <c r="C608" s="1">
        <v>41981</v>
      </c>
      <c r="D608" t="s">
        <v>36</v>
      </c>
      <c r="E608">
        <v>1</v>
      </c>
      <c r="F608">
        <v>18</v>
      </c>
      <c r="G608">
        <v>2</v>
      </c>
      <c r="H608">
        <v>0</v>
      </c>
      <c r="I608" t="s">
        <v>29</v>
      </c>
      <c r="J608">
        <v>86</v>
      </c>
      <c r="K608" t="s">
        <v>36</v>
      </c>
      <c r="L608">
        <v>102</v>
      </c>
    </row>
    <row r="609" spans="1:12" x14ac:dyDescent="0.25">
      <c r="A609">
        <v>400578597</v>
      </c>
      <c r="B609">
        <v>2015</v>
      </c>
      <c r="C609" s="1">
        <v>41981</v>
      </c>
      <c r="D609" t="s">
        <v>29</v>
      </c>
      <c r="E609">
        <v>0</v>
      </c>
      <c r="F609">
        <v>4</v>
      </c>
      <c r="G609">
        <v>16</v>
      </c>
      <c r="H609">
        <v>1</v>
      </c>
      <c r="I609" t="s">
        <v>29</v>
      </c>
      <c r="J609">
        <v>86</v>
      </c>
      <c r="K609" t="s">
        <v>36</v>
      </c>
      <c r="L609">
        <v>102</v>
      </c>
    </row>
    <row r="610" spans="1:12" x14ac:dyDescent="0.25">
      <c r="A610">
        <v>400578598</v>
      </c>
      <c r="B610">
        <v>2015</v>
      </c>
      <c r="C610" s="1">
        <v>41981</v>
      </c>
      <c r="D610" t="s">
        <v>37</v>
      </c>
      <c r="E610">
        <v>1</v>
      </c>
      <c r="F610">
        <v>11</v>
      </c>
      <c r="G610">
        <v>10</v>
      </c>
      <c r="H610">
        <v>1</v>
      </c>
      <c r="I610" t="s">
        <v>37</v>
      </c>
      <c r="J610">
        <v>101</v>
      </c>
      <c r="K610" t="s">
        <v>34</v>
      </c>
      <c r="L610">
        <v>92</v>
      </c>
    </row>
    <row r="611" spans="1:12" x14ac:dyDescent="0.25">
      <c r="A611">
        <v>400578598</v>
      </c>
      <c r="B611">
        <v>2015</v>
      </c>
      <c r="C611" s="1">
        <v>41981</v>
      </c>
      <c r="D611" t="s">
        <v>34</v>
      </c>
      <c r="E611">
        <v>0</v>
      </c>
      <c r="F611">
        <v>5</v>
      </c>
      <c r="G611">
        <v>16</v>
      </c>
      <c r="H611">
        <v>0</v>
      </c>
      <c r="I611" t="s">
        <v>37</v>
      </c>
      <c r="J611">
        <v>101</v>
      </c>
      <c r="K611" t="s">
        <v>34</v>
      </c>
      <c r="L611">
        <v>92</v>
      </c>
    </row>
    <row r="612" spans="1:12" x14ac:dyDescent="0.25">
      <c r="A612">
        <v>400578599</v>
      </c>
      <c r="B612">
        <v>2015</v>
      </c>
      <c r="C612" s="1">
        <v>41981</v>
      </c>
      <c r="D612" t="s">
        <v>41</v>
      </c>
      <c r="E612">
        <v>1</v>
      </c>
      <c r="F612">
        <v>15</v>
      </c>
      <c r="G612">
        <v>5</v>
      </c>
      <c r="H612">
        <v>1</v>
      </c>
      <c r="I612" t="s">
        <v>41</v>
      </c>
      <c r="J612">
        <v>121</v>
      </c>
      <c r="K612" t="s">
        <v>35</v>
      </c>
      <c r="L612">
        <v>120</v>
      </c>
    </row>
    <row r="613" spans="1:12" x14ac:dyDescent="0.25">
      <c r="A613">
        <v>400578599</v>
      </c>
      <c r="B613">
        <v>2015</v>
      </c>
      <c r="C613" s="1">
        <v>41981</v>
      </c>
      <c r="D613" t="s">
        <v>35</v>
      </c>
      <c r="E613">
        <v>0</v>
      </c>
      <c r="F613">
        <v>12</v>
      </c>
      <c r="G613">
        <v>10</v>
      </c>
      <c r="H613">
        <v>0</v>
      </c>
      <c r="I613" t="s">
        <v>41</v>
      </c>
      <c r="J613">
        <v>121</v>
      </c>
      <c r="K613" t="s">
        <v>35</v>
      </c>
      <c r="L613">
        <v>120</v>
      </c>
    </row>
    <row r="614" spans="1:12" x14ac:dyDescent="0.25">
      <c r="A614">
        <v>400578600</v>
      </c>
      <c r="B614">
        <v>2015</v>
      </c>
      <c r="C614" s="1">
        <v>41982</v>
      </c>
      <c r="D614" t="s">
        <v>40</v>
      </c>
      <c r="E614">
        <v>1</v>
      </c>
      <c r="F614">
        <v>13</v>
      </c>
      <c r="G614">
        <v>7</v>
      </c>
      <c r="H614">
        <v>1</v>
      </c>
      <c r="I614" t="s">
        <v>40</v>
      </c>
      <c r="J614">
        <v>105</v>
      </c>
      <c r="K614" t="s">
        <v>27</v>
      </c>
      <c r="L614">
        <v>101</v>
      </c>
    </row>
    <row r="615" spans="1:12" x14ac:dyDescent="0.25">
      <c r="A615">
        <v>400578600</v>
      </c>
      <c r="B615">
        <v>2015</v>
      </c>
      <c r="C615" s="1">
        <v>41982</v>
      </c>
      <c r="D615" t="s">
        <v>27</v>
      </c>
      <c r="E615">
        <v>0</v>
      </c>
      <c r="F615">
        <v>16</v>
      </c>
      <c r="G615">
        <v>6</v>
      </c>
      <c r="H615">
        <v>0</v>
      </c>
      <c r="I615" t="s">
        <v>40</v>
      </c>
      <c r="J615">
        <v>105</v>
      </c>
      <c r="K615" t="s">
        <v>27</v>
      </c>
      <c r="L615">
        <v>101</v>
      </c>
    </row>
    <row r="616" spans="1:12" x14ac:dyDescent="0.25">
      <c r="A616">
        <v>400578601</v>
      </c>
      <c r="B616">
        <v>2015</v>
      </c>
      <c r="C616" s="1">
        <v>41982</v>
      </c>
      <c r="D616" t="s">
        <v>33</v>
      </c>
      <c r="E616">
        <v>0</v>
      </c>
      <c r="F616">
        <v>3</v>
      </c>
      <c r="G616">
        <v>19</v>
      </c>
      <c r="H616">
        <v>1</v>
      </c>
      <c r="I616" t="s">
        <v>33</v>
      </c>
      <c r="J616">
        <v>86</v>
      </c>
      <c r="K616" t="s">
        <v>39</v>
      </c>
      <c r="L616">
        <v>98</v>
      </c>
    </row>
    <row r="617" spans="1:12" x14ac:dyDescent="0.25">
      <c r="A617">
        <v>400578601</v>
      </c>
      <c r="B617">
        <v>2015</v>
      </c>
      <c r="C617" s="1">
        <v>41982</v>
      </c>
      <c r="D617" t="s">
        <v>39</v>
      </c>
      <c r="E617">
        <v>1</v>
      </c>
      <c r="F617">
        <v>17</v>
      </c>
      <c r="G617">
        <v>4</v>
      </c>
      <c r="H617">
        <v>0</v>
      </c>
      <c r="I617" t="s">
        <v>33</v>
      </c>
      <c r="J617">
        <v>86</v>
      </c>
      <c r="K617" t="s">
        <v>39</v>
      </c>
      <c r="L617">
        <v>98</v>
      </c>
    </row>
    <row r="618" spans="1:12" x14ac:dyDescent="0.25">
      <c r="A618">
        <v>400578602</v>
      </c>
      <c r="B618">
        <v>2015</v>
      </c>
      <c r="C618" s="1">
        <v>41982</v>
      </c>
      <c r="D618" t="s">
        <v>14</v>
      </c>
      <c r="E618">
        <v>0</v>
      </c>
      <c r="F618">
        <v>16</v>
      </c>
      <c r="G618">
        <v>7</v>
      </c>
      <c r="H618">
        <v>0</v>
      </c>
      <c r="I618" t="s">
        <v>28</v>
      </c>
      <c r="J618">
        <v>114</v>
      </c>
      <c r="K618" t="s">
        <v>14</v>
      </c>
      <c r="L618">
        <v>105</v>
      </c>
    </row>
    <row r="619" spans="1:12" x14ac:dyDescent="0.25">
      <c r="A619">
        <v>400578602</v>
      </c>
      <c r="B619">
        <v>2015</v>
      </c>
      <c r="C619" s="1">
        <v>41982</v>
      </c>
      <c r="D619" t="s">
        <v>28</v>
      </c>
      <c r="E619">
        <v>1</v>
      </c>
      <c r="F619">
        <v>17</v>
      </c>
      <c r="G619">
        <v>4</v>
      </c>
      <c r="H619">
        <v>1</v>
      </c>
      <c r="I619" t="s">
        <v>28</v>
      </c>
      <c r="J619">
        <v>114</v>
      </c>
      <c r="K619" t="s">
        <v>14</v>
      </c>
      <c r="L619">
        <v>105</v>
      </c>
    </row>
    <row r="620" spans="1:12" x14ac:dyDescent="0.25">
      <c r="A620">
        <v>400578603</v>
      </c>
      <c r="B620">
        <v>2015</v>
      </c>
      <c r="C620" s="1">
        <v>41982</v>
      </c>
      <c r="D620" t="s">
        <v>12</v>
      </c>
      <c r="E620">
        <v>1</v>
      </c>
      <c r="F620">
        <v>10</v>
      </c>
      <c r="G620">
        <v>10</v>
      </c>
      <c r="H620">
        <v>1</v>
      </c>
      <c r="I620" t="s">
        <v>12</v>
      </c>
      <c r="J620">
        <v>104</v>
      </c>
      <c r="K620" t="s">
        <v>31</v>
      </c>
      <c r="L620">
        <v>93</v>
      </c>
    </row>
    <row r="621" spans="1:12" x14ac:dyDescent="0.25">
      <c r="A621">
        <v>400578603</v>
      </c>
      <c r="B621">
        <v>2015</v>
      </c>
      <c r="C621" s="1">
        <v>41982</v>
      </c>
      <c r="D621" t="s">
        <v>31</v>
      </c>
      <c r="E621">
        <v>0</v>
      </c>
      <c r="F621">
        <v>4</v>
      </c>
      <c r="G621">
        <v>19</v>
      </c>
      <c r="H621">
        <v>0</v>
      </c>
      <c r="I621" t="s">
        <v>12</v>
      </c>
      <c r="J621">
        <v>104</v>
      </c>
      <c r="K621" t="s">
        <v>31</v>
      </c>
      <c r="L621">
        <v>93</v>
      </c>
    </row>
    <row r="622" spans="1:12" x14ac:dyDescent="0.25">
      <c r="A622">
        <v>400578604</v>
      </c>
      <c r="B622">
        <v>2015</v>
      </c>
      <c r="C622" s="1">
        <v>41982</v>
      </c>
      <c r="D622" t="s">
        <v>19</v>
      </c>
      <c r="E622">
        <v>0</v>
      </c>
      <c r="F622">
        <v>11</v>
      </c>
      <c r="G622">
        <v>12</v>
      </c>
      <c r="H622">
        <v>0</v>
      </c>
      <c r="I622" t="s">
        <v>38</v>
      </c>
      <c r="J622">
        <v>114</v>
      </c>
      <c r="K622" t="s">
        <v>19</v>
      </c>
      <c r="L622">
        <v>101</v>
      </c>
    </row>
    <row r="623" spans="1:12" x14ac:dyDescent="0.25">
      <c r="A623">
        <v>400578604</v>
      </c>
      <c r="B623">
        <v>2015</v>
      </c>
      <c r="C623" s="1">
        <v>41982</v>
      </c>
      <c r="D623" t="s">
        <v>38</v>
      </c>
      <c r="E623">
        <v>1</v>
      </c>
      <c r="F623">
        <v>8</v>
      </c>
      <c r="G623">
        <v>13</v>
      </c>
      <c r="H623">
        <v>1</v>
      </c>
      <c r="I623" t="s">
        <v>38</v>
      </c>
      <c r="J623">
        <v>114</v>
      </c>
      <c r="K623" t="s">
        <v>19</v>
      </c>
      <c r="L623">
        <v>101</v>
      </c>
    </row>
    <row r="624" spans="1:12" x14ac:dyDescent="0.25">
      <c r="A624">
        <v>400578605</v>
      </c>
      <c r="B624">
        <v>2015</v>
      </c>
      <c r="C624" s="1">
        <v>41982</v>
      </c>
      <c r="D624" t="s">
        <v>24</v>
      </c>
      <c r="E624">
        <v>1</v>
      </c>
      <c r="F624">
        <v>10</v>
      </c>
      <c r="G624">
        <v>11</v>
      </c>
      <c r="H624">
        <v>0</v>
      </c>
      <c r="I624" t="s">
        <v>35</v>
      </c>
      <c r="J624">
        <v>97</v>
      </c>
      <c r="K624" t="s">
        <v>24</v>
      </c>
      <c r="L624">
        <v>103</v>
      </c>
    </row>
    <row r="625" spans="1:12" x14ac:dyDescent="0.25">
      <c r="A625">
        <v>400578605</v>
      </c>
      <c r="B625">
        <v>2015</v>
      </c>
      <c r="C625" s="1">
        <v>41982</v>
      </c>
      <c r="D625" t="s">
        <v>35</v>
      </c>
      <c r="E625">
        <v>0</v>
      </c>
      <c r="F625">
        <v>12</v>
      </c>
      <c r="G625">
        <v>11</v>
      </c>
      <c r="H625">
        <v>1</v>
      </c>
      <c r="I625" t="s">
        <v>35</v>
      </c>
      <c r="J625">
        <v>97</v>
      </c>
      <c r="K625" t="s">
        <v>24</v>
      </c>
      <c r="L625">
        <v>103</v>
      </c>
    </row>
    <row r="626" spans="1:12" x14ac:dyDescent="0.25">
      <c r="A626">
        <v>400578606</v>
      </c>
      <c r="B626">
        <v>2015</v>
      </c>
      <c r="C626" s="1">
        <v>41982</v>
      </c>
      <c r="D626" t="s">
        <v>15</v>
      </c>
      <c r="E626">
        <v>0</v>
      </c>
      <c r="F626">
        <v>15</v>
      </c>
      <c r="G626">
        <v>6</v>
      </c>
      <c r="H626">
        <v>0</v>
      </c>
      <c r="I626" t="s">
        <v>34</v>
      </c>
      <c r="J626">
        <v>100</v>
      </c>
      <c r="K626" t="s">
        <v>15</v>
      </c>
      <c r="L626">
        <v>96</v>
      </c>
    </row>
    <row r="627" spans="1:12" x14ac:dyDescent="0.25">
      <c r="A627">
        <v>400578606</v>
      </c>
      <c r="B627">
        <v>2015</v>
      </c>
      <c r="C627" s="1">
        <v>41982</v>
      </c>
      <c r="D627" t="s">
        <v>34</v>
      </c>
      <c r="E627">
        <v>1</v>
      </c>
      <c r="F627">
        <v>6</v>
      </c>
      <c r="G627">
        <v>16</v>
      </c>
      <c r="H627">
        <v>1</v>
      </c>
      <c r="I627" t="s">
        <v>34</v>
      </c>
      <c r="J627">
        <v>100</v>
      </c>
      <c r="K627" t="s">
        <v>15</v>
      </c>
      <c r="L627">
        <v>96</v>
      </c>
    </row>
    <row r="628" spans="1:12" x14ac:dyDescent="0.25">
      <c r="A628">
        <v>400578607</v>
      </c>
      <c r="B628">
        <v>2015</v>
      </c>
      <c r="C628" s="1">
        <v>41982</v>
      </c>
      <c r="D628" t="s">
        <v>17</v>
      </c>
      <c r="E628">
        <v>1</v>
      </c>
      <c r="F628">
        <v>6</v>
      </c>
      <c r="G628">
        <v>16</v>
      </c>
      <c r="H628">
        <v>1</v>
      </c>
      <c r="I628" t="s">
        <v>17</v>
      </c>
      <c r="J628">
        <v>98</v>
      </c>
      <c r="K628" t="s">
        <v>37</v>
      </c>
      <c r="L628">
        <v>95</v>
      </c>
    </row>
    <row r="629" spans="1:12" x14ac:dyDescent="0.25">
      <c r="A629">
        <v>400578607</v>
      </c>
      <c r="B629">
        <v>2015</v>
      </c>
      <c r="C629" s="1">
        <v>41982</v>
      </c>
      <c r="D629" t="s">
        <v>37</v>
      </c>
      <c r="E629">
        <v>0</v>
      </c>
      <c r="F629">
        <v>11</v>
      </c>
      <c r="G629">
        <v>11</v>
      </c>
      <c r="H629">
        <v>0</v>
      </c>
      <c r="I629" t="s">
        <v>17</v>
      </c>
      <c r="J629">
        <v>98</v>
      </c>
      <c r="K629" t="s">
        <v>37</v>
      </c>
      <c r="L629">
        <v>95</v>
      </c>
    </row>
    <row r="630" spans="1:12" x14ac:dyDescent="0.25">
      <c r="A630">
        <v>400578608</v>
      </c>
      <c r="B630">
        <v>2015</v>
      </c>
      <c r="C630" s="1">
        <v>41983</v>
      </c>
      <c r="D630" t="s">
        <v>22</v>
      </c>
      <c r="E630">
        <v>0</v>
      </c>
      <c r="F630">
        <v>7</v>
      </c>
      <c r="G630">
        <v>13</v>
      </c>
      <c r="H630">
        <v>0</v>
      </c>
      <c r="I630" t="s">
        <v>18</v>
      </c>
      <c r="J630">
        <v>96</v>
      </c>
      <c r="K630" t="s">
        <v>22</v>
      </c>
      <c r="L630">
        <v>87</v>
      </c>
    </row>
    <row r="631" spans="1:12" x14ac:dyDescent="0.25">
      <c r="A631">
        <v>400578608</v>
      </c>
      <c r="B631">
        <v>2015</v>
      </c>
      <c r="C631" s="1">
        <v>41983</v>
      </c>
      <c r="D631" t="s">
        <v>18</v>
      </c>
      <c r="E631">
        <v>1</v>
      </c>
      <c r="F631">
        <v>6</v>
      </c>
      <c r="G631">
        <v>15</v>
      </c>
      <c r="H631">
        <v>1</v>
      </c>
      <c r="I631" t="s">
        <v>18</v>
      </c>
      <c r="J631">
        <v>96</v>
      </c>
      <c r="K631" t="s">
        <v>22</v>
      </c>
      <c r="L631">
        <v>87</v>
      </c>
    </row>
    <row r="632" spans="1:12" x14ac:dyDescent="0.25">
      <c r="A632">
        <v>400578609</v>
      </c>
      <c r="B632">
        <v>2015</v>
      </c>
      <c r="C632" s="1">
        <v>41983</v>
      </c>
      <c r="D632" t="s">
        <v>20</v>
      </c>
      <c r="E632">
        <v>0</v>
      </c>
      <c r="F632">
        <v>7</v>
      </c>
      <c r="G632">
        <v>15</v>
      </c>
      <c r="H632">
        <v>1</v>
      </c>
      <c r="I632" t="s">
        <v>20</v>
      </c>
      <c r="J632">
        <v>96</v>
      </c>
      <c r="K632" t="s">
        <v>41</v>
      </c>
      <c r="L632">
        <v>103</v>
      </c>
    </row>
    <row r="633" spans="1:12" x14ac:dyDescent="0.25">
      <c r="A633">
        <v>400578609</v>
      </c>
      <c r="B633">
        <v>2015</v>
      </c>
      <c r="C633" s="1">
        <v>41983</v>
      </c>
      <c r="D633" t="s">
        <v>41</v>
      </c>
      <c r="E633">
        <v>1</v>
      </c>
      <c r="F633">
        <v>16</v>
      </c>
      <c r="G633">
        <v>5</v>
      </c>
      <c r="H633">
        <v>0</v>
      </c>
      <c r="I633" t="s">
        <v>20</v>
      </c>
      <c r="J633">
        <v>96</v>
      </c>
      <c r="K633" t="s">
        <v>41</v>
      </c>
      <c r="L633">
        <v>103</v>
      </c>
    </row>
    <row r="634" spans="1:12" x14ac:dyDescent="0.25">
      <c r="A634">
        <v>400578610</v>
      </c>
      <c r="B634">
        <v>2015</v>
      </c>
      <c r="C634" s="1">
        <v>41983</v>
      </c>
      <c r="D634" t="s">
        <v>13</v>
      </c>
      <c r="E634">
        <v>0</v>
      </c>
      <c r="F634">
        <v>9</v>
      </c>
      <c r="G634">
        <v>15</v>
      </c>
      <c r="H634">
        <v>1</v>
      </c>
      <c r="I634" t="s">
        <v>13</v>
      </c>
      <c r="J634">
        <v>89</v>
      </c>
      <c r="K634" t="s">
        <v>25</v>
      </c>
      <c r="L634">
        <v>91</v>
      </c>
    </row>
    <row r="635" spans="1:12" x14ac:dyDescent="0.25">
      <c r="A635">
        <v>400578610</v>
      </c>
      <c r="B635">
        <v>2015</v>
      </c>
      <c r="C635" s="1">
        <v>41983</v>
      </c>
      <c r="D635" t="s">
        <v>25</v>
      </c>
      <c r="E635">
        <v>1</v>
      </c>
      <c r="F635">
        <v>15</v>
      </c>
      <c r="G635">
        <v>6</v>
      </c>
      <c r="H635">
        <v>0</v>
      </c>
      <c r="I635" t="s">
        <v>13</v>
      </c>
      <c r="J635">
        <v>89</v>
      </c>
      <c r="K635" t="s">
        <v>25</v>
      </c>
      <c r="L635">
        <v>91</v>
      </c>
    </row>
    <row r="636" spans="1:12" x14ac:dyDescent="0.25">
      <c r="A636">
        <v>400578611</v>
      </c>
      <c r="B636">
        <v>2015</v>
      </c>
      <c r="C636" s="1">
        <v>41983</v>
      </c>
      <c r="D636" t="s">
        <v>26</v>
      </c>
      <c r="E636">
        <v>1</v>
      </c>
      <c r="F636">
        <v>15</v>
      </c>
      <c r="G636">
        <v>6</v>
      </c>
      <c r="H636">
        <v>1</v>
      </c>
      <c r="I636" t="s">
        <v>26</v>
      </c>
      <c r="J636">
        <v>95</v>
      </c>
      <c r="K636" t="s">
        <v>21</v>
      </c>
      <c r="L636">
        <v>79</v>
      </c>
    </row>
    <row r="637" spans="1:12" x14ac:dyDescent="0.25">
      <c r="A637">
        <v>400578611</v>
      </c>
      <c r="B637">
        <v>2015</v>
      </c>
      <c r="C637" s="1">
        <v>41983</v>
      </c>
      <c r="D637" t="s">
        <v>21</v>
      </c>
      <c r="E637">
        <v>0</v>
      </c>
      <c r="F637">
        <v>2</v>
      </c>
      <c r="G637">
        <v>19</v>
      </c>
      <c r="H637">
        <v>0</v>
      </c>
      <c r="I637" t="s">
        <v>26</v>
      </c>
      <c r="J637">
        <v>95</v>
      </c>
      <c r="K637" t="s">
        <v>21</v>
      </c>
      <c r="L637">
        <v>79</v>
      </c>
    </row>
    <row r="638" spans="1:12" x14ac:dyDescent="0.25">
      <c r="A638">
        <v>400578612</v>
      </c>
      <c r="B638">
        <v>2015</v>
      </c>
      <c r="C638" s="1">
        <v>41983</v>
      </c>
      <c r="D638" t="s">
        <v>23</v>
      </c>
      <c r="E638">
        <v>0</v>
      </c>
      <c r="F638">
        <v>8</v>
      </c>
      <c r="G638">
        <v>12</v>
      </c>
      <c r="H638">
        <v>0</v>
      </c>
      <c r="I638" t="s">
        <v>30</v>
      </c>
      <c r="J638">
        <v>105</v>
      </c>
      <c r="K638" t="s">
        <v>23</v>
      </c>
      <c r="L638">
        <v>80</v>
      </c>
    </row>
    <row r="639" spans="1:12" x14ac:dyDescent="0.25">
      <c r="A639">
        <v>400578612</v>
      </c>
      <c r="B639">
        <v>2015</v>
      </c>
      <c r="C639" s="1">
        <v>41983</v>
      </c>
      <c r="D639" t="s">
        <v>30</v>
      </c>
      <c r="E639">
        <v>1</v>
      </c>
      <c r="F639">
        <v>13</v>
      </c>
      <c r="G639">
        <v>8</v>
      </c>
      <c r="H639">
        <v>1</v>
      </c>
      <c r="I639" t="s">
        <v>30</v>
      </c>
      <c r="J639">
        <v>105</v>
      </c>
      <c r="K639" t="s">
        <v>23</v>
      </c>
      <c r="L639">
        <v>80</v>
      </c>
    </row>
    <row r="640" spans="1:12" x14ac:dyDescent="0.25">
      <c r="A640">
        <v>400578613</v>
      </c>
      <c r="B640">
        <v>2015</v>
      </c>
      <c r="C640" s="1">
        <v>41983</v>
      </c>
      <c r="D640" t="s">
        <v>29</v>
      </c>
      <c r="E640">
        <v>1</v>
      </c>
      <c r="F640">
        <v>5</v>
      </c>
      <c r="G640">
        <v>16</v>
      </c>
      <c r="H640">
        <v>1</v>
      </c>
      <c r="I640" t="s">
        <v>29</v>
      </c>
      <c r="J640">
        <v>90</v>
      </c>
      <c r="K640" t="s">
        <v>39</v>
      </c>
      <c r="L640">
        <v>82</v>
      </c>
    </row>
    <row r="641" spans="1:12" x14ac:dyDescent="0.25">
      <c r="A641">
        <v>400578613</v>
      </c>
      <c r="B641">
        <v>2015</v>
      </c>
      <c r="C641" s="1">
        <v>41983</v>
      </c>
      <c r="D641" t="s">
        <v>39</v>
      </c>
      <c r="E641">
        <v>0</v>
      </c>
      <c r="F641">
        <v>17</v>
      </c>
      <c r="G641">
        <v>5</v>
      </c>
      <c r="H641">
        <v>0</v>
      </c>
      <c r="I641" t="s">
        <v>29</v>
      </c>
      <c r="J641">
        <v>90</v>
      </c>
      <c r="K641" t="s">
        <v>39</v>
      </c>
      <c r="L641">
        <v>82</v>
      </c>
    </row>
    <row r="642" spans="1:12" x14ac:dyDescent="0.25">
      <c r="A642">
        <v>400578614</v>
      </c>
      <c r="B642">
        <v>2015</v>
      </c>
      <c r="C642" s="1">
        <v>41983</v>
      </c>
      <c r="D642" t="s">
        <v>31</v>
      </c>
      <c r="E642">
        <v>0</v>
      </c>
      <c r="F642">
        <v>4</v>
      </c>
      <c r="G642">
        <v>20</v>
      </c>
      <c r="H642">
        <v>0</v>
      </c>
      <c r="I642" t="s">
        <v>15</v>
      </c>
      <c r="J642">
        <v>109</v>
      </c>
      <c r="K642" t="s">
        <v>31</v>
      </c>
      <c r="L642">
        <v>95</v>
      </c>
    </row>
    <row r="643" spans="1:12" x14ac:dyDescent="0.25">
      <c r="A643">
        <v>400578614</v>
      </c>
      <c r="B643">
        <v>2015</v>
      </c>
      <c r="C643" s="1">
        <v>41983</v>
      </c>
      <c r="D643" t="s">
        <v>15</v>
      </c>
      <c r="E643">
        <v>1</v>
      </c>
      <c r="F643">
        <v>16</v>
      </c>
      <c r="G643">
        <v>6</v>
      </c>
      <c r="H643">
        <v>1</v>
      </c>
      <c r="I643" t="s">
        <v>15</v>
      </c>
      <c r="J643">
        <v>109</v>
      </c>
      <c r="K643" t="s">
        <v>31</v>
      </c>
      <c r="L643">
        <v>95</v>
      </c>
    </row>
    <row r="644" spans="1:12" x14ac:dyDescent="0.25">
      <c r="A644">
        <v>400578615</v>
      </c>
      <c r="B644">
        <v>2015</v>
      </c>
      <c r="C644" s="1">
        <v>41983</v>
      </c>
      <c r="D644" t="s">
        <v>14</v>
      </c>
      <c r="E644">
        <v>1</v>
      </c>
      <c r="F644">
        <v>17</v>
      </c>
      <c r="G644">
        <v>7</v>
      </c>
      <c r="H644">
        <v>1</v>
      </c>
      <c r="I644" t="s">
        <v>14</v>
      </c>
      <c r="J644">
        <v>112</v>
      </c>
      <c r="K644" t="s">
        <v>12</v>
      </c>
      <c r="L644">
        <v>107</v>
      </c>
    </row>
    <row r="645" spans="1:12" x14ac:dyDescent="0.25">
      <c r="A645">
        <v>400578615</v>
      </c>
      <c r="B645">
        <v>2015</v>
      </c>
      <c r="C645" s="1">
        <v>41983</v>
      </c>
      <c r="D645" t="s">
        <v>12</v>
      </c>
      <c r="E645">
        <v>0</v>
      </c>
      <c r="F645">
        <v>10</v>
      </c>
      <c r="G645">
        <v>11</v>
      </c>
      <c r="H645">
        <v>0</v>
      </c>
      <c r="I645" t="s">
        <v>14</v>
      </c>
      <c r="J645">
        <v>112</v>
      </c>
      <c r="K645" t="s">
        <v>12</v>
      </c>
      <c r="L645">
        <v>107</v>
      </c>
    </row>
    <row r="646" spans="1:12" x14ac:dyDescent="0.25">
      <c r="A646">
        <v>400578616</v>
      </c>
      <c r="B646">
        <v>2015</v>
      </c>
      <c r="C646" s="1">
        <v>41983</v>
      </c>
      <c r="D646" t="s">
        <v>36</v>
      </c>
      <c r="E646">
        <v>1</v>
      </c>
      <c r="F646">
        <v>19</v>
      </c>
      <c r="G646">
        <v>2</v>
      </c>
      <c r="H646">
        <v>1</v>
      </c>
      <c r="I646" t="s">
        <v>36</v>
      </c>
      <c r="J646">
        <v>105</v>
      </c>
      <c r="K646" t="s">
        <v>16</v>
      </c>
      <c r="L646">
        <v>93</v>
      </c>
    </row>
    <row r="647" spans="1:12" x14ac:dyDescent="0.25">
      <c r="A647">
        <v>400578616</v>
      </c>
      <c r="B647">
        <v>2015</v>
      </c>
      <c r="C647" s="1">
        <v>41983</v>
      </c>
      <c r="D647" t="s">
        <v>16</v>
      </c>
      <c r="E647">
        <v>0</v>
      </c>
      <c r="F647">
        <v>16</v>
      </c>
      <c r="G647">
        <v>5</v>
      </c>
      <c r="H647">
        <v>0</v>
      </c>
      <c r="I647" t="s">
        <v>36</v>
      </c>
      <c r="J647">
        <v>105</v>
      </c>
      <c r="K647" t="s">
        <v>16</v>
      </c>
      <c r="L647">
        <v>93</v>
      </c>
    </row>
    <row r="648" spans="1:12" x14ac:dyDescent="0.25">
      <c r="A648">
        <v>400578617</v>
      </c>
      <c r="B648">
        <v>2015</v>
      </c>
      <c r="C648" s="1">
        <v>41983</v>
      </c>
      <c r="D648" t="s">
        <v>32</v>
      </c>
      <c r="E648">
        <v>1</v>
      </c>
      <c r="F648">
        <v>10</v>
      </c>
      <c r="G648">
        <v>12</v>
      </c>
      <c r="H648">
        <v>1</v>
      </c>
      <c r="I648" t="s">
        <v>32</v>
      </c>
      <c r="J648">
        <v>102</v>
      </c>
      <c r="K648" t="s">
        <v>24</v>
      </c>
      <c r="L648">
        <v>82</v>
      </c>
    </row>
    <row r="649" spans="1:12" x14ac:dyDescent="0.25">
      <c r="A649">
        <v>400578617</v>
      </c>
      <c r="B649">
        <v>2015</v>
      </c>
      <c r="C649" s="1">
        <v>41983</v>
      </c>
      <c r="D649" t="s">
        <v>24</v>
      </c>
      <c r="E649">
        <v>0</v>
      </c>
      <c r="F649">
        <v>10</v>
      </c>
      <c r="G649">
        <v>12</v>
      </c>
      <c r="H649">
        <v>0</v>
      </c>
      <c r="I649" t="s">
        <v>32</v>
      </c>
      <c r="J649">
        <v>102</v>
      </c>
      <c r="K649" t="s">
        <v>24</v>
      </c>
      <c r="L649">
        <v>82</v>
      </c>
    </row>
    <row r="650" spans="1:12" x14ac:dyDescent="0.25">
      <c r="A650">
        <v>400578618</v>
      </c>
      <c r="B650">
        <v>2015</v>
      </c>
      <c r="C650" s="1">
        <v>41984</v>
      </c>
      <c r="D650" t="s">
        <v>40</v>
      </c>
      <c r="E650">
        <v>0</v>
      </c>
      <c r="F650">
        <v>13</v>
      </c>
      <c r="G650">
        <v>8</v>
      </c>
      <c r="H650">
        <v>0</v>
      </c>
      <c r="I650" t="s">
        <v>38</v>
      </c>
      <c r="J650">
        <v>103</v>
      </c>
      <c r="K650" t="s">
        <v>40</v>
      </c>
      <c r="L650">
        <v>94</v>
      </c>
    </row>
    <row r="651" spans="1:12" x14ac:dyDescent="0.25">
      <c r="A651">
        <v>400578618</v>
      </c>
      <c r="B651">
        <v>2015</v>
      </c>
      <c r="C651" s="1">
        <v>41984</v>
      </c>
      <c r="D651" t="s">
        <v>38</v>
      </c>
      <c r="E651">
        <v>1</v>
      </c>
      <c r="F651">
        <v>9</v>
      </c>
      <c r="G651">
        <v>13</v>
      </c>
      <c r="H651">
        <v>1</v>
      </c>
      <c r="I651" t="s">
        <v>38</v>
      </c>
      <c r="J651">
        <v>103</v>
      </c>
      <c r="K651" t="s">
        <v>40</v>
      </c>
      <c r="L651">
        <v>94</v>
      </c>
    </row>
    <row r="652" spans="1:12" x14ac:dyDescent="0.25">
      <c r="A652">
        <v>400578619</v>
      </c>
      <c r="B652">
        <v>2015</v>
      </c>
      <c r="C652" s="1">
        <v>41984</v>
      </c>
      <c r="D652" t="s">
        <v>16</v>
      </c>
      <c r="E652">
        <v>1</v>
      </c>
      <c r="F652">
        <v>17</v>
      </c>
      <c r="G652">
        <v>5</v>
      </c>
      <c r="H652">
        <v>0</v>
      </c>
      <c r="I652" t="s">
        <v>37</v>
      </c>
      <c r="J652">
        <v>109</v>
      </c>
      <c r="K652" t="s">
        <v>16</v>
      </c>
      <c r="L652">
        <v>113</v>
      </c>
    </row>
    <row r="653" spans="1:12" x14ac:dyDescent="0.25">
      <c r="A653">
        <v>400578619</v>
      </c>
      <c r="B653">
        <v>2015</v>
      </c>
      <c r="C653" s="1">
        <v>41984</v>
      </c>
      <c r="D653" t="s">
        <v>37</v>
      </c>
      <c r="E653">
        <v>0</v>
      </c>
      <c r="F653">
        <v>11</v>
      </c>
      <c r="G653">
        <v>12</v>
      </c>
      <c r="H653">
        <v>1</v>
      </c>
      <c r="I653" t="s">
        <v>37</v>
      </c>
      <c r="J653">
        <v>109</v>
      </c>
      <c r="K653" t="s">
        <v>16</v>
      </c>
      <c r="L653">
        <v>113</v>
      </c>
    </row>
    <row r="654" spans="1:12" x14ac:dyDescent="0.25">
      <c r="A654">
        <v>400578620</v>
      </c>
      <c r="B654">
        <v>2015</v>
      </c>
      <c r="C654" s="1">
        <v>41985</v>
      </c>
      <c r="D654" t="s">
        <v>30</v>
      </c>
      <c r="E654">
        <v>1</v>
      </c>
      <c r="F654">
        <v>14</v>
      </c>
      <c r="G654">
        <v>8</v>
      </c>
      <c r="H654">
        <v>1</v>
      </c>
      <c r="I654" t="s">
        <v>30</v>
      </c>
      <c r="J654">
        <v>115</v>
      </c>
      <c r="K654" t="s">
        <v>39</v>
      </c>
      <c r="L654">
        <v>96</v>
      </c>
    </row>
    <row r="655" spans="1:12" x14ac:dyDescent="0.25">
      <c r="A655">
        <v>400578620</v>
      </c>
      <c r="B655">
        <v>2015</v>
      </c>
      <c r="C655" s="1">
        <v>41985</v>
      </c>
      <c r="D655" t="s">
        <v>39</v>
      </c>
      <c r="E655">
        <v>0</v>
      </c>
      <c r="F655">
        <v>17</v>
      </c>
      <c r="G655">
        <v>6</v>
      </c>
      <c r="H655">
        <v>0</v>
      </c>
      <c r="I655" t="s">
        <v>30</v>
      </c>
      <c r="J655">
        <v>115</v>
      </c>
      <c r="K655" t="s">
        <v>39</v>
      </c>
      <c r="L655">
        <v>96</v>
      </c>
    </row>
    <row r="656" spans="1:12" x14ac:dyDescent="0.25">
      <c r="A656">
        <v>400578621</v>
      </c>
      <c r="B656">
        <v>2015</v>
      </c>
      <c r="C656" s="1">
        <v>41985</v>
      </c>
      <c r="D656" t="s">
        <v>41</v>
      </c>
      <c r="E656">
        <v>0</v>
      </c>
      <c r="F656">
        <v>16</v>
      </c>
      <c r="G656">
        <v>6</v>
      </c>
      <c r="H656">
        <v>0</v>
      </c>
      <c r="I656" t="s">
        <v>25</v>
      </c>
      <c r="J656">
        <v>104</v>
      </c>
      <c r="K656" t="s">
        <v>41</v>
      </c>
      <c r="L656">
        <v>96</v>
      </c>
    </row>
    <row r="657" spans="1:12" x14ac:dyDescent="0.25">
      <c r="A657">
        <v>400578621</v>
      </c>
      <c r="B657">
        <v>2015</v>
      </c>
      <c r="C657" s="1">
        <v>41985</v>
      </c>
      <c r="D657" t="s">
        <v>25</v>
      </c>
      <c r="E657">
        <v>1</v>
      </c>
      <c r="F657">
        <v>16</v>
      </c>
      <c r="G657">
        <v>6</v>
      </c>
      <c r="H657">
        <v>1</v>
      </c>
      <c r="I657" t="s">
        <v>25</v>
      </c>
      <c r="J657">
        <v>104</v>
      </c>
      <c r="K657" t="s">
        <v>41</v>
      </c>
      <c r="L657">
        <v>96</v>
      </c>
    </row>
    <row r="658" spans="1:12" x14ac:dyDescent="0.25">
      <c r="A658">
        <v>400578622</v>
      </c>
      <c r="B658">
        <v>2015</v>
      </c>
      <c r="C658" s="1">
        <v>41985</v>
      </c>
      <c r="D658" t="s">
        <v>26</v>
      </c>
      <c r="E658">
        <v>1</v>
      </c>
      <c r="F658">
        <v>16</v>
      </c>
      <c r="G658">
        <v>6</v>
      </c>
      <c r="H658">
        <v>1</v>
      </c>
      <c r="I658" t="s">
        <v>26</v>
      </c>
      <c r="J658">
        <v>87</v>
      </c>
      <c r="K658" t="s">
        <v>13</v>
      </c>
      <c r="L658">
        <v>81</v>
      </c>
    </row>
    <row r="659" spans="1:12" x14ac:dyDescent="0.25">
      <c r="A659">
        <v>400578622</v>
      </c>
      <c r="B659">
        <v>2015</v>
      </c>
      <c r="C659" s="1">
        <v>41985</v>
      </c>
      <c r="D659" t="s">
        <v>13</v>
      </c>
      <c r="E659">
        <v>0</v>
      </c>
      <c r="F659">
        <v>9</v>
      </c>
      <c r="G659">
        <v>16</v>
      </c>
      <c r="H659">
        <v>0</v>
      </c>
      <c r="I659" t="s">
        <v>26</v>
      </c>
      <c r="J659">
        <v>87</v>
      </c>
      <c r="K659" t="s">
        <v>13</v>
      </c>
      <c r="L659">
        <v>81</v>
      </c>
    </row>
    <row r="660" spans="1:12" x14ac:dyDescent="0.25">
      <c r="A660">
        <v>400578623</v>
      </c>
      <c r="B660">
        <v>2015</v>
      </c>
      <c r="C660" s="1">
        <v>41985</v>
      </c>
      <c r="D660" t="s">
        <v>22</v>
      </c>
      <c r="E660">
        <v>0</v>
      </c>
      <c r="F660">
        <v>7</v>
      </c>
      <c r="G660">
        <v>14</v>
      </c>
      <c r="H660">
        <v>1</v>
      </c>
      <c r="I660" t="s">
        <v>22</v>
      </c>
      <c r="J660">
        <v>95</v>
      </c>
      <c r="K660" t="s">
        <v>31</v>
      </c>
      <c r="L660">
        <v>101</v>
      </c>
    </row>
    <row r="661" spans="1:12" x14ac:dyDescent="0.25">
      <c r="A661">
        <v>400578623</v>
      </c>
      <c r="B661">
        <v>2015</v>
      </c>
      <c r="C661" s="1">
        <v>41985</v>
      </c>
      <c r="D661" t="s">
        <v>31</v>
      </c>
      <c r="E661">
        <v>1</v>
      </c>
      <c r="F661">
        <v>5</v>
      </c>
      <c r="G661">
        <v>20</v>
      </c>
      <c r="H661">
        <v>0</v>
      </c>
      <c r="I661" t="s">
        <v>22</v>
      </c>
      <c r="J661">
        <v>95</v>
      </c>
      <c r="K661" t="s">
        <v>31</v>
      </c>
      <c r="L661">
        <v>101</v>
      </c>
    </row>
    <row r="662" spans="1:12" x14ac:dyDescent="0.25">
      <c r="A662">
        <v>400578624</v>
      </c>
      <c r="B662">
        <v>2015</v>
      </c>
      <c r="C662" s="1">
        <v>41985</v>
      </c>
      <c r="D662" t="s">
        <v>23</v>
      </c>
      <c r="E662">
        <v>1</v>
      </c>
      <c r="F662">
        <v>9</v>
      </c>
      <c r="G662">
        <v>12</v>
      </c>
      <c r="H662">
        <v>1</v>
      </c>
      <c r="I662" t="s">
        <v>23</v>
      </c>
      <c r="J662">
        <v>88</v>
      </c>
      <c r="K662" t="s">
        <v>21</v>
      </c>
      <c r="L662">
        <v>70</v>
      </c>
    </row>
    <row r="663" spans="1:12" x14ac:dyDescent="0.25">
      <c r="A663">
        <v>400578624</v>
      </c>
      <c r="B663">
        <v>2015</v>
      </c>
      <c r="C663" s="1">
        <v>41985</v>
      </c>
      <c r="D663" t="s">
        <v>21</v>
      </c>
      <c r="E663">
        <v>0</v>
      </c>
      <c r="F663">
        <v>2</v>
      </c>
      <c r="G663">
        <v>20</v>
      </c>
      <c r="H663">
        <v>0</v>
      </c>
      <c r="I663" t="s">
        <v>23</v>
      </c>
      <c r="J663">
        <v>88</v>
      </c>
      <c r="K663" t="s">
        <v>21</v>
      </c>
      <c r="L663">
        <v>70</v>
      </c>
    </row>
    <row r="664" spans="1:12" x14ac:dyDescent="0.25">
      <c r="A664">
        <v>400578625</v>
      </c>
      <c r="B664">
        <v>2015</v>
      </c>
      <c r="C664" s="1">
        <v>41985</v>
      </c>
      <c r="D664" t="s">
        <v>20</v>
      </c>
      <c r="E664">
        <v>0</v>
      </c>
      <c r="F664">
        <v>7</v>
      </c>
      <c r="G664">
        <v>16</v>
      </c>
      <c r="H664">
        <v>0</v>
      </c>
      <c r="I664" t="s">
        <v>27</v>
      </c>
      <c r="J664">
        <v>106</v>
      </c>
      <c r="K664" t="s">
        <v>20</v>
      </c>
      <c r="L664">
        <v>94</v>
      </c>
    </row>
    <row r="665" spans="1:12" x14ac:dyDescent="0.25">
      <c r="A665">
        <v>400578625</v>
      </c>
      <c r="B665">
        <v>2015</v>
      </c>
      <c r="C665" s="1">
        <v>41985</v>
      </c>
      <c r="D665" t="s">
        <v>27</v>
      </c>
      <c r="E665">
        <v>1</v>
      </c>
      <c r="F665">
        <v>17</v>
      </c>
      <c r="G665">
        <v>6</v>
      </c>
      <c r="H665">
        <v>1</v>
      </c>
      <c r="I665" t="s">
        <v>27</v>
      </c>
      <c r="J665">
        <v>106</v>
      </c>
      <c r="K665" t="s">
        <v>20</v>
      </c>
      <c r="L665">
        <v>94</v>
      </c>
    </row>
    <row r="666" spans="1:12" x14ac:dyDescent="0.25">
      <c r="A666">
        <v>400578626</v>
      </c>
      <c r="B666">
        <v>2015</v>
      </c>
      <c r="C666" s="1">
        <v>41985</v>
      </c>
      <c r="D666" t="s">
        <v>18</v>
      </c>
      <c r="E666">
        <v>0</v>
      </c>
      <c r="F666">
        <v>6</v>
      </c>
      <c r="G666">
        <v>16</v>
      </c>
      <c r="H666">
        <v>0</v>
      </c>
      <c r="I666" t="s">
        <v>28</v>
      </c>
      <c r="J666">
        <v>113</v>
      </c>
      <c r="K666" t="s">
        <v>18</v>
      </c>
      <c r="L666">
        <v>107</v>
      </c>
    </row>
    <row r="667" spans="1:12" x14ac:dyDescent="0.25">
      <c r="A667">
        <v>400578626</v>
      </c>
      <c r="B667">
        <v>2015</v>
      </c>
      <c r="C667" s="1">
        <v>41985</v>
      </c>
      <c r="D667" t="s">
        <v>28</v>
      </c>
      <c r="E667">
        <v>1</v>
      </c>
      <c r="F667">
        <v>18</v>
      </c>
      <c r="G667">
        <v>4</v>
      </c>
      <c r="H667">
        <v>1</v>
      </c>
      <c r="I667" t="s">
        <v>28</v>
      </c>
      <c r="J667">
        <v>113</v>
      </c>
      <c r="K667" t="s">
        <v>18</v>
      </c>
      <c r="L667">
        <v>107</v>
      </c>
    </row>
    <row r="668" spans="1:12" x14ac:dyDescent="0.25">
      <c r="A668">
        <v>400578627</v>
      </c>
      <c r="B668">
        <v>2015</v>
      </c>
      <c r="C668" s="1">
        <v>41985</v>
      </c>
      <c r="D668" t="s">
        <v>29</v>
      </c>
      <c r="E668">
        <v>0</v>
      </c>
      <c r="F668">
        <v>5</v>
      </c>
      <c r="G668">
        <v>17</v>
      </c>
      <c r="H668">
        <v>1</v>
      </c>
      <c r="I668" t="s">
        <v>29</v>
      </c>
      <c r="J668">
        <v>92</v>
      </c>
      <c r="K668" t="s">
        <v>38</v>
      </c>
      <c r="L668">
        <v>111</v>
      </c>
    </row>
    <row r="669" spans="1:12" x14ac:dyDescent="0.25">
      <c r="A669">
        <v>400578627</v>
      </c>
      <c r="B669">
        <v>2015</v>
      </c>
      <c r="C669" s="1">
        <v>41985</v>
      </c>
      <c r="D669" t="s">
        <v>38</v>
      </c>
      <c r="E669">
        <v>1</v>
      </c>
      <c r="F669">
        <v>10</v>
      </c>
      <c r="G669">
        <v>13</v>
      </c>
      <c r="H669">
        <v>0</v>
      </c>
      <c r="I669" t="s">
        <v>29</v>
      </c>
      <c r="J669">
        <v>92</v>
      </c>
      <c r="K669" t="s">
        <v>38</v>
      </c>
      <c r="L669">
        <v>111</v>
      </c>
    </row>
    <row r="670" spans="1:12" x14ac:dyDescent="0.25">
      <c r="A670">
        <v>400578628</v>
      </c>
      <c r="B670">
        <v>2015</v>
      </c>
      <c r="C670" s="1">
        <v>41985</v>
      </c>
      <c r="D670" t="s">
        <v>40</v>
      </c>
      <c r="E670">
        <v>0</v>
      </c>
      <c r="F670">
        <v>13</v>
      </c>
      <c r="G670">
        <v>9</v>
      </c>
      <c r="H670">
        <v>0</v>
      </c>
      <c r="I670" t="s">
        <v>12</v>
      </c>
      <c r="J670">
        <v>119</v>
      </c>
      <c r="K670" t="s">
        <v>40</v>
      </c>
      <c r="L670">
        <v>114</v>
      </c>
    </row>
    <row r="671" spans="1:12" x14ac:dyDescent="0.25">
      <c r="A671">
        <v>400578628</v>
      </c>
      <c r="B671">
        <v>2015</v>
      </c>
      <c r="C671" s="1">
        <v>41985</v>
      </c>
      <c r="D671" t="s">
        <v>12</v>
      </c>
      <c r="E671">
        <v>1</v>
      </c>
      <c r="F671">
        <v>11</v>
      </c>
      <c r="G671">
        <v>11</v>
      </c>
      <c r="H671">
        <v>1</v>
      </c>
      <c r="I671" t="s">
        <v>12</v>
      </c>
      <c r="J671">
        <v>119</v>
      </c>
      <c r="K671" t="s">
        <v>40</v>
      </c>
      <c r="L671">
        <v>114</v>
      </c>
    </row>
    <row r="672" spans="1:12" x14ac:dyDescent="0.25">
      <c r="A672">
        <v>400578629</v>
      </c>
      <c r="B672">
        <v>2015</v>
      </c>
      <c r="C672" s="1">
        <v>41985</v>
      </c>
      <c r="D672" t="s">
        <v>33</v>
      </c>
      <c r="E672">
        <v>1</v>
      </c>
      <c r="F672">
        <v>4</v>
      </c>
      <c r="G672">
        <v>19</v>
      </c>
      <c r="H672">
        <v>0</v>
      </c>
      <c r="I672" t="s">
        <v>35</v>
      </c>
      <c r="J672">
        <v>103</v>
      </c>
      <c r="K672" t="s">
        <v>33</v>
      </c>
      <c r="L672">
        <v>105</v>
      </c>
    </row>
    <row r="673" spans="1:12" x14ac:dyDescent="0.25">
      <c r="A673">
        <v>400578629</v>
      </c>
      <c r="B673">
        <v>2015</v>
      </c>
      <c r="C673" s="1">
        <v>41985</v>
      </c>
      <c r="D673" t="s">
        <v>35</v>
      </c>
      <c r="E673">
        <v>0</v>
      </c>
      <c r="F673">
        <v>12</v>
      </c>
      <c r="G673">
        <v>12</v>
      </c>
      <c r="H673">
        <v>1</v>
      </c>
      <c r="I673" t="s">
        <v>35</v>
      </c>
      <c r="J673">
        <v>103</v>
      </c>
      <c r="K673" t="s">
        <v>33</v>
      </c>
      <c r="L673">
        <v>105</v>
      </c>
    </row>
    <row r="674" spans="1:12" x14ac:dyDescent="0.25">
      <c r="A674">
        <v>400578630</v>
      </c>
      <c r="B674">
        <v>2015</v>
      </c>
      <c r="C674" s="1">
        <v>41985</v>
      </c>
      <c r="D674" t="s">
        <v>24</v>
      </c>
      <c r="E674">
        <v>1</v>
      </c>
      <c r="F674">
        <v>11</v>
      </c>
      <c r="G674">
        <v>12</v>
      </c>
      <c r="H674">
        <v>0</v>
      </c>
      <c r="I674" t="s">
        <v>34</v>
      </c>
      <c r="J674">
        <v>95</v>
      </c>
      <c r="K674" t="s">
        <v>24</v>
      </c>
      <c r="L674">
        <v>100</v>
      </c>
    </row>
    <row r="675" spans="1:12" x14ac:dyDescent="0.25">
      <c r="A675">
        <v>400578630</v>
      </c>
      <c r="B675">
        <v>2015</v>
      </c>
      <c r="C675" s="1">
        <v>41985</v>
      </c>
      <c r="D675" t="s">
        <v>34</v>
      </c>
      <c r="E675">
        <v>0</v>
      </c>
      <c r="F675">
        <v>6</v>
      </c>
      <c r="G675">
        <v>17</v>
      </c>
      <c r="H675">
        <v>1</v>
      </c>
      <c r="I675" t="s">
        <v>34</v>
      </c>
      <c r="J675">
        <v>95</v>
      </c>
      <c r="K675" t="s">
        <v>24</v>
      </c>
      <c r="L675">
        <v>100</v>
      </c>
    </row>
    <row r="676" spans="1:12" x14ac:dyDescent="0.25">
      <c r="A676">
        <v>400578631</v>
      </c>
      <c r="B676">
        <v>2015</v>
      </c>
      <c r="C676" s="1">
        <v>41985</v>
      </c>
      <c r="D676" t="s">
        <v>17</v>
      </c>
      <c r="E676">
        <v>1</v>
      </c>
      <c r="F676">
        <v>7</v>
      </c>
      <c r="G676">
        <v>16</v>
      </c>
      <c r="H676">
        <v>0</v>
      </c>
      <c r="I676" t="s">
        <v>15</v>
      </c>
      <c r="J676">
        <v>110</v>
      </c>
      <c r="K676" t="s">
        <v>17</v>
      </c>
      <c r="L676">
        <v>112</v>
      </c>
    </row>
    <row r="677" spans="1:12" x14ac:dyDescent="0.25">
      <c r="A677">
        <v>400578631</v>
      </c>
      <c r="B677">
        <v>2015</v>
      </c>
      <c r="C677" s="1">
        <v>41985</v>
      </c>
      <c r="D677" t="s">
        <v>15</v>
      </c>
      <c r="E677">
        <v>0</v>
      </c>
      <c r="F677">
        <v>16</v>
      </c>
      <c r="G677">
        <v>7</v>
      </c>
      <c r="H677">
        <v>1</v>
      </c>
      <c r="I677" t="s">
        <v>15</v>
      </c>
      <c r="J677">
        <v>110</v>
      </c>
      <c r="K677" t="s">
        <v>17</v>
      </c>
      <c r="L677">
        <v>112</v>
      </c>
    </row>
    <row r="678" spans="1:12" x14ac:dyDescent="0.25">
      <c r="A678">
        <v>400578632</v>
      </c>
      <c r="B678">
        <v>2015</v>
      </c>
      <c r="C678" s="1">
        <v>41986</v>
      </c>
      <c r="D678" t="s">
        <v>14</v>
      </c>
      <c r="E678">
        <v>0</v>
      </c>
      <c r="F678">
        <v>17</v>
      </c>
      <c r="G678">
        <v>8</v>
      </c>
      <c r="H678">
        <v>1</v>
      </c>
      <c r="I678" t="s">
        <v>14</v>
      </c>
      <c r="J678">
        <v>98</v>
      </c>
      <c r="K678" t="s">
        <v>36</v>
      </c>
      <c r="L678">
        <v>105</v>
      </c>
    </row>
    <row r="679" spans="1:12" x14ac:dyDescent="0.25">
      <c r="A679">
        <v>400578632</v>
      </c>
      <c r="B679">
        <v>2015</v>
      </c>
      <c r="C679" s="1">
        <v>41986</v>
      </c>
      <c r="D679" t="s">
        <v>36</v>
      </c>
      <c r="E679">
        <v>1</v>
      </c>
      <c r="F679">
        <v>20</v>
      </c>
      <c r="G679">
        <v>2</v>
      </c>
      <c r="H679">
        <v>0</v>
      </c>
      <c r="I679" t="s">
        <v>14</v>
      </c>
      <c r="J679">
        <v>98</v>
      </c>
      <c r="K679" t="s">
        <v>36</v>
      </c>
      <c r="L679">
        <v>105</v>
      </c>
    </row>
    <row r="680" spans="1:12" x14ac:dyDescent="0.25">
      <c r="A680">
        <v>400578633</v>
      </c>
      <c r="B680">
        <v>2015</v>
      </c>
      <c r="C680" s="1">
        <v>41986</v>
      </c>
      <c r="D680" t="s">
        <v>23</v>
      </c>
      <c r="E680">
        <v>1</v>
      </c>
      <c r="F680">
        <v>10</v>
      </c>
      <c r="G680">
        <v>12</v>
      </c>
      <c r="H680">
        <v>0</v>
      </c>
      <c r="I680" t="s">
        <v>18</v>
      </c>
      <c r="J680">
        <v>87</v>
      </c>
      <c r="K680" t="s">
        <v>23</v>
      </c>
      <c r="L680">
        <v>114</v>
      </c>
    </row>
    <row r="681" spans="1:12" x14ac:dyDescent="0.25">
      <c r="A681">
        <v>400578633</v>
      </c>
      <c r="B681">
        <v>2015</v>
      </c>
      <c r="C681" s="1">
        <v>41986</v>
      </c>
      <c r="D681" t="s">
        <v>18</v>
      </c>
      <c r="E681">
        <v>0</v>
      </c>
      <c r="F681">
        <v>6</v>
      </c>
      <c r="G681">
        <v>17</v>
      </c>
      <c r="H681">
        <v>1</v>
      </c>
      <c r="I681" t="s">
        <v>18</v>
      </c>
      <c r="J681">
        <v>87</v>
      </c>
      <c r="K681" t="s">
        <v>23</v>
      </c>
      <c r="L681">
        <v>114</v>
      </c>
    </row>
    <row r="682" spans="1:12" x14ac:dyDescent="0.25">
      <c r="A682">
        <v>400578634</v>
      </c>
      <c r="B682">
        <v>2015</v>
      </c>
      <c r="C682" s="1">
        <v>41986</v>
      </c>
      <c r="D682" t="s">
        <v>20</v>
      </c>
      <c r="E682">
        <v>0</v>
      </c>
      <c r="F682">
        <v>7</v>
      </c>
      <c r="G682">
        <v>17</v>
      </c>
      <c r="H682">
        <v>1</v>
      </c>
      <c r="I682" t="s">
        <v>20</v>
      </c>
      <c r="J682">
        <v>85</v>
      </c>
      <c r="K682" t="s">
        <v>39</v>
      </c>
      <c r="L682">
        <v>95</v>
      </c>
    </row>
    <row r="683" spans="1:12" x14ac:dyDescent="0.25">
      <c r="A683">
        <v>400578634</v>
      </c>
      <c r="B683">
        <v>2015</v>
      </c>
      <c r="C683" s="1">
        <v>41986</v>
      </c>
      <c r="D683" t="s">
        <v>39</v>
      </c>
      <c r="E683">
        <v>1</v>
      </c>
      <c r="F683">
        <v>18</v>
      </c>
      <c r="G683">
        <v>6</v>
      </c>
      <c r="H683">
        <v>0</v>
      </c>
      <c r="I683" t="s">
        <v>20</v>
      </c>
      <c r="J683">
        <v>85</v>
      </c>
      <c r="K683" t="s">
        <v>39</v>
      </c>
      <c r="L683">
        <v>95</v>
      </c>
    </row>
    <row r="684" spans="1:12" x14ac:dyDescent="0.25">
      <c r="A684">
        <v>400578635</v>
      </c>
      <c r="B684">
        <v>2015</v>
      </c>
      <c r="C684" s="1">
        <v>41986</v>
      </c>
      <c r="D684" t="s">
        <v>26</v>
      </c>
      <c r="E684">
        <v>0</v>
      </c>
      <c r="F684">
        <v>16</v>
      </c>
      <c r="G684">
        <v>7</v>
      </c>
      <c r="H684">
        <v>0</v>
      </c>
      <c r="I684" t="s">
        <v>13</v>
      </c>
      <c r="J684">
        <v>100</v>
      </c>
      <c r="K684" t="s">
        <v>26</v>
      </c>
      <c r="L684">
        <v>99</v>
      </c>
    </row>
    <row r="685" spans="1:12" x14ac:dyDescent="0.25">
      <c r="A685">
        <v>400578635</v>
      </c>
      <c r="B685">
        <v>2015</v>
      </c>
      <c r="C685" s="1">
        <v>41986</v>
      </c>
      <c r="D685" t="s">
        <v>13</v>
      </c>
      <c r="E685">
        <v>1</v>
      </c>
      <c r="F685">
        <v>10</v>
      </c>
      <c r="G685">
        <v>16</v>
      </c>
      <c r="H685">
        <v>1</v>
      </c>
      <c r="I685" t="s">
        <v>13</v>
      </c>
      <c r="J685">
        <v>100</v>
      </c>
      <c r="K685" t="s">
        <v>26</v>
      </c>
      <c r="L685">
        <v>99</v>
      </c>
    </row>
    <row r="686" spans="1:12" x14ac:dyDescent="0.25">
      <c r="A686">
        <v>400578636</v>
      </c>
      <c r="B686">
        <v>2015</v>
      </c>
      <c r="C686" s="1">
        <v>41986</v>
      </c>
      <c r="D686" t="s">
        <v>41</v>
      </c>
      <c r="E686">
        <v>0</v>
      </c>
      <c r="F686">
        <v>16</v>
      </c>
      <c r="G686">
        <v>7</v>
      </c>
      <c r="H686">
        <v>0</v>
      </c>
      <c r="I686" t="s">
        <v>19</v>
      </c>
      <c r="J686">
        <v>111</v>
      </c>
      <c r="K686" t="s">
        <v>41</v>
      </c>
      <c r="L686">
        <v>106</v>
      </c>
    </row>
    <row r="687" spans="1:12" x14ac:dyDescent="0.25">
      <c r="A687">
        <v>400578636</v>
      </c>
      <c r="B687">
        <v>2015</v>
      </c>
      <c r="C687" s="1">
        <v>41986</v>
      </c>
      <c r="D687" t="s">
        <v>19</v>
      </c>
      <c r="E687">
        <v>1</v>
      </c>
      <c r="F687">
        <v>12</v>
      </c>
      <c r="G687">
        <v>12</v>
      </c>
      <c r="H687">
        <v>1</v>
      </c>
      <c r="I687" t="s">
        <v>19</v>
      </c>
      <c r="J687">
        <v>111</v>
      </c>
      <c r="K687" t="s">
        <v>41</v>
      </c>
      <c r="L687">
        <v>106</v>
      </c>
    </row>
    <row r="688" spans="1:12" x14ac:dyDescent="0.25">
      <c r="A688">
        <v>400578637</v>
      </c>
      <c r="B688">
        <v>2015</v>
      </c>
      <c r="C688" s="1">
        <v>41986</v>
      </c>
      <c r="D688" t="s">
        <v>28</v>
      </c>
      <c r="E688">
        <v>1</v>
      </c>
      <c r="F688">
        <v>19</v>
      </c>
      <c r="G688">
        <v>4</v>
      </c>
      <c r="H688">
        <v>0</v>
      </c>
      <c r="I688" t="s">
        <v>21</v>
      </c>
      <c r="J688">
        <v>115</v>
      </c>
      <c r="K688" t="s">
        <v>28</v>
      </c>
      <c r="L688">
        <v>120</v>
      </c>
    </row>
    <row r="689" spans="1:12" x14ac:dyDescent="0.25">
      <c r="A689">
        <v>400578637</v>
      </c>
      <c r="B689">
        <v>2015</v>
      </c>
      <c r="C689" s="1">
        <v>41986</v>
      </c>
      <c r="D689" t="s">
        <v>21</v>
      </c>
      <c r="E689">
        <v>0</v>
      </c>
      <c r="F689">
        <v>2</v>
      </c>
      <c r="G689">
        <v>21</v>
      </c>
      <c r="H689">
        <v>1</v>
      </c>
      <c r="I689" t="s">
        <v>21</v>
      </c>
      <c r="J689">
        <v>115</v>
      </c>
      <c r="K689" t="s">
        <v>28</v>
      </c>
      <c r="L689">
        <v>120</v>
      </c>
    </row>
    <row r="690" spans="1:12" x14ac:dyDescent="0.25">
      <c r="A690">
        <v>400578638</v>
      </c>
      <c r="B690">
        <v>2015</v>
      </c>
      <c r="C690" s="1">
        <v>41986</v>
      </c>
      <c r="D690" t="s">
        <v>32</v>
      </c>
      <c r="E690">
        <v>0</v>
      </c>
      <c r="F690">
        <v>10</v>
      </c>
      <c r="G690">
        <v>13</v>
      </c>
      <c r="H690">
        <v>0</v>
      </c>
      <c r="I690" t="s">
        <v>16</v>
      </c>
      <c r="J690">
        <v>108</v>
      </c>
      <c r="K690" t="s">
        <v>32</v>
      </c>
      <c r="L690">
        <v>96</v>
      </c>
    </row>
    <row r="691" spans="1:12" x14ac:dyDescent="0.25">
      <c r="A691">
        <v>400578638</v>
      </c>
      <c r="B691">
        <v>2015</v>
      </c>
      <c r="C691" s="1">
        <v>41986</v>
      </c>
      <c r="D691" t="s">
        <v>16</v>
      </c>
      <c r="E691">
        <v>1</v>
      </c>
      <c r="F691">
        <v>18</v>
      </c>
      <c r="G691">
        <v>5</v>
      </c>
      <c r="H691">
        <v>1</v>
      </c>
      <c r="I691" t="s">
        <v>16</v>
      </c>
      <c r="J691">
        <v>108</v>
      </c>
      <c r="K691" t="s">
        <v>32</v>
      </c>
      <c r="L691">
        <v>96</v>
      </c>
    </row>
    <row r="692" spans="1:12" x14ac:dyDescent="0.25">
      <c r="A692">
        <v>400578639</v>
      </c>
      <c r="B692">
        <v>2015</v>
      </c>
      <c r="C692" s="1">
        <v>41986</v>
      </c>
      <c r="D692" t="s">
        <v>33</v>
      </c>
      <c r="E692">
        <v>1</v>
      </c>
      <c r="F692">
        <v>5</v>
      </c>
      <c r="G692">
        <v>19</v>
      </c>
      <c r="H692">
        <v>0</v>
      </c>
      <c r="I692" t="s">
        <v>37</v>
      </c>
      <c r="J692">
        <v>90</v>
      </c>
      <c r="K692" t="s">
        <v>33</v>
      </c>
      <c r="L692">
        <v>95</v>
      </c>
    </row>
    <row r="693" spans="1:12" x14ac:dyDescent="0.25">
      <c r="A693">
        <v>400578639</v>
      </c>
      <c r="B693">
        <v>2015</v>
      </c>
      <c r="C693" s="1">
        <v>41986</v>
      </c>
      <c r="D693" t="s">
        <v>37</v>
      </c>
      <c r="E693">
        <v>0</v>
      </c>
      <c r="F693">
        <v>11</v>
      </c>
      <c r="G693">
        <v>13</v>
      </c>
      <c r="H693">
        <v>1</v>
      </c>
      <c r="I693" t="s">
        <v>37</v>
      </c>
      <c r="J693">
        <v>90</v>
      </c>
      <c r="K693" t="s">
        <v>33</v>
      </c>
      <c r="L693">
        <v>95</v>
      </c>
    </row>
    <row r="694" spans="1:12" x14ac:dyDescent="0.25">
      <c r="A694">
        <v>400578640</v>
      </c>
      <c r="B694">
        <v>2015</v>
      </c>
      <c r="C694" s="1">
        <v>41987</v>
      </c>
      <c r="D694" t="s">
        <v>36</v>
      </c>
      <c r="E694">
        <v>1</v>
      </c>
      <c r="F694">
        <v>21</v>
      </c>
      <c r="G694">
        <v>2</v>
      </c>
      <c r="H694">
        <v>0</v>
      </c>
      <c r="I694" t="s">
        <v>12</v>
      </c>
      <c r="J694">
        <v>122</v>
      </c>
      <c r="K694" t="s">
        <v>36</v>
      </c>
      <c r="L694">
        <v>128</v>
      </c>
    </row>
    <row r="695" spans="1:12" x14ac:dyDescent="0.25">
      <c r="A695">
        <v>400578640</v>
      </c>
      <c r="B695">
        <v>2015</v>
      </c>
      <c r="C695" s="1">
        <v>41987</v>
      </c>
      <c r="D695" t="s">
        <v>12</v>
      </c>
      <c r="E695">
        <v>0</v>
      </c>
      <c r="F695">
        <v>11</v>
      </c>
      <c r="G695">
        <v>12</v>
      </c>
      <c r="H695">
        <v>1</v>
      </c>
      <c r="I695" t="s">
        <v>12</v>
      </c>
      <c r="J695">
        <v>122</v>
      </c>
      <c r="K695" t="s">
        <v>36</v>
      </c>
      <c r="L695">
        <v>128</v>
      </c>
    </row>
    <row r="696" spans="1:12" x14ac:dyDescent="0.25">
      <c r="A696">
        <v>400578641</v>
      </c>
      <c r="B696">
        <v>2015</v>
      </c>
      <c r="C696" s="1">
        <v>41987</v>
      </c>
      <c r="D696" t="s">
        <v>30</v>
      </c>
      <c r="E696">
        <v>1</v>
      </c>
      <c r="F696">
        <v>15</v>
      </c>
      <c r="G696">
        <v>8</v>
      </c>
      <c r="H696">
        <v>0</v>
      </c>
      <c r="I696" t="s">
        <v>24</v>
      </c>
      <c r="J696">
        <v>75</v>
      </c>
      <c r="K696" t="s">
        <v>30</v>
      </c>
      <c r="L696">
        <v>93</v>
      </c>
    </row>
    <row r="697" spans="1:12" x14ac:dyDescent="0.25">
      <c r="A697">
        <v>400578641</v>
      </c>
      <c r="B697">
        <v>2015</v>
      </c>
      <c r="C697" s="1">
        <v>41987</v>
      </c>
      <c r="D697" t="s">
        <v>24</v>
      </c>
      <c r="E697">
        <v>0</v>
      </c>
      <c r="F697">
        <v>11</v>
      </c>
      <c r="G697">
        <v>13</v>
      </c>
      <c r="H697">
        <v>1</v>
      </c>
      <c r="I697" t="s">
        <v>24</v>
      </c>
      <c r="J697">
        <v>75</v>
      </c>
      <c r="K697" t="s">
        <v>30</v>
      </c>
      <c r="L697">
        <v>93</v>
      </c>
    </row>
    <row r="698" spans="1:12" x14ac:dyDescent="0.25">
      <c r="A698">
        <v>400578642</v>
      </c>
      <c r="B698">
        <v>2015</v>
      </c>
      <c r="C698" s="1">
        <v>41987</v>
      </c>
      <c r="D698" t="s">
        <v>34</v>
      </c>
      <c r="E698">
        <v>0</v>
      </c>
      <c r="F698">
        <v>6</v>
      </c>
      <c r="G698">
        <v>18</v>
      </c>
      <c r="H698">
        <v>0</v>
      </c>
      <c r="I698" t="s">
        <v>25</v>
      </c>
      <c r="J698">
        <v>93</v>
      </c>
      <c r="K698" t="s">
        <v>34</v>
      </c>
      <c r="L698">
        <v>84</v>
      </c>
    </row>
    <row r="699" spans="1:12" x14ac:dyDescent="0.25">
      <c r="A699">
        <v>400578642</v>
      </c>
      <c r="B699">
        <v>2015</v>
      </c>
      <c r="C699" s="1">
        <v>41987</v>
      </c>
      <c r="D699" t="s">
        <v>25</v>
      </c>
      <c r="E699">
        <v>1</v>
      </c>
      <c r="F699">
        <v>17</v>
      </c>
      <c r="G699">
        <v>6</v>
      </c>
      <c r="H699">
        <v>1</v>
      </c>
      <c r="I699" t="s">
        <v>25</v>
      </c>
      <c r="J699">
        <v>93</v>
      </c>
      <c r="K699" t="s">
        <v>34</v>
      </c>
      <c r="L699">
        <v>84</v>
      </c>
    </row>
    <row r="700" spans="1:12" x14ac:dyDescent="0.25">
      <c r="A700">
        <v>400578643</v>
      </c>
      <c r="B700">
        <v>2015</v>
      </c>
      <c r="C700" s="1">
        <v>41987</v>
      </c>
      <c r="D700" t="s">
        <v>17</v>
      </c>
      <c r="E700">
        <v>1</v>
      </c>
      <c r="F700">
        <v>8</v>
      </c>
      <c r="G700">
        <v>16</v>
      </c>
      <c r="H700">
        <v>0</v>
      </c>
      <c r="I700" t="s">
        <v>29</v>
      </c>
      <c r="J700">
        <v>94</v>
      </c>
      <c r="K700" t="s">
        <v>17</v>
      </c>
      <c r="L700">
        <v>100</v>
      </c>
    </row>
    <row r="701" spans="1:12" x14ac:dyDescent="0.25">
      <c r="A701">
        <v>400578643</v>
      </c>
      <c r="B701">
        <v>2015</v>
      </c>
      <c r="C701" s="1">
        <v>41987</v>
      </c>
      <c r="D701" t="s">
        <v>29</v>
      </c>
      <c r="E701">
        <v>0</v>
      </c>
      <c r="F701">
        <v>5</v>
      </c>
      <c r="G701">
        <v>18</v>
      </c>
      <c r="H701">
        <v>1</v>
      </c>
      <c r="I701" t="s">
        <v>29</v>
      </c>
      <c r="J701">
        <v>94</v>
      </c>
      <c r="K701" t="s">
        <v>17</v>
      </c>
      <c r="L701">
        <v>100</v>
      </c>
    </row>
    <row r="702" spans="1:12" x14ac:dyDescent="0.25">
      <c r="A702">
        <v>400578644</v>
      </c>
      <c r="B702">
        <v>2015</v>
      </c>
      <c r="C702" s="1">
        <v>41987</v>
      </c>
      <c r="D702" t="s">
        <v>38</v>
      </c>
      <c r="E702">
        <v>1</v>
      </c>
      <c r="F702">
        <v>11</v>
      </c>
      <c r="G702">
        <v>13</v>
      </c>
      <c r="H702">
        <v>1</v>
      </c>
      <c r="I702" t="s">
        <v>38</v>
      </c>
      <c r="J702">
        <v>112</v>
      </c>
      <c r="K702" t="s">
        <v>35</v>
      </c>
      <c r="L702">
        <v>88</v>
      </c>
    </row>
    <row r="703" spans="1:12" x14ac:dyDescent="0.25">
      <c r="A703">
        <v>400578644</v>
      </c>
      <c r="B703">
        <v>2015</v>
      </c>
      <c r="C703" s="1">
        <v>41987</v>
      </c>
      <c r="D703" t="s">
        <v>35</v>
      </c>
      <c r="E703">
        <v>0</v>
      </c>
      <c r="F703">
        <v>12</v>
      </c>
      <c r="G703">
        <v>13</v>
      </c>
      <c r="H703">
        <v>0</v>
      </c>
      <c r="I703" t="s">
        <v>38</v>
      </c>
      <c r="J703">
        <v>112</v>
      </c>
      <c r="K703" t="s">
        <v>35</v>
      </c>
      <c r="L703">
        <v>88</v>
      </c>
    </row>
    <row r="704" spans="1:12" x14ac:dyDescent="0.25">
      <c r="A704">
        <v>400578645</v>
      </c>
      <c r="B704">
        <v>2015</v>
      </c>
      <c r="C704" s="1">
        <v>41987</v>
      </c>
      <c r="D704" t="s">
        <v>31</v>
      </c>
      <c r="E704">
        <v>0</v>
      </c>
      <c r="F704">
        <v>5</v>
      </c>
      <c r="G704">
        <v>21</v>
      </c>
      <c r="H704">
        <v>1</v>
      </c>
      <c r="I704" t="s">
        <v>31</v>
      </c>
      <c r="J704">
        <v>90</v>
      </c>
      <c r="K704" t="s">
        <v>27</v>
      </c>
      <c r="L704">
        <v>95</v>
      </c>
    </row>
    <row r="705" spans="1:12" x14ac:dyDescent="0.25">
      <c r="A705">
        <v>400578645</v>
      </c>
      <c r="B705">
        <v>2015</v>
      </c>
      <c r="C705" s="1">
        <v>41987</v>
      </c>
      <c r="D705" t="s">
        <v>27</v>
      </c>
      <c r="E705">
        <v>1</v>
      </c>
      <c r="F705">
        <v>18</v>
      </c>
      <c r="G705">
        <v>6</v>
      </c>
      <c r="H705">
        <v>0</v>
      </c>
      <c r="I705" t="s">
        <v>31</v>
      </c>
      <c r="J705">
        <v>90</v>
      </c>
      <c r="K705" t="s">
        <v>27</v>
      </c>
      <c r="L705">
        <v>95</v>
      </c>
    </row>
    <row r="706" spans="1:12" x14ac:dyDescent="0.25">
      <c r="A706">
        <v>400578646</v>
      </c>
      <c r="B706">
        <v>2015</v>
      </c>
      <c r="C706" s="1">
        <v>41987</v>
      </c>
      <c r="D706" t="s">
        <v>32</v>
      </c>
      <c r="E706">
        <v>0</v>
      </c>
      <c r="F706">
        <v>10</v>
      </c>
      <c r="G706">
        <v>14</v>
      </c>
      <c r="H706">
        <v>1</v>
      </c>
      <c r="I706" t="s">
        <v>32</v>
      </c>
      <c r="J706">
        <v>91</v>
      </c>
      <c r="K706" t="s">
        <v>15</v>
      </c>
      <c r="L706">
        <v>99</v>
      </c>
    </row>
    <row r="707" spans="1:12" x14ac:dyDescent="0.25">
      <c r="A707">
        <v>400578646</v>
      </c>
      <c r="B707">
        <v>2015</v>
      </c>
      <c r="C707" s="1">
        <v>41987</v>
      </c>
      <c r="D707" t="s">
        <v>15</v>
      </c>
      <c r="E707">
        <v>1</v>
      </c>
      <c r="F707">
        <v>17</v>
      </c>
      <c r="G707">
        <v>7</v>
      </c>
      <c r="H707">
        <v>0</v>
      </c>
      <c r="I707" t="s">
        <v>32</v>
      </c>
      <c r="J707">
        <v>91</v>
      </c>
      <c r="K707" t="s">
        <v>15</v>
      </c>
      <c r="L707">
        <v>99</v>
      </c>
    </row>
    <row r="708" spans="1:12" x14ac:dyDescent="0.25">
      <c r="A708">
        <v>400578647</v>
      </c>
      <c r="B708">
        <v>2015</v>
      </c>
      <c r="C708" s="1">
        <v>41988</v>
      </c>
      <c r="D708" t="s">
        <v>18</v>
      </c>
      <c r="E708">
        <v>0</v>
      </c>
      <c r="F708">
        <v>6</v>
      </c>
      <c r="G708">
        <v>18</v>
      </c>
      <c r="H708">
        <v>0</v>
      </c>
      <c r="I708" t="s">
        <v>40</v>
      </c>
      <c r="J708">
        <v>97</v>
      </c>
      <c r="K708" t="s">
        <v>18</v>
      </c>
      <c r="L708">
        <v>88</v>
      </c>
    </row>
    <row r="709" spans="1:12" x14ac:dyDescent="0.25">
      <c r="A709">
        <v>400578647</v>
      </c>
      <c r="B709">
        <v>2015</v>
      </c>
      <c r="C709" s="1">
        <v>41988</v>
      </c>
      <c r="D709" t="s">
        <v>40</v>
      </c>
      <c r="E709">
        <v>1</v>
      </c>
      <c r="F709">
        <v>14</v>
      </c>
      <c r="G709">
        <v>9</v>
      </c>
      <c r="H709">
        <v>1</v>
      </c>
      <c r="I709" t="s">
        <v>40</v>
      </c>
      <c r="J709">
        <v>97</v>
      </c>
      <c r="K709" t="s">
        <v>18</v>
      </c>
      <c r="L709">
        <v>88</v>
      </c>
    </row>
    <row r="710" spans="1:12" x14ac:dyDescent="0.25">
      <c r="A710">
        <v>400578648</v>
      </c>
      <c r="B710">
        <v>2015</v>
      </c>
      <c r="C710" s="1">
        <v>41988</v>
      </c>
      <c r="D710" t="s">
        <v>20</v>
      </c>
      <c r="E710">
        <v>1</v>
      </c>
      <c r="F710">
        <v>8</v>
      </c>
      <c r="G710">
        <v>17</v>
      </c>
      <c r="H710">
        <v>1</v>
      </c>
      <c r="I710" t="s">
        <v>20</v>
      </c>
      <c r="J710">
        <v>110</v>
      </c>
      <c r="K710" t="s">
        <v>17</v>
      </c>
      <c r="L710">
        <v>91</v>
      </c>
    </row>
    <row r="711" spans="1:12" x14ac:dyDescent="0.25">
      <c r="A711">
        <v>400578648</v>
      </c>
      <c r="B711">
        <v>2015</v>
      </c>
      <c r="C711" s="1">
        <v>41988</v>
      </c>
      <c r="D711" t="s">
        <v>17</v>
      </c>
      <c r="E711">
        <v>0</v>
      </c>
      <c r="F711">
        <v>8</v>
      </c>
      <c r="G711">
        <v>17</v>
      </c>
      <c r="H711">
        <v>0</v>
      </c>
      <c r="I711" t="s">
        <v>20</v>
      </c>
      <c r="J711">
        <v>110</v>
      </c>
      <c r="K711" t="s">
        <v>17</v>
      </c>
      <c r="L711">
        <v>91</v>
      </c>
    </row>
    <row r="712" spans="1:12" x14ac:dyDescent="0.25">
      <c r="A712">
        <v>400578649</v>
      </c>
      <c r="B712">
        <v>2015</v>
      </c>
      <c r="C712" s="1">
        <v>41988</v>
      </c>
      <c r="D712" t="s">
        <v>22</v>
      </c>
      <c r="E712">
        <v>1</v>
      </c>
      <c r="F712">
        <v>8</v>
      </c>
      <c r="G712">
        <v>14</v>
      </c>
      <c r="H712">
        <v>0</v>
      </c>
      <c r="I712" t="s">
        <v>21</v>
      </c>
      <c r="J712">
        <v>87</v>
      </c>
      <c r="K712" t="s">
        <v>22</v>
      </c>
      <c r="L712">
        <v>105</v>
      </c>
    </row>
    <row r="713" spans="1:12" x14ac:dyDescent="0.25">
      <c r="A713">
        <v>400578649</v>
      </c>
      <c r="B713">
        <v>2015</v>
      </c>
      <c r="C713" s="1">
        <v>41988</v>
      </c>
      <c r="D713" t="s">
        <v>21</v>
      </c>
      <c r="E713">
        <v>0</v>
      </c>
      <c r="F713">
        <v>2</v>
      </c>
      <c r="G713">
        <v>22</v>
      </c>
      <c r="H713">
        <v>1</v>
      </c>
      <c r="I713" t="s">
        <v>21</v>
      </c>
      <c r="J713">
        <v>87</v>
      </c>
      <c r="K713" t="s">
        <v>22</v>
      </c>
      <c r="L713">
        <v>105</v>
      </c>
    </row>
    <row r="714" spans="1:12" x14ac:dyDescent="0.25">
      <c r="A714">
        <v>400578650</v>
      </c>
      <c r="B714">
        <v>2015</v>
      </c>
      <c r="C714" s="1">
        <v>41988</v>
      </c>
      <c r="D714" t="s">
        <v>26</v>
      </c>
      <c r="E714">
        <v>1</v>
      </c>
      <c r="F714">
        <v>17</v>
      </c>
      <c r="G714">
        <v>7</v>
      </c>
      <c r="H714">
        <v>1</v>
      </c>
      <c r="I714" t="s">
        <v>26</v>
      </c>
      <c r="J714">
        <v>93</v>
      </c>
      <c r="K714" t="s">
        <v>30</v>
      </c>
      <c r="L714">
        <v>86</v>
      </c>
    </row>
    <row r="715" spans="1:12" x14ac:dyDescent="0.25">
      <c r="A715">
        <v>400578650</v>
      </c>
      <c r="B715">
        <v>2015</v>
      </c>
      <c r="C715" s="1">
        <v>41988</v>
      </c>
      <c r="D715" t="s">
        <v>30</v>
      </c>
      <c r="E715">
        <v>0</v>
      </c>
      <c r="F715">
        <v>15</v>
      </c>
      <c r="G715">
        <v>9</v>
      </c>
      <c r="H715">
        <v>0</v>
      </c>
      <c r="I715" t="s">
        <v>26</v>
      </c>
      <c r="J715">
        <v>93</v>
      </c>
      <c r="K715" t="s">
        <v>30</v>
      </c>
      <c r="L715">
        <v>86</v>
      </c>
    </row>
    <row r="716" spans="1:12" x14ac:dyDescent="0.25">
      <c r="A716">
        <v>400578651</v>
      </c>
      <c r="B716">
        <v>2015</v>
      </c>
      <c r="C716" s="1">
        <v>41988</v>
      </c>
      <c r="D716" t="s">
        <v>13</v>
      </c>
      <c r="E716">
        <v>0</v>
      </c>
      <c r="F716">
        <v>10</v>
      </c>
      <c r="G716">
        <v>17</v>
      </c>
      <c r="H716">
        <v>0</v>
      </c>
      <c r="I716" t="s">
        <v>27</v>
      </c>
      <c r="J716">
        <v>95</v>
      </c>
      <c r="K716" t="s">
        <v>13</v>
      </c>
      <c r="L716">
        <v>82</v>
      </c>
    </row>
    <row r="717" spans="1:12" x14ac:dyDescent="0.25">
      <c r="A717">
        <v>400578651</v>
      </c>
      <c r="B717">
        <v>2015</v>
      </c>
      <c r="C717" s="1">
        <v>41988</v>
      </c>
      <c r="D717" t="s">
        <v>27</v>
      </c>
      <c r="E717">
        <v>1</v>
      </c>
      <c r="F717">
        <v>19</v>
      </c>
      <c r="G717">
        <v>6</v>
      </c>
      <c r="H717">
        <v>1</v>
      </c>
      <c r="I717" t="s">
        <v>27</v>
      </c>
      <c r="J717">
        <v>95</v>
      </c>
      <c r="K717" t="s">
        <v>13</v>
      </c>
      <c r="L717">
        <v>82</v>
      </c>
    </row>
    <row r="718" spans="1:12" x14ac:dyDescent="0.25">
      <c r="A718">
        <v>400578652</v>
      </c>
      <c r="B718">
        <v>2015</v>
      </c>
      <c r="C718" s="1">
        <v>41988</v>
      </c>
      <c r="D718" t="s">
        <v>19</v>
      </c>
      <c r="E718">
        <v>1</v>
      </c>
      <c r="F718">
        <v>13</v>
      </c>
      <c r="G718">
        <v>12</v>
      </c>
      <c r="H718">
        <v>0</v>
      </c>
      <c r="I718" t="s">
        <v>35</v>
      </c>
      <c r="J718">
        <v>94</v>
      </c>
      <c r="K718" t="s">
        <v>19</v>
      </c>
      <c r="L718">
        <v>96</v>
      </c>
    </row>
    <row r="719" spans="1:12" x14ac:dyDescent="0.25">
      <c r="A719">
        <v>400578652</v>
      </c>
      <c r="B719">
        <v>2015</v>
      </c>
      <c r="C719" s="1">
        <v>41988</v>
      </c>
      <c r="D719" t="s">
        <v>35</v>
      </c>
      <c r="E719">
        <v>0</v>
      </c>
      <c r="F719">
        <v>12</v>
      </c>
      <c r="G719">
        <v>14</v>
      </c>
      <c r="H719">
        <v>1</v>
      </c>
      <c r="I719" t="s">
        <v>35</v>
      </c>
      <c r="J719">
        <v>94</v>
      </c>
      <c r="K719" t="s">
        <v>19</v>
      </c>
      <c r="L719">
        <v>96</v>
      </c>
    </row>
    <row r="720" spans="1:12" x14ac:dyDescent="0.25">
      <c r="A720">
        <v>400578653</v>
      </c>
      <c r="B720">
        <v>2015</v>
      </c>
      <c r="C720" s="1">
        <v>41988</v>
      </c>
      <c r="D720" t="s">
        <v>39</v>
      </c>
      <c r="E720">
        <v>1</v>
      </c>
      <c r="F720">
        <v>19</v>
      </c>
      <c r="G720">
        <v>6</v>
      </c>
      <c r="H720">
        <v>1</v>
      </c>
      <c r="I720" t="s">
        <v>39</v>
      </c>
      <c r="J720">
        <v>108</v>
      </c>
      <c r="K720" t="s">
        <v>15</v>
      </c>
      <c r="L720">
        <v>95</v>
      </c>
    </row>
    <row r="721" spans="1:12" x14ac:dyDescent="0.25">
      <c r="A721">
        <v>400578653</v>
      </c>
      <c r="B721">
        <v>2015</v>
      </c>
      <c r="C721" s="1">
        <v>41988</v>
      </c>
      <c r="D721" t="s">
        <v>15</v>
      </c>
      <c r="E721">
        <v>0</v>
      </c>
      <c r="F721">
        <v>17</v>
      </c>
      <c r="G721">
        <v>8</v>
      </c>
      <c r="H721">
        <v>0</v>
      </c>
      <c r="I721" t="s">
        <v>39</v>
      </c>
      <c r="J721">
        <v>108</v>
      </c>
      <c r="K721" t="s">
        <v>15</v>
      </c>
      <c r="L721">
        <v>95</v>
      </c>
    </row>
    <row r="722" spans="1:12" x14ac:dyDescent="0.25">
      <c r="A722">
        <v>400578654</v>
      </c>
      <c r="B722">
        <v>2015</v>
      </c>
      <c r="C722" s="1">
        <v>41988</v>
      </c>
      <c r="D722" t="s">
        <v>33</v>
      </c>
      <c r="E722">
        <v>0</v>
      </c>
      <c r="F722">
        <v>5</v>
      </c>
      <c r="G722">
        <v>20</v>
      </c>
      <c r="H722">
        <v>0</v>
      </c>
      <c r="I722" t="s">
        <v>41</v>
      </c>
      <c r="J722">
        <v>113</v>
      </c>
      <c r="K722" t="s">
        <v>33</v>
      </c>
      <c r="L722">
        <v>91</v>
      </c>
    </row>
    <row r="723" spans="1:12" x14ac:dyDescent="0.25">
      <c r="A723">
        <v>400578654</v>
      </c>
      <c r="B723">
        <v>2015</v>
      </c>
      <c r="C723" s="1">
        <v>41988</v>
      </c>
      <c r="D723" t="s">
        <v>41</v>
      </c>
      <c r="E723">
        <v>1</v>
      </c>
      <c r="F723">
        <v>17</v>
      </c>
      <c r="G723">
        <v>7</v>
      </c>
      <c r="H723">
        <v>1</v>
      </c>
      <c r="I723" t="s">
        <v>41</v>
      </c>
      <c r="J723">
        <v>113</v>
      </c>
      <c r="K723" t="s">
        <v>33</v>
      </c>
      <c r="L723">
        <v>91</v>
      </c>
    </row>
    <row r="724" spans="1:12" x14ac:dyDescent="0.25">
      <c r="A724">
        <v>400578655</v>
      </c>
      <c r="B724">
        <v>2015</v>
      </c>
      <c r="C724" s="1">
        <v>41989</v>
      </c>
      <c r="D724" t="s">
        <v>29</v>
      </c>
      <c r="E724">
        <v>0</v>
      </c>
      <c r="F724">
        <v>5</v>
      </c>
      <c r="G724">
        <v>19</v>
      </c>
      <c r="H724">
        <v>0</v>
      </c>
      <c r="I724" t="s">
        <v>25</v>
      </c>
      <c r="J724">
        <v>109</v>
      </c>
      <c r="K724" t="s">
        <v>29</v>
      </c>
      <c r="L724">
        <v>95</v>
      </c>
    </row>
    <row r="725" spans="1:12" x14ac:dyDescent="0.25">
      <c r="A725">
        <v>400578655</v>
      </c>
      <c r="B725">
        <v>2015</v>
      </c>
      <c r="C725" s="1">
        <v>41989</v>
      </c>
      <c r="D725" t="s">
        <v>25</v>
      </c>
      <c r="E725">
        <v>1</v>
      </c>
      <c r="F725">
        <v>18</v>
      </c>
      <c r="G725">
        <v>6</v>
      </c>
      <c r="H725">
        <v>1</v>
      </c>
      <c r="I725" t="s">
        <v>25</v>
      </c>
      <c r="J725">
        <v>109</v>
      </c>
      <c r="K725" t="s">
        <v>29</v>
      </c>
      <c r="L725">
        <v>95</v>
      </c>
    </row>
    <row r="726" spans="1:12" x14ac:dyDescent="0.25">
      <c r="A726">
        <v>400578656</v>
      </c>
      <c r="B726">
        <v>2015</v>
      </c>
      <c r="C726" s="1">
        <v>41989</v>
      </c>
      <c r="D726" t="s">
        <v>23</v>
      </c>
      <c r="E726">
        <v>0</v>
      </c>
      <c r="F726">
        <v>10</v>
      </c>
      <c r="G726">
        <v>13</v>
      </c>
      <c r="H726">
        <v>1</v>
      </c>
      <c r="I726" t="s">
        <v>23</v>
      </c>
      <c r="J726">
        <v>91</v>
      </c>
      <c r="K726" t="s">
        <v>24</v>
      </c>
      <c r="L726">
        <v>95</v>
      </c>
    </row>
    <row r="727" spans="1:12" x14ac:dyDescent="0.25">
      <c r="A727">
        <v>400578656</v>
      </c>
      <c r="B727">
        <v>2015</v>
      </c>
      <c r="C727" s="1">
        <v>41989</v>
      </c>
      <c r="D727" t="s">
        <v>24</v>
      </c>
      <c r="E727">
        <v>1</v>
      </c>
      <c r="F727">
        <v>12</v>
      </c>
      <c r="G727">
        <v>13</v>
      </c>
      <c r="H727">
        <v>0</v>
      </c>
      <c r="I727" t="s">
        <v>23</v>
      </c>
      <c r="J727">
        <v>91</v>
      </c>
      <c r="K727" t="s">
        <v>24</v>
      </c>
      <c r="L727">
        <v>95</v>
      </c>
    </row>
    <row r="728" spans="1:12" x14ac:dyDescent="0.25">
      <c r="A728">
        <v>400578657</v>
      </c>
      <c r="B728">
        <v>2015</v>
      </c>
      <c r="C728" s="1">
        <v>41989</v>
      </c>
      <c r="D728" t="s">
        <v>36</v>
      </c>
      <c r="E728">
        <v>0</v>
      </c>
      <c r="F728">
        <v>21</v>
      </c>
      <c r="G728">
        <v>3</v>
      </c>
      <c r="H728">
        <v>0</v>
      </c>
      <c r="I728" t="s">
        <v>28</v>
      </c>
      <c r="J728">
        <v>105</v>
      </c>
      <c r="K728" t="s">
        <v>36</v>
      </c>
      <c r="L728">
        <v>98</v>
      </c>
    </row>
    <row r="729" spans="1:12" x14ac:dyDescent="0.25">
      <c r="A729">
        <v>400578657</v>
      </c>
      <c r="B729">
        <v>2015</v>
      </c>
      <c r="C729" s="1">
        <v>41989</v>
      </c>
      <c r="D729" t="s">
        <v>28</v>
      </c>
      <c r="E729">
        <v>1</v>
      </c>
      <c r="F729">
        <v>20</v>
      </c>
      <c r="G729">
        <v>4</v>
      </c>
      <c r="H729">
        <v>1</v>
      </c>
      <c r="I729" t="s">
        <v>28</v>
      </c>
      <c r="J729">
        <v>105</v>
      </c>
      <c r="K729" t="s">
        <v>36</v>
      </c>
      <c r="L729">
        <v>98</v>
      </c>
    </row>
    <row r="730" spans="1:12" x14ac:dyDescent="0.25">
      <c r="A730">
        <v>400578658</v>
      </c>
      <c r="B730">
        <v>2015</v>
      </c>
      <c r="C730" s="1">
        <v>41989</v>
      </c>
      <c r="D730" t="s">
        <v>12</v>
      </c>
      <c r="E730">
        <v>1</v>
      </c>
      <c r="F730">
        <v>12</v>
      </c>
      <c r="G730">
        <v>12</v>
      </c>
      <c r="H730">
        <v>1</v>
      </c>
      <c r="I730" t="s">
        <v>12</v>
      </c>
      <c r="J730">
        <v>119</v>
      </c>
      <c r="K730" t="s">
        <v>34</v>
      </c>
      <c r="L730">
        <v>111</v>
      </c>
    </row>
    <row r="731" spans="1:12" x14ac:dyDescent="0.25">
      <c r="A731">
        <v>400578658</v>
      </c>
      <c r="B731">
        <v>2015</v>
      </c>
      <c r="C731" s="1">
        <v>41989</v>
      </c>
      <c r="D731" t="s">
        <v>34</v>
      </c>
      <c r="E731">
        <v>0</v>
      </c>
      <c r="F731">
        <v>6</v>
      </c>
      <c r="G731">
        <v>19</v>
      </c>
      <c r="H731">
        <v>0</v>
      </c>
      <c r="I731" t="s">
        <v>12</v>
      </c>
      <c r="J731">
        <v>119</v>
      </c>
      <c r="K731" t="s">
        <v>34</v>
      </c>
      <c r="L731">
        <v>111</v>
      </c>
    </row>
    <row r="732" spans="1:12" x14ac:dyDescent="0.25">
      <c r="A732">
        <v>400578659</v>
      </c>
      <c r="B732">
        <v>2015</v>
      </c>
      <c r="C732" s="1">
        <v>41989</v>
      </c>
      <c r="D732" t="s">
        <v>14</v>
      </c>
      <c r="E732">
        <v>1</v>
      </c>
      <c r="F732">
        <v>18</v>
      </c>
      <c r="G732">
        <v>8</v>
      </c>
      <c r="H732">
        <v>0</v>
      </c>
      <c r="I732" t="s">
        <v>31</v>
      </c>
      <c r="J732">
        <v>87</v>
      </c>
      <c r="K732" t="s">
        <v>14</v>
      </c>
      <c r="L732">
        <v>107</v>
      </c>
    </row>
    <row r="733" spans="1:12" x14ac:dyDescent="0.25">
      <c r="A733">
        <v>400578659</v>
      </c>
      <c r="B733">
        <v>2015</v>
      </c>
      <c r="C733" s="1">
        <v>41989</v>
      </c>
      <c r="D733" t="s">
        <v>31</v>
      </c>
      <c r="E733">
        <v>0</v>
      </c>
      <c r="F733">
        <v>5</v>
      </c>
      <c r="G733">
        <v>22</v>
      </c>
      <c r="H733">
        <v>1</v>
      </c>
      <c r="I733" t="s">
        <v>31</v>
      </c>
      <c r="J733">
        <v>87</v>
      </c>
      <c r="K733" t="s">
        <v>14</v>
      </c>
      <c r="L733">
        <v>107</v>
      </c>
    </row>
    <row r="734" spans="1:12" x14ac:dyDescent="0.25">
      <c r="A734">
        <v>400578660</v>
      </c>
      <c r="B734">
        <v>2015</v>
      </c>
      <c r="C734" s="1">
        <v>41989</v>
      </c>
      <c r="D734" t="s">
        <v>38</v>
      </c>
      <c r="E734">
        <v>1</v>
      </c>
      <c r="F734">
        <v>12</v>
      </c>
      <c r="G734">
        <v>13</v>
      </c>
      <c r="H734">
        <v>0</v>
      </c>
      <c r="I734" t="s">
        <v>37</v>
      </c>
      <c r="J734">
        <v>92</v>
      </c>
      <c r="K734" t="s">
        <v>38</v>
      </c>
      <c r="L734">
        <v>104</v>
      </c>
    </row>
    <row r="735" spans="1:12" x14ac:dyDescent="0.25">
      <c r="A735">
        <v>400578660</v>
      </c>
      <c r="B735">
        <v>2015</v>
      </c>
      <c r="C735" s="1">
        <v>41989</v>
      </c>
      <c r="D735" t="s">
        <v>37</v>
      </c>
      <c r="E735">
        <v>0</v>
      </c>
      <c r="F735">
        <v>11</v>
      </c>
      <c r="G735">
        <v>14</v>
      </c>
      <c r="H735">
        <v>1</v>
      </c>
      <c r="I735" t="s">
        <v>37</v>
      </c>
      <c r="J735">
        <v>92</v>
      </c>
      <c r="K735" t="s">
        <v>38</v>
      </c>
      <c r="L735">
        <v>104</v>
      </c>
    </row>
    <row r="736" spans="1:12" x14ac:dyDescent="0.25">
      <c r="A736">
        <v>400578661</v>
      </c>
      <c r="B736">
        <v>2015</v>
      </c>
      <c r="C736" s="1">
        <v>41990</v>
      </c>
      <c r="D736" t="s">
        <v>18</v>
      </c>
      <c r="E736">
        <v>0</v>
      </c>
      <c r="F736">
        <v>6</v>
      </c>
      <c r="G736">
        <v>19</v>
      </c>
      <c r="H736">
        <v>1</v>
      </c>
      <c r="I736" t="s">
        <v>18</v>
      </c>
      <c r="J736">
        <v>106</v>
      </c>
      <c r="K736" t="s">
        <v>35</v>
      </c>
      <c r="L736">
        <v>111</v>
      </c>
    </row>
    <row r="737" spans="1:12" x14ac:dyDescent="0.25">
      <c r="A737">
        <v>400578661</v>
      </c>
      <c r="B737">
        <v>2015</v>
      </c>
      <c r="C737" s="1">
        <v>41990</v>
      </c>
      <c r="D737" t="s">
        <v>35</v>
      </c>
      <c r="E737">
        <v>1</v>
      </c>
      <c r="F737">
        <v>13</v>
      </c>
      <c r="G737">
        <v>14</v>
      </c>
      <c r="H737">
        <v>0</v>
      </c>
      <c r="I737" t="s">
        <v>18</v>
      </c>
      <c r="J737">
        <v>106</v>
      </c>
      <c r="K737" t="s">
        <v>35</v>
      </c>
      <c r="L737">
        <v>111</v>
      </c>
    </row>
    <row r="738" spans="1:12" x14ac:dyDescent="0.25">
      <c r="A738">
        <v>400578662</v>
      </c>
      <c r="B738">
        <v>2015</v>
      </c>
      <c r="C738" s="1">
        <v>41990</v>
      </c>
      <c r="D738" t="s">
        <v>26</v>
      </c>
      <c r="E738">
        <v>1</v>
      </c>
      <c r="F738">
        <v>18</v>
      </c>
      <c r="G738">
        <v>7</v>
      </c>
      <c r="H738">
        <v>0</v>
      </c>
      <c r="I738" t="s">
        <v>40</v>
      </c>
      <c r="J738">
        <v>98</v>
      </c>
      <c r="K738" t="s">
        <v>26</v>
      </c>
      <c r="L738">
        <v>127</v>
      </c>
    </row>
    <row r="739" spans="1:12" x14ac:dyDescent="0.25">
      <c r="A739">
        <v>400578662</v>
      </c>
      <c r="B739">
        <v>2015</v>
      </c>
      <c r="C739" s="1">
        <v>41990</v>
      </c>
      <c r="D739" t="s">
        <v>40</v>
      </c>
      <c r="E739">
        <v>0</v>
      </c>
      <c r="F739">
        <v>14</v>
      </c>
      <c r="G739">
        <v>10</v>
      </c>
      <c r="H739">
        <v>1</v>
      </c>
      <c r="I739" t="s">
        <v>40</v>
      </c>
      <c r="J739">
        <v>98</v>
      </c>
      <c r="K739" t="s">
        <v>26</v>
      </c>
      <c r="L739">
        <v>127</v>
      </c>
    </row>
    <row r="740" spans="1:12" x14ac:dyDescent="0.25">
      <c r="A740">
        <v>400578663</v>
      </c>
      <c r="B740">
        <v>2015</v>
      </c>
      <c r="C740" s="1">
        <v>41990</v>
      </c>
      <c r="D740" t="s">
        <v>22</v>
      </c>
      <c r="E740">
        <v>1</v>
      </c>
      <c r="F740">
        <v>9</v>
      </c>
      <c r="G740">
        <v>14</v>
      </c>
      <c r="H740">
        <v>1</v>
      </c>
      <c r="I740" t="s">
        <v>22</v>
      </c>
      <c r="J740">
        <v>109</v>
      </c>
      <c r="K740" t="s">
        <v>13</v>
      </c>
      <c r="L740">
        <v>92</v>
      </c>
    </row>
    <row r="741" spans="1:12" x14ac:dyDescent="0.25">
      <c r="A741">
        <v>400578663</v>
      </c>
      <c r="B741">
        <v>2015</v>
      </c>
      <c r="C741" s="1">
        <v>41990</v>
      </c>
      <c r="D741" t="s">
        <v>13</v>
      </c>
      <c r="E741">
        <v>0</v>
      </c>
      <c r="F741">
        <v>10</v>
      </c>
      <c r="G741">
        <v>18</v>
      </c>
      <c r="H741">
        <v>0</v>
      </c>
      <c r="I741" t="s">
        <v>22</v>
      </c>
      <c r="J741">
        <v>109</v>
      </c>
      <c r="K741" t="s">
        <v>13</v>
      </c>
      <c r="L741">
        <v>92</v>
      </c>
    </row>
    <row r="742" spans="1:12" x14ac:dyDescent="0.25">
      <c r="A742">
        <v>400578664</v>
      </c>
      <c r="B742">
        <v>2015</v>
      </c>
      <c r="C742" s="1">
        <v>41990</v>
      </c>
      <c r="D742" t="s">
        <v>14</v>
      </c>
      <c r="E742">
        <v>1</v>
      </c>
      <c r="F742">
        <v>19</v>
      </c>
      <c r="G742">
        <v>8</v>
      </c>
      <c r="H742">
        <v>0</v>
      </c>
      <c r="I742" t="s">
        <v>33</v>
      </c>
      <c r="J742">
        <v>106</v>
      </c>
      <c r="K742" t="s">
        <v>14</v>
      </c>
      <c r="L742">
        <v>117</v>
      </c>
    </row>
    <row r="743" spans="1:12" x14ac:dyDescent="0.25">
      <c r="A743">
        <v>400578664</v>
      </c>
      <c r="B743">
        <v>2015</v>
      </c>
      <c r="C743" s="1">
        <v>41990</v>
      </c>
      <c r="D743" t="s">
        <v>33</v>
      </c>
      <c r="E743">
        <v>0</v>
      </c>
      <c r="F743">
        <v>5</v>
      </c>
      <c r="G743">
        <v>21</v>
      </c>
      <c r="H743">
        <v>1</v>
      </c>
      <c r="I743" t="s">
        <v>33</v>
      </c>
      <c r="J743">
        <v>106</v>
      </c>
      <c r="K743" t="s">
        <v>14</v>
      </c>
      <c r="L743">
        <v>117</v>
      </c>
    </row>
    <row r="744" spans="1:12" x14ac:dyDescent="0.25">
      <c r="A744">
        <v>400578665</v>
      </c>
      <c r="B744">
        <v>2015</v>
      </c>
      <c r="C744" s="1">
        <v>41990</v>
      </c>
      <c r="D744" t="s">
        <v>24</v>
      </c>
      <c r="E744">
        <v>0</v>
      </c>
      <c r="F744">
        <v>12</v>
      </c>
      <c r="G744">
        <v>14</v>
      </c>
      <c r="H744">
        <v>1</v>
      </c>
      <c r="I744" t="s">
        <v>24</v>
      </c>
      <c r="J744">
        <v>87</v>
      </c>
      <c r="K744" t="s">
        <v>34</v>
      </c>
      <c r="L744">
        <v>105</v>
      </c>
    </row>
    <row r="745" spans="1:12" x14ac:dyDescent="0.25">
      <c r="A745">
        <v>400578665</v>
      </c>
      <c r="B745">
        <v>2015</v>
      </c>
      <c r="C745" s="1">
        <v>41990</v>
      </c>
      <c r="D745" t="s">
        <v>34</v>
      </c>
      <c r="E745">
        <v>1</v>
      </c>
      <c r="F745">
        <v>7</v>
      </c>
      <c r="G745">
        <v>19</v>
      </c>
      <c r="H745">
        <v>0</v>
      </c>
      <c r="I745" t="s">
        <v>24</v>
      </c>
      <c r="J745">
        <v>87</v>
      </c>
      <c r="K745" t="s">
        <v>34</v>
      </c>
      <c r="L745">
        <v>105</v>
      </c>
    </row>
    <row r="746" spans="1:12" x14ac:dyDescent="0.25">
      <c r="A746">
        <v>400578666</v>
      </c>
      <c r="B746">
        <v>2015</v>
      </c>
      <c r="C746" s="1">
        <v>41990</v>
      </c>
      <c r="D746" t="s">
        <v>23</v>
      </c>
      <c r="E746">
        <v>0</v>
      </c>
      <c r="F746">
        <v>10</v>
      </c>
      <c r="G746">
        <v>14</v>
      </c>
      <c r="H746">
        <v>0</v>
      </c>
      <c r="I746" t="s">
        <v>27</v>
      </c>
      <c r="J746">
        <v>105</v>
      </c>
      <c r="K746" t="s">
        <v>23</v>
      </c>
      <c r="L746">
        <v>89</v>
      </c>
    </row>
    <row r="747" spans="1:12" x14ac:dyDescent="0.25">
      <c r="A747">
        <v>400578666</v>
      </c>
      <c r="B747">
        <v>2015</v>
      </c>
      <c r="C747" s="1">
        <v>41990</v>
      </c>
      <c r="D747" t="s">
        <v>27</v>
      </c>
      <c r="E747">
        <v>1</v>
      </c>
      <c r="F747">
        <v>20</v>
      </c>
      <c r="G747">
        <v>6</v>
      </c>
      <c r="H747">
        <v>1</v>
      </c>
      <c r="I747" t="s">
        <v>27</v>
      </c>
      <c r="J747">
        <v>105</v>
      </c>
      <c r="K747" t="s">
        <v>23</v>
      </c>
      <c r="L747">
        <v>89</v>
      </c>
    </row>
    <row r="748" spans="1:12" x14ac:dyDescent="0.25">
      <c r="A748">
        <v>400578667</v>
      </c>
      <c r="B748">
        <v>2015</v>
      </c>
      <c r="C748" s="1">
        <v>41990</v>
      </c>
      <c r="D748" t="s">
        <v>28</v>
      </c>
      <c r="E748">
        <v>1</v>
      </c>
      <c r="F748">
        <v>21</v>
      </c>
      <c r="G748">
        <v>4</v>
      </c>
      <c r="H748">
        <v>0</v>
      </c>
      <c r="I748" t="s">
        <v>15</v>
      </c>
      <c r="J748">
        <v>116</v>
      </c>
      <c r="K748" t="s">
        <v>28</v>
      </c>
      <c r="L748">
        <v>117</v>
      </c>
    </row>
    <row r="749" spans="1:12" x14ac:dyDescent="0.25">
      <c r="A749">
        <v>400578667</v>
      </c>
      <c r="B749">
        <v>2015</v>
      </c>
      <c r="C749" s="1">
        <v>41990</v>
      </c>
      <c r="D749" t="s">
        <v>15</v>
      </c>
      <c r="E749">
        <v>0</v>
      </c>
      <c r="F749">
        <v>17</v>
      </c>
      <c r="G749">
        <v>9</v>
      </c>
      <c r="H749">
        <v>1</v>
      </c>
      <c r="I749" t="s">
        <v>15</v>
      </c>
      <c r="J749">
        <v>116</v>
      </c>
      <c r="K749" t="s">
        <v>28</v>
      </c>
      <c r="L749">
        <v>117</v>
      </c>
    </row>
    <row r="750" spans="1:12" x14ac:dyDescent="0.25">
      <c r="A750">
        <v>400578668</v>
      </c>
      <c r="B750">
        <v>2015</v>
      </c>
      <c r="C750" s="1">
        <v>41990</v>
      </c>
      <c r="D750" t="s">
        <v>19</v>
      </c>
      <c r="E750">
        <v>0</v>
      </c>
      <c r="F750">
        <v>13</v>
      </c>
      <c r="G750">
        <v>13</v>
      </c>
      <c r="H750">
        <v>0</v>
      </c>
      <c r="I750" t="s">
        <v>39</v>
      </c>
      <c r="J750">
        <v>104</v>
      </c>
      <c r="K750" t="s">
        <v>19</v>
      </c>
      <c r="L750">
        <v>97</v>
      </c>
    </row>
    <row r="751" spans="1:12" x14ac:dyDescent="0.25">
      <c r="A751">
        <v>400578668</v>
      </c>
      <c r="B751">
        <v>2015</v>
      </c>
      <c r="C751" s="1">
        <v>41990</v>
      </c>
      <c r="D751" t="s">
        <v>39</v>
      </c>
      <c r="E751">
        <v>1</v>
      </c>
      <c r="F751">
        <v>20</v>
      </c>
      <c r="G751">
        <v>6</v>
      </c>
      <c r="H751">
        <v>1</v>
      </c>
      <c r="I751" t="s">
        <v>39</v>
      </c>
      <c r="J751">
        <v>104</v>
      </c>
      <c r="K751" t="s">
        <v>19</v>
      </c>
      <c r="L751">
        <v>97</v>
      </c>
    </row>
    <row r="752" spans="1:12" x14ac:dyDescent="0.25">
      <c r="A752">
        <v>400578669</v>
      </c>
      <c r="B752">
        <v>2015</v>
      </c>
      <c r="C752" s="1">
        <v>41990</v>
      </c>
      <c r="D752" t="s">
        <v>20</v>
      </c>
      <c r="E752">
        <v>0</v>
      </c>
      <c r="F752">
        <v>8</v>
      </c>
      <c r="G752">
        <v>18</v>
      </c>
      <c r="H752">
        <v>0</v>
      </c>
      <c r="I752" t="s">
        <v>41</v>
      </c>
      <c r="J752">
        <v>102</v>
      </c>
      <c r="K752" t="s">
        <v>20</v>
      </c>
      <c r="L752">
        <v>100</v>
      </c>
    </row>
    <row r="753" spans="1:12" x14ac:dyDescent="0.25">
      <c r="A753">
        <v>400578669</v>
      </c>
      <c r="B753">
        <v>2015</v>
      </c>
      <c r="C753" s="1">
        <v>41990</v>
      </c>
      <c r="D753" t="s">
        <v>41</v>
      </c>
      <c r="E753">
        <v>1</v>
      </c>
      <c r="F753">
        <v>18</v>
      </c>
      <c r="G753">
        <v>7</v>
      </c>
      <c r="H753">
        <v>1</v>
      </c>
      <c r="I753" t="s">
        <v>41</v>
      </c>
      <c r="J753">
        <v>102</v>
      </c>
      <c r="K753" t="s">
        <v>20</v>
      </c>
      <c r="L753">
        <v>100</v>
      </c>
    </row>
    <row r="754" spans="1:12" x14ac:dyDescent="0.25">
      <c r="A754">
        <v>400578670</v>
      </c>
      <c r="B754">
        <v>2015</v>
      </c>
      <c r="C754" s="1">
        <v>41990</v>
      </c>
      <c r="D754" t="s">
        <v>32</v>
      </c>
      <c r="E754">
        <v>0</v>
      </c>
      <c r="F754">
        <v>10</v>
      </c>
      <c r="G754">
        <v>15</v>
      </c>
      <c r="H754">
        <v>1</v>
      </c>
      <c r="I754" t="s">
        <v>32</v>
      </c>
      <c r="J754">
        <v>111</v>
      </c>
      <c r="K754" t="s">
        <v>16</v>
      </c>
      <c r="L754">
        <v>115</v>
      </c>
    </row>
    <row r="755" spans="1:12" x14ac:dyDescent="0.25">
      <c r="A755">
        <v>400578670</v>
      </c>
      <c r="B755">
        <v>2015</v>
      </c>
      <c r="C755" s="1">
        <v>41990</v>
      </c>
      <c r="D755" t="s">
        <v>16</v>
      </c>
      <c r="E755">
        <v>1</v>
      </c>
      <c r="F755">
        <v>19</v>
      </c>
      <c r="G755">
        <v>5</v>
      </c>
      <c r="H755">
        <v>0</v>
      </c>
      <c r="I755" t="s">
        <v>32</v>
      </c>
      <c r="J755">
        <v>111</v>
      </c>
      <c r="K755" t="s">
        <v>16</v>
      </c>
      <c r="L755">
        <v>115</v>
      </c>
    </row>
    <row r="756" spans="1:12" x14ac:dyDescent="0.25">
      <c r="A756">
        <v>400578671</v>
      </c>
      <c r="B756">
        <v>2015</v>
      </c>
      <c r="C756" s="1">
        <v>41991</v>
      </c>
      <c r="D756" t="s">
        <v>30</v>
      </c>
      <c r="E756">
        <v>1</v>
      </c>
      <c r="F756">
        <v>16</v>
      </c>
      <c r="G756">
        <v>9</v>
      </c>
      <c r="H756">
        <v>1</v>
      </c>
      <c r="I756" t="s">
        <v>30</v>
      </c>
      <c r="J756">
        <v>103</v>
      </c>
      <c r="K756" t="s">
        <v>31</v>
      </c>
      <c r="L756">
        <v>97</v>
      </c>
    </row>
    <row r="757" spans="1:12" x14ac:dyDescent="0.25">
      <c r="A757">
        <v>400578671</v>
      </c>
      <c r="B757">
        <v>2015</v>
      </c>
      <c r="C757" s="1">
        <v>41991</v>
      </c>
      <c r="D757" t="s">
        <v>31</v>
      </c>
      <c r="E757">
        <v>0</v>
      </c>
      <c r="F757">
        <v>5</v>
      </c>
      <c r="G757">
        <v>23</v>
      </c>
      <c r="H757">
        <v>0</v>
      </c>
      <c r="I757" t="s">
        <v>30</v>
      </c>
      <c r="J757">
        <v>103</v>
      </c>
      <c r="K757" t="s">
        <v>31</v>
      </c>
      <c r="L757">
        <v>97</v>
      </c>
    </row>
    <row r="758" spans="1:12" x14ac:dyDescent="0.25">
      <c r="A758">
        <v>400578672</v>
      </c>
      <c r="B758">
        <v>2015</v>
      </c>
      <c r="C758" s="1">
        <v>41991</v>
      </c>
      <c r="D758" t="s">
        <v>16</v>
      </c>
      <c r="E758">
        <v>0</v>
      </c>
      <c r="F758">
        <v>19</v>
      </c>
      <c r="G758">
        <v>6</v>
      </c>
      <c r="H758">
        <v>1</v>
      </c>
      <c r="I758" t="s">
        <v>16</v>
      </c>
      <c r="J758">
        <v>90</v>
      </c>
      <c r="K758" t="s">
        <v>12</v>
      </c>
      <c r="L758">
        <v>99</v>
      </c>
    </row>
    <row r="759" spans="1:12" x14ac:dyDescent="0.25">
      <c r="A759">
        <v>400578672</v>
      </c>
      <c r="B759">
        <v>2015</v>
      </c>
      <c r="C759" s="1">
        <v>41991</v>
      </c>
      <c r="D759" t="s">
        <v>12</v>
      </c>
      <c r="E759">
        <v>1</v>
      </c>
      <c r="F759">
        <v>13</v>
      </c>
      <c r="G759">
        <v>12</v>
      </c>
      <c r="H759">
        <v>0</v>
      </c>
      <c r="I759" t="s">
        <v>16</v>
      </c>
      <c r="J759">
        <v>90</v>
      </c>
      <c r="K759" t="s">
        <v>12</v>
      </c>
      <c r="L759">
        <v>99</v>
      </c>
    </row>
    <row r="760" spans="1:12" x14ac:dyDescent="0.25">
      <c r="A760">
        <v>400578673</v>
      </c>
      <c r="B760">
        <v>2015</v>
      </c>
      <c r="C760" s="1">
        <v>41991</v>
      </c>
      <c r="D760" t="s">
        <v>19</v>
      </c>
      <c r="E760">
        <v>1</v>
      </c>
      <c r="F760">
        <v>14</v>
      </c>
      <c r="G760">
        <v>13</v>
      </c>
      <c r="H760">
        <v>0</v>
      </c>
      <c r="I760" t="s">
        <v>37</v>
      </c>
      <c r="J760">
        <v>107</v>
      </c>
      <c r="K760" t="s">
        <v>19</v>
      </c>
      <c r="L760">
        <v>108</v>
      </c>
    </row>
    <row r="761" spans="1:12" x14ac:dyDescent="0.25">
      <c r="A761">
        <v>400578673</v>
      </c>
      <c r="B761">
        <v>2015</v>
      </c>
      <c r="C761" s="1">
        <v>41991</v>
      </c>
      <c r="D761" t="s">
        <v>37</v>
      </c>
      <c r="E761">
        <v>0</v>
      </c>
      <c r="F761">
        <v>11</v>
      </c>
      <c r="G761">
        <v>15</v>
      </c>
      <c r="H761">
        <v>1</v>
      </c>
      <c r="I761" t="s">
        <v>37</v>
      </c>
      <c r="J761">
        <v>107</v>
      </c>
      <c r="K761" t="s">
        <v>19</v>
      </c>
      <c r="L761">
        <v>108</v>
      </c>
    </row>
    <row r="762" spans="1:12" x14ac:dyDescent="0.25">
      <c r="A762">
        <v>400578674</v>
      </c>
      <c r="B762">
        <v>2015</v>
      </c>
      <c r="C762" s="1">
        <v>41991</v>
      </c>
      <c r="D762" t="s">
        <v>36</v>
      </c>
      <c r="E762">
        <v>1</v>
      </c>
      <c r="F762">
        <v>22</v>
      </c>
      <c r="G762">
        <v>3</v>
      </c>
      <c r="H762">
        <v>1</v>
      </c>
      <c r="I762" t="s">
        <v>36</v>
      </c>
      <c r="J762">
        <v>114</v>
      </c>
      <c r="K762" t="s">
        <v>38</v>
      </c>
      <c r="L762">
        <v>109</v>
      </c>
    </row>
    <row r="763" spans="1:12" x14ac:dyDescent="0.25">
      <c r="A763">
        <v>400578674</v>
      </c>
      <c r="B763">
        <v>2015</v>
      </c>
      <c r="C763" s="1">
        <v>41991</v>
      </c>
      <c r="D763" t="s">
        <v>38</v>
      </c>
      <c r="E763">
        <v>0</v>
      </c>
      <c r="F763">
        <v>12</v>
      </c>
      <c r="G763">
        <v>14</v>
      </c>
      <c r="H763">
        <v>0</v>
      </c>
      <c r="I763" t="s">
        <v>36</v>
      </c>
      <c r="J763">
        <v>114</v>
      </c>
      <c r="K763" t="s">
        <v>38</v>
      </c>
      <c r="L763">
        <v>109</v>
      </c>
    </row>
    <row r="764" spans="1:12" x14ac:dyDescent="0.25">
      <c r="A764">
        <v>400578675</v>
      </c>
      <c r="B764">
        <v>2015</v>
      </c>
      <c r="C764" s="1">
        <v>41992</v>
      </c>
      <c r="D764" t="s">
        <v>13</v>
      </c>
      <c r="E764">
        <v>0</v>
      </c>
      <c r="F764">
        <v>10</v>
      </c>
      <c r="G764">
        <v>19</v>
      </c>
      <c r="H764">
        <v>1</v>
      </c>
      <c r="I764" t="s">
        <v>13</v>
      </c>
      <c r="J764">
        <v>94</v>
      </c>
      <c r="K764" t="s">
        <v>34</v>
      </c>
      <c r="L764">
        <v>101</v>
      </c>
    </row>
    <row r="765" spans="1:12" x14ac:dyDescent="0.25">
      <c r="A765">
        <v>400578675</v>
      </c>
      <c r="B765">
        <v>2015</v>
      </c>
      <c r="C765" s="1">
        <v>41992</v>
      </c>
      <c r="D765" t="s">
        <v>34</v>
      </c>
      <c r="E765">
        <v>1</v>
      </c>
      <c r="F765">
        <v>8</v>
      </c>
      <c r="G765">
        <v>19</v>
      </c>
      <c r="H765">
        <v>0</v>
      </c>
      <c r="I765" t="s">
        <v>13</v>
      </c>
      <c r="J765">
        <v>94</v>
      </c>
      <c r="K765" t="s">
        <v>34</v>
      </c>
      <c r="L765">
        <v>101</v>
      </c>
    </row>
    <row r="766" spans="1:12" x14ac:dyDescent="0.25">
      <c r="A766">
        <v>400578676</v>
      </c>
      <c r="B766">
        <v>2015</v>
      </c>
      <c r="C766" s="1">
        <v>41992</v>
      </c>
      <c r="D766" t="s">
        <v>18</v>
      </c>
      <c r="E766">
        <v>1</v>
      </c>
      <c r="F766">
        <v>7</v>
      </c>
      <c r="G766">
        <v>19</v>
      </c>
      <c r="H766">
        <v>0</v>
      </c>
      <c r="I766" t="s">
        <v>21</v>
      </c>
      <c r="J766">
        <v>91</v>
      </c>
      <c r="K766" t="s">
        <v>18</v>
      </c>
      <c r="L766">
        <v>109</v>
      </c>
    </row>
    <row r="767" spans="1:12" x14ac:dyDescent="0.25">
      <c r="A767">
        <v>400578676</v>
      </c>
      <c r="B767">
        <v>2015</v>
      </c>
      <c r="C767" s="1">
        <v>41992</v>
      </c>
      <c r="D767" t="s">
        <v>21</v>
      </c>
      <c r="E767">
        <v>0</v>
      </c>
      <c r="F767">
        <v>2</v>
      </c>
      <c r="G767">
        <v>23</v>
      </c>
      <c r="H767">
        <v>1</v>
      </c>
      <c r="I767" t="s">
        <v>21</v>
      </c>
      <c r="J767">
        <v>91</v>
      </c>
      <c r="K767" t="s">
        <v>18</v>
      </c>
      <c r="L767">
        <v>109</v>
      </c>
    </row>
    <row r="768" spans="1:12" x14ac:dyDescent="0.25">
      <c r="A768">
        <v>400578677</v>
      </c>
      <c r="B768">
        <v>2015</v>
      </c>
      <c r="C768" s="1">
        <v>41992</v>
      </c>
      <c r="D768" t="s">
        <v>22</v>
      </c>
      <c r="E768">
        <v>1</v>
      </c>
      <c r="F768">
        <v>10</v>
      </c>
      <c r="G768">
        <v>14</v>
      </c>
      <c r="H768">
        <v>1</v>
      </c>
      <c r="I768" t="s">
        <v>22</v>
      </c>
      <c r="J768">
        <v>114</v>
      </c>
      <c r="K768" t="s">
        <v>29</v>
      </c>
      <c r="L768">
        <v>98</v>
      </c>
    </row>
    <row r="769" spans="1:12" x14ac:dyDescent="0.25">
      <c r="A769">
        <v>400578677</v>
      </c>
      <c r="B769">
        <v>2015</v>
      </c>
      <c r="C769" s="1">
        <v>41992</v>
      </c>
      <c r="D769" t="s">
        <v>29</v>
      </c>
      <c r="E769">
        <v>0</v>
      </c>
      <c r="F769">
        <v>5</v>
      </c>
      <c r="G769">
        <v>20</v>
      </c>
      <c r="H769">
        <v>0</v>
      </c>
      <c r="I769" t="s">
        <v>22</v>
      </c>
      <c r="J769">
        <v>114</v>
      </c>
      <c r="K769" t="s">
        <v>29</v>
      </c>
      <c r="L769">
        <v>98</v>
      </c>
    </row>
    <row r="770" spans="1:12" x14ac:dyDescent="0.25">
      <c r="A770">
        <v>400578678</v>
      </c>
      <c r="B770">
        <v>2015</v>
      </c>
      <c r="C770" s="1">
        <v>41992</v>
      </c>
      <c r="D770" t="s">
        <v>23</v>
      </c>
      <c r="E770">
        <v>0</v>
      </c>
      <c r="F770">
        <v>10</v>
      </c>
      <c r="G770">
        <v>15</v>
      </c>
      <c r="H770">
        <v>0</v>
      </c>
      <c r="I770" t="s">
        <v>40</v>
      </c>
      <c r="J770">
        <v>95</v>
      </c>
      <c r="K770" t="s">
        <v>23</v>
      </c>
      <c r="L770">
        <v>91</v>
      </c>
    </row>
    <row r="771" spans="1:12" x14ac:dyDescent="0.25">
      <c r="A771">
        <v>400578678</v>
      </c>
      <c r="B771">
        <v>2015</v>
      </c>
      <c r="C771" s="1">
        <v>41992</v>
      </c>
      <c r="D771" t="s">
        <v>40</v>
      </c>
      <c r="E771">
        <v>1</v>
      </c>
      <c r="F771">
        <v>15</v>
      </c>
      <c r="G771">
        <v>10</v>
      </c>
      <c r="H771">
        <v>1</v>
      </c>
      <c r="I771" t="s">
        <v>40</v>
      </c>
      <c r="J771">
        <v>95</v>
      </c>
      <c r="K771" t="s">
        <v>23</v>
      </c>
      <c r="L771">
        <v>91</v>
      </c>
    </row>
    <row r="772" spans="1:12" x14ac:dyDescent="0.25">
      <c r="A772">
        <v>400578679</v>
      </c>
      <c r="B772">
        <v>2015</v>
      </c>
      <c r="C772" s="1">
        <v>41992</v>
      </c>
      <c r="D772" t="s">
        <v>33</v>
      </c>
      <c r="E772">
        <v>0</v>
      </c>
      <c r="F772">
        <v>5</v>
      </c>
      <c r="G772">
        <v>22</v>
      </c>
      <c r="H772">
        <v>1</v>
      </c>
      <c r="I772" t="s">
        <v>33</v>
      </c>
      <c r="J772">
        <v>100</v>
      </c>
      <c r="K772" t="s">
        <v>27</v>
      </c>
      <c r="L772">
        <v>110</v>
      </c>
    </row>
    <row r="773" spans="1:12" x14ac:dyDescent="0.25">
      <c r="A773">
        <v>400578679</v>
      </c>
      <c r="B773">
        <v>2015</v>
      </c>
      <c r="C773" s="1">
        <v>41992</v>
      </c>
      <c r="D773" t="s">
        <v>27</v>
      </c>
      <c r="E773">
        <v>1</v>
      </c>
      <c r="F773">
        <v>21</v>
      </c>
      <c r="G773">
        <v>6</v>
      </c>
      <c r="H773">
        <v>0</v>
      </c>
      <c r="I773" t="s">
        <v>33</v>
      </c>
      <c r="J773">
        <v>100</v>
      </c>
      <c r="K773" t="s">
        <v>27</v>
      </c>
      <c r="L773">
        <v>110</v>
      </c>
    </row>
    <row r="774" spans="1:12" x14ac:dyDescent="0.25">
      <c r="A774">
        <v>400578680</v>
      </c>
      <c r="B774">
        <v>2015</v>
      </c>
      <c r="C774" s="1">
        <v>41992</v>
      </c>
      <c r="D774" t="s">
        <v>24</v>
      </c>
      <c r="E774">
        <v>0</v>
      </c>
      <c r="F774">
        <v>12</v>
      </c>
      <c r="G774">
        <v>15</v>
      </c>
      <c r="H774">
        <v>1</v>
      </c>
      <c r="I774" t="s">
        <v>24</v>
      </c>
      <c r="J774">
        <v>103</v>
      </c>
      <c r="K774" t="s">
        <v>25</v>
      </c>
      <c r="L774">
        <v>105</v>
      </c>
    </row>
    <row r="775" spans="1:12" x14ac:dyDescent="0.25">
      <c r="A775">
        <v>400578680</v>
      </c>
      <c r="B775">
        <v>2015</v>
      </c>
      <c r="C775" s="1">
        <v>41992</v>
      </c>
      <c r="D775" t="s">
        <v>25</v>
      </c>
      <c r="E775">
        <v>1</v>
      </c>
      <c r="F775">
        <v>19</v>
      </c>
      <c r="G775">
        <v>6</v>
      </c>
      <c r="H775">
        <v>0</v>
      </c>
      <c r="I775" t="s">
        <v>24</v>
      </c>
      <c r="J775">
        <v>103</v>
      </c>
      <c r="K775" t="s">
        <v>25</v>
      </c>
      <c r="L775">
        <v>105</v>
      </c>
    </row>
    <row r="776" spans="1:12" x14ac:dyDescent="0.25">
      <c r="A776">
        <v>400578681</v>
      </c>
      <c r="B776">
        <v>2015</v>
      </c>
      <c r="C776" s="1">
        <v>41992</v>
      </c>
      <c r="D776" t="s">
        <v>30</v>
      </c>
      <c r="E776">
        <v>1</v>
      </c>
      <c r="F776">
        <v>17</v>
      </c>
      <c r="G776">
        <v>9</v>
      </c>
      <c r="H776">
        <v>0</v>
      </c>
      <c r="I776" t="s">
        <v>28</v>
      </c>
      <c r="J776">
        <v>97</v>
      </c>
      <c r="K776" t="s">
        <v>30</v>
      </c>
      <c r="L776">
        <v>103</v>
      </c>
    </row>
    <row r="777" spans="1:12" x14ac:dyDescent="0.25">
      <c r="A777">
        <v>400578681</v>
      </c>
      <c r="B777">
        <v>2015</v>
      </c>
      <c r="C777" s="1">
        <v>41992</v>
      </c>
      <c r="D777" t="s">
        <v>28</v>
      </c>
      <c r="E777">
        <v>0</v>
      </c>
      <c r="F777">
        <v>21</v>
      </c>
      <c r="G777">
        <v>5</v>
      </c>
      <c r="H777">
        <v>1</v>
      </c>
      <c r="I777" t="s">
        <v>28</v>
      </c>
      <c r="J777">
        <v>97</v>
      </c>
      <c r="K777" t="s">
        <v>30</v>
      </c>
      <c r="L777">
        <v>103</v>
      </c>
    </row>
    <row r="778" spans="1:12" x14ac:dyDescent="0.25">
      <c r="A778">
        <v>400578682</v>
      </c>
      <c r="B778">
        <v>2015</v>
      </c>
      <c r="C778" s="1">
        <v>41992</v>
      </c>
      <c r="D778" t="s">
        <v>39</v>
      </c>
      <c r="E778">
        <v>1</v>
      </c>
      <c r="F778">
        <v>21</v>
      </c>
      <c r="G778">
        <v>6</v>
      </c>
      <c r="H778">
        <v>0</v>
      </c>
      <c r="I778" t="s">
        <v>15</v>
      </c>
      <c r="J778">
        <v>119</v>
      </c>
      <c r="K778" t="s">
        <v>39</v>
      </c>
      <c r="L778">
        <v>129</v>
      </c>
    </row>
    <row r="779" spans="1:12" x14ac:dyDescent="0.25">
      <c r="A779">
        <v>400578682</v>
      </c>
      <c r="B779">
        <v>2015</v>
      </c>
      <c r="C779" s="1">
        <v>41992</v>
      </c>
      <c r="D779" t="s">
        <v>15</v>
      </c>
      <c r="E779">
        <v>0</v>
      </c>
      <c r="F779">
        <v>17</v>
      </c>
      <c r="G779">
        <v>10</v>
      </c>
      <c r="H779">
        <v>1</v>
      </c>
      <c r="I779" t="s">
        <v>15</v>
      </c>
      <c r="J779">
        <v>119</v>
      </c>
      <c r="K779" t="s">
        <v>39</v>
      </c>
      <c r="L779">
        <v>129</v>
      </c>
    </row>
    <row r="780" spans="1:12" x14ac:dyDescent="0.25">
      <c r="A780">
        <v>400578683</v>
      </c>
      <c r="B780">
        <v>2015</v>
      </c>
      <c r="C780" s="1">
        <v>41992</v>
      </c>
      <c r="D780" t="s">
        <v>32</v>
      </c>
      <c r="E780">
        <v>1</v>
      </c>
      <c r="F780">
        <v>11</v>
      </c>
      <c r="G780">
        <v>15</v>
      </c>
      <c r="H780">
        <v>1</v>
      </c>
      <c r="I780" t="s">
        <v>32</v>
      </c>
      <c r="J780">
        <v>109</v>
      </c>
      <c r="K780" t="s">
        <v>41</v>
      </c>
      <c r="L780">
        <v>106</v>
      </c>
    </row>
    <row r="781" spans="1:12" x14ac:dyDescent="0.25">
      <c r="A781">
        <v>400578683</v>
      </c>
      <c r="B781">
        <v>2015</v>
      </c>
      <c r="C781" s="1">
        <v>41992</v>
      </c>
      <c r="D781" t="s">
        <v>41</v>
      </c>
      <c r="E781">
        <v>0</v>
      </c>
      <c r="F781">
        <v>18</v>
      </c>
      <c r="G781">
        <v>8</v>
      </c>
      <c r="H781">
        <v>0</v>
      </c>
      <c r="I781" t="s">
        <v>32</v>
      </c>
      <c r="J781">
        <v>109</v>
      </c>
      <c r="K781" t="s">
        <v>41</v>
      </c>
      <c r="L781">
        <v>106</v>
      </c>
    </row>
    <row r="782" spans="1:12" x14ac:dyDescent="0.25">
      <c r="A782">
        <v>400578684</v>
      </c>
      <c r="B782">
        <v>2015</v>
      </c>
      <c r="C782" s="1">
        <v>41992</v>
      </c>
      <c r="D782" t="s">
        <v>17</v>
      </c>
      <c r="E782">
        <v>0</v>
      </c>
      <c r="F782">
        <v>8</v>
      </c>
      <c r="G782">
        <v>18</v>
      </c>
      <c r="H782">
        <v>1</v>
      </c>
      <c r="I782" t="s">
        <v>17</v>
      </c>
      <c r="J782">
        <v>103</v>
      </c>
      <c r="K782" t="s">
        <v>38</v>
      </c>
      <c r="L782">
        <v>104</v>
      </c>
    </row>
    <row r="783" spans="1:12" x14ac:dyDescent="0.25">
      <c r="A783">
        <v>400578684</v>
      </c>
      <c r="B783">
        <v>2015</v>
      </c>
      <c r="C783" s="1">
        <v>41992</v>
      </c>
      <c r="D783" t="s">
        <v>38</v>
      </c>
      <c r="E783">
        <v>1</v>
      </c>
      <c r="F783">
        <v>13</v>
      </c>
      <c r="G783">
        <v>14</v>
      </c>
      <c r="H783">
        <v>0</v>
      </c>
      <c r="I783" t="s">
        <v>17</v>
      </c>
      <c r="J783">
        <v>103</v>
      </c>
      <c r="K783" t="s">
        <v>38</v>
      </c>
      <c r="L783">
        <v>104</v>
      </c>
    </row>
    <row r="784" spans="1:12" x14ac:dyDescent="0.25">
      <c r="A784">
        <v>400578685</v>
      </c>
      <c r="B784">
        <v>2015</v>
      </c>
      <c r="C784" s="1">
        <v>41993</v>
      </c>
      <c r="D784" t="s">
        <v>31</v>
      </c>
      <c r="E784">
        <v>0</v>
      </c>
      <c r="F784">
        <v>5</v>
      </c>
      <c r="G784">
        <v>24</v>
      </c>
      <c r="H784">
        <v>1</v>
      </c>
      <c r="I784" t="s">
        <v>31</v>
      </c>
      <c r="J784">
        <v>90</v>
      </c>
      <c r="K784" t="s">
        <v>35</v>
      </c>
      <c r="L784">
        <v>99</v>
      </c>
    </row>
    <row r="785" spans="1:12" x14ac:dyDescent="0.25">
      <c r="A785">
        <v>400578685</v>
      </c>
      <c r="B785">
        <v>2015</v>
      </c>
      <c r="C785" s="1">
        <v>41993</v>
      </c>
      <c r="D785" t="s">
        <v>35</v>
      </c>
      <c r="E785">
        <v>1</v>
      </c>
      <c r="F785">
        <v>14</v>
      </c>
      <c r="G785">
        <v>14</v>
      </c>
      <c r="H785">
        <v>0</v>
      </c>
      <c r="I785" t="s">
        <v>31</v>
      </c>
      <c r="J785">
        <v>90</v>
      </c>
      <c r="K785" t="s">
        <v>35</v>
      </c>
      <c r="L785">
        <v>99</v>
      </c>
    </row>
    <row r="786" spans="1:12" x14ac:dyDescent="0.25">
      <c r="A786">
        <v>400578686</v>
      </c>
      <c r="B786">
        <v>2015</v>
      </c>
      <c r="C786" s="1">
        <v>41993</v>
      </c>
      <c r="D786" t="s">
        <v>12</v>
      </c>
      <c r="E786">
        <v>0</v>
      </c>
      <c r="F786">
        <v>13</v>
      </c>
      <c r="G786">
        <v>13</v>
      </c>
      <c r="H786">
        <v>1</v>
      </c>
      <c r="I786" t="s">
        <v>12</v>
      </c>
      <c r="J786">
        <v>88</v>
      </c>
      <c r="K786" t="s">
        <v>39</v>
      </c>
      <c r="L786">
        <v>114</v>
      </c>
    </row>
    <row r="787" spans="1:12" x14ac:dyDescent="0.25">
      <c r="A787">
        <v>400578686</v>
      </c>
      <c r="B787">
        <v>2015</v>
      </c>
      <c r="C787" s="1">
        <v>41993</v>
      </c>
      <c r="D787" t="s">
        <v>39</v>
      </c>
      <c r="E787">
        <v>1</v>
      </c>
      <c r="F787">
        <v>22</v>
      </c>
      <c r="G787">
        <v>6</v>
      </c>
      <c r="H787">
        <v>0</v>
      </c>
      <c r="I787" t="s">
        <v>12</v>
      </c>
      <c r="J787">
        <v>88</v>
      </c>
      <c r="K787" t="s">
        <v>39</v>
      </c>
      <c r="L787">
        <v>114</v>
      </c>
    </row>
    <row r="788" spans="1:12" x14ac:dyDescent="0.25">
      <c r="A788">
        <v>400578687</v>
      </c>
      <c r="B788">
        <v>2015</v>
      </c>
      <c r="C788" s="1">
        <v>41993</v>
      </c>
      <c r="D788" t="s">
        <v>18</v>
      </c>
      <c r="E788">
        <v>1</v>
      </c>
      <c r="F788">
        <v>8</v>
      </c>
      <c r="G788">
        <v>19</v>
      </c>
      <c r="H788">
        <v>1</v>
      </c>
      <c r="I788" t="s">
        <v>18</v>
      </c>
      <c r="J788">
        <v>104</v>
      </c>
      <c r="K788" t="s">
        <v>34</v>
      </c>
      <c r="L788">
        <v>86</v>
      </c>
    </row>
    <row r="789" spans="1:12" x14ac:dyDescent="0.25">
      <c r="A789">
        <v>400578687</v>
      </c>
      <c r="B789">
        <v>2015</v>
      </c>
      <c r="C789" s="1">
        <v>41993</v>
      </c>
      <c r="D789" t="s">
        <v>34</v>
      </c>
      <c r="E789">
        <v>0</v>
      </c>
      <c r="F789">
        <v>8</v>
      </c>
      <c r="G789">
        <v>20</v>
      </c>
      <c r="H789">
        <v>0</v>
      </c>
      <c r="I789" t="s">
        <v>18</v>
      </c>
      <c r="J789">
        <v>104</v>
      </c>
      <c r="K789" t="s">
        <v>34</v>
      </c>
      <c r="L789">
        <v>86</v>
      </c>
    </row>
    <row r="790" spans="1:12" x14ac:dyDescent="0.25">
      <c r="A790">
        <v>400578688</v>
      </c>
      <c r="B790">
        <v>2015</v>
      </c>
      <c r="C790" s="1">
        <v>41993</v>
      </c>
      <c r="D790" t="s">
        <v>26</v>
      </c>
      <c r="E790">
        <v>1</v>
      </c>
      <c r="F790">
        <v>19</v>
      </c>
      <c r="G790">
        <v>7</v>
      </c>
      <c r="H790">
        <v>0</v>
      </c>
      <c r="I790" t="s">
        <v>16</v>
      </c>
      <c r="J790">
        <v>97</v>
      </c>
      <c r="K790" t="s">
        <v>26</v>
      </c>
      <c r="L790">
        <v>104</v>
      </c>
    </row>
    <row r="791" spans="1:12" x14ac:dyDescent="0.25">
      <c r="A791">
        <v>400578688</v>
      </c>
      <c r="B791">
        <v>2015</v>
      </c>
      <c r="C791" s="1">
        <v>41993</v>
      </c>
      <c r="D791" t="s">
        <v>16</v>
      </c>
      <c r="E791">
        <v>0</v>
      </c>
      <c r="F791">
        <v>19</v>
      </c>
      <c r="G791">
        <v>7</v>
      </c>
      <c r="H791">
        <v>1</v>
      </c>
      <c r="I791" t="s">
        <v>16</v>
      </c>
      <c r="J791">
        <v>97</v>
      </c>
      <c r="K791" t="s">
        <v>26</v>
      </c>
      <c r="L791">
        <v>104</v>
      </c>
    </row>
    <row r="792" spans="1:12" x14ac:dyDescent="0.25">
      <c r="A792">
        <v>400578689</v>
      </c>
      <c r="B792">
        <v>2015</v>
      </c>
      <c r="C792" s="1">
        <v>41993</v>
      </c>
      <c r="D792" t="s">
        <v>14</v>
      </c>
      <c r="E792">
        <v>1</v>
      </c>
      <c r="F792">
        <v>20</v>
      </c>
      <c r="G792">
        <v>8</v>
      </c>
      <c r="H792">
        <v>1</v>
      </c>
      <c r="I792" t="s">
        <v>14</v>
      </c>
      <c r="J792">
        <v>99</v>
      </c>
      <c r="K792" t="s">
        <v>15</v>
      </c>
      <c r="L792">
        <v>93</v>
      </c>
    </row>
    <row r="793" spans="1:12" x14ac:dyDescent="0.25">
      <c r="A793">
        <v>400578689</v>
      </c>
      <c r="B793">
        <v>2015</v>
      </c>
      <c r="C793" s="1">
        <v>41993</v>
      </c>
      <c r="D793" t="s">
        <v>15</v>
      </c>
      <c r="E793">
        <v>0</v>
      </c>
      <c r="F793">
        <v>17</v>
      </c>
      <c r="G793">
        <v>11</v>
      </c>
      <c r="H793">
        <v>0</v>
      </c>
      <c r="I793" t="s">
        <v>14</v>
      </c>
      <c r="J793">
        <v>99</v>
      </c>
      <c r="K793" t="s">
        <v>15</v>
      </c>
      <c r="L793">
        <v>93</v>
      </c>
    </row>
    <row r="794" spans="1:12" x14ac:dyDescent="0.25">
      <c r="A794">
        <v>400578690</v>
      </c>
      <c r="B794">
        <v>2015</v>
      </c>
      <c r="C794" s="1">
        <v>41993</v>
      </c>
      <c r="D794" t="s">
        <v>32</v>
      </c>
      <c r="E794">
        <v>1</v>
      </c>
      <c r="F794">
        <v>12</v>
      </c>
      <c r="G794">
        <v>15</v>
      </c>
      <c r="H794">
        <v>1</v>
      </c>
      <c r="I794" t="s">
        <v>32</v>
      </c>
      <c r="J794">
        <v>76</v>
      </c>
      <c r="K794" t="s">
        <v>20</v>
      </c>
      <c r="L794">
        <v>73</v>
      </c>
    </row>
    <row r="795" spans="1:12" x14ac:dyDescent="0.25">
      <c r="A795">
        <v>400578690</v>
      </c>
      <c r="B795">
        <v>2015</v>
      </c>
      <c r="C795" s="1">
        <v>41993</v>
      </c>
      <c r="D795" t="s">
        <v>20</v>
      </c>
      <c r="E795">
        <v>0</v>
      </c>
      <c r="F795">
        <v>8</v>
      </c>
      <c r="G795">
        <v>19</v>
      </c>
      <c r="H795">
        <v>0</v>
      </c>
      <c r="I795" t="s">
        <v>32</v>
      </c>
      <c r="J795">
        <v>76</v>
      </c>
      <c r="K795" t="s">
        <v>20</v>
      </c>
      <c r="L795">
        <v>73</v>
      </c>
    </row>
    <row r="796" spans="1:12" x14ac:dyDescent="0.25">
      <c r="A796">
        <v>400578691</v>
      </c>
      <c r="B796">
        <v>2015</v>
      </c>
      <c r="C796" s="1">
        <v>41993</v>
      </c>
      <c r="D796" t="s">
        <v>41</v>
      </c>
      <c r="E796">
        <v>1</v>
      </c>
      <c r="F796">
        <v>19</v>
      </c>
      <c r="G796">
        <v>8</v>
      </c>
      <c r="H796">
        <v>1</v>
      </c>
      <c r="I796" t="s">
        <v>41</v>
      </c>
      <c r="J796">
        <v>106</v>
      </c>
      <c r="K796" t="s">
        <v>19</v>
      </c>
      <c r="L796">
        <v>102</v>
      </c>
    </row>
    <row r="797" spans="1:12" x14ac:dyDescent="0.25">
      <c r="A797">
        <v>400578691</v>
      </c>
      <c r="B797">
        <v>2015</v>
      </c>
      <c r="C797" s="1">
        <v>41993</v>
      </c>
      <c r="D797" t="s">
        <v>19</v>
      </c>
      <c r="E797">
        <v>0</v>
      </c>
      <c r="F797">
        <v>14</v>
      </c>
      <c r="G797">
        <v>14</v>
      </c>
      <c r="H797">
        <v>0</v>
      </c>
      <c r="I797" t="s">
        <v>41</v>
      </c>
      <c r="J797">
        <v>106</v>
      </c>
      <c r="K797" t="s">
        <v>19</v>
      </c>
      <c r="L797">
        <v>102</v>
      </c>
    </row>
    <row r="798" spans="1:12" x14ac:dyDescent="0.25">
      <c r="A798">
        <v>400578692</v>
      </c>
      <c r="B798">
        <v>2015</v>
      </c>
      <c r="C798" s="1">
        <v>41994</v>
      </c>
      <c r="D798" t="s">
        <v>31</v>
      </c>
      <c r="E798">
        <v>0</v>
      </c>
      <c r="F798">
        <v>5</v>
      </c>
      <c r="G798">
        <v>25</v>
      </c>
      <c r="H798">
        <v>0</v>
      </c>
      <c r="I798" t="s">
        <v>27</v>
      </c>
      <c r="J798">
        <v>118</v>
      </c>
      <c r="K798" t="s">
        <v>31</v>
      </c>
      <c r="L798">
        <v>108</v>
      </c>
    </row>
    <row r="799" spans="1:12" x14ac:dyDescent="0.25">
      <c r="A799">
        <v>400578692</v>
      </c>
      <c r="B799">
        <v>2015</v>
      </c>
      <c r="C799" s="1">
        <v>41994</v>
      </c>
      <c r="D799" t="s">
        <v>27</v>
      </c>
      <c r="E799">
        <v>1</v>
      </c>
      <c r="F799">
        <v>22</v>
      </c>
      <c r="G799">
        <v>6</v>
      </c>
      <c r="H799">
        <v>1</v>
      </c>
      <c r="I799" t="s">
        <v>27</v>
      </c>
      <c r="J799">
        <v>118</v>
      </c>
      <c r="K799" t="s">
        <v>31</v>
      </c>
      <c r="L799">
        <v>108</v>
      </c>
    </row>
    <row r="800" spans="1:12" x14ac:dyDescent="0.25">
      <c r="A800">
        <v>400578693</v>
      </c>
      <c r="B800">
        <v>2015</v>
      </c>
      <c r="C800" s="1">
        <v>41994</v>
      </c>
      <c r="D800" t="s">
        <v>40</v>
      </c>
      <c r="E800">
        <v>1</v>
      </c>
      <c r="F800">
        <v>16</v>
      </c>
      <c r="G800">
        <v>10</v>
      </c>
      <c r="H800">
        <v>1</v>
      </c>
      <c r="I800" t="s">
        <v>40</v>
      </c>
      <c r="J800">
        <v>105</v>
      </c>
      <c r="K800" t="s">
        <v>28</v>
      </c>
      <c r="L800">
        <v>91</v>
      </c>
    </row>
    <row r="801" spans="1:12" x14ac:dyDescent="0.25">
      <c r="A801">
        <v>400578693</v>
      </c>
      <c r="B801">
        <v>2015</v>
      </c>
      <c r="C801" s="1">
        <v>41994</v>
      </c>
      <c r="D801" t="s">
        <v>28</v>
      </c>
      <c r="E801">
        <v>0</v>
      </c>
      <c r="F801">
        <v>21</v>
      </c>
      <c r="G801">
        <v>6</v>
      </c>
      <c r="H801">
        <v>0</v>
      </c>
      <c r="I801" t="s">
        <v>40</v>
      </c>
      <c r="J801">
        <v>105</v>
      </c>
      <c r="K801" t="s">
        <v>28</v>
      </c>
      <c r="L801">
        <v>91</v>
      </c>
    </row>
    <row r="802" spans="1:12" x14ac:dyDescent="0.25">
      <c r="A802">
        <v>400578694</v>
      </c>
      <c r="B802">
        <v>2015</v>
      </c>
      <c r="C802" s="1">
        <v>41994</v>
      </c>
      <c r="D802" t="s">
        <v>17</v>
      </c>
      <c r="E802">
        <v>0</v>
      </c>
      <c r="F802">
        <v>8</v>
      </c>
      <c r="G802">
        <v>19</v>
      </c>
      <c r="H802">
        <v>0</v>
      </c>
      <c r="I802" t="s">
        <v>37</v>
      </c>
      <c r="J802">
        <v>108</v>
      </c>
      <c r="K802" t="s">
        <v>17</v>
      </c>
      <c r="L802">
        <v>101</v>
      </c>
    </row>
    <row r="803" spans="1:12" x14ac:dyDescent="0.25">
      <c r="A803">
        <v>400578694</v>
      </c>
      <c r="B803">
        <v>2015</v>
      </c>
      <c r="C803" s="1">
        <v>41994</v>
      </c>
      <c r="D803" t="s">
        <v>37</v>
      </c>
      <c r="E803">
        <v>1</v>
      </c>
      <c r="F803">
        <v>12</v>
      </c>
      <c r="G803">
        <v>15</v>
      </c>
      <c r="H803">
        <v>1</v>
      </c>
      <c r="I803" t="s">
        <v>37</v>
      </c>
      <c r="J803">
        <v>108</v>
      </c>
      <c r="K803" t="s">
        <v>17</v>
      </c>
      <c r="L803">
        <v>101</v>
      </c>
    </row>
    <row r="804" spans="1:12" x14ac:dyDescent="0.25">
      <c r="A804">
        <v>400578695</v>
      </c>
      <c r="B804">
        <v>2015</v>
      </c>
      <c r="C804" s="1">
        <v>41994</v>
      </c>
      <c r="D804" t="s">
        <v>23</v>
      </c>
      <c r="E804">
        <v>1</v>
      </c>
      <c r="F804">
        <v>11</v>
      </c>
      <c r="G804">
        <v>15</v>
      </c>
      <c r="H804">
        <v>1</v>
      </c>
      <c r="I804" t="s">
        <v>23</v>
      </c>
      <c r="J804">
        <v>110</v>
      </c>
      <c r="K804" t="s">
        <v>33</v>
      </c>
      <c r="L804">
        <v>105</v>
      </c>
    </row>
    <row r="805" spans="1:12" x14ac:dyDescent="0.25">
      <c r="A805">
        <v>400578695</v>
      </c>
      <c r="B805">
        <v>2015</v>
      </c>
      <c r="C805" s="1">
        <v>41994</v>
      </c>
      <c r="D805" t="s">
        <v>33</v>
      </c>
      <c r="E805">
        <v>0</v>
      </c>
      <c r="F805">
        <v>5</v>
      </c>
      <c r="G805">
        <v>23</v>
      </c>
      <c r="H805">
        <v>0</v>
      </c>
      <c r="I805" t="s">
        <v>23</v>
      </c>
      <c r="J805">
        <v>110</v>
      </c>
      <c r="K805" t="s">
        <v>33</v>
      </c>
      <c r="L805">
        <v>105</v>
      </c>
    </row>
    <row r="806" spans="1:12" x14ac:dyDescent="0.25">
      <c r="A806">
        <v>400578696</v>
      </c>
      <c r="B806">
        <v>2015</v>
      </c>
      <c r="C806" s="1">
        <v>41994</v>
      </c>
      <c r="D806" t="s">
        <v>22</v>
      </c>
      <c r="E806">
        <v>0</v>
      </c>
      <c r="F806">
        <v>10</v>
      </c>
      <c r="G806">
        <v>15</v>
      </c>
      <c r="H806">
        <v>0</v>
      </c>
      <c r="I806" t="s">
        <v>24</v>
      </c>
      <c r="J806">
        <v>100</v>
      </c>
      <c r="K806" t="s">
        <v>22</v>
      </c>
      <c r="L806">
        <v>84</v>
      </c>
    </row>
    <row r="807" spans="1:12" x14ac:dyDescent="0.25">
      <c r="A807">
        <v>400578696</v>
      </c>
      <c r="B807">
        <v>2015</v>
      </c>
      <c r="C807" s="1">
        <v>41994</v>
      </c>
      <c r="D807" t="s">
        <v>24</v>
      </c>
      <c r="E807">
        <v>1</v>
      </c>
      <c r="F807">
        <v>13</v>
      </c>
      <c r="G807">
        <v>15</v>
      </c>
      <c r="H807">
        <v>1</v>
      </c>
      <c r="I807" t="s">
        <v>24</v>
      </c>
      <c r="J807">
        <v>100</v>
      </c>
      <c r="K807" t="s">
        <v>22</v>
      </c>
      <c r="L807">
        <v>84</v>
      </c>
    </row>
    <row r="808" spans="1:12" x14ac:dyDescent="0.25">
      <c r="A808">
        <v>400578697</v>
      </c>
      <c r="B808">
        <v>2015</v>
      </c>
      <c r="C808" s="1">
        <v>41994</v>
      </c>
      <c r="D808" t="s">
        <v>13</v>
      </c>
      <c r="E808">
        <v>0</v>
      </c>
      <c r="F808">
        <v>10</v>
      </c>
      <c r="G808">
        <v>20</v>
      </c>
      <c r="H808">
        <v>1</v>
      </c>
      <c r="I808" t="s">
        <v>13</v>
      </c>
      <c r="J808">
        <v>88</v>
      </c>
      <c r="K808" t="s">
        <v>21</v>
      </c>
      <c r="L808">
        <v>96</v>
      </c>
    </row>
    <row r="809" spans="1:12" x14ac:dyDescent="0.25">
      <c r="A809">
        <v>400578697</v>
      </c>
      <c r="B809">
        <v>2015</v>
      </c>
      <c r="C809" s="1">
        <v>41994</v>
      </c>
      <c r="D809" t="s">
        <v>21</v>
      </c>
      <c r="E809">
        <v>1</v>
      </c>
      <c r="F809">
        <v>3</v>
      </c>
      <c r="G809">
        <v>23</v>
      </c>
      <c r="H809">
        <v>0</v>
      </c>
      <c r="I809" t="s">
        <v>13</v>
      </c>
      <c r="J809">
        <v>88</v>
      </c>
      <c r="K809" t="s">
        <v>21</v>
      </c>
      <c r="L809">
        <v>96</v>
      </c>
    </row>
    <row r="810" spans="1:12" x14ac:dyDescent="0.25">
      <c r="A810">
        <v>400578698</v>
      </c>
      <c r="B810">
        <v>2015</v>
      </c>
      <c r="C810" s="1">
        <v>41994</v>
      </c>
      <c r="D810" t="s">
        <v>35</v>
      </c>
      <c r="E810">
        <v>1</v>
      </c>
      <c r="F810">
        <v>15</v>
      </c>
      <c r="G810">
        <v>14</v>
      </c>
      <c r="H810">
        <v>0</v>
      </c>
      <c r="I810" t="s">
        <v>25</v>
      </c>
      <c r="J810">
        <v>92</v>
      </c>
      <c r="K810" t="s">
        <v>35</v>
      </c>
      <c r="L810">
        <v>104</v>
      </c>
    </row>
    <row r="811" spans="1:12" x14ac:dyDescent="0.25">
      <c r="A811">
        <v>400578698</v>
      </c>
      <c r="B811">
        <v>2015</v>
      </c>
      <c r="C811" s="1">
        <v>41994</v>
      </c>
      <c r="D811" t="s">
        <v>25</v>
      </c>
      <c r="E811">
        <v>0</v>
      </c>
      <c r="F811">
        <v>19</v>
      </c>
      <c r="G811">
        <v>7</v>
      </c>
      <c r="H811">
        <v>1</v>
      </c>
      <c r="I811" t="s">
        <v>25</v>
      </c>
      <c r="J811">
        <v>92</v>
      </c>
      <c r="K811" t="s">
        <v>35</v>
      </c>
      <c r="L811">
        <v>104</v>
      </c>
    </row>
    <row r="812" spans="1:12" x14ac:dyDescent="0.25">
      <c r="A812">
        <v>400578699</v>
      </c>
      <c r="B812">
        <v>2015</v>
      </c>
      <c r="C812" s="1">
        <v>41994</v>
      </c>
      <c r="D812" t="s">
        <v>20</v>
      </c>
      <c r="E812">
        <v>1</v>
      </c>
      <c r="F812">
        <v>9</v>
      </c>
      <c r="G812">
        <v>19</v>
      </c>
      <c r="H812">
        <v>0</v>
      </c>
      <c r="I812" t="s">
        <v>29</v>
      </c>
      <c r="J812">
        <v>96</v>
      </c>
      <c r="K812" t="s">
        <v>20</v>
      </c>
      <c r="L812">
        <v>100</v>
      </c>
    </row>
    <row r="813" spans="1:12" x14ac:dyDescent="0.25">
      <c r="A813">
        <v>400578699</v>
      </c>
      <c r="B813">
        <v>2015</v>
      </c>
      <c r="C813" s="1">
        <v>41994</v>
      </c>
      <c r="D813" t="s">
        <v>29</v>
      </c>
      <c r="E813">
        <v>0</v>
      </c>
      <c r="F813">
        <v>5</v>
      </c>
      <c r="G813">
        <v>21</v>
      </c>
      <c r="H813">
        <v>1</v>
      </c>
      <c r="I813" t="s">
        <v>29</v>
      </c>
      <c r="J813">
        <v>96</v>
      </c>
      <c r="K813" t="s">
        <v>20</v>
      </c>
      <c r="L813">
        <v>100</v>
      </c>
    </row>
    <row r="814" spans="1:12" x14ac:dyDescent="0.25">
      <c r="A814">
        <v>400578700</v>
      </c>
      <c r="B814">
        <v>2015</v>
      </c>
      <c r="C814" s="1">
        <v>41994</v>
      </c>
      <c r="D814" t="s">
        <v>12</v>
      </c>
      <c r="E814">
        <v>1</v>
      </c>
      <c r="F814">
        <v>14</v>
      </c>
      <c r="G814">
        <v>13</v>
      </c>
      <c r="H814">
        <v>0</v>
      </c>
      <c r="I814" t="s">
        <v>38</v>
      </c>
      <c r="J814">
        <v>99</v>
      </c>
      <c r="K814" t="s">
        <v>12</v>
      </c>
      <c r="L814">
        <v>101</v>
      </c>
    </row>
    <row r="815" spans="1:12" x14ac:dyDescent="0.25">
      <c r="A815">
        <v>400578700</v>
      </c>
      <c r="B815">
        <v>2015</v>
      </c>
      <c r="C815" s="1">
        <v>41994</v>
      </c>
      <c r="D815" t="s">
        <v>38</v>
      </c>
      <c r="E815">
        <v>0</v>
      </c>
      <c r="F815">
        <v>13</v>
      </c>
      <c r="G815">
        <v>15</v>
      </c>
      <c r="H815">
        <v>1</v>
      </c>
      <c r="I815" t="s">
        <v>38</v>
      </c>
      <c r="J815">
        <v>99</v>
      </c>
      <c r="K815" t="s">
        <v>12</v>
      </c>
      <c r="L815">
        <v>101</v>
      </c>
    </row>
    <row r="816" spans="1:12" x14ac:dyDescent="0.25">
      <c r="A816">
        <v>400578701</v>
      </c>
      <c r="B816">
        <v>2015</v>
      </c>
      <c r="C816" s="1">
        <v>41995</v>
      </c>
      <c r="D816" t="s">
        <v>18</v>
      </c>
      <c r="E816">
        <v>1</v>
      </c>
      <c r="F816">
        <v>9</v>
      </c>
      <c r="G816">
        <v>19</v>
      </c>
      <c r="H816">
        <v>1</v>
      </c>
      <c r="I816" t="s">
        <v>18</v>
      </c>
      <c r="J816">
        <v>110</v>
      </c>
      <c r="K816" t="s">
        <v>32</v>
      </c>
      <c r="L816">
        <v>82</v>
      </c>
    </row>
    <row r="817" spans="1:12" x14ac:dyDescent="0.25">
      <c r="A817">
        <v>400578701</v>
      </c>
      <c r="B817">
        <v>2015</v>
      </c>
      <c r="C817" s="1">
        <v>41995</v>
      </c>
      <c r="D817" t="s">
        <v>32</v>
      </c>
      <c r="E817">
        <v>0</v>
      </c>
      <c r="F817">
        <v>12</v>
      </c>
      <c r="G817">
        <v>16</v>
      </c>
      <c r="H817">
        <v>0</v>
      </c>
      <c r="I817" t="s">
        <v>18</v>
      </c>
      <c r="J817">
        <v>110</v>
      </c>
      <c r="K817" t="s">
        <v>32</v>
      </c>
      <c r="L817">
        <v>82</v>
      </c>
    </row>
    <row r="818" spans="1:12" x14ac:dyDescent="0.25">
      <c r="A818">
        <v>400578702</v>
      </c>
      <c r="B818">
        <v>2015</v>
      </c>
      <c r="C818" s="1">
        <v>41995</v>
      </c>
      <c r="D818" t="s">
        <v>30</v>
      </c>
      <c r="E818">
        <v>1</v>
      </c>
      <c r="F818">
        <v>18</v>
      </c>
      <c r="G818">
        <v>9</v>
      </c>
      <c r="H818">
        <v>1</v>
      </c>
      <c r="I818" t="s">
        <v>30</v>
      </c>
      <c r="J818">
        <v>129</v>
      </c>
      <c r="K818" t="s">
        <v>27</v>
      </c>
      <c r="L818">
        <v>120</v>
      </c>
    </row>
    <row r="819" spans="1:12" x14ac:dyDescent="0.25">
      <c r="A819">
        <v>400578702</v>
      </c>
      <c r="B819">
        <v>2015</v>
      </c>
      <c r="C819" s="1">
        <v>41995</v>
      </c>
      <c r="D819" t="s">
        <v>27</v>
      </c>
      <c r="E819">
        <v>0</v>
      </c>
      <c r="F819">
        <v>22</v>
      </c>
      <c r="G819">
        <v>7</v>
      </c>
      <c r="H819">
        <v>0</v>
      </c>
      <c r="I819" t="s">
        <v>30</v>
      </c>
      <c r="J819">
        <v>129</v>
      </c>
      <c r="K819" t="s">
        <v>27</v>
      </c>
      <c r="L819">
        <v>120</v>
      </c>
    </row>
    <row r="820" spans="1:12" x14ac:dyDescent="0.25">
      <c r="A820">
        <v>400578703</v>
      </c>
      <c r="B820">
        <v>2015</v>
      </c>
      <c r="C820" s="1">
        <v>41995</v>
      </c>
      <c r="D820" t="s">
        <v>16</v>
      </c>
      <c r="E820">
        <v>1</v>
      </c>
      <c r="F820">
        <v>20</v>
      </c>
      <c r="G820">
        <v>7</v>
      </c>
      <c r="H820">
        <v>1</v>
      </c>
      <c r="I820" t="s">
        <v>16</v>
      </c>
      <c r="J820">
        <v>110</v>
      </c>
      <c r="K820" t="s">
        <v>39</v>
      </c>
      <c r="L820">
        <v>95</v>
      </c>
    </row>
    <row r="821" spans="1:12" x14ac:dyDescent="0.25">
      <c r="A821">
        <v>400578703</v>
      </c>
      <c r="B821">
        <v>2015</v>
      </c>
      <c r="C821" s="1">
        <v>41995</v>
      </c>
      <c r="D821" t="s">
        <v>39</v>
      </c>
      <c r="E821">
        <v>0</v>
      </c>
      <c r="F821">
        <v>22</v>
      </c>
      <c r="G821">
        <v>7</v>
      </c>
      <c r="H821">
        <v>0</v>
      </c>
      <c r="I821" t="s">
        <v>16</v>
      </c>
      <c r="J821">
        <v>110</v>
      </c>
      <c r="K821" t="s">
        <v>39</v>
      </c>
      <c r="L821">
        <v>95</v>
      </c>
    </row>
    <row r="822" spans="1:12" x14ac:dyDescent="0.25">
      <c r="A822">
        <v>400578704</v>
      </c>
      <c r="B822">
        <v>2015</v>
      </c>
      <c r="C822" s="1">
        <v>41995</v>
      </c>
      <c r="D822" t="s">
        <v>28</v>
      </c>
      <c r="E822">
        <v>0</v>
      </c>
      <c r="F822">
        <v>21</v>
      </c>
      <c r="G822">
        <v>7</v>
      </c>
      <c r="H822">
        <v>1</v>
      </c>
      <c r="I822" t="s">
        <v>28</v>
      </c>
      <c r="J822">
        <v>91</v>
      </c>
      <c r="K822" t="s">
        <v>34</v>
      </c>
      <c r="L822">
        <v>97</v>
      </c>
    </row>
    <row r="823" spans="1:12" x14ac:dyDescent="0.25">
      <c r="A823">
        <v>400578704</v>
      </c>
      <c r="B823">
        <v>2015</v>
      </c>
      <c r="C823" s="1">
        <v>41995</v>
      </c>
      <c r="D823" t="s">
        <v>34</v>
      </c>
      <c r="E823">
        <v>1</v>
      </c>
      <c r="F823">
        <v>9</v>
      </c>
      <c r="G823">
        <v>20</v>
      </c>
      <c r="H823">
        <v>0</v>
      </c>
      <c r="I823" t="s">
        <v>28</v>
      </c>
      <c r="J823">
        <v>91</v>
      </c>
      <c r="K823" t="s">
        <v>34</v>
      </c>
      <c r="L823">
        <v>97</v>
      </c>
    </row>
    <row r="824" spans="1:12" x14ac:dyDescent="0.25">
      <c r="A824">
        <v>400578705</v>
      </c>
      <c r="B824">
        <v>2015</v>
      </c>
      <c r="C824" s="1">
        <v>41995</v>
      </c>
      <c r="D824" t="s">
        <v>26</v>
      </c>
      <c r="E824">
        <v>1</v>
      </c>
      <c r="F824">
        <v>20</v>
      </c>
      <c r="G824">
        <v>7</v>
      </c>
      <c r="H824">
        <v>0</v>
      </c>
      <c r="I824" t="s">
        <v>14</v>
      </c>
      <c r="J824">
        <v>102</v>
      </c>
      <c r="K824" t="s">
        <v>26</v>
      </c>
      <c r="L824">
        <v>105</v>
      </c>
    </row>
    <row r="825" spans="1:12" x14ac:dyDescent="0.25">
      <c r="A825">
        <v>400578705</v>
      </c>
      <c r="B825">
        <v>2015</v>
      </c>
      <c r="C825" s="1">
        <v>41995</v>
      </c>
      <c r="D825" t="s">
        <v>14</v>
      </c>
      <c r="E825">
        <v>0</v>
      </c>
      <c r="F825">
        <v>20</v>
      </c>
      <c r="G825">
        <v>9</v>
      </c>
      <c r="H825">
        <v>1</v>
      </c>
      <c r="I825" t="s">
        <v>14</v>
      </c>
      <c r="J825">
        <v>102</v>
      </c>
      <c r="K825" t="s">
        <v>26</v>
      </c>
      <c r="L825">
        <v>105</v>
      </c>
    </row>
    <row r="826" spans="1:12" x14ac:dyDescent="0.25">
      <c r="A826">
        <v>400578706</v>
      </c>
      <c r="B826">
        <v>2015</v>
      </c>
      <c r="C826" s="1">
        <v>41995</v>
      </c>
      <c r="D826" t="s">
        <v>41</v>
      </c>
      <c r="E826">
        <v>0</v>
      </c>
      <c r="F826">
        <v>19</v>
      </c>
      <c r="G826">
        <v>9</v>
      </c>
      <c r="H826">
        <v>0</v>
      </c>
      <c r="I826" t="s">
        <v>15</v>
      </c>
      <c r="J826">
        <v>125</v>
      </c>
      <c r="K826" t="s">
        <v>41</v>
      </c>
      <c r="L826">
        <v>118</v>
      </c>
    </row>
    <row r="827" spans="1:12" x14ac:dyDescent="0.25">
      <c r="A827">
        <v>400578706</v>
      </c>
      <c r="B827">
        <v>2015</v>
      </c>
      <c r="C827" s="1">
        <v>41995</v>
      </c>
      <c r="D827" t="s">
        <v>15</v>
      </c>
      <c r="E827">
        <v>1</v>
      </c>
      <c r="F827">
        <v>18</v>
      </c>
      <c r="G827">
        <v>11</v>
      </c>
      <c r="H827">
        <v>1</v>
      </c>
      <c r="I827" t="s">
        <v>15</v>
      </c>
      <c r="J827">
        <v>125</v>
      </c>
      <c r="K827" t="s">
        <v>41</v>
      </c>
      <c r="L827">
        <v>118</v>
      </c>
    </row>
    <row r="828" spans="1:12" x14ac:dyDescent="0.25">
      <c r="A828">
        <v>400578707</v>
      </c>
      <c r="B828">
        <v>2015</v>
      </c>
      <c r="C828" s="1">
        <v>41995</v>
      </c>
      <c r="D828" t="s">
        <v>36</v>
      </c>
      <c r="E828">
        <v>1</v>
      </c>
      <c r="F828">
        <v>23</v>
      </c>
      <c r="G828">
        <v>3</v>
      </c>
      <c r="H828">
        <v>1</v>
      </c>
      <c r="I828" t="s">
        <v>36</v>
      </c>
      <c r="J828">
        <v>128</v>
      </c>
      <c r="K828" t="s">
        <v>37</v>
      </c>
      <c r="L828">
        <v>108</v>
      </c>
    </row>
    <row r="829" spans="1:12" x14ac:dyDescent="0.25">
      <c r="A829">
        <v>400578707</v>
      </c>
      <c r="B829">
        <v>2015</v>
      </c>
      <c r="C829" s="1">
        <v>41995</v>
      </c>
      <c r="D829" t="s">
        <v>37</v>
      </c>
      <c r="E829">
        <v>0</v>
      </c>
      <c r="F829">
        <v>12</v>
      </c>
      <c r="G829">
        <v>16</v>
      </c>
      <c r="H829">
        <v>0</v>
      </c>
      <c r="I829" t="s">
        <v>36</v>
      </c>
      <c r="J829">
        <v>128</v>
      </c>
      <c r="K829" t="s">
        <v>37</v>
      </c>
      <c r="L829">
        <v>108</v>
      </c>
    </row>
    <row r="830" spans="1:12" x14ac:dyDescent="0.25">
      <c r="A830">
        <v>400578708</v>
      </c>
      <c r="B830">
        <v>2015</v>
      </c>
      <c r="C830" s="1">
        <v>41996</v>
      </c>
      <c r="D830" t="s">
        <v>40</v>
      </c>
      <c r="E830">
        <v>1</v>
      </c>
      <c r="F830">
        <v>17</v>
      </c>
      <c r="G830">
        <v>10</v>
      </c>
      <c r="H830">
        <v>1</v>
      </c>
      <c r="I830" t="s">
        <v>40</v>
      </c>
      <c r="J830">
        <v>125</v>
      </c>
      <c r="K830" t="s">
        <v>29</v>
      </c>
      <c r="L830">
        <v>104</v>
      </c>
    </row>
    <row r="831" spans="1:12" x14ac:dyDescent="0.25">
      <c r="A831">
        <v>400578708</v>
      </c>
      <c r="B831">
        <v>2015</v>
      </c>
      <c r="C831" s="1">
        <v>41996</v>
      </c>
      <c r="D831" t="s">
        <v>29</v>
      </c>
      <c r="E831">
        <v>0</v>
      </c>
      <c r="F831">
        <v>5</v>
      </c>
      <c r="G831">
        <v>22</v>
      </c>
      <c r="H831">
        <v>0</v>
      </c>
      <c r="I831" t="s">
        <v>40</v>
      </c>
      <c r="J831">
        <v>125</v>
      </c>
      <c r="K831" t="s">
        <v>29</v>
      </c>
      <c r="L831">
        <v>104</v>
      </c>
    </row>
    <row r="832" spans="1:12" x14ac:dyDescent="0.25">
      <c r="A832">
        <v>400578709</v>
      </c>
      <c r="B832">
        <v>2015</v>
      </c>
      <c r="C832" s="1">
        <v>41996</v>
      </c>
      <c r="D832" t="s">
        <v>20</v>
      </c>
      <c r="E832">
        <v>1</v>
      </c>
      <c r="F832">
        <v>10</v>
      </c>
      <c r="G832">
        <v>19</v>
      </c>
      <c r="H832">
        <v>1</v>
      </c>
      <c r="I832" t="s">
        <v>20</v>
      </c>
      <c r="J832">
        <v>96</v>
      </c>
      <c r="K832" t="s">
        <v>12</v>
      </c>
      <c r="L832">
        <v>84</v>
      </c>
    </row>
    <row r="833" spans="1:12" x14ac:dyDescent="0.25">
      <c r="A833">
        <v>400578709</v>
      </c>
      <c r="B833">
        <v>2015</v>
      </c>
      <c r="C833" s="1">
        <v>41996</v>
      </c>
      <c r="D833" t="s">
        <v>12</v>
      </c>
      <c r="E833">
        <v>0</v>
      </c>
      <c r="F833">
        <v>14</v>
      </c>
      <c r="G833">
        <v>14</v>
      </c>
      <c r="H833">
        <v>0</v>
      </c>
      <c r="I833" t="s">
        <v>20</v>
      </c>
      <c r="J833">
        <v>96</v>
      </c>
      <c r="K833" t="s">
        <v>12</v>
      </c>
      <c r="L833">
        <v>84</v>
      </c>
    </row>
    <row r="834" spans="1:12" x14ac:dyDescent="0.25">
      <c r="A834">
        <v>400578710</v>
      </c>
      <c r="B834">
        <v>2015</v>
      </c>
      <c r="C834" s="1">
        <v>41996</v>
      </c>
      <c r="D834" t="s">
        <v>22</v>
      </c>
      <c r="E834">
        <v>0</v>
      </c>
      <c r="F834">
        <v>10</v>
      </c>
      <c r="G834">
        <v>16</v>
      </c>
      <c r="H834">
        <v>0</v>
      </c>
      <c r="I834" t="s">
        <v>13</v>
      </c>
      <c r="J834">
        <v>100</v>
      </c>
      <c r="K834" t="s">
        <v>22</v>
      </c>
      <c r="L834">
        <v>95</v>
      </c>
    </row>
    <row r="835" spans="1:12" x14ac:dyDescent="0.25">
      <c r="A835">
        <v>400578710</v>
      </c>
      <c r="B835">
        <v>2015</v>
      </c>
      <c r="C835" s="1">
        <v>41996</v>
      </c>
      <c r="D835" t="s">
        <v>13</v>
      </c>
      <c r="E835">
        <v>1</v>
      </c>
      <c r="F835">
        <v>11</v>
      </c>
      <c r="G835">
        <v>20</v>
      </c>
      <c r="H835">
        <v>1</v>
      </c>
      <c r="I835" t="s">
        <v>13</v>
      </c>
      <c r="J835">
        <v>100</v>
      </c>
      <c r="K835" t="s">
        <v>22</v>
      </c>
      <c r="L835">
        <v>95</v>
      </c>
    </row>
    <row r="836" spans="1:12" x14ac:dyDescent="0.25">
      <c r="A836">
        <v>400578711</v>
      </c>
      <c r="B836">
        <v>2015</v>
      </c>
      <c r="C836" s="1">
        <v>41996</v>
      </c>
      <c r="D836" t="s">
        <v>30</v>
      </c>
      <c r="E836">
        <v>1</v>
      </c>
      <c r="F836">
        <v>19</v>
      </c>
      <c r="G836">
        <v>9</v>
      </c>
      <c r="H836">
        <v>0</v>
      </c>
      <c r="I836" t="s">
        <v>25</v>
      </c>
      <c r="J836">
        <v>91</v>
      </c>
      <c r="K836" t="s">
        <v>30</v>
      </c>
      <c r="L836">
        <v>99</v>
      </c>
    </row>
    <row r="837" spans="1:12" x14ac:dyDescent="0.25">
      <c r="A837">
        <v>400578711</v>
      </c>
      <c r="B837">
        <v>2015</v>
      </c>
      <c r="C837" s="1">
        <v>41996</v>
      </c>
      <c r="D837" t="s">
        <v>25</v>
      </c>
      <c r="E837">
        <v>0</v>
      </c>
      <c r="F837">
        <v>19</v>
      </c>
      <c r="G837">
        <v>8</v>
      </c>
      <c r="H837">
        <v>1</v>
      </c>
      <c r="I837" t="s">
        <v>25</v>
      </c>
      <c r="J837">
        <v>91</v>
      </c>
      <c r="K837" t="s">
        <v>30</v>
      </c>
      <c r="L837">
        <v>99</v>
      </c>
    </row>
    <row r="838" spans="1:12" x14ac:dyDescent="0.25">
      <c r="A838">
        <v>400578712</v>
      </c>
      <c r="B838">
        <v>2015</v>
      </c>
      <c r="C838" s="1">
        <v>41996</v>
      </c>
      <c r="D838" t="s">
        <v>26</v>
      </c>
      <c r="E838">
        <v>1</v>
      </c>
      <c r="F838">
        <v>21</v>
      </c>
      <c r="G838">
        <v>7</v>
      </c>
      <c r="H838">
        <v>1</v>
      </c>
      <c r="I838" t="s">
        <v>26</v>
      </c>
      <c r="J838">
        <v>107</v>
      </c>
      <c r="K838" t="s">
        <v>41</v>
      </c>
      <c r="L838">
        <v>104</v>
      </c>
    </row>
    <row r="839" spans="1:12" x14ac:dyDescent="0.25">
      <c r="A839">
        <v>400578712</v>
      </c>
      <c r="B839">
        <v>2015</v>
      </c>
      <c r="C839" s="1">
        <v>41996</v>
      </c>
      <c r="D839" t="s">
        <v>41</v>
      </c>
      <c r="E839">
        <v>0</v>
      </c>
      <c r="F839">
        <v>19</v>
      </c>
      <c r="G839">
        <v>10</v>
      </c>
      <c r="H839">
        <v>0</v>
      </c>
      <c r="I839" t="s">
        <v>26</v>
      </c>
      <c r="J839">
        <v>107</v>
      </c>
      <c r="K839" t="s">
        <v>41</v>
      </c>
      <c r="L839">
        <v>104</v>
      </c>
    </row>
    <row r="840" spans="1:12" x14ac:dyDescent="0.25">
      <c r="A840">
        <v>400578713</v>
      </c>
      <c r="B840">
        <v>2015</v>
      </c>
      <c r="C840" s="1">
        <v>41996</v>
      </c>
      <c r="D840" t="s">
        <v>23</v>
      </c>
      <c r="E840">
        <v>1</v>
      </c>
      <c r="F840">
        <v>12</v>
      </c>
      <c r="G840">
        <v>15</v>
      </c>
      <c r="H840">
        <v>1</v>
      </c>
      <c r="I840" t="s">
        <v>23</v>
      </c>
      <c r="J840">
        <v>102</v>
      </c>
      <c r="K840" t="s">
        <v>32</v>
      </c>
      <c r="L840">
        <v>96</v>
      </c>
    </row>
    <row r="841" spans="1:12" x14ac:dyDescent="0.25">
      <c r="A841">
        <v>400578713</v>
      </c>
      <c r="B841">
        <v>2015</v>
      </c>
      <c r="C841" s="1">
        <v>41996</v>
      </c>
      <c r="D841" t="s">
        <v>32</v>
      </c>
      <c r="E841">
        <v>0</v>
      </c>
      <c r="F841">
        <v>12</v>
      </c>
      <c r="G841">
        <v>17</v>
      </c>
      <c r="H841">
        <v>0</v>
      </c>
      <c r="I841" t="s">
        <v>23</v>
      </c>
      <c r="J841">
        <v>102</v>
      </c>
      <c r="K841" t="s">
        <v>32</v>
      </c>
      <c r="L841">
        <v>96</v>
      </c>
    </row>
    <row r="842" spans="1:12" x14ac:dyDescent="0.25">
      <c r="A842">
        <v>400578714</v>
      </c>
      <c r="B842">
        <v>2015</v>
      </c>
      <c r="C842" s="1">
        <v>41996</v>
      </c>
      <c r="D842" t="s">
        <v>24</v>
      </c>
      <c r="E842">
        <v>0</v>
      </c>
      <c r="F842">
        <v>13</v>
      </c>
      <c r="G842">
        <v>16</v>
      </c>
      <c r="H842">
        <v>1</v>
      </c>
      <c r="I842" t="s">
        <v>24</v>
      </c>
      <c r="J842">
        <v>87</v>
      </c>
      <c r="K842" t="s">
        <v>21</v>
      </c>
      <c r="L842">
        <v>91</v>
      </c>
    </row>
    <row r="843" spans="1:12" x14ac:dyDescent="0.25">
      <c r="A843">
        <v>400578714</v>
      </c>
      <c r="B843">
        <v>2015</v>
      </c>
      <c r="C843" s="1">
        <v>41996</v>
      </c>
      <c r="D843" t="s">
        <v>21</v>
      </c>
      <c r="E843">
        <v>1</v>
      </c>
      <c r="F843">
        <v>4</v>
      </c>
      <c r="G843">
        <v>23</v>
      </c>
      <c r="H843">
        <v>0</v>
      </c>
      <c r="I843" t="s">
        <v>24</v>
      </c>
      <c r="J843">
        <v>87</v>
      </c>
      <c r="K843" t="s">
        <v>21</v>
      </c>
      <c r="L843">
        <v>91</v>
      </c>
    </row>
    <row r="844" spans="1:12" x14ac:dyDescent="0.25">
      <c r="A844">
        <v>400578715</v>
      </c>
      <c r="B844">
        <v>2015</v>
      </c>
      <c r="C844" s="1">
        <v>41996</v>
      </c>
      <c r="D844" t="s">
        <v>18</v>
      </c>
      <c r="E844">
        <v>1</v>
      </c>
      <c r="F844">
        <v>10</v>
      </c>
      <c r="G844">
        <v>19</v>
      </c>
      <c r="H844">
        <v>0</v>
      </c>
      <c r="I844" t="s">
        <v>19</v>
      </c>
      <c r="J844">
        <v>101</v>
      </c>
      <c r="K844" t="s">
        <v>18</v>
      </c>
      <c r="L844">
        <v>108</v>
      </c>
    </row>
    <row r="845" spans="1:12" x14ac:dyDescent="0.25">
      <c r="A845">
        <v>400578715</v>
      </c>
      <c r="B845">
        <v>2015</v>
      </c>
      <c r="C845" s="1">
        <v>41996</v>
      </c>
      <c r="D845" t="s">
        <v>19</v>
      </c>
      <c r="E845">
        <v>0</v>
      </c>
      <c r="F845">
        <v>14</v>
      </c>
      <c r="G845">
        <v>15</v>
      </c>
      <c r="H845">
        <v>1</v>
      </c>
      <c r="I845" t="s">
        <v>19</v>
      </c>
      <c r="J845">
        <v>101</v>
      </c>
      <c r="K845" t="s">
        <v>18</v>
      </c>
      <c r="L845">
        <v>108</v>
      </c>
    </row>
    <row r="846" spans="1:12" x14ac:dyDescent="0.25">
      <c r="A846">
        <v>400578716</v>
      </c>
      <c r="B846">
        <v>2015</v>
      </c>
      <c r="C846" s="1">
        <v>41996</v>
      </c>
      <c r="D846" t="s">
        <v>38</v>
      </c>
      <c r="E846">
        <v>0</v>
      </c>
      <c r="F846">
        <v>13</v>
      </c>
      <c r="G846">
        <v>16</v>
      </c>
      <c r="H846">
        <v>1</v>
      </c>
      <c r="I846" t="s">
        <v>38</v>
      </c>
      <c r="J846">
        <v>111</v>
      </c>
      <c r="K846" t="s">
        <v>39</v>
      </c>
      <c r="L846">
        <v>115</v>
      </c>
    </row>
    <row r="847" spans="1:12" x14ac:dyDescent="0.25">
      <c r="A847">
        <v>400578716</v>
      </c>
      <c r="B847">
        <v>2015</v>
      </c>
      <c r="C847" s="1">
        <v>41996</v>
      </c>
      <c r="D847" t="s">
        <v>39</v>
      </c>
      <c r="E847">
        <v>1</v>
      </c>
      <c r="F847">
        <v>23</v>
      </c>
      <c r="G847">
        <v>7</v>
      </c>
      <c r="H847">
        <v>0</v>
      </c>
      <c r="I847" t="s">
        <v>38</v>
      </c>
      <c r="J847">
        <v>111</v>
      </c>
      <c r="K847" t="s">
        <v>39</v>
      </c>
      <c r="L847">
        <v>115</v>
      </c>
    </row>
    <row r="848" spans="1:12" x14ac:dyDescent="0.25">
      <c r="A848">
        <v>400578717</v>
      </c>
      <c r="B848">
        <v>2015</v>
      </c>
      <c r="C848" s="1">
        <v>41996</v>
      </c>
      <c r="D848" t="s">
        <v>14</v>
      </c>
      <c r="E848">
        <v>0</v>
      </c>
      <c r="F848">
        <v>20</v>
      </c>
      <c r="G848">
        <v>10</v>
      </c>
      <c r="H848">
        <v>0</v>
      </c>
      <c r="I848" t="s">
        <v>35</v>
      </c>
      <c r="J848">
        <v>124</v>
      </c>
      <c r="K848" t="s">
        <v>14</v>
      </c>
      <c r="L848">
        <v>115</v>
      </c>
    </row>
    <row r="849" spans="1:12" x14ac:dyDescent="0.25">
      <c r="A849">
        <v>400578717</v>
      </c>
      <c r="B849">
        <v>2015</v>
      </c>
      <c r="C849" s="1">
        <v>41996</v>
      </c>
      <c r="D849" t="s">
        <v>35</v>
      </c>
      <c r="E849">
        <v>1</v>
      </c>
      <c r="F849">
        <v>16</v>
      </c>
      <c r="G849">
        <v>14</v>
      </c>
      <c r="H849">
        <v>1</v>
      </c>
      <c r="I849" t="s">
        <v>35</v>
      </c>
      <c r="J849">
        <v>124</v>
      </c>
      <c r="K849" t="s">
        <v>14</v>
      </c>
      <c r="L849">
        <v>115</v>
      </c>
    </row>
    <row r="850" spans="1:12" x14ac:dyDescent="0.25">
      <c r="A850">
        <v>400578718</v>
      </c>
      <c r="B850">
        <v>2015</v>
      </c>
      <c r="C850" s="1">
        <v>41996</v>
      </c>
      <c r="D850" t="s">
        <v>36</v>
      </c>
      <c r="E850">
        <v>0</v>
      </c>
      <c r="F850">
        <v>23</v>
      </c>
      <c r="G850">
        <v>4</v>
      </c>
      <c r="H850">
        <v>0</v>
      </c>
      <c r="I850" t="s">
        <v>17</v>
      </c>
      <c r="J850">
        <v>115</v>
      </c>
      <c r="K850" t="s">
        <v>36</v>
      </c>
      <c r="L850">
        <v>105</v>
      </c>
    </row>
    <row r="851" spans="1:12" x14ac:dyDescent="0.25">
      <c r="A851">
        <v>400578718</v>
      </c>
      <c r="B851">
        <v>2015</v>
      </c>
      <c r="C851" s="1">
        <v>41996</v>
      </c>
      <c r="D851" t="s">
        <v>17</v>
      </c>
      <c r="E851">
        <v>1</v>
      </c>
      <c r="F851">
        <v>9</v>
      </c>
      <c r="G851">
        <v>19</v>
      </c>
      <c r="H851">
        <v>1</v>
      </c>
      <c r="I851" t="s">
        <v>17</v>
      </c>
      <c r="J851">
        <v>115</v>
      </c>
      <c r="K851" t="s">
        <v>36</v>
      </c>
      <c r="L851">
        <v>105</v>
      </c>
    </row>
    <row r="852" spans="1:12" x14ac:dyDescent="0.25">
      <c r="A852">
        <v>400578719</v>
      </c>
      <c r="B852">
        <v>2015</v>
      </c>
      <c r="C852" s="1">
        <v>41998</v>
      </c>
      <c r="D852" t="s">
        <v>31</v>
      </c>
      <c r="E852">
        <v>0</v>
      </c>
      <c r="F852">
        <v>5</v>
      </c>
      <c r="G852">
        <v>26</v>
      </c>
      <c r="H852">
        <v>1</v>
      </c>
      <c r="I852" t="s">
        <v>31</v>
      </c>
      <c r="J852">
        <v>91</v>
      </c>
      <c r="K852" t="s">
        <v>25</v>
      </c>
      <c r="L852">
        <v>102</v>
      </c>
    </row>
    <row r="853" spans="1:12" x14ac:dyDescent="0.25">
      <c r="A853">
        <v>400578719</v>
      </c>
      <c r="B853">
        <v>2015</v>
      </c>
      <c r="C853" s="1">
        <v>41998</v>
      </c>
      <c r="D853" t="s">
        <v>25</v>
      </c>
      <c r="E853">
        <v>1</v>
      </c>
      <c r="F853">
        <v>20</v>
      </c>
      <c r="G853">
        <v>8</v>
      </c>
      <c r="H853">
        <v>0</v>
      </c>
      <c r="I853" t="s">
        <v>31</v>
      </c>
      <c r="J853">
        <v>91</v>
      </c>
      <c r="K853" t="s">
        <v>25</v>
      </c>
      <c r="L853">
        <v>102</v>
      </c>
    </row>
    <row r="854" spans="1:12" x14ac:dyDescent="0.25">
      <c r="A854">
        <v>400578720</v>
      </c>
      <c r="B854">
        <v>2015</v>
      </c>
      <c r="C854" s="1">
        <v>41998</v>
      </c>
      <c r="D854" t="s">
        <v>38</v>
      </c>
      <c r="E854">
        <v>1</v>
      </c>
      <c r="F854">
        <v>14</v>
      </c>
      <c r="G854">
        <v>16</v>
      </c>
      <c r="H854">
        <v>0</v>
      </c>
      <c r="I854" t="s">
        <v>15</v>
      </c>
      <c r="J854">
        <v>106</v>
      </c>
      <c r="K854" t="s">
        <v>38</v>
      </c>
      <c r="L854">
        <v>114</v>
      </c>
    </row>
    <row r="855" spans="1:12" x14ac:dyDescent="0.25">
      <c r="A855">
        <v>400578720</v>
      </c>
      <c r="B855">
        <v>2015</v>
      </c>
      <c r="C855" s="1">
        <v>41998</v>
      </c>
      <c r="D855" t="s">
        <v>15</v>
      </c>
      <c r="E855">
        <v>0</v>
      </c>
      <c r="F855">
        <v>18</v>
      </c>
      <c r="G855">
        <v>12</v>
      </c>
      <c r="H855">
        <v>1</v>
      </c>
      <c r="I855" t="s">
        <v>15</v>
      </c>
      <c r="J855">
        <v>106</v>
      </c>
      <c r="K855" t="s">
        <v>38</v>
      </c>
      <c r="L855">
        <v>114</v>
      </c>
    </row>
    <row r="856" spans="1:12" x14ac:dyDescent="0.25">
      <c r="A856">
        <v>400578721</v>
      </c>
      <c r="B856">
        <v>2015</v>
      </c>
      <c r="C856" s="1">
        <v>41998</v>
      </c>
      <c r="D856" t="s">
        <v>40</v>
      </c>
      <c r="E856">
        <v>0</v>
      </c>
      <c r="F856">
        <v>17</v>
      </c>
      <c r="G856">
        <v>11</v>
      </c>
      <c r="H856">
        <v>0</v>
      </c>
      <c r="I856" t="s">
        <v>24</v>
      </c>
      <c r="J856">
        <v>101</v>
      </c>
      <c r="K856" t="s">
        <v>40</v>
      </c>
      <c r="L856">
        <v>91</v>
      </c>
    </row>
    <row r="857" spans="1:12" x14ac:dyDescent="0.25">
      <c r="A857">
        <v>400578721</v>
      </c>
      <c r="B857">
        <v>2015</v>
      </c>
      <c r="C857" s="1">
        <v>41998</v>
      </c>
      <c r="D857" t="s">
        <v>24</v>
      </c>
      <c r="E857">
        <v>1</v>
      </c>
      <c r="F857">
        <v>14</v>
      </c>
      <c r="G857">
        <v>16</v>
      </c>
      <c r="H857">
        <v>1</v>
      </c>
      <c r="I857" t="s">
        <v>24</v>
      </c>
      <c r="J857">
        <v>101</v>
      </c>
      <c r="K857" t="s">
        <v>40</v>
      </c>
      <c r="L857">
        <v>91</v>
      </c>
    </row>
    <row r="858" spans="1:12" x14ac:dyDescent="0.25">
      <c r="A858">
        <v>400578722</v>
      </c>
      <c r="B858">
        <v>2015</v>
      </c>
      <c r="C858" s="1">
        <v>41998</v>
      </c>
      <c r="D858" t="s">
        <v>30</v>
      </c>
      <c r="E858">
        <v>1</v>
      </c>
      <c r="F858">
        <v>20</v>
      </c>
      <c r="G858">
        <v>9</v>
      </c>
      <c r="H858">
        <v>1</v>
      </c>
      <c r="I858" t="s">
        <v>30</v>
      </c>
      <c r="J858">
        <v>113</v>
      </c>
      <c r="K858" t="s">
        <v>17</v>
      </c>
      <c r="L858">
        <v>93</v>
      </c>
    </row>
    <row r="859" spans="1:12" x14ac:dyDescent="0.25">
      <c r="A859">
        <v>400578722</v>
      </c>
      <c r="B859">
        <v>2015</v>
      </c>
      <c r="C859" s="1">
        <v>41998</v>
      </c>
      <c r="D859" t="s">
        <v>17</v>
      </c>
      <c r="E859">
        <v>0</v>
      </c>
      <c r="F859">
        <v>9</v>
      </c>
      <c r="G859">
        <v>20</v>
      </c>
      <c r="H859">
        <v>0</v>
      </c>
      <c r="I859" t="s">
        <v>30</v>
      </c>
      <c r="J859">
        <v>113</v>
      </c>
      <c r="K859" t="s">
        <v>17</v>
      </c>
      <c r="L859">
        <v>93</v>
      </c>
    </row>
    <row r="860" spans="1:12" x14ac:dyDescent="0.25">
      <c r="A860">
        <v>400578723</v>
      </c>
      <c r="B860">
        <v>2015</v>
      </c>
      <c r="C860" s="1">
        <v>41998</v>
      </c>
      <c r="D860" t="s">
        <v>36</v>
      </c>
      <c r="E860">
        <v>0</v>
      </c>
      <c r="F860">
        <v>23</v>
      </c>
      <c r="G860">
        <v>5</v>
      </c>
      <c r="H860">
        <v>0</v>
      </c>
      <c r="I860" t="s">
        <v>41</v>
      </c>
      <c r="J860">
        <v>100</v>
      </c>
      <c r="K860" t="s">
        <v>36</v>
      </c>
      <c r="L860">
        <v>86</v>
      </c>
    </row>
    <row r="861" spans="1:12" x14ac:dyDescent="0.25">
      <c r="A861">
        <v>400578723</v>
      </c>
      <c r="B861">
        <v>2015</v>
      </c>
      <c r="C861" s="1">
        <v>41998</v>
      </c>
      <c r="D861" t="s">
        <v>41</v>
      </c>
      <c r="E861">
        <v>1</v>
      </c>
      <c r="F861">
        <v>20</v>
      </c>
      <c r="G861">
        <v>10</v>
      </c>
      <c r="H861">
        <v>1</v>
      </c>
      <c r="I861" t="s">
        <v>41</v>
      </c>
      <c r="J861">
        <v>100</v>
      </c>
      <c r="K861" t="s">
        <v>36</v>
      </c>
      <c r="L861">
        <v>86</v>
      </c>
    </row>
    <row r="862" spans="1:12" x14ac:dyDescent="0.25">
      <c r="A862">
        <v>400578724</v>
      </c>
      <c r="B862">
        <v>2015</v>
      </c>
      <c r="C862" s="1">
        <v>41999</v>
      </c>
      <c r="D862" t="s">
        <v>22</v>
      </c>
      <c r="E862">
        <v>0</v>
      </c>
      <c r="F862">
        <v>10</v>
      </c>
      <c r="G862">
        <v>17</v>
      </c>
      <c r="H862">
        <v>1</v>
      </c>
      <c r="I862" t="s">
        <v>22</v>
      </c>
      <c r="J862">
        <v>107</v>
      </c>
      <c r="K862" t="s">
        <v>23</v>
      </c>
      <c r="L862">
        <v>109</v>
      </c>
    </row>
    <row r="863" spans="1:12" x14ac:dyDescent="0.25">
      <c r="A863">
        <v>400578724</v>
      </c>
      <c r="B863">
        <v>2015</v>
      </c>
      <c r="C863" s="1">
        <v>41999</v>
      </c>
      <c r="D863" t="s">
        <v>23</v>
      </c>
      <c r="E863">
        <v>1</v>
      </c>
      <c r="F863">
        <v>13</v>
      </c>
      <c r="G863">
        <v>15</v>
      </c>
      <c r="H863">
        <v>0</v>
      </c>
      <c r="I863" t="s">
        <v>22</v>
      </c>
      <c r="J863">
        <v>107</v>
      </c>
      <c r="K863" t="s">
        <v>23</v>
      </c>
      <c r="L863">
        <v>109</v>
      </c>
    </row>
    <row r="864" spans="1:12" x14ac:dyDescent="0.25">
      <c r="A864">
        <v>400578725</v>
      </c>
      <c r="B864">
        <v>2015</v>
      </c>
      <c r="C864" s="1">
        <v>41999</v>
      </c>
      <c r="D864" t="s">
        <v>40</v>
      </c>
      <c r="E864">
        <v>1</v>
      </c>
      <c r="F864">
        <v>18</v>
      </c>
      <c r="G864">
        <v>11</v>
      </c>
      <c r="H864">
        <v>0</v>
      </c>
      <c r="I864" t="s">
        <v>13</v>
      </c>
      <c r="J864">
        <v>89</v>
      </c>
      <c r="K864" t="s">
        <v>40</v>
      </c>
      <c r="L864">
        <v>98</v>
      </c>
    </row>
    <row r="865" spans="1:12" x14ac:dyDescent="0.25">
      <c r="A865">
        <v>400578725</v>
      </c>
      <c r="B865">
        <v>2015</v>
      </c>
      <c r="C865" s="1">
        <v>41999</v>
      </c>
      <c r="D865" t="s">
        <v>13</v>
      </c>
      <c r="E865">
        <v>0</v>
      </c>
      <c r="F865">
        <v>11</v>
      </c>
      <c r="G865">
        <v>21</v>
      </c>
      <c r="H865">
        <v>1</v>
      </c>
      <c r="I865" t="s">
        <v>13</v>
      </c>
      <c r="J865">
        <v>89</v>
      </c>
      <c r="K865" t="s">
        <v>40</v>
      </c>
      <c r="L865">
        <v>98</v>
      </c>
    </row>
    <row r="866" spans="1:12" x14ac:dyDescent="0.25">
      <c r="A866">
        <v>400578726</v>
      </c>
      <c r="B866">
        <v>2015</v>
      </c>
      <c r="C866" s="1">
        <v>41999</v>
      </c>
      <c r="D866" t="s">
        <v>26</v>
      </c>
      <c r="E866">
        <v>0</v>
      </c>
      <c r="F866">
        <v>21</v>
      </c>
      <c r="G866">
        <v>8</v>
      </c>
      <c r="H866">
        <v>1</v>
      </c>
      <c r="I866" t="s">
        <v>26</v>
      </c>
      <c r="J866">
        <v>77</v>
      </c>
      <c r="K866" t="s">
        <v>19</v>
      </c>
      <c r="L866">
        <v>107</v>
      </c>
    </row>
    <row r="867" spans="1:12" x14ac:dyDescent="0.25">
      <c r="A867">
        <v>400578726</v>
      </c>
      <c r="B867">
        <v>2015</v>
      </c>
      <c r="C867" s="1">
        <v>41999</v>
      </c>
      <c r="D867" t="s">
        <v>19</v>
      </c>
      <c r="E867">
        <v>1</v>
      </c>
      <c r="F867">
        <v>15</v>
      </c>
      <c r="G867">
        <v>15</v>
      </c>
      <c r="H867">
        <v>0</v>
      </c>
      <c r="I867" t="s">
        <v>26</v>
      </c>
      <c r="J867">
        <v>77</v>
      </c>
      <c r="K867" t="s">
        <v>19</v>
      </c>
      <c r="L867">
        <v>107</v>
      </c>
    </row>
    <row r="868" spans="1:12" x14ac:dyDescent="0.25">
      <c r="A868">
        <v>400578727</v>
      </c>
      <c r="B868">
        <v>2015</v>
      </c>
      <c r="C868" s="1">
        <v>41999</v>
      </c>
      <c r="D868" t="s">
        <v>33</v>
      </c>
      <c r="E868">
        <v>1</v>
      </c>
      <c r="F868">
        <v>6</v>
      </c>
      <c r="G868">
        <v>23</v>
      </c>
      <c r="H868">
        <v>1</v>
      </c>
      <c r="I868" t="s">
        <v>33</v>
      </c>
      <c r="J868">
        <v>119</v>
      </c>
      <c r="K868" t="s">
        <v>20</v>
      </c>
      <c r="L868">
        <v>109</v>
      </c>
    </row>
    <row r="869" spans="1:12" x14ac:dyDescent="0.25">
      <c r="A869">
        <v>400578727</v>
      </c>
      <c r="B869">
        <v>2015</v>
      </c>
      <c r="C869" s="1">
        <v>41999</v>
      </c>
      <c r="D869" t="s">
        <v>20</v>
      </c>
      <c r="E869">
        <v>0</v>
      </c>
      <c r="F869">
        <v>10</v>
      </c>
      <c r="G869">
        <v>20</v>
      </c>
      <c r="H869">
        <v>0</v>
      </c>
      <c r="I869" t="s">
        <v>33</v>
      </c>
      <c r="J869">
        <v>119</v>
      </c>
      <c r="K869" t="s">
        <v>20</v>
      </c>
      <c r="L869">
        <v>109</v>
      </c>
    </row>
    <row r="870" spans="1:12" x14ac:dyDescent="0.25">
      <c r="A870">
        <v>400578728</v>
      </c>
      <c r="B870">
        <v>2015</v>
      </c>
      <c r="C870" s="1">
        <v>41999</v>
      </c>
      <c r="D870" t="s">
        <v>16</v>
      </c>
      <c r="E870">
        <v>1</v>
      </c>
      <c r="F870">
        <v>21</v>
      </c>
      <c r="G870">
        <v>7</v>
      </c>
      <c r="H870">
        <v>0</v>
      </c>
      <c r="I870" t="s">
        <v>28</v>
      </c>
      <c r="J870">
        <v>111</v>
      </c>
      <c r="K870" t="s">
        <v>16</v>
      </c>
      <c r="L870">
        <v>117</v>
      </c>
    </row>
    <row r="871" spans="1:12" x14ac:dyDescent="0.25">
      <c r="A871">
        <v>400578728</v>
      </c>
      <c r="B871">
        <v>2015</v>
      </c>
      <c r="C871" s="1">
        <v>41999</v>
      </c>
      <c r="D871" t="s">
        <v>28</v>
      </c>
      <c r="E871">
        <v>0</v>
      </c>
      <c r="F871">
        <v>21</v>
      </c>
      <c r="G871">
        <v>8</v>
      </c>
      <c r="H871">
        <v>1</v>
      </c>
      <c r="I871" t="s">
        <v>28</v>
      </c>
      <c r="J871">
        <v>111</v>
      </c>
      <c r="K871" t="s">
        <v>16</v>
      </c>
      <c r="L871">
        <v>117</v>
      </c>
    </row>
    <row r="872" spans="1:12" x14ac:dyDescent="0.25">
      <c r="A872">
        <v>400578729</v>
      </c>
      <c r="B872">
        <v>2015</v>
      </c>
      <c r="C872" s="1">
        <v>41999</v>
      </c>
      <c r="D872" t="s">
        <v>12</v>
      </c>
      <c r="E872">
        <v>1</v>
      </c>
      <c r="F872">
        <v>15</v>
      </c>
      <c r="G872">
        <v>14</v>
      </c>
      <c r="H872">
        <v>1</v>
      </c>
      <c r="I872" t="s">
        <v>12</v>
      </c>
      <c r="J872">
        <v>97</v>
      </c>
      <c r="K872" t="s">
        <v>15</v>
      </c>
      <c r="L872">
        <v>90</v>
      </c>
    </row>
    <row r="873" spans="1:12" x14ac:dyDescent="0.25">
      <c r="A873">
        <v>400578729</v>
      </c>
      <c r="B873">
        <v>2015</v>
      </c>
      <c r="C873" s="1">
        <v>41999</v>
      </c>
      <c r="D873" t="s">
        <v>15</v>
      </c>
      <c r="E873">
        <v>0</v>
      </c>
      <c r="F873">
        <v>18</v>
      </c>
      <c r="G873">
        <v>13</v>
      </c>
      <c r="H873">
        <v>0</v>
      </c>
      <c r="I873" t="s">
        <v>12</v>
      </c>
      <c r="J873">
        <v>97</v>
      </c>
      <c r="K873" t="s">
        <v>15</v>
      </c>
      <c r="L873">
        <v>90</v>
      </c>
    </row>
    <row r="874" spans="1:12" x14ac:dyDescent="0.25">
      <c r="A874">
        <v>400578730</v>
      </c>
      <c r="B874">
        <v>2015</v>
      </c>
      <c r="C874" s="1">
        <v>41999</v>
      </c>
      <c r="D874" t="s">
        <v>18</v>
      </c>
      <c r="E874">
        <v>0</v>
      </c>
      <c r="F874">
        <v>10</v>
      </c>
      <c r="G874">
        <v>20</v>
      </c>
      <c r="H874">
        <v>0</v>
      </c>
      <c r="I874" t="s">
        <v>38</v>
      </c>
      <c r="J874">
        <v>98</v>
      </c>
      <c r="K874" t="s">
        <v>18</v>
      </c>
      <c r="L874">
        <v>75</v>
      </c>
    </row>
    <row r="875" spans="1:12" x14ac:dyDescent="0.25">
      <c r="A875">
        <v>400578730</v>
      </c>
      <c r="B875">
        <v>2015</v>
      </c>
      <c r="C875" s="1">
        <v>41999</v>
      </c>
      <c r="D875" t="s">
        <v>38</v>
      </c>
      <c r="E875">
        <v>1</v>
      </c>
      <c r="F875">
        <v>15</v>
      </c>
      <c r="G875">
        <v>16</v>
      </c>
      <c r="H875">
        <v>1</v>
      </c>
      <c r="I875" t="s">
        <v>38</v>
      </c>
      <c r="J875">
        <v>98</v>
      </c>
      <c r="K875" t="s">
        <v>18</v>
      </c>
      <c r="L875">
        <v>75</v>
      </c>
    </row>
    <row r="876" spans="1:12" x14ac:dyDescent="0.25">
      <c r="A876">
        <v>400578731</v>
      </c>
      <c r="B876">
        <v>2015</v>
      </c>
      <c r="C876" s="1">
        <v>41999</v>
      </c>
      <c r="D876" t="s">
        <v>14</v>
      </c>
      <c r="E876">
        <v>1</v>
      </c>
      <c r="F876">
        <v>21</v>
      </c>
      <c r="G876">
        <v>10</v>
      </c>
      <c r="H876">
        <v>1</v>
      </c>
      <c r="I876" t="s">
        <v>14</v>
      </c>
      <c r="J876">
        <v>102</v>
      </c>
      <c r="K876" t="s">
        <v>17</v>
      </c>
      <c r="L876">
        <v>98</v>
      </c>
    </row>
    <row r="877" spans="1:12" x14ac:dyDescent="0.25">
      <c r="A877">
        <v>400578731</v>
      </c>
      <c r="B877">
        <v>2015</v>
      </c>
      <c r="C877" s="1">
        <v>41999</v>
      </c>
      <c r="D877" t="s">
        <v>17</v>
      </c>
      <c r="E877">
        <v>0</v>
      </c>
      <c r="F877">
        <v>9</v>
      </c>
      <c r="G877">
        <v>21</v>
      </c>
      <c r="H877">
        <v>0</v>
      </c>
      <c r="I877" t="s">
        <v>14</v>
      </c>
      <c r="J877">
        <v>102</v>
      </c>
      <c r="K877" t="s">
        <v>17</v>
      </c>
      <c r="L877">
        <v>98</v>
      </c>
    </row>
    <row r="878" spans="1:12" x14ac:dyDescent="0.25">
      <c r="A878">
        <v>400578732</v>
      </c>
      <c r="B878">
        <v>2015</v>
      </c>
      <c r="C878" s="1">
        <v>41999</v>
      </c>
      <c r="D878" t="s">
        <v>32</v>
      </c>
      <c r="E878">
        <v>1</v>
      </c>
      <c r="F878">
        <v>13</v>
      </c>
      <c r="G878">
        <v>17</v>
      </c>
      <c r="H878">
        <v>1</v>
      </c>
      <c r="I878" t="s">
        <v>32</v>
      </c>
      <c r="J878">
        <v>106</v>
      </c>
      <c r="K878" t="s">
        <v>29</v>
      </c>
      <c r="L878">
        <v>102</v>
      </c>
    </row>
    <row r="879" spans="1:12" x14ac:dyDescent="0.25">
      <c r="A879">
        <v>400578732</v>
      </c>
      <c r="B879">
        <v>2015</v>
      </c>
      <c r="C879" s="1">
        <v>41999</v>
      </c>
      <c r="D879" t="s">
        <v>29</v>
      </c>
      <c r="E879">
        <v>0</v>
      </c>
      <c r="F879">
        <v>5</v>
      </c>
      <c r="G879">
        <v>23</v>
      </c>
      <c r="H879">
        <v>0</v>
      </c>
      <c r="I879" t="s">
        <v>32</v>
      </c>
      <c r="J879">
        <v>106</v>
      </c>
      <c r="K879" t="s">
        <v>29</v>
      </c>
      <c r="L879">
        <v>102</v>
      </c>
    </row>
    <row r="880" spans="1:12" x14ac:dyDescent="0.25">
      <c r="A880">
        <v>400578733</v>
      </c>
      <c r="B880">
        <v>2015</v>
      </c>
      <c r="C880" s="1">
        <v>41999</v>
      </c>
      <c r="D880" t="s">
        <v>21</v>
      </c>
      <c r="E880">
        <v>0</v>
      </c>
      <c r="F880">
        <v>4</v>
      </c>
      <c r="G880">
        <v>24</v>
      </c>
      <c r="H880">
        <v>0</v>
      </c>
      <c r="I880" t="s">
        <v>39</v>
      </c>
      <c r="J880">
        <v>114</v>
      </c>
      <c r="K880" t="s">
        <v>21</v>
      </c>
      <c r="L880">
        <v>93</v>
      </c>
    </row>
    <row r="881" spans="1:12" x14ac:dyDescent="0.25">
      <c r="A881">
        <v>400578733</v>
      </c>
      <c r="B881">
        <v>2015</v>
      </c>
      <c r="C881" s="1">
        <v>41999</v>
      </c>
      <c r="D881" t="s">
        <v>39</v>
      </c>
      <c r="E881">
        <v>1</v>
      </c>
      <c r="F881">
        <v>24</v>
      </c>
      <c r="G881">
        <v>7</v>
      </c>
      <c r="H881">
        <v>1</v>
      </c>
      <c r="I881" t="s">
        <v>39</v>
      </c>
      <c r="J881">
        <v>114</v>
      </c>
      <c r="K881" t="s">
        <v>21</v>
      </c>
      <c r="L881">
        <v>93</v>
      </c>
    </row>
    <row r="882" spans="1:12" x14ac:dyDescent="0.25">
      <c r="A882">
        <v>400578734</v>
      </c>
      <c r="B882">
        <v>2015</v>
      </c>
      <c r="C882" s="1">
        <v>41999</v>
      </c>
      <c r="D882" t="s">
        <v>35</v>
      </c>
      <c r="E882">
        <v>1</v>
      </c>
      <c r="F882">
        <v>17</v>
      </c>
      <c r="G882">
        <v>14</v>
      </c>
      <c r="H882">
        <v>0</v>
      </c>
      <c r="I882" t="s">
        <v>37</v>
      </c>
      <c r="J882">
        <v>106</v>
      </c>
      <c r="K882" t="s">
        <v>35</v>
      </c>
      <c r="L882">
        <v>115</v>
      </c>
    </row>
    <row r="883" spans="1:12" x14ac:dyDescent="0.25">
      <c r="A883">
        <v>400578734</v>
      </c>
      <c r="B883">
        <v>2015</v>
      </c>
      <c r="C883" s="1">
        <v>41999</v>
      </c>
      <c r="D883" t="s">
        <v>37</v>
      </c>
      <c r="E883">
        <v>0</v>
      </c>
      <c r="F883">
        <v>12</v>
      </c>
      <c r="G883">
        <v>17</v>
      </c>
      <c r="H883">
        <v>1</v>
      </c>
      <c r="I883" t="s">
        <v>37</v>
      </c>
      <c r="J883">
        <v>106</v>
      </c>
      <c r="K883" t="s">
        <v>35</v>
      </c>
      <c r="L883">
        <v>115</v>
      </c>
    </row>
    <row r="884" spans="1:12" x14ac:dyDescent="0.25">
      <c r="A884">
        <v>400578735</v>
      </c>
      <c r="B884">
        <v>2015</v>
      </c>
      <c r="C884" s="1">
        <v>42000</v>
      </c>
      <c r="D884" t="s">
        <v>41</v>
      </c>
      <c r="E884">
        <v>0</v>
      </c>
      <c r="F884">
        <v>20</v>
      </c>
      <c r="G884">
        <v>11</v>
      </c>
      <c r="H884">
        <v>1</v>
      </c>
      <c r="I884" t="s">
        <v>41</v>
      </c>
      <c r="J884">
        <v>98</v>
      </c>
      <c r="K884" t="s">
        <v>27</v>
      </c>
      <c r="L884">
        <v>110</v>
      </c>
    </row>
    <row r="885" spans="1:12" x14ac:dyDescent="0.25">
      <c r="A885">
        <v>400578735</v>
      </c>
      <c r="B885">
        <v>2015</v>
      </c>
      <c r="C885" s="1">
        <v>42000</v>
      </c>
      <c r="D885" t="s">
        <v>27</v>
      </c>
      <c r="E885">
        <v>1</v>
      </c>
      <c r="F885">
        <v>23</v>
      </c>
      <c r="G885">
        <v>7</v>
      </c>
      <c r="H885">
        <v>0</v>
      </c>
      <c r="I885" t="s">
        <v>41</v>
      </c>
      <c r="J885">
        <v>98</v>
      </c>
      <c r="K885" t="s">
        <v>27</v>
      </c>
      <c r="L885">
        <v>110</v>
      </c>
    </row>
    <row r="886" spans="1:12" x14ac:dyDescent="0.25">
      <c r="A886">
        <v>400578736</v>
      </c>
      <c r="B886">
        <v>2015</v>
      </c>
      <c r="C886" s="1">
        <v>42000</v>
      </c>
      <c r="D886" t="s">
        <v>18</v>
      </c>
      <c r="E886">
        <v>0</v>
      </c>
      <c r="F886">
        <v>10</v>
      </c>
      <c r="G886">
        <v>21</v>
      </c>
      <c r="H886">
        <v>1</v>
      </c>
      <c r="I886" t="s">
        <v>18</v>
      </c>
      <c r="J886">
        <v>94</v>
      </c>
      <c r="K886" t="s">
        <v>13</v>
      </c>
      <c r="L886">
        <v>102</v>
      </c>
    </row>
    <row r="887" spans="1:12" x14ac:dyDescent="0.25">
      <c r="A887">
        <v>400578736</v>
      </c>
      <c r="B887">
        <v>2015</v>
      </c>
      <c r="C887" s="1">
        <v>42000</v>
      </c>
      <c r="D887" t="s">
        <v>13</v>
      </c>
      <c r="E887">
        <v>1</v>
      </c>
      <c r="F887">
        <v>12</v>
      </c>
      <c r="G887">
        <v>21</v>
      </c>
      <c r="H887">
        <v>0</v>
      </c>
      <c r="I887" t="s">
        <v>18</v>
      </c>
      <c r="J887">
        <v>94</v>
      </c>
      <c r="K887" t="s">
        <v>13</v>
      </c>
      <c r="L887">
        <v>102</v>
      </c>
    </row>
    <row r="888" spans="1:12" x14ac:dyDescent="0.25">
      <c r="A888">
        <v>400578737</v>
      </c>
      <c r="B888">
        <v>2015</v>
      </c>
      <c r="C888" s="1">
        <v>42000</v>
      </c>
      <c r="D888" t="s">
        <v>22</v>
      </c>
      <c r="E888">
        <v>0</v>
      </c>
      <c r="F888">
        <v>10</v>
      </c>
      <c r="G888">
        <v>18</v>
      </c>
      <c r="H888">
        <v>0</v>
      </c>
      <c r="I888" t="s">
        <v>25</v>
      </c>
      <c r="J888">
        <v>101</v>
      </c>
      <c r="K888" t="s">
        <v>22</v>
      </c>
      <c r="L888">
        <v>88</v>
      </c>
    </row>
    <row r="889" spans="1:12" x14ac:dyDescent="0.25">
      <c r="A889">
        <v>400578737</v>
      </c>
      <c r="B889">
        <v>2015</v>
      </c>
      <c r="C889" s="1">
        <v>42000</v>
      </c>
      <c r="D889" t="s">
        <v>25</v>
      </c>
      <c r="E889">
        <v>1</v>
      </c>
      <c r="F889">
        <v>21</v>
      </c>
      <c r="G889">
        <v>8</v>
      </c>
      <c r="H889">
        <v>1</v>
      </c>
      <c r="I889" t="s">
        <v>25</v>
      </c>
      <c r="J889">
        <v>101</v>
      </c>
      <c r="K889" t="s">
        <v>22</v>
      </c>
      <c r="L889">
        <v>88</v>
      </c>
    </row>
    <row r="890" spans="1:12" x14ac:dyDescent="0.25">
      <c r="A890">
        <v>400578738</v>
      </c>
      <c r="B890">
        <v>2015</v>
      </c>
      <c r="C890" s="1">
        <v>42000</v>
      </c>
      <c r="D890" t="s">
        <v>28</v>
      </c>
      <c r="E890">
        <v>1</v>
      </c>
      <c r="F890">
        <v>22</v>
      </c>
      <c r="G890">
        <v>8</v>
      </c>
      <c r="H890">
        <v>0</v>
      </c>
      <c r="I890" t="s">
        <v>24</v>
      </c>
      <c r="J890">
        <v>95</v>
      </c>
      <c r="K890" t="s">
        <v>28</v>
      </c>
      <c r="L890">
        <v>103</v>
      </c>
    </row>
    <row r="891" spans="1:12" x14ac:dyDescent="0.25">
      <c r="A891">
        <v>400578738</v>
      </c>
      <c r="B891">
        <v>2015</v>
      </c>
      <c r="C891" s="1">
        <v>42000</v>
      </c>
      <c r="D891" t="s">
        <v>24</v>
      </c>
      <c r="E891">
        <v>0</v>
      </c>
      <c r="F891">
        <v>14</v>
      </c>
      <c r="G891">
        <v>17</v>
      </c>
      <c r="H891">
        <v>1</v>
      </c>
      <c r="I891" t="s">
        <v>24</v>
      </c>
      <c r="J891">
        <v>95</v>
      </c>
      <c r="K891" t="s">
        <v>28</v>
      </c>
      <c r="L891">
        <v>103</v>
      </c>
    </row>
    <row r="892" spans="1:12" x14ac:dyDescent="0.25">
      <c r="A892">
        <v>400578739</v>
      </c>
      <c r="B892">
        <v>2015</v>
      </c>
      <c r="C892" s="1">
        <v>42000</v>
      </c>
      <c r="D892" t="s">
        <v>30</v>
      </c>
      <c r="E892">
        <v>1</v>
      </c>
      <c r="F892">
        <v>21</v>
      </c>
      <c r="G892">
        <v>9</v>
      </c>
      <c r="H892">
        <v>1</v>
      </c>
      <c r="I892" t="s">
        <v>30</v>
      </c>
      <c r="J892">
        <v>107</v>
      </c>
      <c r="K892" t="s">
        <v>12</v>
      </c>
      <c r="L892">
        <v>100</v>
      </c>
    </row>
    <row r="893" spans="1:12" x14ac:dyDescent="0.25">
      <c r="A893">
        <v>400578739</v>
      </c>
      <c r="B893">
        <v>2015</v>
      </c>
      <c r="C893" s="1">
        <v>42000</v>
      </c>
      <c r="D893" t="s">
        <v>12</v>
      </c>
      <c r="E893">
        <v>0</v>
      </c>
      <c r="F893">
        <v>15</v>
      </c>
      <c r="G893">
        <v>15</v>
      </c>
      <c r="H893">
        <v>0</v>
      </c>
      <c r="I893" t="s">
        <v>30</v>
      </c>
      <c r="J893">
        <v>107</v>
      </c>
      <c r="K893" t="s">
        <v>12</v>
      </c>
      <c r="L893">
        <v>100</v>
      </c>
    </row>
    <row r="894" spans="1:12" x14ac:dyDescent="0.25">
      <c r="A894">
        <v>400578740</v>
      </c>
      <c r="B894">
        <v>2015</v>
      </c>
      <c r="C894" s="1">
        <v>42000</v>
      </c>
      <c r="D894" t="s">
        <v>23</v>
      </c>
      <c r="E894">
        <v>0</v>
      </c>
      <c r="F894">
        <v>13</v>
      </c>
      <c r="G894">
        <v>16</v>
      </c>
      <c r="H894">
        <v>1</v>
      </c>
      <c r="I894" t="s">
        <v>23</v>
      </c>
      <c r="J894">
        <v>85</v>
      </c>
      <c r="K894" t="s">
        <v>20</v>
      </c>
      <c r="L894">
        <v>110</v>
      </c>
    </row>
    <row r="895" spans="1:12" x14ac:dyDescent="0.25">
      <c r="A895">
        <v>400578740</v>
      </c>
      <c r="B895">
        <v>2015</v>
      </c>
      <c r="C895" s="1">
        <v>42000</v>
      </c>
      <c r="D895" t="s">
        <v>20</v>
      </c>
      <c r="E895">
        <v>1</v>
      </c>
      <c r="F895">
        <v>11</v>
      </c>
      <c r="G895">
        <v>20</v>
      </c>
      <c r="H895">
        <v>0</v>
      </c>
      <c r="I895" t="s">
        <v>23</v>
      </c>
      <c r="J895">
        <v>85</v>
      </c>
      <c r="K895" t="s">
        <v>20</v>
      </c>
      <c r="L895">
        <v>110</v>
      </c>
    </row>
    <row r="896" spans="1:12" x14ac:dyDescent="0.25">
      <c r="A896">
        <v>400578741</v>
      </c>
      <c r="B896">
        <v>2015</v>
      </c>
      <c r="C896" s="1">
        <v>42000</v>
      </c>
      <c r="D896" t="s">
        <v>26</v>
      </c>
      <c r="E896">
        <v>1</v>
      </c>
      <c r="F896">
        <v>22</v>
      </c>
      <c r="G896">
        <v>8</v>
      </c>
      <c r="H896">
        <v>0</v>
      </c>
      <c r="I896" t="s">
        <v>19</v>
      </c>
      <c r="J896">
        <v>85</v>
      </c>
      <c r="K896" t="s">
        <v>26</v>
      </c>
      <c r="L896">
        <v>90</v>
      </c>
    </row>
    <row r="897" spans="1:12" x14ac:dyDescent="0.25">
      <c r="A897">
        <v>400578741</v>
      </c>
      <c r="B897">
        <v>2015</v>
      </c>
      <c r="C897" s="1">
        <v>42000</v>
      </c>
      <c r="D897" t="s">
        <v>19</v>
      </c>
      <c r="E897">
        <v>0</v>
      </c>
      <c r="F897">
        <v>15</v>
      </c>
      <c r="G897">
        <v>16</v>
      </c>
      <c r="H897">
        <v>1</v>
      </c>
      <c r="I897" t="s">
        <v>19</v>
      </c>
      <c r="J897">
        <v>85</v>
      </c>
      <c r="K897" t="s">
        <v>26</v>
      </c>
      <c r="L897">
        <v>90</v>
      </c>
    </row>
    <row r="898" spans="1:12" x14ac:dyDescent="0.25">
      <c r="A898">
        <v>400578742</v>
      </c>
      <c r="B898">
        <v>2015</v>
      </c>
      <c r="C898" s="1">
        <v>42000</v>
      </c>
      <c r="D898" t="s">
        <v>21</v>
      </c>
      <c r="E898">
        <v>0</v>
      </c>
      <c r="F898">
        <v>4</v>
      </c>
      <c r="G898">
        <v>25</v>
      </c>
      <c r="H898">
        <v>0</v>
      </c>
      <c r="I898" t="s">
        <v>34</v>
      </c>
      <c r="J898">
        <v>88</v>
      </c>
      <c r="K898" t="s">
        <v>21</v>
      </c>
      <c r="L898">
        <v>71</v>
      </c>
    </row>
    <row r="899" spans="1:12" x14ac:dyDescent="0.25">
      <c r="A899">
        <v>400578742</v>
      </c>
      <c r="B899">
        <v>2015</v>
      </c>
      <c r="C899" s="1">
        <v>42000</v>
      </c>
      <c r="D899" t="s">
        <v>34</v>
      </c>
      <c r="E899">
        <v>1</v>
      </c>
      <c r="F899">
        <v>10</v>
      </c>
      <c r="G899">
        <v>20</v>
      </c>
      <c r="H899">
        <v>1</v>
      </c>
      <c r="I899" t="s">
        <v>34</v>
      </c>
      <c r="J899">
        <v>88</v>
      </c>
      <c r="K899" t="s">
        <v>21</v>
      </c>
      <c r="L899">
        <v>71</v>
      </c>
    </row>
    <row r="900" spans="1:12" x14ac:dyDescent="0.25">
      <c r="A900">
        <v>400578743</v>
      </c>
      <c r="B900">
        <v>2015</v>
      </c>
      <c r="C900" s="1">
        <v>42000</v>
      </c>
      <c r="D900" t="s">
        <v>31</v>
      </c>
      <c r="E900">
        <v>0</v>
      </c>
      <c r="F900">
        <v>5</v>
      </c>
      <c r="G900">
        <v>27</v>
      </c>
      <c r="H900">
        <v>0</v>
      </c>
      <c r="I900" t="s">
        <v>37</v>
      </c>
      <c r="J900">
        <v>135</v>
      </c>
      <c r="K900" t="s">
        <v>31</v>
      </c>
      <c r="L900">
        <v>129</v>
      </c>
    </row>
    <row r="901" spans="1:12" x14ac:dyDescent="0.25">
      <c r="A901">
        <v>400578743</v>
      </c>
      <c r="B901">
        <v>2015</v>
      </c>
      <c r="C901" s="1">
        <v>42000</v>
      </c>
      <c r="D901" t="s">
        <v>37</v>
      </c>
      <c r="E901">
        <v>1</v>
      </c>
      <c r="F901">
        <v>13</v>
      </c>
      <c r="G901">
        <v>17</v>
      </c>
      <c r="H901">
        <v>1</v>
      </c>
      <c r="I901" t="s">
        <v>37</v>
      </c>
      <c r="J901">
        <v>135</v>
      </c>
      <c r="K901" t="s">
        <v>31</v>
      </c>
      <c r="L901">
        <v>129</v>
      </c>
    </row>
    <row r="902" spans="1:12" x14ac:dyDescent="0.25">
      <c r="A902">
        <v>400578744</v>
      </c>
      <c r="B902">
        <v>2015</v>
      </c>
      <c r="C902" s="1">
        <v>42000</v>
      </c>
      <c r="D902" t="s">
        <v>36</v>
      </c>
      <c r="E902">
        <v>1</v>
      </c>
      <c r="F902">
        <v>24</v>
      </c>
      <c r="G902">
        <v>5</v>
      </c>
      <c r="H902">
        <v>1</v>
      </c>
      <c r="I902" t="s">
        <v>36</v>
      </c>
      <c r="J902">
        <v>110</v>
      </c>
      <c r="K902" t="s">
        <v>29</v>
      </c>
      <c r="L902">
        <v>97</v>
      </c>
    </row>
    <row r="903" spans="1:12" x14ac:dyDescent="0.25">
      <c r="A903">
        <v>400578744</v>
      </c>
      <c r="B903">
        <v>2015</v>
      </c>
      <c r="C903" s="1">
        <v>42000</v>
      </c>
      <c r="D903" t="s">
        <v>29</v>
      </c>
      <c r="E903">
        <v>0</v>
      </c>
      <c r="F903">
        <v>5</v>
      </c>
      <c r="G903">
        <v>24</v>
      </c>
      <c r="H903">
        <v>0</v>
      </c>
      <c r="I903" t="s">
        <v>36</v>
      </c>
      <c r="J903">
        <v>110</v>
      </c>
      <c r="K903" t="s">
        <v>29</v>
      </c>
      <c r="L903">
        <v>97</v>
      </c>
    </row>
    <row r="904" spans="1:12" x14ac:dyDescent="0.25">
      <c r="A904">
        <v>400578745</v>
      </c>
      <c r="B904">
        <v>2015</v>
      </c>
      <c r="C904" s="1">
        <v>42001</v>
      </c>
      <c r="D904" t="s">
        <v>40</v>
      </c>
      <c r="E904">
        <v>0</v>
      </c>
      <c r="F904">
        <v>18</v>
      </c>
      <c r="G904">
        <v>12</v>
      </c>
      <c r="H904">
        <v>1</v>
      </c>
      <c r="I904" t="s">
        <v>40</v>
      </c>
      <c r="J904">
        <v>80</v>
      </c>
      <c r="K904" t="s">
        <v>33</v>
      </c>
      <c r="L904">
        <v>103</v>
      </c>
    </row>
    <row r="905" spans="1:12" x14ac:dyDescent="0.25">
      <c r="A905">
        <v>400578745</v>
      </c>
      <c r="B905">
        <v>2015</v>
      </c>
      <c r="C905" s="1">
        <v>42001</v>
      </c>
      <c r="D905" t="s">
        <v>33</v>
      </c>
      <c r="E905">
        <v>1</v>
      </c>
      <c r="F905">
        <v>7</v>
      </c>
      <c r="G905">
        <v>23</v>
      </c>
      <c r="H905">
        <v>0</v>
      </c>
      <c r="I905" t="s">
        <v>40</v>
      </c>
      <c r="J905">
        <v>80</v>
      </c>
      <c r="K905" t="s">
        <v>33</v>
      </c>
      <c r="L905">
        <v>103</v>
      </c>
    </row>
    <row r="906" spans="1:12" x14ac:dyDescent="0.25">
      <c r="A906">
        <v>400578746</v>
      </c>
      <c r="B906">
        <v>2015</v>
      </c>
      <c r="C906" s="1">
        <v>42001</v>
      </c>
      <c r="D906" t="s">
        <v>16</v>
      </c>
      <c r="E906">
        <v>0</v>
      </c>
      <c r="F906">
        <v>21</v>
      </c>
      <c r="G906">
        <v>8</v>
      </c>
      <c r="H906">
        <v>0</v>
      </c>
      <c r="I906" t="s">
        <v>15</v>
      </c>
      <c r="J906">
        <v>110</v>
      </c>
      <c r="K906" t="s">
        <v>16</v>
      </c>
      <c r="L906">
        <v>106</v>
      </c>
    </row>
    <row r="907" spans="1:12" x14ac:dyDescent="0.25">
      <c r="A907">
        <v>400578746</v>
      </c>
      <c r="B907">
        <v>2015</v>
      </c>
      <c r="C907" s="1">
        <v>42001</v>
      </c>
      <c r="D907" t="s">
        <v>15</v>
      </c>
      <c r="E907">
        <v>1</v>
      </c>
      <c r="F907">
        <v>19</v>
      </c>
      <c r="G907">
        <v>13</v>
      </c>
      <c r="H907">
        <v>1</v>
      </c>
      <c r="I907" t="s">
        <v>15</v>
      </c>
      <c r="J907">
        <v>110</v>
      </c>
      <c r="K907" t="s">
        <v>16</v>
      </c>
      <c r="L907">
        <v>106</v>
      </c>
    </row>
    <row r="908" spans="1:12" x14ac:dyDescent="0.25">
      <c r="A908">
        <v>400578747</v>
      </c>
      <c r="B908">
        <v>2015</v>
      </c>
      <c r="C908" s="1">
        <v>42001</v>
      </c>
      <c r="D908" t="s">
        <v>14</v>
      </c>
      <c r="E908">
        <v>1</v>
      </c>
      <c r="F908">
        <v>22</v>
      </c>
      <c r="G908">
        <v>10</v>
      </c>
      <c r="H908">
        <v>1</v>
      </c>
      <c r="I908" t="s">
        <v>14</v>
      </c>
      <c r="J908">
        <v>112</v>
      </c>
      <c r="K908" t="s">
        <v>38</v>
      </c>
      <c r="L908">
        <v>107</v>
      </c>
    </row>
    <row r="909" spans="1:12" x14ac:dyDescent="0.25">
      <c r="A909">
        <v>400578747</v>
      </c>
      <c r="B909">
        <v>2015</v>
      </c>
      <c r="C909" s="1">
        <v>42001</v>
      </c>
      <c r="D909" t="s">
        <v>38</v>
      </c>
      <c r="E909">
        <v>0</v>
      </c>
      <c r="F909">
        <v>15</v>
      </c>
      <c r="G909">
        <v>17</v>
      </c>
      <c r="H909">
        <v>0</v>
      </c>
      <c r="I909" t="s">
        <v>14</v>
      </c>
      <c r="J909">
        <v>112</v>
      </c>
      <c r="K909" t="s">
        <v>38</v>
      </c>
      <c r="L909">
        <v>107</v>
      </c>
    </row>
    <row r="910" spans="1:12" x14ac:dyDescent="0.25">
      <c r="A910">
        <v>400578748</v>
      </c>
      <c r="B910">
        <v>2015</v>
      </c>
      <c r="C910" s="1">
        <v>42001</v>
      </c>
      <c r="D910" t="s">
        <v>31</v>
      </c>
      <c r="E910">
        <v>0</v>
      </c>
      <c r="F910">
        <v>5</v>
      </c>
      <c r="G910">
        <v>28</v>
      </c>
      <c r="H910">
        <v>0</v>
      </c>
      <c r="I910" t="s">
        <v>39</v>
      </c>
      <c r="J910">
        <v>101</v>
      </c>
      <c r="K910" t="s">
        <v>31</v>
      </c>
      <c r="L910">
        <v>79</v>
      </c>
    </row>
    <row r="911" spans="1:12" x14ac:dyDescent="0.25">
      <c r="A911">
        <v>400578748</v>
      </c>
      <c r="B911">
        <v>2015</v>
      </c>
      <c r="C911" s="1">
        <v>42001</v>
      </c>
      <c r="D911" t="s">
        <v>39</v>
      </c>
      <c r="E911">
        <v>1</v>
      </c>
      <c r="F911">
        <v>25</v>
      </c>
      <c r="G911">
        <v>7</v>
      </c>
      <c r="H911">
        <v>1</v>
      </c>
      <c r="I911" t="s">
        <v>39</v>
      </c>
      <c r="J911">
        <v>101</v>
      </c>
      <c r="K911" t="s">
        <v>31</v>
      </c>
      <c r="L911">
        <v>79</v>
      </c>
    </row>
    <row r="912" spans="1:12" x14ac:dyDescent="0.25">
      <c r="A912">
        <v>400578749</v>
      </c>
      <c r="B912">
        <v>2015</v>
      </c>
      <c r="C912" s="1">
        <v>42001</v>
      </c>
      <c r="D912" t="s">
        <v>32</v>
      </c>
      <c r="E912">
        <v>0</v>
      </c>
      <c r="F912">
        <v>13</v>
      </c>
      <c r="G912">
        <v>18</v>
      </c>
      <c r="H912">
        <v>1</v>
      </c>
      <c r="I912" t="s">
        <v>32</v>
      </c>
      <c r="J912">
        <v>102</v>
      </c>
      <c r="K912" t="s">
        <v>27</v>
      </c>
      <c r="L912">
        <v>116</v>
      </c>
    </row>
    <row r="913" spans="1:12" x14ac:dyDescent="0.25">
      <c r="A913">
        <v>400578749</v>
      </c>
      <c r="B913">
        <v>2015</v>
      </c>
      <c r="C913" s="1">
        <v>42001</v>
      </c>
      <c r="D913" t="s">
        <v>27</v>
      </c>
      <c r="E913">
        <v>1</v>
      </c>
      <c r="F913">
        <v>24</v>
      </c>
      <c r="G913">
        <v>7</v>
      </c>
      <c r="H913">
        <v>0</v>
      </c>
      <c r="I913" t="s">
        <v>32</v>
      </c>
      <c r="J913">
        <v>102</v>
      </c>
      <c r="K913" t="s">
        <v>27</v>
      </c>
      <c r="L913">
        <v>116</v>
      </c>
    </row>
    <row r="914" spans="1:12" x14ac:dyDescent="0.25">
      <c r="A914">
        <v>400578750</v>
      </c>
      <c r="B914">
        <v>2015</v>
      </c>
      <c r="C914" s="1">
        <v>42001</v>
      </c>
      <c r="D914" t="s">
        <v>17</v>
      </c>
      <c r="E914">
        <v>0</v>
      </c>
      <c r="F914">
        <v>9</v>
      </c>
      <c r="G914">
        <v>22</v>
      </c>
      <c r="H914">
        <v>1</v>
      </c>
      <c r="I914" t="s">
        <v>17</v>
      </c>
      <c r="J914">
        <v>107</v>
      </c>
      <c r="K914" t="s">
        <v>35</v>
      </c>
      <c r="L914">
        <v>116</v>
      </c>
    </row>
    <row r="915" spans="1:12" x14ac:dyDescent="0.25">
      <c r="A915">
        <v>400578750</v>
      </c>
      <c r="B915">
        <v>2015</v>
      </c>
      <c r="C915" s="1">
        <v>42001</v>
      </c>
      <c r="D915" t="s">
        <v>35</v>
      </c>
      <c r="E915">
        <v>1</v>
      </c>
      <c r="F915">
        <v>18</v>
      </c>
      <c r="G915">
        <v>14</v>
      </c>
      <c r="H915">
        <v>0</v>
      </c>
      <c r="I915" t="s">
        <v>17</v>
      </c>
      <c r="J915">
        <v>107</v>
      </c>
      <c r="K915" t="s">
        <v>35</v>
      </c>
      <c r="L915">
        <v>116</v>
      </c>
    </row>
    <row r="916" spans="1:12" x14ac:dyDescent="0.25">
      <c r="A916">
        <v>400578751</v>
      </c>
      <c r="B916">
        <v>2015</v>
      </c>
      <c r="C916" s="1">
        <v>42002</v>
      </c>
      <c r="D916" t="s">
        <v>18</v>
      </c>
      <c r="E916">
        <v>0</v>
      </c>
      <c r="F916">
        <v>10</v>
      </c>
      <c r="G916">
        <v>22</v>
      </c>
      <c r="H916">
        <v>1</v>
      </c>
      <c r="I916" t="s">
        <v>18</v>
      </c>
      <c r="J916">
        <v>94</v>
      </c>
      <c r="K916" t="s">
        <v>19</v>
      </c>
      <c r="L916">
        <v>104</v>
      </c>
    </row>
    <row r="917" spans="1:12" x14ac:dyDescent="0.25">
      <c r="A917">
        <v>400578751</v>
      </c>
      <c r="B917">
        <v>2015</v>
      </c>
      <c r="C917" s="1">
        <v>42002</v>
      </c>
      <c r="D917" t="s">
        <v>19</v>
      </c>
      <c r="E917">
        <v>1</v>
      </c>
      <c r="F917">
        <v>16</v>
      </c>
      <c r="G917">
        <v>16</v>
      </c>
      <c r="H917">
        <v>0</v>
      </c>
      <c r="I917" t="s">
        <v>18</v>
      </c>
      <c r="J917">
        <v>94</v>
      </c>
      <c r="K917" t="s">
        <v>19</v>
      </c>
      <c r="L917">
        <v>104</v>
      </c>
    </row>
    <row r="918" spans="1:12" x14ac:dyDescent="0.25">
      <c r="A918">
        <v>400578752</v>
      </c>
      <c r="B918">
        <v>2015</v>
      </c>
      <c r="C918" s="1">
        <v>42002</v>
      </c>
      <c r="D918" t="s">
        <v>30</v>
      </c>
      <c r="E918">
        <v>1</v>
      </c>
      <c r="F918">
        <v>22</v>
      </c>
      <c r="G918">
        <v>9</v>
      </c>
      <c r="H918">
        <v>0</v>
      </c>
      <c r="I918" t="s">
        <v>20</v>
      </c>
      <c r="J918">
        <v>90</v>
      </c>
      <c r="K918" t="s">
        <v>30</v>
      </c>
      <c r="L918">
        <v>92</v>
      </c>
    </row>
    <row r="919" spans="1:12" x14ac:dyDescent="0.25">
      <c r="A919">
        <v>400578752</v>
      </c>
      <c r="B919">
        <v>2015</v>
      </c>
      <c r="C919" s="1">
        <v>42002</v>
      </c>
      <c r="D919" t="s">
        <v>20</v>
      </c>
      <c r="E919">
        <v>0</v>
      </c>
      <c r="F919">
        <v>11</v>
      </c>
      <c r="G919">
        <v>21</v>
      </c>
      <c r="H919">
        <v>1</v>
      </c>
      <c r="I919" t="s">
        <v>20</v>
      </c>
      <c r="J919">
        <v>90</v>
      </c>
      <c r="K919" t="s">
        <v>30</v>
      </c>
      <c r="L919">
        <v>92</v>
      </c>
    </row>
    <row r="920" spans="1:12" x14ac:dyDescent="0.25">
      <c r="A920">
        <v>400578753</v>
      </c>
      <c r="B920">
        <v>2015</v>
      </c>
      <c r="C920" s="1">
        <v>42002</v>
      </c>
      <c r="D920" t="s">
        <v>23</v>
      </c>
      <c r="E920">
        <v>1</v>
      </c>
      <c r="F920">
        <v>14</v>
      </c>
      <c r="G920">
        <v>16</v>
      </c>
      <c r="H920">
        <v>1</v>
      </c>
      <c r="I920" t="s">
        <v>23</v>
      </c>
      <c r="J920">
        <v>107</v>
      </c>
      <c r="K920" t="s">
        <v>37</v>
      </c>
      <c r="L920">
        <v>99</v>
      </c>
    </row>
    <row r="921" spans="1:12" x14ac:dyDescent="0.25">
      <c r="A921">
        <v>400578753</v>
      </c>
      <c r="B921">
        <v>2015</v>
      </c>
      <c r="C921" s="1">
        <v>42002</v>
      </c>
      <c r="D921" t="s">
        <v>37</v>
      </c>
      <c r="E921">
        <v>0</v>
      </c>
      <c r="F921">
        <v>13</v>
      </c>
      <c r="G921">
        <v>18</v>
      </c>
      <c r="H921">
        <v>0</v>
      </c>
      <c r="I921" t="s">
        <v>23</v>
      </c>
      <c r="J921">
        <v>107</v>
      </c>
      <c r="K921" t="s">
        <v>37</v>
      </c>
      <c r="L921">
        <v>99</v>
      </c>
    </row>
    <row r="922" spans="1:12" x14ac:dyDescent="0.25">
      <c r="A922">
        <v>400578754</v>
      </c>
      <c r="B922">
        <v>2015</v>
      </c>
      <c r="C922" s="1">
        <v>42002</v>
      </c>
      <c r="D922" t="s">
        <v>24</v>
      </c>
      <c r="E922">
        <v>0</v>
      </c>
      <c r="F922">
        <v>14</v>
      </c>
      <c r="G922">
        <v>18</v>
      </c>
      <c r="H922">
        <v>1</v>
      </c>
      <c r="I922" t="s">
        <v>24</v>
      </c>
      <c r="J922">
        <v>101</v>
      </c>
      <c r="K922" t="s">
        <v>13</v>
      </c>
      <c r="L922">
        <v>102</v>
      </c>
    </row>
    <row r="923" spans="1:12" x14ac:dyDescent="0.25">
      <c r="A923">
        <v>400578754</v>
      </c>
      <c r="B923">
        <v>2015</v>
      </c>
      <c r="C923" s="1">
        <v>42002</v>
      </c>
      <c r="D923" t="s">
        <v>13</v>
      </c>
      <c r="E923">
        <v>1</v>
      </c>
      <c r="F923">
        <v>13</v>
      </c>
      <c r="G923">
        <v>21</v>
      </c>
      <c r="H923">
        <v>0</v>
      </c>
      <c r="I923" t="s">
        <v>24</v>
      </c>
      <c r="J923">
        <v>101</v>
      </c>
      <c r="K923" t="s">
        <v>13</v>
      </c>
      <c r="L923">
        <v>102</v>
      </c>
    </row>
    <row r="924" spans="1:12" x14ac:dyDescent="0.25">
      <c r="A924">
        <v>400578755</v>
      </c>
      <c r="B924">
        <v>2015</v>
      </c>
      <c r="C924" s="1">
        <v>42002</v>
      </c>
      <c r="D924" t="s">
        <v>16</v>
      </c>
      <c r="E924">
        <v>0</v>
      </c>
      <c r="F924">
        <v>21</v>
      </c>
      <c r="G924">
        <v>9</v>
      </c>
      <c r="H924">
        <v>1</v>
      </c>
      <c r="I924" t="s">
        <v>16</v>
      </c>
      <c r="J924">
        <v>103</v>
      </c>
      <c r="K924" t="s">
        <v>25</v>
      </c>
      <c r="L924">
        <v>104</v>
      </c>
    </row>
    <row r="925" spans="1:12" x14ac:dyDescent="0.25">
      <c r="A925">
        <v>400578755</v>
      </c>
      <c r="B925">
        <v>2015</v>
      </c>
      <c r="C925" s="1">
        <v>42002</v>
      </c>
      <c r="D925" t="s">
        <v>25</v>
      </c>
      <c r="E925">
        <v>1</v>
      </c>
      <c r="F925">
        <v>22</v>
      </c>
      <c r="G925">
        <v>8</v>
      </c>
      <c r="H925">
        <v>0</v>
      </c>
      <c r="I925" t="s">
        <v>16</v>
      </c>
      <c r="J925">
        <v>103</v>
      </c>
      <c r="K925" t="s">
        <v>25</v>
      </c>
      <c r="L925">
        <v>104</v>
      </c>
    </row>
    <row r="926" spans="1:12" x14ac:dyDescent="0.25">
      <c r="A926">
        <v>400578756</v>
      </c>
      <c r="B926">
        <v>2015</v>
      </c>
      <c r="C926" s="1">
        <v>42002</v>
      </c>
      <c r="D926" t="s">
        <v>41</v>
      </c>
      <c r="E926">
        <v>1</v>
      </c>
      <c r="F926">
        <v>21</v>
      </c>
      <c r="G926">
        <v>11</v>
      </c>
      <c r="H926">
        <v>1</v>
      </c>
      <c r="I926" t="s">
        <v>41</v>
      </c>
      <c r="J926">
        <v>101</v>
      </c>
      <c r="K926" t="s">
        <v>34</v>
      </c>
      <c r="L926">
        <v>97</v>
      </c>
    </row>
    <row r="927" spans="1:12" x14ac:dyDescent="0.25">
      <c r="A927">
        <v>400578756</v>
      </c>
      <c r="B927">
        <v>2015</v>
      </c>
      <c r="C927" s="1">
        <v>42002</v>
      </c>
      <c r="D927" t="s">
        <v>34</v>
      </c>
      <c r="E927">
        <v>0</v>
      </c>
      <c r="F927">
        <v>10</v>
      </c>
      <c r="G927">
        <v>21</v>
      </c>
      <c r="H927">
        <v>0</v>
      </c>
      <c r="I927" t="s">
        <v>41</v>
      </c>
      <c r="J927">
        <v>101</v>
      </c>
      <c r="K927" t="s">
        <v>34</v>
      </c>
      <c r="L927">
        <v>97</v>
      </c>
    </row>
    <row r="928" spans="1:12" x14ac:dyDescent="0.25">
      <c r="A928">
        <v>400578757</v>
      </c>
      <c r="B928">
        <v>2015</v>
      </c>
      <c r="C928" s="1">
        <v>42003</v>
      </c>
      <c r="D928" t="s">
        <v>33</v>
      </c>
      <c r="E928">
        <v>1</v>
      </c>
      <c r="F928">
        <v>8</v>
      </c>
      <c r="G928">
        <v>23</v>
      </c>
      <c r="H928">
        <v>0</v>
      </c>
      <c r="I928" t="s">
        <v>13</v>
      </c>
      <c r="J928">
        <v>86</v>
      </c>
      <c r="K928" t="s">
        <v>33</v>
      </c>
      <c r="L928">
        <v>109</v>
      </c>
    </row>
    <row r="929" spans="1:12" x14ac:dyDescent="0.25">
      <c r="A929">
        <v>400578757</v>
      </c>
      <c r="B929">
        <v>2015</v>
      </c>
      <c r="C929" s="1">
        <v>42003</v>
      </c>
      <c r="D929" t="s">
        <v>13</v>
      </c>
      <c r="E929">
        <v>0</v>
      </c>
      <c r="F929">
        <v>13</v>
      </c>
      <c r="G929">
        <v>22</v>
      </c>
      <c r="H929">
        <v>1</v>
      </c>
      <c r="I929" t="s">
        <v>13</v>
      </c>
      <c r="J929">
        <v>86</v>
      </c>
      <c r="K929" t="s">
        <v>33</v>
      </c>
      <c r="L929">
        <v>109</v>
      </c>
    </row>
    <row r="930" spans="1:12" x14ac:dyDescent="0.25">
      <c r="A930">
        <v>400578758</v>
      </c>
      <c r="B930">
        <v>2015</v>
      </c>
      <c r="C930" s="1">
        <v>42003</v>
      </c>
      <c r="D930" t="s">
        <v>26</v>
      </c>
      <c r="E930">
        <v>1</v>
      </c>
      <c r="F930">
        <v>23</v>
      </c>
      <c r="G930">
        <v>8</v>
      </c>
      <c r="H930">
        <v>1</v>
      </c>
      <c r="I930" t="s">
        <v>26</v>
      </c>
      <c r="J930">
        <v>109</v>
      </c>
      <c r="K930" t="s">
        <v>40</v>
      </c>
      <c r="L930">
        <v>101</v>
      </c>
    </row>
    <row r="931" spans="1:12" x14ac:dyDescent="0.25">
      <c r="A931">
        <v>400578758</v>
      </c>
      <c r="B931">
        <v>2015</v>
      </c>
      <c r="C931" s="1">
        <v>42003</v>
      </c>
      <c r="D931" t="s">
        <v>40</v>
      </c>
      <c r="E931">
        <v>0</v>
      </c>
      <c r="F931">
        <v>18</v>
      </c>
      <c r="G931">
        <v>13</v>
      </c>
      <c r="H931">
        <v>0</v>
      </c>
      <c r="I931" t="s">
        <v>26</v>
      </c>
      <c r="J931">
        <v>109</v>
      </c>
      <c r="K931" t="s">
        <v>40</v>
      </c>
      <c r="L931">
        <v>101</v>
      </c>
    </row>
    <row r="932" spans="1:12" x14ac:dyDescent="0.25">
      <c r="A932">
        <v>400578759</v>
      </c>
      <c r="B932">
        <v>2015</v>
      </c>
      <c r="C932" s="1">
        <v>42003</v>
      </c>
      <c r="D932" t="s">
        <v>23</v>
      </c>
      <c r="E932">
        <v>1</v>
      </c>
      <c r="F932">
        <v>15</v>
      </c>
      <c r="G932">
        <v>16</v>
      </c>
      <c r="H932">
        <v>0</v>
      </c>
      <c r="I932" t="s">
        <v>30</v>
      </c>
      <c r="J932">
        <v>82</v>
      </c>
      <c r="K932" t="s">
        <v>23</v>
      </c>
      <c r="L932">
        <v>96</v>
      </c>
    </row>
    <row r="933" spans="1:12" x14ac:dyDescent="0.25">
      <c r="A933">
        <v>400578759</v>
      </c>
      <c r="B933">
        <v>2015</v>
      </c>
      <c r="C933" s="1">
        <v>42003</v>
      </c>
      <c r="D933" t="s">
        <v>30</v>
      </c>
      <c r="E933">
        <v>0</v>
      </c>
      <c r="F933">
        <v>22</v>
      </c>
      <c r="G933">
        <v>10</v>
      </c>
      <c r="H933">
        <v>1</v>
      </c>
      <c r="I933" t="s">
        <v>30</v>
      </c>
      <c r="J933">
        <v>82</v>
      </c>
      <c r="K933" t="s">
        <v>23</v>
      </c>
      <c r="L933">
        <v>96</v>
      </c>
    </row>
    <row r="934" spans="1:12" x14ac:dyDescent="0.25">
      <c r="A934">
        <v>400578760</v>
      </c>
      <c r="B934">
        <v>2015</v>
      </c>
      <c r="C934" s="1">
        <v>42003</v>
      </c>
      <c r="D934" t="s">
        <v>28</v>
      </c>
      <c r="E934">
        <v>1</v>
      </c>
      <c r="F934">
        <v>23</v>
      </c>
      <c r="G934">
        <v>8</v>
      </c>
      <c r="H934">
        <v>1</v>
      </c>
      <c r="I934" t="s">
        <v>28</v>
      </c>
      <c r="J934">
        <v>95</v>
      </c>
      <c r="K934" t="s">
        <v>15</v>
      </c>
      <c r="L934">
        <v>87</v>
      </c>
    </row>
    <row r="935" spans="1:12" x14ac:dyDescent="0.25">
      <c r="A935">
        <v>400578760</v>
      </c>
      <c r="B935">
        <v>2015</v>
      </c>
      <c r="C935" s="1">
        <v>42003</v>
      </c>
      <c r="D935" t="s">
        <v>15</v>
      </c>
      <c r="E935">
        <v>0</v>
      </c>
      <c r="F935">
        <v>19</v>
      </c>
      <c r="G935">
        <v>14</v>
      </c>
      <c r="H935">
        <v>0</v>
      </c>
      <c r="I935" t="s">
        <v>28</v>
      </c>
      <c r="J935">
        <v>95</v>
      </c>
      <c r="K935" t="s">
        <v>15</v>
      </c>
      <c r="L935">
        <v>87</v>
      </c>
    </row>
    <row r="936" spans="1:12" x14ac:dyDescent="0.25">
      <c r="A936">
        <v>400578761</v>
      </c>
      <c r="B936">
        <v>2015</v>
      </c>
      <c r="C936" s="1">
        <v>42003</v>
      </c>
      <c r="D936" t="s">
        <v>12</v>
      </c>
      <c r="E936">
        <v>1</v>
      </c>
      <c r="F936">
        <v>16</v>
      </c>
      <c r="G936">
        <v>15</v>
      </c>
      <c r="H936">
        <v>1</v>
      </c>
      <c r="I936" t="s">
        <v>12</v>
      </c>
      <c r="J936">
        <v>110</v>
      </c>
      <c r="K936" t="s">
        <v>35</v>
      </c>
      <c r="L936">
        <v>106</v>
      </c>
    </row>
    <row r="937" spans="1:12" x14ac:dyDescent="0.25">
      <c r="A937">
        <v>400578761</v>
      </c>
      <c r="B937">
        <v>2015</v>
      </c>
      <c r="C937" s="1">
        <v>42003</v>
      </c>
      <c r="D937" t="s">
        <v>35</v>
      </c>
      <c r="E937">
        <v>0</v>
      </c>
      <c r="F937">
        <v>18</v>
      </c>
      <c r="G937">
        <v>15</v>
      </c>
      <c r="H937">
        <v>0</v>
      </c>
      <c r="I937" t="s">
        <v>12</v>
      </c>
      <c r="J937">
        <v>110</v>
      </c>
      <c r="K937" t="s">
        <v>35</v>
      </c>
      <c r="L937">
        <v>106</v>
      </c>
    </row>
    <row r="938" spans="1:12" x14ac:dyDescent="0.25">
      <c r="A938">
        <v>400578762</v>
      </c>
      <c r="B938">
        <v>2015</v>
      </c>
      <c r="C938" s="1">
        <v>42003</v>
      </c>
      <c r="D938" t="s">
        <v>14</v>
      </c>
      <c r="E938">
        <v>1</v>
      </c>
      <c r="F938">
        <v>23</v>
      </c>
      <c r="G938">
        <v>10</v>
      </c>
      <c r="H938">
        <v>1</v>
      </c>
      <c r="I938" t="s">
        <v>14</v>
      </c>
      <c r="J938">
        <v>114</v>
      </c>
      <c r="K938" t="s">
        <v>25</v>
      </c>
      <c r="L938">
        <v>87</v>
      </c>
    </row>
    <row r="939" spans="1:12" x14ac:dyDescent="0.25">
      <c r="A939">
        <v>400578762</v>
      </c>
      <c r="B939">
        <v>2015</v>
      </c>
      <c r="C939" s="1">
        <v>42003</v>
      </c>
      <c r="D939" t="s">
        <v>25</v>
      </c>
      <c r="E939">
        <v>0</v>
      </c>
      <c r="F939">
        <v>22</v>
      </c>
      <c r="G939">
        <v>9</v>
      </c>
      <c r="H939">
        <v>0</v>
      </c>
      <c r="I939" t="s">
        <v>14</v>
      </c>
      <c r="J939">
        <v>114</v>
      </c>
      <c r="K939" t="s">
        <v>25</v>
      </c>
      <c r="L939">
        <v>87</v>
      </c>
    </row>
    <row r="940" spans="1:12" x14ac:dyDescent="0.25">
      <c r="A940">
        <v>400578763</v>
      </c>
      <c r="B940">
        <v>2015</v>
      </c>
      <c r="C940" s="1">
        <v>42003</v>
      </c>
      <c r="D940" t="s">
        <v>32</v>
      </c>
      <c r="E940">
        <v>0</v>
      </c>
      <c r="F940">
        <v>13</v>
      </c>
      <c r="G940">
        <v>19</v>
      </c>
      <c r="H940">
        <v>1</v>
      </c>
      <c r="I940" t="s">
        <v>32</v>
      </c>
      <c r="J940">
        <v>103</v>
      </c>
      <c r="K940" t="s">
        <v>17</v>
      </c>
      <c r="L940">
        <v>111</v>
      </c>
    </row>
    <row r="941" spans="1:12" x14ac:dyDescent="0.25">
      <c r="A941">
        <v>400578763</v>
      </c>
      <c r="B941">
        <v>2015</v>
      </c>
      <c r="C941" s="1">
        <v>42003</v>
      </c>
      <c r="D941" t="s">
        <v>17</v>
      </c>
      <c r="E941">
        <v>1</v>
      </c>
      <c r="F941">
        <v>10</v>
      </c>
      <c r="G941">
        <v>22</v>
      </c>
      <c r="H941">
        <v>0</v>
      </c>
      <c r="I941" t="s">
        <v>32</v>
      </c>
      <c r="J941">
        <v>103</v>
      </c>
      <c r="K941" t="s">
        <v>17</v>
      </c>
      <c r="L941">
        <v>111</v>
      </c>
    </row>
    <row r="942" spans="1:12" x14ac:dyDescent="0.25">
      <c r="A942">
        <v>400578764</v>
      </c>
      <c r="B942">
        <v>2015</v>
      </c>
      <c r="C942" s="1">
        <v>42003</v>
      </c>
      <c r="D942" t="s">
        <v>29</v>
      </c>
      <c r="E942">
        <v>0</v>
      </c>
      <c r="F942">
        <v>5</v>
      </c>
      <c r="G942">
        <v>25</v>
      </c>
      <c r="H942">
        <v>0</v>
      </c>
      <c r="I942" t="s">
        <v>34</v>
      </c>
      <c r="J942">
        <v>100</v>
      </c>
      <c r="K942" t="s">
        <v>29</v>
      </c>
      <c r="L942">
        <v>94</v>
      </c>
    </row>
    <row r="943" spans="1:12" x14ac:dyDescent="0.25">
      <c r="A943">
        <v>400578764</v>
      </c>
      <c r="B943">
        <v>2015</v>
      </c>
      <c r="C943" s="1">
        <v>42003</v>
      </c>
      <c r="D943" t="s">
        <v>34</v>
      </c>
      <c r="E943">
        <v>1</v>
      </c>
      <c r="F943">
        <v>11</v>
      </c>
      <c r="G943">
        <v>21</v>
      </c>
      <c r="H943">
        <v>1</v>
      </c>
      <c r="I943" t="s">
        <v>34</v>
      </c>
      <c r="J943">
        <v>100</v>
      </c>
      <c r="K943" t="s">
        <v>29</v>
      </c>
      <c r="L943">
        <v>94</v>
      </c>
    </row>
    <row r="944" spans="1:12" x14ac:dyDescent="0.25">
      <c r="A944">
        <v>400578765</v>
      </c>
      <c r="B944">
        <v>2015</v>
      </c>
      <c r="C944" s="1">
        <v>42003</v>
      </c>
      <c r="D944" t="s">
        <v>39</v>
      </c>
      <c r="E944">
        <v>1</v>
      </c>
      <c r="F944">
        <v>26</v>
      </c>
      <c r="G944">
        <v>7</v>
      </c>
      <c r="H944">
        <v>1</v>
      </c>
      <c r="I944" t="s">
        <v>39</v>
      </c>
      <c r="J944">
        <v>102</v>
      </c>
      <c r="K944" t="s">
        <v>27</v>
      </c>
      <c r="L944">
        <v>97</v>
      </c>
    </row>
    <row r="945" spans="1:12" x14ac:dyDescent="0.25">
      <c r="A945">
        <v>400578765</v>
      </c>
      <c r="B945">
        <v>2015</v>
      </c>
      <c r="C945" s="1">
        <v>42003</v>
      </c>
      <c r="D945" t="s">
        <v>27</v>
      </c>
      <c r="E945">
        <v>0</v>
      </c>
      <c r="F945">
        <v>24</v>
      </c>
      <c r="G945">
        <v>8</v>
      </c>
      <c r="H945">
        <v>0</v>
      </c>
      <c r="I945" t="s">
        <v>39</v>
      </c>
      <c r="J945">
        <v>102</v>
      </c>
      <c r="K945" t="s">
        <v>27</v>
      </c>
      <c r="L945">
        <v>97</v>
      </c>
    </row>
    <row r="946" spans="1:12" x14ac:dyDescent="0.25">
      <c r="A946">
        <v>400578766</v>
      </c>
      <c r="B946">
        <v>2015</v>
      </c>
      <c r="C946" s="1">
        <v>42003</v>
      </c>
      <c r="D946" t="s">
        <v>36</v>
      </c>
      <c r="E946">
        <v>1</v>
      </c>
      <c r="F946">
        <v>25</v>
      </c>
      <c r="G946">
        <v>5</v>
      </c>
      <c r="H946">
        <v>1</v>
      </c>
      <c r="I946" t="s">
        <v>36</v>
      </c>
      <c r="J946">
        <v>126</v>
      </c>
      <c r="K946" t="s">
        <v>21</v>
      </c>
      <c r="L946">
        <v>86</v>
      </c>
    </row>
    <row r="947" spans="1:12" x14ac:dyDescent="0.25">
      <c r="A947">
        <v>400578766</v>
      </c>
      <c r="B947">
        <v>2015</v>
      </c>
      <c r="C947" s="1">
        <v>42003</v>
      </c>
      <c r="D947" t="s">
        <v>21</v>
      </c>
      <c r="E947">
        <v>0</v>
      </c>
      <c r="F947">
        <v>4</v>
      </c>
      <c r="G947">
        <v>26</v>
      </c>
      <c r="H947">
        <v>0</v>
      </c>
      <c r="I947" t="s">
        <v>36</v>
      </c>
      <c r="J947">
        <v>126</v>
      </c>
      <c r="K947" t="s">
        <v>21</v>
      </c>
      <c r="L947">
        <v>86</v>
      </c>
    </row>
    <row r="948" spans="1:12" x14ac:dyDescent="0.25">
      <c r="A948">
        <v>400578767</v>
      </c>
      <c r="B948">
        <v>2015</v>
      </c>
      <c r="C948" s="1">
        <v>42004</v>
      </c>
      <c r="D948" t="s">
        <v>22</v>
      </c>
      <c r="E948">
        <v>1</v>
      </c>
      <c r="F948">
        <v>11</v>
      </c>
      <c r="G948">
        <v>18</v>
      </c>
      <c r="H948">
        <v>1</v>
      </c>
      <c r="I948" t="s">
        <v>22</v>
      </c>
      <c r="J948">
        <v>106</v>
      </c>
      <c r="K948" t="s">
        <v>37</v>
      </c>
      <c r="L948">
        <v>84</v>
      </c>
    </row>
    <row r="949" spans="1:12" x14ac:dyDescent="0.25">
      <c r="A949">
        <v>400578767</v>
      </c>
      <c r="B949">
        <v>2015</v>
      </c>
      <c r="C949" s="1">
        <v>42004</v>
      </c>
      <c r="D949" t="s">
        <v>37</v>
      </c>
      <c r="E949">
        <v>0</v>
      </c>
      <c r="F949">
        <v>13</v>
      </c>
      <c r="G949">
        <v>19</v>
      </c>
      <c r="H949">
        <v>0</v>
      </c>
      <c r="I949" t="s">
        <v>22</v>
      </c>
      <c r="J949">
        <v>106</v>
      </c>
      <c r="K949" t="s">
        <v>37</v>
      </c>
      <c r="L949">
        <v>84</v>
      </c>
    </row>
    <row r="950" spans="1:12" x14ac:dyDescent="0.25">
      <c r="A950">
        <v>400578768</v>
      </c>
      <c r="B950">
        <v>2015</v>
      </c>
      <c r="C950" s="1">
        <v>42004</v>
      </c>
      <c r="D950" t="s">
        <v>20</v>
      </c>
      <c r="E950">
        <v>1</v>
      </c>
      <c r="F950">
        <v>12</v>
      </c>
      <c r="G950">
        <v>21</v>
      </c>
      <c r="H950">
        <v>1</v>
      </c>
      <c r="I950" t="s">
        <v>20</v>
      </c>
      <c r="J950">
        <v>106</v>
      </c>
      <c r="K950" t="s">
        <v>24</v>
      </c>
      <c r="L950">
        <v>95</v>
      </c>
    </row>
    <row r="951" spans="1:12" x14ac:dyDescent="0.25">
      <c r="A951">
        <v>400578768</v>
      </c>
      <c r="B951">
        <v>2015</v>
      </c>
      <c r="C951" s="1">
        <v>42004</v>
      </c>
      <c r="D951" t="s">
        <v>24</v>
      </c>
      <c r="E951">
        <v>0</v>
      </c>
      <c r="F951">
        <v>14</v>
      </c>
      <c r="G951">
        <v>19</v>
      </c>
      <c r="H951">
        <v>0</v>
      </c>
      <c r="I951" t="s">
        <v>20</v>
      </c>
      <c r="J951">
        <v>106</v>
      </c>
      <c r="K951" t="s">
        <v>24</v>
      </c>
      <c r="L951">
        <v>95</v>
      </c>
    </row>
    <row r="952" spans="1:12" x14ac:dyDescent="0.25">
      <c r="A952">
        <v>400578769</v>
      </c>
      <c r="B952">
        <v>2015</v>
      </c>
      <c r="C952" s="1">
        <v>42004</v>
      </c>
      <c r="D952" t="s">
        <v>41</v>
      </c>
      <c r="E952">
        <v>1</v>
      </c>
      <c r="F952">
        <v>22</v>
      </c>
      <c r="G952">
        <v>11</v>
      </c>
      <c r="H952">
        <v>1</v>
      </c>
      <c r="I952" t="s">
        <v>41</v>
      </c>
      <c r="J952">
        <v>99</v>
      </c>
      <c r="K952" t="s">
        <v>31</v>
      </c>
      <c r="L952">
        <v>78</v>
      </c>
    </row>
    <row r="953" spans="1:12" x14ac:dyDescent="0.25">
      <c r="A953">
        <v>400578769</v>
      </c>
      <c r="B953">
        <v>2015</v>
      </c>
      <c r="C953" s="1">
        <v>42004</v>
      </c>
      <c r="D953" t="s">
        <v>31</v>
      </c>
      <c r="E953">
        <v>0</v>
      </c>
      <c r="F953">
        <v>5</v>
      </c>
      <c r="G953">
        <v>29</v>
      </c>
      <c r="H953">
        <v>0</v>
      </c>
      <c r="I953" t="s">
        <v>41</v>
      </c>
      <c r="J953">
        <v>99</v>
      </c>
      <c r="K953" t="s">
        <v>31</v>
      </c>
      <c r="L953">
        <v>78</v>
      </c>
    </row>
    <row r="954" spans="1:12" x14ac:dyDescent="0.25">
      <c r="A954">
        <v>400578770</v>
      </c>
      <c r="B954">
        <v>2015</v>
      </c>
      <c r="C954" s="1">
        <v>42004</v>
      </c>
      <c r="D954" t="s">
        <v>18</v>
      </c>
      <c r="E954">
        <v>0</v>
      </c>
      <c r="F954">
        <v>10</v>
      </c>
      <c r="G954">
        <v>23</v>
      </c>
      <c r="H954">
        <v>0</v>
      </c>
      <c r="I954" t="s">
        <v>16</v>
      </c>
      <c r="J954">
        <v>102</v>
      </c>
      <c r="K954" t="s">
        <v>18</v>
      </c>
      <c r="L954">
        <v>83</v>
      </c>
    </row>
    <row r="955" spans="1:12" x14ac:dyDescent="0.25">
      <c r="A955">
        <v>400578770</v>
      </c>
      <c r="B955">
        <v>2015</v>
      </c>
      <c r="C955" s="1">
        <v>42004</v>
      </c>
      <c r="D955" t="s">
        <v>16</v>
      </c>
      <c r="E955">
        <v>1</v>
      </c>
      <c r="F955">
        <v>22</v>
      </c>
      <c r="G955">
        <v>9</v>
      </c>
      <c r="H955">
        <v>1</v>
      </c>
      <c r="I955" t="s">
        <v>16</v>
      </c>
      <c r="J955">
        <v>102</v>
      </c>
      <c r="K955" t="s">
        <v>18</v>
      </c>
      <c r="L955">
        <v>83</v>
      </c>
    </row>
    <row r="956" spans="1:12" x14ac:dyDescent="0.25">
      <c r="A956">
        <v>400578771</v>
      </c>
      <c r="B956">
        <v>2015</v>
      </c>
      <c r="C956" s="1">
        <v>42004</v>
      </c>
      <c r="D956" t="s">
        <v>40</v>
      </c>
      <c r="E956">
        <v>0</v>
      </c>
      <c r="F956">
        <v>18</v>
      </c>
      <c r="G956">
        <v>14</v>
      </c>
      <c r="H956">
        <v>1</v>
      </c>
      <c r="I956" t="s">
        <v>40</v>
      </c>
      <c r="J956">
        <v>80</v>
      </c>
      <c r="K956" t="s">
        <v>19</v>
      </c>
      <c r="L956">
        <v>96</v>
      </c>
    </row>
    <row r="957" spans="1:12" x14ac:dyDescent="0.25">
      <c r="A957">
        <v>400578771</v>
      </c>
      <c r="B957">
        <v>2015</v>
      </c>
      <c r="C957" s="1">
        <v>42004</v>
      </c>
      <c r="D957" t="s">
        <v>19</v>
      </c>
      <c r="E957">
        <v>1</v>
      </c>
      <c r="F957">
        <v>17</v>
      </c>
      <c r="G957">
        <v>16</v>
      </c>
      <c r="H957">
        <v>0</v>
      </c>
      <c r="I957" t="s">
        <v>40</v>
      </c>
      <c r="J957">
        <v>80</v>
      </c>
      <c r="K957" t="s">
        <v>19</v>
      </c>
      <c r="L957">
        <v>96</v>
      </c>
    </row>
    <row r="958" spans="1:12" x14ac:dyDescent="0.25">
      <c r="A958">
        <v>400578772</v>
      </c>
      <c r="B958">
        <v>2015</v>
      </c>
      <c r="C958" s="1">
        <v>42004</v>
      </c>
      <c r="D958" t="s">
        <v>38</v>
      </c>
      <c r="E958">
        <v>1</v>
      </c>
      <c r="F958">
        <v>16</v>
      </c>
      <c r="G958">
        <v>17</v>
      </c>
      <c r="H958">
        <v>1</v>
      </c>
      <c r="I958" t="s">
        <v>38</v>
      </c>
      <c r="J958">
        <v>137</v>
      </c>
      <c r="K958" t="s">
        <v>35</v>
      </c>
      <c r="L958">
        <v>134</v>
      </c>
    </row>
    <row r="959" spans="1:12" x14ac:dyDescent="0.25">
      <c r="A959">
        <v>400578772</v>
      </c>
      <c r="B959">
        <v>2015</v>
      </c>
      <c r="C959" s="1">
        <v>42004</v>
      </c>
      <c r="D959" t="s">
        <v>35</v>
      </c>
      <c r="E959">
        <v>0</v>
      </c>
      <c r="F959">
        <v>18</v>
      </c>
      <c r="G959">
        <v>16</v>
      </c>
      <c r="H959">
        <v>0</v>
      </c>
      <c r="I959" t="s">
        <v>38</v>
      </c>
      <c r="J959">
        <v>137</v>
      </c>
      <c r="K959" t="s">
        <v>35</v>
      </c>
      <c r="L959">
        <v>134</v>
      </c>
    </row>
    <row r="960" spans="1:12" x14ac:dyDescent="0.25">
      <c r="A960">
        <v>400578773</v>
      </c>
      <c r="B960">
        <v>2015</v>
      </c>
      <c r="C960" s="1">
        <v>42004</v>
      </c>
      <c r="D960" t="s">
        <v>12</v>
      </c>
      <c r="E960">
        <v>0</v>
      </c>
      <c r="F960">
        <v>16</v>
      </c>
      <c r="G960">
        <v>16</v>
      </c>
      <c r="H960">
        <v>0</v>
      </c>
      <c r="I960" t="s">
        <v>15</v>
      </c>
      <c r="J960">
        <v>95</v>
      </c>
      <c r="K960" t="s">
        <v>12</v>
      </c>
      <c r="L960">
        <v>93</v>
      </c>
    </row>
    <row r="961" spans="1:12" x14ac:dyDescent="0.25">
      <c r="A961">
        <v>400578773</v>
      </c>
      <c r="B961">
        <v>2015</v>
      </c>
      <c r="C961" s="1">
        <v>42004</v>
      </c>
      <c r="D961" t="s">
        <v>15</v>
      </c>
      <c r="E961">
        <v>1</v>
      </c>
      <c r="F961">
        <v>20</v>
      </c>
      <c r="G961">
        <v>14</v>
      </c>
      <c r="H961">
        <v>1</v>
      </c>
      <c r="I961" t="s">
        <v>15</v>
      </c>
      <c r="J961">
        <v>95</v>
      </c>
      <c r="K961" t="s">
        <v>12</v>
      </c>
      <c r="L961">
        <v>93</v>
      </c>
    </row>
    <row r="962" spans="1:12" x14ac:dyDescent="0.25">
      <c r="A962">
        <v>400578774</v>
      </c>
      <c r="B962">
        <v>2015</v>
      </c>
      <c r="C962" s="1">
        <v>42005</v>
      </c>
      <c r="D962" t="s">
        <v>30</v>
      </c>
      <c r="E962">
        <v>1</v>
      </c>
      <c r="F962">
        <v>23</v>
      </c>
      <c r="G962">
        <v>10</v>
      </c>
      <c r="H962">
        <v>1</v>
      </c>
      <c r="I962" t="s">
        <v>30</v>
      </c>
      <c r="J962">
        <v>106</v>
      </c>
      <c r="K962" t="s">
        <v>32</v>
      </c>
      <c r="L962">
        <v>101</v>
      </c>
    </row>
    <row r="963" spans="1:12" x14ac:dyDescent="0.25">
      <c r="A963">
        <v>400578774</v>
      </c>
      <c r="B963">
        <v>2015</v>
      </c>
      <c r="C963" s="1">
        <v>42005</v>
      </c>
      <c r="D963" t="s">
        <v>32</v>
      </c>
      <c r="E963">
        <v>0</v>
      </c>
      <c r="F963">
        <v>13</v>
      </c>
      <c r="G963">
        <v>20</v>
      </c>
      <c r="H963">
        <v>0</v>
      </c>
      <c r="I963" t="s">
        <v>30</v>
      </c>
      <c r="J963">
        <v>106</v>
      </c>
      <c r="K963" t="s">
        <v>32</v>
      </c>
      <c r="L963">
        <v>101</v>
      </c>
    </row>
    <row r="964" spans="1:12" x14ac:dyDescent="0.25">
      <c r="A964">
        <v>400578775</v>
      </c>
      <c r="B964">
        <v>2015</v>
      </c>
      <c r="C964" s="1">
        <v>42005</v>
      </c>
      <c r="D964" t="s">
        <v>29</v>
      </c>
      <c r="E964">
        <v>0</v>
      </c>
      <c r="F964">
        <v>5</v>
      </c>
      <c r="G964">
        <v>26</v>
      </c>
      <c r="H964">
        <v>1</v>
      </c>
      <c r="I964" t="s">
        <v>29</v>
      </c>
      <c r="J964">
        <v>107</v>
      </c>
      <c r="K964" t="s">
        <v>37</v>
      </c>
      <c r="L964">
        <v>110</v>
      </c>
    </row>
    <row r="965" spans="1:12" x14ac:dyDescent="0.25">
      <c r="A965">
        <v>400578775</v>
      </c>
      <c r="B965">
        <v>2015</v>
      </c>
      <c r="C965" s="1">
        <v>42005</v>
      </c>
      <c r="D965" t="s">
        <v>37</v>
      </c>
      <c r="E965">
        <v>1</v>
      </c>
      <c r="F965">
        <v>14</v>
      </c>
      <c r="G965">
        <v>19</v>
      </c>
      <c r="H965">
        <v>0</v>
      </c>
      <c r="I965" t="s">
        <v>29</v>
      </c>
      <c r="J965">
        <v>107</v>
      </c>
      <c r="K965" t="s">
        <v>37</v>
      </c>
      <c r="L965">
        <v>110</v>
      </c>
    </row>
    <row r="966" spans="1:12" x14ac:dyDescent="0.25">
      <c r="A966">
        <v>400578776</v>
      </c>
      <c r="B966">
        <v>2015</v>
      </c>
      <c r="C966" s="1">
        <v>42006</v>
      </c>
      <c r="D966" t="s">
        <v>18</v>
      </c>
      <c r="E966">
        <v>0</v>
      </c>
      <c r="F966">
        <v>10</v>
      </c>
      <c r="G966">
        <v>24</v>
      </c>
      <c r="H966">
        <v>1</v>
      </c>
      <c r="I966" t="s">
        <v>18</v>
      </c>
      <c r="J966">
        <v>87</v>
      </c>
      <c r="K966" t="s">
        <v>40</v>
      </c>
      <c r="L966">
        <v>91</v>
      </c>
    </row>
    <row r="967" spans="1:12" x14ac:dyDescent="0.25">
      <c r="A967">
        <v>400578776</v>
      </c>
      <c r="B967">
        <v>2015</v>
      </c>
      <c r="C967" s="1">
        <v>42006</v>
      </c>
      <c r="D967" t="s">
        <v>40</v>
      </c>
      <c r="E967">
        <v>1</v>
      </c>
      <c r="F967">
        <v>19</v>
      </c>
      <c r="G967">
        <v>14</v>
      </c>
      <c r="H967">
        <v>0</v>
      </c>
      <c r="I967" t="s">
        <v>18</v>
      </c>
      <c r="J967">
        <v>87</v>
      </c>
      <c r="K967" t="s">
        <v>40</v>
      </c>
      <c r="L967">
        <v>91</v>
      </c>
    </row>
    <row r="968" spans="1:12" x14ac:dyDescent="0.25">
      <c r="A968">
        <v>400578777</v>
      </c>
      <c r="B968">
        <v>2015</v>
      </c>
      <c r="C968" s="1">
        <v>42006</v>
      </c>
      <c r="D968" t="s">
        <v>23</v>
      </c>
      <c r="E968">
        <v>1</v>
      </c>
      <c r="F968">
        <v>16</v>
      </c>
      <c r="G968">
        <v>16</v>
      </c>
      <c r="H968">
        <v>0</v>
      </c>
      <c r="I968" t="s">
        <v>13</v>
      </c>
      <c r="J968">
        <v>98</v>
      </c>
      <c r="K968" t="s">
        <v>23</v>
      </c>
      <c r="L968">
        <v>100</v>
      </c>
    </row>
    <row r="969" spans="1:12" x14ac:dyDescent="0.25">
      <c r="A969">
        <v>400578777</v>
      </c>
      <c r="B969">
        <v>2015</v>
      </c>
      <c r="C969" s="1">
        <v>42006</v>
      </c>
      <c r="D969" t="s">
        <v>13</v>
      </c>
      <c r="E969">
        <v>0</v>
      </c>
      <c r="F969">
        <v>13</v>
      </c>
      <c r="G969">
        <v>23</v>
      </c>
      <c r="H969">
        <v>1</v>
      </c>
      <c r="I969" t="s">
        <v>13</v>
      </c>
      <c r="J969">
        <v>98</v>
      </c>
      <c r="K969" t="s">
        <v>23</v>
      </c>
      <c r="L969">
        <v>100</v>
      </c>
    </row>
    <row r="970" spans="1:12" x14ac:dyDescent="0.25">
      <c r="A970">
        <v>400578778</v>
      </c>
      <c r="B970">
        <v>2015</v>
      </c>
      <c r="C970" s="1">
        <v>42006</v>
      </c>
      <c r="D970" t="s">
        <v>22</v>
      </c>
      <c r="E970">
        <v>0</v>
      </c>
      <c r="F970">
        <v>11</v>
      </c>
      <c r="G970">
        <v>19</v>
      </c>
      <c r="H970">
        <v>1</v>
      </c>
      <c r="I970" t="s">
        <v>22</v>
      </c>
      <c r="J970">
        <v>101</v>
      </c>
      <c r="K970" t="s">
        <v>14</v>
      </c>
      <c r="L970">
        <v>119</v>
      </c>
    </row>
    <row r="971" spans="1:12" x14ac:dyDescent="0.25">
      <c r="A971">
        <v>400578778</v>
      </c>
      <c r="B971">
        <v>2015</v>
      </c>
      <c r="C971" s="1">
        <v>42006</v>
      </c>
      <c r="D971" t="s">
        <v>14</v>
      </c>
      <c r="E971">
        <v>1</v>
      </c>
      <c r="F971">
        <v>24</v>
      </c>
      <c r="G971">
        <v>10</v>
      </c>
      <c r="H971">
        <v>0</v>
      </c>
      <c r="I971" t="s">
        <v>22</v>
      </c>
      <c r="J971">
        <v>101</v>
      </c>
      <c r="K971" t="s">
        <v>14</v>
      </c>
      <c r="L971">
        <v>119</v>
      </c>
    </row>
    <row r="972" spans="1:12" x14ac:dyDescent="0.25">
      <c r="A972">
        <v>400578779</v>
      </c>
      <c r="B972">
        <v>2015</v>
      </c>
      <c r="C972" s="1">
        <v>42006</v>
      </c>
      <c r="D972" t="s">
        <v>33</v>
      </c>
      <c r="E972">
        <v>1</v>
      </c>
      <c r="F972">
        <v>9</v>
      </c>
      <c r="G972">
        <v>23</v>
      </c>
      <c r="H972">
        <v>0</v>
      </c>
      <c r="I972" t="s">
        <v>31</v>
      </c>
      <c r="J972">
        <v>81</v>
      </c>
      <c r="K972" t="s">
        <v>33</v>
      </c>
      <c r="L972">
        <v>97</v>
      </c>
    </row>
    <row r="973" spans="1:12" x14ac:dyDescent="0.25">
      <c r="A973">
        <v>400578779</v>
      </c>
      <c r="B973">
        <v>2015</v>
      </c>
      <c r="C973" s="1">
        <v>42006</v>
      </c>
      <c r="D973" t="s">
        <v>31</v>
      </c>
      <c r="E973">
        <v>0</v>
      </c>
      <c r="F973">
        <v>5</v>
      </c>
      <c r="G973">
        <v>30</v>
      </c>
      <c r="H973">
        <v>1</v>
      </c>
      <c r="I973" t="s">
        <v>31</v>
      </c>
      <c r="J973">
        <v>81</v>
      </c>
      <c r="K973" t="s">
        <v>33</v>
      </c>
      <c r="L973">
        <v>97</v>
      </c>
    </row>
    <row r="974" spans="1:12" x14ac:dyDescent="0.25">
      <c r="A974">
        <v>400578780</v>
      </c>
      <c r="B974">
        <v>2015</v>
      </c>
      <c r="C974" s="1">
        <v>42006</v>
      </c>
      <c r="D974" t="s">
        <v>16</v>
      </c>
      <c r="E974">
        <v>0</v>
      </c>
      <c r="F974">
        <v>22</v>
      </c>
      <c r="G974">
        <v>10</v>
      </c>
      <c r="H974">
        <v>0</v>
      </c>
      <c r="I974" t="s">
        <v>12</v>
      </c>
      <c r="J974">
        <v>111</v>
      </c>
      <c r="K974" t="s">
        <v>16</v>
      </c>
      <c r="L974">
        <v>83</v>
      </c>
    </row>
    <row r="975" spans="1:12" x14ac:dyDescent="0.25">
      <c r="A975">
        <v>400578780</v>
      </c>
      <c r="B975">
        <v>2015</v>
      </c>
      <c r="C975" s="1">
        <v>42006</v>
      </c>
      <c r="D975" t="s">
        <v>12</v>
      </c>
      <c r="E975">
        <v>1</v>
      </c>
      <c r="F975">
        <v>17</v>
      </c>
      <c r="G975">
        <v>16</v>
      </c>
      <c r="H975">
        <v>1</v>
      </c>
      <c r="I975" t="s">
        <v>12</v>
      </c>
      <c r="J975">
        <v>111</v>
      </c>
      <c r="K975" t="s">
        <v>16</v>
      </c>
      <c r="L975">
        <v>83</v>
      </c>
    </row>
    <row r="976" spans="1:12" x14ac:dyDescent="0.25">
      <c r="A976">
        <v>400578781</v>
      </c>
      <c r="B976">
        <v>2015</v>
      </c>
      <c r="C976" s="1">
        <v>42006</v>
      </c>
      <c r="D976" t="s">
        <v>38</v>
      </c>
      <c r="E976">
        <v>1</v>
      </c>
      <c r="F976">
        <v>17</v>
      </c>
      <c r="G976">
        <v>17</v>
      </c>
      <c r="H976">
        <v>1</v>
      </c>
      <c r="I976" t="s">
        <v>38</v>
      </c>
      <c r="J976">
        <v>109</v>
      </c>
      <c r="K976" t="s">
        <v>25</v>
      </c>
      <c r="L976">
        <v>102</v>
      </c>
    </row>
    <row r="977" spans="1:12" x14ac:dyDescent="0.25">
      <c r="A977">
        <v>400578781</v>
      </c>
      <c r="B977">
        <v>2015</v>
      </c>
      <c r="C977" s="1">
        <v>42006</v>
      </c>
      <c r="D977" t="s">
        <v>25</v>
      </c>
      <c r="E977">
        <v>0</v>
      </c>
      <c r="F977">
        <v>22</v>
      </c>
      <c r="G977">
        <v>10</v>
      </c>
      <c r="H977">
        <v>0</v>
      </c>
      <c r="I977" t="s">
        <v>38</v>
      </c>
      <c r="J977">
        <v>109</v>
      </c>
      <c r="K977" t="s">
        <v>25</v>
      </c>
      <c r="L977">
        <v>102</v>
      </c>
    </row>
    <row r="978" spans="1:12" x14ac:dyDescent="0.25">
      <c r="A978">
        <v>400578782</v>
      </c>
      <c r="B978">
        <v>2015</v>
      </c>
      <c r="C978" s="1">
        <v>42006</v>
      </c>
      <c r="D978" t="s">
        <v>20</v>
      </c>
      <c r="E978">
        <v>1</v>
      </c>
      <c r="F978">
        <v>13</v>
      </c>
      <c r="G978">
        <v>21</v>
      </c>
      <c r="H978">
        <v>0</v>
      </c>
      <c r="I978" t="s">
        <v>19</v>
      </c>
      <c r="J978">
        <v>91</v>
      </c>
      <c r="K978" t="s">
        <v>20</v>
      </c>
      <c r="L978">
        <v>94</v>
      </c>
    </row>
    <row r="979" spans="1:12" x14ac:dyDescent="0.25">
      <c r="A979">
        <v>400578782</v>
      </c>
      <c r="B979">
        <v>2015</v>
      </c>
      <c r="C979" s="1">
        <v>42006</v>
      </c>
      <c r="D979" t="s">
        <v>19</v>
      </c>
      <c r="E979">
        <v>0</v>
      </c>
      <c r="F979">
        <v>17</v>
      </c>
      <c r="G979">
        <v>17</v>
      </c>
      <c r="H979">
        <v>1</v>
      </c>
      <c r="I979" t="s">
        <v>19</v>
      </c>
      <c r="J979">
        <v>91</v>
      </c>
      <c r="K979" t="s">
        <v>20</v>
      </c>
      <c r="L979">
        <v>94</v>
      </c>
    </row>
    <row r="980" spans="1:12" x14ac:dyDescent="0.25">
      <c r="A980">
        <v>400578783</v>
      </c>
      <c r="B980">
        <v>2015</v>
      </c>
      <c r="C980" s="1">
        <v>42006</v>
      </c>
      <c r="D980" t="s">
        <v>21</v>
      </c>
      <c r="E980">
        <v>0</v>
      </c>
      <c r="F980">
        <v>4</v>
      </c>
      <c r="G980">
        <v>27</v>
      </c>
      <c r="H980">
        <v>0</v>
      </c>
      <c r="I980" t="s">
        <v>35</v>
      </c>
      <c r="J980">
        <v>112</v>
      </c>
      <c r="K980" t="s">
        <v>21</v>
      </c>
      <c r="L980">
        <v>96</v>
      </c>
    </row>
    <row r="981" spans="1:12" x14ac:dyDescent="0.25">
      <c r="A981">
        <v>400578783</v>
      </c>
      <c r="B981">
        <v>2015</v>
      </c>
      <c r="C981" s="1">
        <v>42006</v>
      </c>
      <c r="D981" t="s">
        <v>35</v>
      </c>
      <c r="E981">
        <v>1</v>
      </c>
      <c r="F981">
        <v>19</v>
      </c>
      <c r="G981">
        <v>16</v>
      </c>
      <c r="H981">
        <v>1</v>
      </c>
      <c r="I981" t="s">
        <v>35</v>
      </c>
      <c r="J981">
        <v>112</v>
      </c>
      <c r="K981" t="s">
        <v>21</v>
      </c>
      <c r="L981">
        <v>96</v>
      </c>
    </row>
    <row r="982" spans="1:12" x14ac:dyDescent="0.25">
      <c r="A982">
        <v>400578784</v>
      </c>
      <c r="B982">
        <v>2015</v>
      </c>
      <c r="C982" s="1">
        <v>42006</v>
      </c>
      <c r="D982" t="s">
        <v>26</v>
      </c>
      <c r="E982">
        <v>1</v>
      </c>
      <c r="F982">
        <v>24</v>
      </c>
      <c r="G982">
        <v>8</v>
      </c>
      <c r="H982">
        <v>0</v>
      </c>
      <c r="I982" t="s">
        <v>34</v>
      </c>
      <c r="J982">
        <v>92</v>
      </c>
      <c r="K982" t="s">
        <v>26</v>
      </c>
      <c r="L982">
        <v>98</v>
      </c>
    </row>
    <row r="983" spans="1:12" x14ac:dyDescent="0.25">
      <c r="A983">
        <v>400578784</v>
      </c>
      <c r="B983">
        <v>2015</v>
      </c>
      <c r="C983" s="1">
        <v>42006</v>
      </c>
      <c r="D983" t="s">
        <v>34</v>
      </c>
      <c r="E983">
        <v>0</v>
      </c>
      <c r="F983">
        <v>11</v>
      </c>
      <c r="G983">
        <v>22</v>
      </c>
      <c r="H983">
        <v>1</v>
      </c>
      <c r="I983" t="s">
        <v>34</v>
      </c>
      <c r="J983">
        <v>92</v>
      </c>
      <c r="K983" t="s">
        <v>26</v>
      </c>
      <c r="L983">
        <v>98</v>
      </c>
    </row>
    <row r="984" spans="1:12" x14ac:dyDescent="0.25">
      <c r="A984">
        <v>400578785</v>
      </c>
      <c r="B984">
        <v>2015</v>
      </c>
      <c r="C984" s="1">
        <v>42006</v>
      </c>
      <c r="D984" t="s">
        <v>36</v>
      </c>
      <c r="E984">
        <v>1</v>
      </c>
      <c r="F984">
        <v>26</v>
      </c>
      <c r="G984">
        <v>5</v>
      </c>
      <c r="H984">
        <v>1</v>
      </c>
      <c r="I984" t="s">
        <v>36</v>
      </c>
      <c r="J984">
        <v>126</v>
      </c>
      <c r="K984" t="s">
        <v>27</v>
      </c>
      <c r="L984">
        <v>105</v>
      </c>
    </row>
    <row r="985" spans="1:12" x14ac:dyDescent="0.25">
      <c r="A985">
        <v>400578785</v>
      </c>
      <c r="B985">
        <v>2015</v>
      </c>
      <c r="C985" s="1">
        <v>42006</v>
      </c>
      <c r="D985" t="s">
        <v>27</v>
      </c>
      <c r="E985">
        <v>0</v>
      </c>
      <c r="F985">
        <v>24</v>
      </c>
      <c r="G985">
        <v>9</v>
      </c>
      <c r="H985">
        <v>0</v>
      </c>
      <c r="I985" t="s">
        <v>36</v>
      </c>
      <c r="J985">
        <v>126</v>
      </c>
      <c r="K985" t="s">
        <v>27</v>
      </c>
      <c r="L985">
        <v>105</v>
      </c>
    </row>
    <row r="986" spans="1:12" x14ac:dyDescent="0.25">
      <c r="A986">
        <v>400578786</v>
      </c>
      <c r="B986">
        <v>2015</v>
      </c>
      <c r="C986" s="1">
        <v>42006</v>
      </c>
      <c r="D986" t="s">
        <v>17</v>
      </c>
      <c r="E986">
        <v>0</v>
      </c>
      <c r="F986">
        <v>10</v>
      </c>
      <c r="G986">
        <v>23</v>
      </c>
      <c r="H986">
        <v>1</v>
      </c>
      <c r="I986" t="s">
        <v>17</v>
      </c>
      <c r="J986">
        <v>106</v>
      </c>
      <c r="K986" t="s">
        <v>28</v>
      </c>
      <c r="L986">
        <v>109</v>
      </c>
    </row>
    <row r="987" spans="1:12" x14ac:dyDescent="0.25">
      <c r="A987">
        <v>400578786</v>
      </c>
      <c r="B987">
        <v>2015</v>
      </c>
      <c r="C987" s="1">
        <v>42006</v>
      </c>
      <c r="D987" t="s">
        <v>28</v>
      </c>
      <c r="E987">
        <v>1</v>
      </c>
      <c r="F987">
        <v>24</v>
      </c>
      <c r="G987">
        <v>8</v>
      </c>
      <c r="H987">
        <v>0</v>
      </c>
      <c r="I987" t="s">
        <v>17</v>
      </c>
      <c r="J987">
        <v>106</v>
      </c>
      <c r="K987" t="s">
        <v>28</v>
      </c>
      <c r="L987">
        <v>109</v>
      </c>
    </row>
    <row r="988" spans="1:12" x14ac:dyDescent="0.25">
      <c r="A988">
        <v>400578787</v>
      </c>
      <c r="B988">
        <v>2015</v>
      </c>
      <c r="C988" s="1">
        <v>42007</v>
      </c>
      <c r="D988" t="s">
        <v>18</v>
      </c>
      <c r="E988">
        <v>1</v>
      </c>
      <c r="F988">
        <v>11</v>
      </c>
      <c r="G988">
        <v>24</v>
      </c>
      <c r="H988">
        <v>0</v>
      </c>
      <c r="I988" t="s">
        <v>13</v>
      </c>
      <c r="J988">
        <v>90</v>
      </c>
      <c r="K988" t="s">
        <v>18</v>
      </c>
      <c r="L988">
        <v>98</v>
      </c>
    </row>
    <row r="989" spans="1:12" x14ac:dyDescent="0.25">
      <c r="A989">
        <v>400578787</v>
      </c>
      <c r="B989">
        <v>2015</v>
      </c>
      <c r="C989" s="1">
        <v>42007</v>
      </c>
      <c r="D989" t="s">
        <v>13</v>
      </c>
      <c r="E989">
        <v>0</v>
      </c>
      <c r="F989">
        <v>13</v>
      </c>
      <c r="G989">
        <v>24</v>
      </c>
      <c r="H989">
        <v>1</v>
      </c>
      <c r="I989" t="s">
        <v>13</v>
      </c>
      <c r="J989">
        <v>90</v>
      </c>
      <c r="K989" t="s">
        <v>18</v>
      </c>
      <c r="L989">
        <v>98</v>
      </c>
    </row>
    <row r="990" spans="1:12" x14ac:dyDescent="0.25">
      <c r="A990">
        <v>400578788</v>
      </c>
      <c r="B990">
        <v>2015</v>
      </c>
      <c r="C990" s="1">
        <v>42007</v>
      </c>
      <c r="D990" t="s">
        <v>22</v>
      </c>
      <c r="E990">
        <v>0</v>
      </c>
      <c r="F990">
        <v>11</v>
      </c>
      <c r="G990">
        <v>20</v>
      </c>
      <c r="H990">
        <v>0</v>
      </c>
      <c r="I990" t="s">
        <v>30</v>
      </c>
      <c r="J990">
        <v>109</v>
      </c>
      <c r="K990" t="s">
        <v>22</v>
      </c>
      <c r="L990">
        <v>104</v>
      </c>
    </row>
    <row r="991" spans="1:12" x14ac:dyDescent="0.25">
      <c r="A991">
        <v>400578788</v>
      </c>
      <c r="B991">
        <v>2015</v>
      </c>
      <c r="C991" s="1">
        <v>42007</v>
      </c>
      <c r="D991" t="s">
        <v>30</v>
      </c>
      <c r="E991">
        <v>1</v>
      </c>
      <c r="F991">
        <v>24</v>
      </c>
      <c r="G991">
        <v>10</v>
      </c>
      <c r="H991">
        <v>1</v>
      </c>
      <c r="I991" t="s">
        <v>30</v>
      </c>
      <c r="J991">
        <v>109</v>
      </c>
      <c r="K991" t="s">
        <v>22</v>
      </c>
      <c r="L991">
        <v>104</v>
      </c>
    </row>
    <row r="992" spans="1:12" x14ac:dyDescent="0.25">
      <c r="A992">
        <v>400578789</v>
      </c>
      <c r="B992">
        <v>2015</v>
      </c>
      <c r="C992" s="1">
        <v>42007</v>
      </c>
      <c r="D992" t="s">
        <v>16</v>
      </c>
      <c r="E992">
        <v>1</v>
      </c>
      <c r="F992">
        <v>23</v>
      </c>
      <c r="G992">
        <v>10</v>
      </c>
      <c r="H992">
        <v>1</v>
      </c>
      <c r="I992" t="s">
        <v>16</v>
      </c>
      <c r="J992">
        <v>115</v>
      </c>
      <c r="K992" t="s">
        <v>24</v>
      </c>
      <c r="L992">
        <v>79</v>
      </c>
    </row>
    <row r="993" spans="1:12" x14ac:dyDescent="0.25">
      <c r="A993">
        <v>400578789</v>
      </c>
      <c r="B993">
        <v>2015</v>
      </c>
      <c r="C993" s="1">
        <v>42007</v>
      </c>
      <c r="D993" t="s">
        <v>24</v>
      </c>
      <c r="E993">
        <v>0</v>
      </c>
      <c r="F993">
        <v>14</v>
      </c>
      <c r="G993">
        <v>20</v>
      </c>
      <c r="H993">
        <v>0</v>
      </c>
      <c r="I993" t="s">
        <v>16</v>
      </c>
      <c r="J993">
        <v>115</v>
      </c>
      <c r="K993" t="s">
        <v>24</v>
      </c>
      <c r="L993">
        <v>79</v>
      </c>
    </row>
    <row r="994" spans="1:12" x14ac:dyDescent="0.25">
      <c r="A994">
        <v>400578790</v>
      </c>
      <c r="B994">
        <v>2015</v>
      </c>
      <c r="C994" s="1">
        <v>42007</v>
      </c>
      <c r="D994" t="s">
        <v>29</v>
      </c>
      <c r="E994">
        <v>0</v>
      </c>
      <c r="F994">
        <v>5</v>
      </c>
      <c r="G994">
        <v>27</v>
      </c>
      <c r="H994">
        <v>1</v>
      </c>
      <c r="I994" t="s">
        <v>29</v>
      </c>
      <c r="J994">
        <v>89</v>
      </c>
      <c r="K994" t="s">
        <v>34</v>
      </c>
      <c r="L994">
        <v>101</v>
      </c>
    </row>
    <row r="995" spans="1:12" x14ac:dyDescent="0.25">
      <c r="A995">
        <v>400578790</v>
      </c>
      <c r="B995">
        <v>2015</v>
      </c>
      <c r="C995" s="1">
        <v>42007</v>
      </c>
      <c r="D995" t="s">
        <v>34</v>
      </c>
      <c r="E995">
        <v>1</v>
      </c>
      <c r="F995">
        <v>12</v>
      </c>
      <c r="G995">
        <v>22</v>
      </c>
      <c r="H995">
        <v>0</v>
      </c>
      <c r="I995" t="s">
        <v>29</v>
      </c>
      <c r="J995">
        <v>89</v>
      </c>
      <c r="K995" t="s">
        <v>34</v>
      </c>
      <c r="L995">
        <v>101</v>
      </c>
    </row>
    <row r="996" spans="1:12" x14ac:dyDescent="0.25">
      <c r="A996">
        <v>400578791</v>
      </c>
      <c r="B996">
        <v>2015</v>
      </c>
      <c r="C996" s="1">
        <v>42007</v>
      </c>
      <c r="D996" t="s">
        <v>15</v>
      </c>
      <c r="E996">
        <v>1</v>
      </c>
      <c r="F996">
        <v>21</v>
      </c>
      <c r="G996">
        <v>14</v>
      </c>
      <c r="H996">
        <v>1</v>
      </c>
      <c r="I996" t="s">
        <v>15</v>
      </c>
      <c r="J996">
        <v>101</v>
      </c>
      <c r="K996" t="s">
        <v>25</v>
      </c>
      <c r="L996">
        <v>92</v>
      </c>
    </row>
    <row r="997" spans="1:12" x14ac:dyDescent="0.25">
      <c r="A997">
        <v>400578791</v>
      </c>
      <c r="B997">
        <v>2015</v>
      </c>
      <c r="C997" s="1">
        <v>42007</v>
      </c>
      <c r="D997" t="s">
        <v>25</v>
      </c>
      <c r="E997">
        <v>0</v>
      </c>
      <c r="F997">
        <v>22</v>
      </c>
      <c r="G997">
        <v>11</v>
      </c>
      <c r="H997">
        <v>0</v>
      </c>
      <c r="I997" t="s">
        <v>15</v>
      </c>
      <c r="J997">
        <v>101</v>
      </c>
      <c r="K997" t="s">
        <v>25</v>
      </c>
      <c r="L997">
        <v>92</v>
      </c>
    </row>
    <row r="998" spans="1:12" x14ac:dyDescent="0.25">
      <c r="A998">
        <v>400578792</v>
      </c>
      <c r="B998">
        <v>2015</v>
      </c>
      <c r="C998" s="1">
        <v>42007</v>
      </c>
      <c r="D998" t="s">
        <v>32</v>
      </c>
      <c r="E998">
        <v>1</v>
      </c>
      <c r="F998">
        <v>14</v>
      </c>
      <c r="G998">
        <v>20</v>
      </c>
      <c r="H998">
        <v>1</v>
      </c>
      <c r="I998" t="s">
        <v>32</v>
      </c>
      <c r="J998">
        <v>114</v>
      </c>
      <c r="K998" t="s">
        <v>28</v>
      </c>
      <c r="L998">
        <v>85</v>
      </c>
    </row>
    <row r="999" spans="1:12" x14ac:dyDescent="0.25">
      <c r="A999">
        <v>400578792</v>
      </c>
      <c r="B999">
        <v>2015</v>
      </c>
      <c r="C999" s="1">
        <v>42007</v>
      </c>
      <c r="D999" t="s">
        <v>28</v>
      </c>
      <c r="E999">
        <v>0</v>
      </c>
      <c r="F999">
        <v>24</v>
      </c>
      <c r="G999">
        <v>9</v>
      </c>
      <c r="H999">
        <v>0</v>
      </c>
      <c r="I999" t="s">
        <v>32</v>
      </c>
      <c r="J999">
        <v>114</v>
      </c>
      <c r="K999" t="s">
        <v>28</v>
      </c>
      <c r="L999">
        <v>85</v>
      </c>
    </row>
    <row r="1000" spans="1:12" x14ac:dyDescent="0.25">
      <c r="A1000">
        <v>400578793</v>
      </c>
      <c r="B1000">
        <v>2015</v>
      </c>
      <c r="C1000" s="1">
        <v>42007</v>
      </c>
      <c r="D1000" t="s">
        <v>26</v>
      </c>
      <c r="E1000">
        <v>1</v>
      </c>
      <c r="F1000">
        <v>25</v>
      </c>
      <c r="G1000">
        <v>8</v>
      </c>
      <c r="H1000">
        <v>0</v>
      </c>
      <c r="I1000" t="s">
        <v>39</v>
      </c>
      <c r="J1000">
        <v>107</v>
      </c>
      <c r="K1000" t="s">
        <v>26</v>
      </c>
      <c r="L1000">
        <v>115</v>
      </c>
    </row>
    <row r="1001" spans="1:12" x14ac:dyDescent="0.25">
      <c r="A1001">
        <v>400578793</v>
      </c>
      <c r="B1001">
        <v>2015</v>
      </c>
      <c r="C1001" s="1">
        <v>42007</v>
      </c>
      <c r="D1001" t="s">
        <v>39</v>
      </c>
      <c r="E1001">
        <v>0</v>
      </c>
      <c r="F1001">
        <v>26</v>
      </c>
      <c r="G1001">
        <v>8</v>
      </c>
      <c r="H1001">
        <v>1</v>
      </c>
      <c r="I1001" t="s">
        <v>39</v>
      </c>
      <c r="J1001">
        <v>107</v>
      </c>
      <c r="K1001" t="s">
        <v>26</v>
      </c>
      <c r="L1001">
        <v>115</v>
      </c>
    </row>
    <row r="1002" spans="1:12" x14ac:dyDescent="0.25">
      <c r="A1002">
        <v>400578794</v>
      </c>
      <c r="B1002">
        <v>2015</v>
      </c>
      <c r="C1002" s="1">
        <v>42007</v>
      </c>
      <c r="D1002" t="s">
        <v>41</v>
      </c>
      <c r="E1002">
        <v>1</v>
      </c>
      <c r="F1002">
        <v>23</v>
      </c>
      <c r="G1002">
        <v>11</v>
      </c>
      <c r="H1002">
        <v>1</v>
      </c>
      <c r="I1002" t="s">
        <v>41</v>
      </c>
      <c r="J1002">
        <v>127</v>
      </c>
      <c r="K1002" t="s">
        <v>21</v>
      </c>
      <c r="L1002">
        <v>91</v>
      </c>
    </row>
    <row r="1003" spans="1:12" x14ac:dyDescent="0.25">
      <c r="A1003">
        <v>400578794</v>
      </c>
      <c r="B1003">
        <v>2015</v>
      </c>
      <c r="C1003" s="1">
        <v>42007</v>
      </c>
      <c r="D1003" t="s">
        <v>21</v>
      </c>
      <c r="E1003">
        <v>0</v>
      </c>
      <c r="F1003">
        <v>4</v>
      </c>
      <c r="G1003">
        <v>28</v>
      </c>
      <c r="H1003">
        <v>0</v>
      </c>
      <c r="I1003" t="s">
        <v>41</v>
      </c>
      <c r="J1003">
        <v>127</v>
      </c>
      <c r="K1003" t="s">
        <v>21</v>
      </c>
      <c r="L1003">
        <v>91</v>
      </c>
    </row>
    <row r="1004" spans="1:12" x14ac:dyDescent="0.25">
      <c r="A1004">
        <v>400578795</v>
      </c>
      <c r="B1004">
        <v>2015</v>
      </c>
      <c r="C1004" s="1">
        <v>42008</v>
      </c>
      <c r="D1004" t="s">
        <v>40</v>
      </c>
      <c r="E1004">
        <v>0</v>
      </c>
      <c r="F1004">
        <v>19</v>
      </c>
      <c r="G1004">
        <v>15</v>
      </c>
      <c r="H1004">
        <v>1</v>
      </c>
      <c r="I1004" t="s">
        <v>40</v>
      </c>
      <c r="J1004">
        <v>90</v>
      </c>
      <c r="K1004" t="s">
        <v>14</v>
      </c>
      <c r="L1004">
        <v>109</v>
      </c>
    </row>
    <row r="1005" spans="1:12" x14ac:dyDescent="0.25">
      <c r="A1005">
        <v>400578795</v>
      </c>
      <c r="B1005">
        <v>2015</v>
      </c>
      <c r="C1005" s="1">
        <v>42008</v>
      </c>
      <c r="D1005" t="s">
        <v>14</v>
      </c>
      <c r="E1005">
        <v>1</v>
      </c>
      <c r="F1005">
        <v>25</v>
      </c>
      <c r="G1005">
        <v>10</v>
      </c>
      <c r="H1005">
        <v>0</v>
      </c>
      <c r="I1005" t="s">
        <v>40</v>
      </c>
      <c r="J1005">
        <v>90</v>
      </c>
      <c r="K1005" t="s">
        <v>14</v>
      </c>
      <c r="L1005">
        <v>109</v>
      </c>
    </row>
    <row r="1006" spans="1:12" x14ac:dyDescent="0.25">
      <c r="A1006">
        <v>400578796</v>
      </c>
      <c r="B1006">
        <v>2015</v>
      </c>
      <c r="C1006" s="1">
        <v>42008</v>
      </c>
      <c r="D1006" t="s">
        <v>33</v>
      </c>
      <c r="E1006">
        <v>1</v>
      </c>
      <c r="F1006">
        <v>10</v>
      </c>
      <c r="G1006">
        <v>23</v>
      </c>
      <c r="H1006">
        <v>1</v>
      </c>
      <c r="I1006" t="s">
        <v>33</v>
      </c>
      <c r="J1006">
        <v>114</v>
      </c>
      <c r="K1006" t="s">
        <v>37</v>
      </c>
      <c r="L1006">
        <v>95</v>
      </c>
    </row>
    <row r="1007" spans="1:12" x14ac:dyDescent="0.25">
      <c r="A1007">
        <v>400578796</v>
      </c>
      <c r="B1007">
        <v>2015</v>
      </c>
      <c r="C1007" s="1">
        <v>42008</v>
      </c>
      <c r="D1007" t="s">
        <v>37</v>
      </c>
      <c r="E1007">
        <v>0</v>
      </c>
      <c r="F1007">
        <v>14</v>
      </c>
      <c r="G1007">
        <v>20</v>
      </c>
      <c r="H1007">
        <v>0</v>
      </c>
      <c r="I1007" t="s">
        <v>33</v>
      </c>
      <c r="J1007">
        <v>114</v>
      </c>
      <c r="K1007" t="s">
        <v>37</v>
      </c>
      <c r="L1007">
        <v>95</v>
      </c>
    </row>
    <row r="1008" spans="1:12" x14ac:dyDescent="0.25">
      <c r="A1008">
        <v>400578797</v>
      </c>
      <c r="B1008">
        <v>2015</v>
      </c>
      <c r="C1008" s="1">
        <v>42008</v>
      </c>
      <c r="D1008" t="s">
        <v>23</v>
      </c>
      <c r="E1008">
        <v>0</v>
      </c>
      <c r="F1008">
        <v>16</v>
      </c>
      <c r="G1008">
        <v>17</v>
      </c>
      <c r="H1008">
        <v>0</v>
      </c>
      <c r="I1008" t="s">
        <v>24</v>
      </c>
      <c r="J1008">
        <v>88</v>
      </c>
      <c r="K1008" t="s">
        <v>23</v>
      </c>
      <c r="L1008">
        <v>84</v>
      </c>
    </row>
    <row r="1009" spans="1:12" x14ac:dyDescent="0.25">
      <c r="A1009">
        <v>400578797</v>
      </c>
      <c r="B1009">
        <v>2015</v>
      </c>
      <c r="C1009" s="1">
        <v>42008</v>
      </c>
      <c r="D1009" t="s">
        <v>24</v>
      </c>
      <c r="E1009">
        <v>1</v>
      </c>
      <c r="F1009">
        <v>15</v>
      </c>
      <c r="G1009">
        <v>20</v>
      </c>
      <c r="H1009">
        <v>1</v>
      </c>
      <c r="I1009" t="s">
        <v>24</v>
      </c>
      <c r="J1009">
        <v>88</v>
      </c>
      <c r="K1009" t="s">
        <v>23</v>
      </c>
      <c r="L1009">
        <v>84</v>
      </c>
    </row>
    <row r="1010" spans="1:12" x14ac:dyDescent="0.25">
      <c r="A1010">
        <v>400578798</v>
      </c>
      <c r="B1010">
        <v>2015</v>
      </c>
      <c r="C1010" s="1">
        <v>42008</v>
      </c>
      <c r="D1010" t="s">
        <v>19</v>
      </c>
      <c r="E1010">
        <v>1</v>
      </c>
      <c r="F1010">
        <v>18</v>
      </c>
      <c r="G1010">
        <v>17</v>
      </c>
      <c r="H1010">
        <v>0</v>
      </c>
      <c r="I1010" t="s">
        <v>31</v>
      </c>
      <c r="J1010">
        <v>82</v>
      </c>
      <c r="K1010" t="s">
        <v>19</v>
      </c>
      <c r="L1010">
        <v>95</v>
      </c>
    </row>
    <row r="1011" spans="1:12" x14ac:dyDescent="0.25">
      <c r="A1011">
        <v>400578798</v>
      </c>
      <c r="B1011">
        <v>2015</v>
      </c>
      <c r="C1011" s="1">
        <v>42008</v>
      </c>
      <c r="D1011" t="s">
        <v>31</v>
      </c>
      <c r="E1011">
        <v>0</v>
      </c>
      <c r="F1011">
        <v>5</v>
      </c>
      <c r="G1011">
        <v>31</v>
      </c>
      <c r="H1011">
        <v>1</v>
      </c>
      <c r="I1011" t="s">
        <v>31</v>
      </c>
      <c r="J1011">
        <v>82</v>
      </c>
      <c r="K1011" t="s">
        <v>19</v>
      </c>
      <c r="L1011">
        <v>95</v>
      </c>
    </row>
    <row r="1012" spans="1:12" x14ac:dyDescent="0.25">
      <c r="A1012">
        <v>400578799</v>
      </c>
      <c r="B1012">
        <v>2015</v>
      </c>
      <c r="C1012" s="1">
        <v>42008</v>
      </c>
      <c r="D1012" t="s">
        <v>35</v>
      </c>
      <c r="E1012">
        <v>1</v>
      </c>
      <c r="F1012">
        <v>20</v>
      </c>
      <c r="G1012">
        <v>16</v>
      </c>
      <c r="H1012">
        <v>1</v>
      </c>
      <c r="I1012" t="s">
        <v>35</v>
      </c>
      <c r="J1012">
        <v>125</v>
      </c>
      <c r="K1012" t="s">
        <v>27</v>
      </c>
      <c r="L1012">
        <v>109</v>
      </c>
    </row>
    <row r="1013" spans="1:12" x14ac:dyDescent="0.25">
      <c r="A1013">
        <v>400578799</v>
      </c>
      <c r="B1013">
        <v>2015</v>
      </c>
      <c r="C1013" s="1">
        <v>42008</v>
      </c>
      <c r="D1013" t="s">
        <v>27</v>
      </c>
      <c r="E1013">
        <v>0</v>
      </c>
      <c r="F1013">
        <v>24</v>
      </c>
      <c r="G1013">
        <v>10</v>
      </c>
      <c r="H1013">
        <v>0</v>
      </c>
      <c r="I1013" t="s">
        <v>35</v>
      </c>
      <c r="J1013">
        <v>125</v>
      </c>
      <c r="K1013" t="s">
        <v>27</v>
      </c>
      <c r="L1013">
        <v>109</v>
      </c>
    </row>
    <row r="1014" spans="1:12" x14ac:dyDescent="0.25">
      <c r="A1014">
        <v>400578800</v>
      </c>
      <c r="B1014">
        <v>2015</v>
      </c>
      <c r="C1014" s="1">
        <v>42008</v>
      </c>
      <c r="D1014" t="s">
        <v>20</v>
      </c>
      <c r="E1014">
        <v>0</v>
      </c>
      <c r="F1014">
        <v>13</v>
      </c>
      <c r="G1014">
        <v>22</v>
      </c>
      <c r="H1014">
        <v>0</v>
      </c>
      <c r="I1014" t="s">
        <v>17</v>
      </c>
      <c r="J1014">
        <v>88</v>
      </c>
      <c r="K1014" t="s">
        <v>20</v>
      </c>
      <c r="L1014">
        <v>87</v>
      </c>
    </row>
    <row r="1015" spans="1:12" x14ac:dyDescent="0.25">
      <c r="A1015">
        <v>400578800</v>
      </c>
      <c r="B1015">
        <v>2015</v>
      </c>
      <c r="C1015" s="1">
        <v>42008</v>
      </c>
      <c r="D1015" t="s">
        <v>17</v>
      </c>
      <c r="E1015">
        <v>1</v>
      </c>
      <c r="F1015">
        <v>11</v>
      </c>
      <c r="G1015">
        <v>23</v>
      </c>
      <c r="H1015">
        <v>1</v>
      </c>
      <c r="I1015" t="s">
        <v>17</v>
      </c>
      <c r="J1015">
        <v>88</v>
      </c>
      <c r="K1015" t="s">
        <v>20</v>
      </c>
      <c r="L1015">
        <v>87</v>
      </c>
    </row>
    <row r="1016" spans="1:12" x14ac:dyDescent="0.25">
      <c r="A1016">
        <v>400578801</v>
      </c>
      <c r="B1016">
        <v>2015</v>
      </c>
      <c r="C1016" s="1">
        <v>42009</v>
      </c>
      <c r="D1016" t="s">
        <v>40</v>
      </c>
      <c r="E1016">
        <v>0</v>
      </c>
      <c r="F1016">
        <v>19</v>
      </c>
      <c r="G1016">
        <v>16</v>
      </c>
      <c r="H1016">
        <v>0</v>
      </c>
      <c r="I1016" t="s">
        <v>21</v>
      </c>
      <c r="J1016">
        <v>95</v>
      </c>
      <c r="K1016" t="s">
        <v>40</v>
      </c>
      <c r="L1016">
        <v>92</v>
      </c>
    </row>
    <row r="1017" spans="1:12" x14ac:dyDescent="0.25">
      <c r="A1017">
        <v>400578801</v>
      </c>
      <c r="B1017">
        <v>2015</v>
      </c>
      <c r="C1017" s="1">
        <v>42009</v>
      </c>
      <c r="D1017" t="s">
        <v>21</v>
      </c>
      <c r="E1017">
        <v>1</v>
      </c>
      <c r="F1017">
        <v>5</v>
      </c>
      <c r="G1017">
        <v>28</v>
      </c>
      <c r="H1017">
        <v>1</v>
      </c>
      <c r="I1017" t="s">
        <v>21</v>
      </c>
      <c r="J1017">
        <v>95</v>
      </c>
      <c r="K1017" t="s">
        <v>40</v>
      </c>
      <c r="L1017">
        <v>92</v>
      </c>
    </row>
    <row r="1018" spans="1:12" x14ac:dyDescent="0.25">
      <c r="A1018">
        <v>400578802</v>
      </c>
      <c r="B1018">
        <v>2015</v>
      </c>
      <c r="C1018" s="1">
        <v>42009</v>
      </c>
      <c r="D1018" t="s">
        <v>22</v>
      </c>
      <c r="E1018">
        <v>0</v>
      </c>
      <c r="F1018">
        <v>11</v>
      </c>
      <c r="G1018">
        <v>21</v>
      </c>
      <c r="H1018">
        <v>1</v>
      </c>
      <c r="I1018" t="s">
        <v>22</v>
      </c>
      <c r="J1018">
        <v>95</v>
      </c>
      <c r="K1018" t="s">
        <v>18</v>
      </c>
      <c r="L1018">
        <v>104</v>
      </c>
    </row>
    <row r="1019" spans="1:12" x14ac:dyDescent="0.25">
      <c r="A1019">
        <v>400578802</v>
      </c>
      <c r="B1019">
        <v>2015</v>
      </c>
      <c r="C1019" s="1">
        <v>42009</v>
      </c>
      <c r="D1019" t="s">
        <v>18</v>
      </c>
      <c r="E1019">
        <v>1</v>
      </c>
      <c r="F1019">
        <v>12</v>
      </c>
      <c r="G1019">
        <v>24</v>
      </c>
      <c r="H1019">
        <v>0</v>
      </c>
      <c r="I1019" t="s">
        <v>22</v>
      </c>
      <c r="J1019">
        <v>95</v>
      </c>
      <c r="K1019" t="s">
        <v>18</v>
      </c>
      <c r="L1019">
        <v>104</v>
      </c>
    </row>
    <row r="1020" spans="1:12" x14ac:dyDescent="0.25">
      <c r="A1020">
        <v>400578803</v>
      </c>
      <c r="B1020">
        <v>2015</v>
      </c>
      <c r="C1020" s="1">
        <v>42009</v>
      </c>
      <c r="D1020" t="s">
        <v>23</v>
      </c>
      <c r="E1020">
        <v>0</v>
      </c>
      <c r="F1020">
        <v>16</v>
      </c>
      <c r="G1020">
        <v>18</v>
      </c>
      <c r="H1020">
        <v>1</v>
      </c>
      <c r="I1020" t="s">
        <v>23</v>
      </c>
      <c r="J1020">
        <v>88</v>
      </c>
      <c r="K1020" t="s">
        <v>14</v>
      </c>
      <c r="L1020">
        <v>96</v>
      </c>
    </row>
    <row r="1021" spans="1:12" x14ac:dyDescent="0.25">
      <c r="A1021">
        <v>400578803</v>
      </c>
      <c r="B1021">
        <v>2015</v>
      </c>
      <c r="C1021" s="1">
        <v>42009</v>
      </c>
      <c r="D1021" t="s">
        <v>14</v>
      </c>
      <c r="E1021">
        <v>1</v>
      </c>
      <c r="F1021">
        <v>26</v>
      </c>
      <c r="G1021">
        <v>10</v>
      </c>
      <c r="H1021">
        <v>0</v>
      </c>
      <c r="I1021" t="s">
        <v>23</v>
      </c>
      <c r="J1021">
        <v>88</v>
      </c>
      <c r="K1021" t="s">
        <v>14</v>
      </c>
      <c r="L1021">
        <v>96</v>
      </c>
    </row>
    <row r="1022" spans="1:12" x14ac:dyDescent="0.25">
      <c r="A1022">
        <v>400578804</v>
      </c>
      <c r="B1022">
        <v>2015</v>
      </c>
      <c r="C1022" s="1">
        <v>42009</v>
      </c>
      <c r="D1022" t="s">
        <v>30</v>
      </c>
      <c r="E1022">
        <v>1</v>
      </c>
      <c r="F1022">
        <v>25</v>
      </c>
      <c r="G1022">
        <v>10</v>
      </c>
      <c r="H1022">
        <v>1</v>
      </c>
      <c r="I1022" t="s">
        <v>30</v>
      </c>
      <c r="J1022">
        <v>114</v>
      </c>
      <c r="K1022" t="s">
        <v>16</v>
      </c>
      <c r="L1022">
        <v>105</v>
      </c>
    </row>
    <row r="1023" spans="1:12" x14ac:dyDescent="0.25">
      <c r="A1023">
        <v>400578804</v>
      </c>
      <c r="B1023">
        <v>2015</v>
      </c>
      <c r="C1023" s="1">
        <v>42009</v>
      </c>
      <c r="D1023" t="s">
        <v>16</v>
      </c>
      <c r="E1023">
        <v>0</v>
      </c>
      <c r="F1023">
        <v>23</v>
      </c>
      <c r="G1023">
        <v>11</v>
      </c>
      <c r="H1023">
        <v>0</v>
      </c>
      <c r="I1023" t="s">
        <v>30</v>
      </c>
      <c r="J1023">
        <v>114</v>
      </c>
      <c r="K1023" t="s">
        <v>16</v>
      </c>
      <c r="L1023">
        <v>105</v>
      </c>
    </row>
    <row r="1024" spans="1:12" x14ac:dyDescent="0.25">
      <c r="A1024">
        <v>400578805</v>
      </c>
      <c r="B1024">
        <v>2015</v>
      </c>
      <c r="C1024" s="1">
        <v>42009</v>
      </c>
      <c r="D1024" t="s">
        <v>28</v>
      </c>
      <c r="E1024">
        <v>1</v>
      </c>
      <c r="F1024">
        <v>25</v>
      </c>
      <c r="G1024">
        <v>9</v>
      </c>
      <c r="H1024">
        <v>1</v>
      </c>
      <c r="I1024" t="s">
        <v>28</v>
      </c>
      <c r="J1024">
        <v>105</v>
      </c>
      <c r="K1024" t="s">
        <v>31</v>
      </c>
      <c r="L1024">
        <v>83</v>
      </c>
    </row>
    <row r="1025" spans="1:12" x14ac:dyDescent="0.25">
      <c r="A1025">
        <v>400578805</v>
      </c>
      <c r="B1025">
        <v>2015</v>
      </c>
      <c r="C1025" s="1">
        <v>42009</v>
      </c>
      <c r="D1025" t="s">
        <v>31</v>
      </c>
      <c r="E1025">
        <v>0</v>
      </c>
      <c r="F1025">
        <v>5</v>
      </c>
      <c r="G1025">
        <v>32</v>
      </c>
      <c r="H1025">
        <v>0</v>
      </c>
      <c r="I1025" t="s">
        <v>28</v>
      </c>
      <c r="J1025">
        <v>105</v>
      </c>
      <c r="K1025" t="s">
        <v>31</v>
      </c>
      <c r="L1025">
        <v>83</v>
      </c>
    </row>
    <row r="1026" spans="1:12" x14ac:dyDescent="0.25">
      <c r="A1026">
        <v>400578806</v>
      </c>
      <c r="B1026">
        <v>2015</v>
      </c>
      <c r="C1026" s="1">
        <v>42009</v>
      </c>
      <c r="D1026" t="s">
        <v>32</v>
      </c>
      <c r="E1026">
        <v>1</v>
      </c>
      <c r="F1026">
        <v>15</v>
      </c>
      <c r="G1026">
        <v>20</v>
      </c>
      <c r="H1026">
        <v>0</v>
      </c>
      <c r="I1026" t="s">
        <v>29</v>
      </c>
      <c r="J1026">
        <v>101</v>
      </c>
      <c r="K1026" t="s">
        <v>32</v>
      </c>
      <c r="L1026">
        <v>110</v>
      </c>
    </row>
    <row r="1027" spans="1:12" x14ac:dyDescent="0.25">
      <c r="A1027">
        <v>400578806</v>
      </c>
      <c r="B1027">
        <v>2015</v>
      </c>
      <c r="C1027" s="1">
        <v>42009</v>
      </c>
      <c r="D1027" t="s">
        <v>29</v>
      </c>
      <c r="E1027">
        <v>0</v>
      </c>
      <c r="F1027">
        <v>5</v>
      </c>
      <c r="G1027">
        <v>28</v>
      </c>
      <c r="H1027">
        <v>1</v>
      </c>
      <c r="I1027" t="s">
        <v>29</v>
      </c>
      <c r="J1027">
        <v>101</v>
      </c>
      <c r="K1027" t="s">
        <v>32</v>
      </c>
      <c r="L1027">
        <v>110</v>
      </c>
    </row>
    <row r="1028" spans="1:12" x14ac:dyDescent="0.25">
      <c r="A1028">
        <v>400578807</v>
      </c>
      <c r="B1028">
        <v>2015</v>
      </c>
      <c r="C1028" s="1">
        <v>42009</v>
      </c>
      <c r="D1028" t="s">
        <v>12</v>
      </c>
      <c r="E1028">
        <v>0</v>
      </c>
      <c r="F1028">
        <v>17</v>
      </c>
      <c r="G1028">
        <v>17</v>
      </c>
      <c r="H1028">
        <v>1</v>
      </c>
      <c r="I1028" t="s">
        <v>12</v>
      </c>
      <c r="J1028">
        <v>85</v>
      </c>
      <c r="K1028" t="s">
        <v>25</v>
      </c>
      <c r="L1028">
        <v>92</v>
      </c>
    </row>
    <row r="1029" spans="1:12" x14ac:dyDescent="0.25">
      <c r="A1029">
        <v>400578807</v>
      </c>
      <c r="B1029">
        <v>2015</v>
      </c>
      <c r="C1029" s="1">
        <v>42009</v>
      </c>
      <c r="D1029" t="s">
        <v>25</v>
      </c>
      <c r="E1029">
        <v>1</v>
      </c>
      <c r="F1029">
        <v>23</v>
      </c>
      <c r="G1029">
        <v>11</v>
      </c>
      <c r="H1029">
        <v>0</v>
      </c>
      <c r="I1029" t="s">
        <v>12</v>
      </c>
      <c r="J1029">
        <v>85</v>
      </c>
      <c r="K1029" t="s">
        <v>25</v>
      </c>
      <c r="L1029">
        <v>92</v>
      </c>
    </row>
    <row r="1030" spans="1:12" x14ac:dyDescent="0.25">
      <c r="A1030">
        <v>400578808</v>
      </c>
      <c r="B1030">
        <v>2015</v>
      </c>
      <c r="C1030" s="1">
        <v>42009</v>
      </c>
      <c r="D1030" t="s">
        <v>20</v>
      </c>
      <c r="E1030">
        <v>1</v>
      </c>
      <c r="F1030">
        <v>14</v>
      </c>
      <c r="G1030">
        <v>22</v>
      </c>
      <c r="H1030">
        <v>0</v>
      </c>
      <c r="I1030" t="s">
        <v>34</v>
      </c>
      <c r="J1030">
        <v>101</v>
      </c>
      <c r="K1030" t="s">
        <v>20</v>
      </c>
      <c r="L1030">
        <v>105</v>
      </c>
    </row>
    <row r="1031" spans="1:12" x14ac:dyDescent="0.25">
      <c r="A1031">
        <v>400578808</v>
      </c>
      <c r="B1031">
        <v>2015</v>
      </c>
      <c r="C1031" s="1">
        <v>42009</v>
      </c>
      <c r="D1031" t="s">
        <v>34</v>
      </c>
      <c r="E1031">
        <v>0</v>
      </c>
      <c r="F1031">
        <v>12</v>
      </c>
      <c r="G1031">
        <v>23</v>
      </c>
      <c r="H1031">
        <v>1</v>
      </c>
      <c r="I1031" t="s">
        <v>34</v>
      </c>
      <c r="J1031">
        <v>101</v>
      </c>
      <c r="K1031" t="s">
        <v>20</v>
      </c>
      <c r="L1031">
        <v>105</v>
      </c>
    </row>
    <row r="1032" spans="1:12" x14ac:dyDescent="0.25">
      <c r="A1032">
        <v>400578809</v>
      </c>
      <c r="B1032">
        <v>2015</v>
      </c>
      <c r="C1032" s="1">
        <v>42009</v>
      </c>
      <c r="D1032" t="s">
        <v>17</v>
      </c>
      <c r="E1032">
        <v>0</v>
      </c>
      <c r="F1032">
        <v>11</v>
      </c>
      <c r="G1032">
        <v>24</v>
      </c>
      <c r="H1032">
        <v>0</v>
      </c>
      <c r="I1032" t="s">
        <v>39</v>
      </c>
      <c r="J1032">
        <v>98</v>
      </c>
      <c r="K1032" t="s">
        <v>17</v>
      </c>
      <c r="L1032">
        <v>94</v>
      </c>
    </row>
    <row r="1033" spans="1:12" x14ac:dyDescent="0.25">
      <c r="A1033">
        <v>400578809</v>
      </c>
      <c r="B1033">
        <v>2015</v>
      </c>
      <c r="C1033" s="1">
        <v>42009</v>
      </c>
      <c r="D1033" t="s">
        <v>39</v>
      </c>
      <c r="E1033">
        <v>1</v>
      </c>
      <c r="F1033">
        <v>27</v>
      </c>
      <c r="G1033">
        <v>8</v>
      </c>
      <c r="H1033">
        <v>1</v>
      </c>
      <c r="I1033" t="s">
        <v>39</v>
      </c>
      <c r="J1033">
        <v>98</v>
      </c>
      <c r="K1033" t="s">
        <v>17</v>
      </c>
      <c r="L1033">
        <v>94</v>
      </c>
    </row>
    <row r="1034" spans="1:12" x14ac:dyDescent="0.25">
      <c r="A1034">
        <v>400578810</v>
      </c>
      <c r="B1034">
        <v>2015</v>
      </c>
      <c r="C1034" s="1">
        <v>42009</v>
      </c>
      <c r="D1034" t="s">
        <v>36</v>
      </c>
      <c r="E1034">
        <v>1</v>
      </c>
      <c r="F1034">
        <v>27</v>
      </c>
      <c r="G1034">
        <v>5</v>
      </c>
      <c r="H1034">
        <v>1</v>
      </c>
      <c r="I1034" t="s">
        <v>36</v>
      </c>
      <c r="J1034">
        <v>117</v>
      </c>
      <c r="K1034" t="s">
        <v>38</v>
      </c>
      <c r="L1034">
        <v>91</v>
      </c>
    </row>
    <row r="1035" spans="1:12" x14ac:dyDescent="0.25">
      <c r="A1035">
        <v>400578810</v>
      </c>
      <c r="B1035">
        <v>2015</v>
      </c>
      <c r="C1035" s="1">
        <v>42009</v>
      </c>
      <c r="D1035" t="s">
        <v>38</v>
      </c>
      <c r="E1035">
        <v>0</v>
      </c>
      <c r="F1035">
        <v>17</v>
      </c>
      <c r="G1035">
        <v>18</v>
      </c>
      <c r="H1035">
        <v>0</v>
      </c>
      <c r="I1035" t="s">
        <v>36</v>
      </c>
      <c r="J1035">
        <v>117</v>
      </c>
      <c r="K1035" t="s">
        <v>38</v>
      </c>
      <c r="L1035">
        <v>91</v>
      </c>
    </row>
    <row r="1036" spans="1:12" x14ac:dyDescent="0.25">
      <c r="A1036">
        <v>400578811</v>
      </c>
      <c r="B1036">
        <v>2015</v>
      </c>
      <c r="C1036" s="1">
        <v>42009</v>
      </c>
      <c r="D1036" t="s">
        <v>26</v>
      </c>
      <c r="E1036">
        <v>1</v>
      </c>
      <c r="F1036">
        <v>26</v>
      </c>
      <c r="G1036">
        <v>8</v>
      </c>
      <c r="H1036">
        <v>0</v>
      </c>
      <c r="I1036" t="s">
        <v>41</v>
      </c>
      <c r="J1036">
        <v>98</v>
      </c>
      <c r="K1036" t="s">
        <v>26</v>
      </c>
      <c r="L1036">
        <v>107</v>
      </c>
    </row>
    <row r="1037" spans="1:12" x14ac:dyDescent="0.25">
      <c r="A1037">
        <v>400578811</v>
      </c>
      <c r="B1037">
        <v>2015</v>
      </c>
      <c r="C1037" s="1">
        <v>42009</v>
      </c>
      <c r="D1037" t="s">
        <v>41</v>
      </c>
      <c r="E1037">
        <v>0</v>
      </c>
      <c r="F1037">
        <v>23</v>
      </c>
      <c r="G1037">
        <v>12</v>
      </c>
      <c r="H1037">
        <v>1</v>
      </c>
      <c r="I1037" t="s">
        <v>41</v>
      </c>
      <c r="J1037">
        <v>98</v>
      </c>
      <c r="K1037" t="s">
        <v>26</v>
      </c>
      <c r="L1037">
        <v>107</v>
      </c>
    </row>
    <row r="1038" spans="1:12" x14ac:dyDescent="0.25">
      <c r="A1038">
        <v>400578812</v>
      </c>
      <c r="B1038">
        <v>2015</v>
      </c>
      <c r="C1038" s="1">
        <v>42010</v>
      </c>
      <c r="D1038" t="s">
        <v>19</v>
      </c>
      <c r="E1038">
        <v>0</v>
      </c>
      <c r="F1038">
        <v>18</v>
      </c>
      <c r="G1038">
        <v>18</v>
      </c>
      <c r="H1038">
        <v>1</v>
      </c>
      <c r="I1038" t="s">
        <v>19</v>
      </c>
      <c r="J1038">
        <v>96</v>
      </c>
      <c r="K1038" t="s">
        <v>35</v>
      </c>
      <c r="L1038">
        <v>102</v>
      </c>
    </row>
    <row r="1039" spans="1:12" x14ac:dyDescent="0.25">
      <c r="A1039">
        <v>400578812</v>
      </c>
      <c r="B1039">
        <v>2015</v>
      </c>
      <c r="C1039" s="1">
        <v>42010</v>
      </c>
      <c r="D1039" t="s">
        <v>35</v>
      </c>
      <c r="E1039">
        <v>1</v>
      </c>
      <c r="F1039">
        <v>21</v>
      </c>
      <c r="G1039">
        <v>16</v>
      </c>
      <c r="H1039">
        <v>0</v>
      </c>
      <c r="I1039" t="s">
        <v>19</v>
      </c>
      <c r="J1039">
        <v>96</v>
      </c>
      <c r="K1039" t="s">
        <v>35</v>
      </c>
      <c r="L1039">
        <v>102</v>
      </c>
    </row>
    <row r="1040" spans="1:12" x14ac:dyDescent="0.25">
      <c r="A1040">
        <v>400578813</v>
      </c>
      <c r="B1040">
        <v>2015</v>
      </c>
      <c r="C1040" s="1">
        <v>42010</v>
      </c>
      <c r="D1040" t="s">
        <v>33</v>
      </c>
      <c r="E1040">
        <v>1</v>
      </c>
      <c r="F1040">
        <v>11</v>
      </c>
      <c r="G1040">
        <v>23</v>
      </c>
      <c r="H1040">
        <v>0</v>
      </c>
      <c r="I1040" t="s">
        <v>15</v>
      </c>
      <c r="J1040">
        <v>104</v>
      </c>
      <c r="K1040" t="s">
        <v>33</v>
      </c>
      <c r="L1040">
        <v>105</v>
      </c>
    </row>
    <row r="1041" spans="1:12" x14ac:dyDescent="0.25">
      <c r="A1041">
        <v>400578813</v>
      </c>
      <c r="B1041">
        <v>2015</v>
      </c>
      <c r="C1041" s="1">
        <v>42010</v>
      </c>
      <c r="D1041" t="s">
        <v>15</v>
      </c>
      <c r="E1041">
        <v>0</v>
      </c>
      <c r="F1041">
        <v>21</v>
      </c>
      <c r="G1041">
        <v>15</v>
      </c>
      <c r="H1041">
        <v>1</v>
      </c>
      <c r="I1041" t="s">
        <v>15</v>
      </c>
      <c r="J1041">
        <v>104</v>
      </c>
      <c r="K1041" t="s">
        <v>33</v>
      </c>
      <c r="L1041">
        <v>105</v>
      </c>
    </row>
    <row r="1042" spans="1:12" x14ac:dyDescent="0.25">
      <c r="A1042">
        <v>400578814</v>
      </c>
      <c r="B1042">
        <v>2015</v>
      </c>
      <c r="C1042" s="1">
        <v>42011</v>
      </c>
      <c r="D1042" t="s">
        <v>18</v>
      </c>
      <c r="E1042">
        <v>1</v>
      </c>
      <c r="F1042">
        <v>13</v>
      </c>
      <c r="G1042">
        <v>24</v>
      </c>
      <c r="H1042">
        <v>1</v>
      </c>
      <c r="I1042" t="s">
        <v>18</v>
      </c>
      <c r="J1042">
        <v>98</v>
      </c>
      <c r="K1042" t="s">
        <v>12</v>
      </c>
      <c r="L1042">
        <v>94</v>
      </c>
    </row>
    <row r="1043" spans="1:12" x14ac:dyDescent="0.25">
      <c r="A1043">
        <v>400578814</v>
      </c>
      <c r="B1043">
        <v>2015</v>
      </c>
      <c r="C1043" s="1">
        <v>42011</v>
      </c>
      <c r="D1043" t="s">
        <v>12</v>
      </c>
      <c r="E1043">
        <v>0</v>
      </c>
      <c r="F1043">
        <v>17</v>
      </c>
      <c r="G1043">
        <v>18</v>
      </c>
      <c r="H1043">
        <v>0</v>
      </c>
      <c r="I1043" t="s">
        <v>18</v>
      </c>
      <c r="J1043">
        <v>98</v>
      </c>
      <c r="K1043" t="s">
        <v>12</v>
      </c>
      <c r="L1043">
        <v>94</v>
      </c>
    </row>
    <row r="1044" spans="1:12" x14ac:dyDescent="0.25">
      <c r="A1044">
        <v>400578815</v>
      </c>
      <c r="B1044">
        <v>2015</v>
      </c>
      <c r="C1044" s="1">
        <v>42011</v>
      </c>
      <c r="D1044" t="s">
        <v>40</v>
      </c>
      <c r="E1044">
        <v>0</v>
      </c>
      <c r="F1044">
        <v>19</v>
      </c>
      <c r="G1044">
        <v>17</v>
      </c>
      <c r="H1044">
        <v>1</v>
      </c>
      <c r="I1044" t="s">
        <v>40</v>
      </c>
      <c r="J1044">
        <v>93</v>
      </c>
      <c r="K1044" t="s">
        <v>16</v>
      </c>
      <c r="L1044">
        <v>105</v>
      </c>
    </row>
    <row r="1045" spans="1:12" x14ac:dyDescent="0.25">
      <c r="A1045">
        <v>400578815</v>
      </c>
      <c r="B1045">
        <v>2015</v>
      </c>
      <c r="C1045" s="1">
        <v>42011</v>
      </c>
      <c r="D1045" t="s">
        <v>16</v>
      </c>
      <c r="E1045">
        <v>1</v>
      </c>
      <c r="F1045">
        <v>24</v>
      </c>
      <c r="G1045">
        <v>11</v>
      </c>
      <c r="H1045">
        <v>0</v>
      </c>
      <c r="I1045" t="s">
        <v>40</v>
      </c>
      <c r="J1045">
        <v>93</v>
      </c>
      <c r="K1045" t="s">
        <v>16</v>
      </c>
      <c r="L1045">
        <v>105</v>
      </c>
    </row>
    <row r="1046" spans="1:12" x14ac:dyDescent="0.25">
      <c r="A1046">
        <v>400578816</v>
      </c>
      <c r="B1046">
        <v>2015</v>
      </c>
      <c r="C1046" s="1">
        <v>42011</v>
      </c>
      <c r="D1046" t="s">
        <v>19</v>
      </c>
      <c r="E1046">
        <v>1</v>
      </c>
      <c r="F1046">
        <v>19</v>
      </c>
      <c r="G1046">
        <v>18</v>
      </c>
      <c r="H1046">
        <v>0</v>
      </c>
      <c r="I1046" t="s">
        <v>21</v>
      </c>
      <c r="J1046">
        <v>77</v>
      </c>
      <c r="K1046" t="s">
        <v>19</v>
      </c>
      <c r="L1046">
        <v>97</v>
      </c>
    </row>
    <row r="1047" spans="1:12" x14ac:dyDescent="0.25">
      <c r="A1047">
        <v>400578816</v>
      </c>
      <c r="B1047">
        <v>2015</v>
      </c>
      <c r="C1047" s="1">
        <v>42011</v>
      </c>
      <c r="D1047" t="s">
        <v>21</v>
      </c>
      <c r="E1047">
        <v>0</v>
      </c>
      <c r="F1047">
        <v>5</v>
      </c>
      <c r="G1047">
        <v>29</v>
      </c>
      <c r="H1047">
        <v>1</v>
      </c>
      <c r="I1047" t="s">
        <v>21</v>
      </c>
      <c r="J1047">
        <v>77</v>
      </c>
      <c r="K1047" t="s">
        <v>19</v>
      </c>
      <c r="L1047">
        <v>97</v>
      </c>
    </row>
    <row r="1048" spans="1:12" x14ac:dyDescent="0.25">
      <c r="A1048">
        <v>400578817</v>
      </c>
      <c r="B1048">
        <v>2015</v>
      </c>
      <c r="C1048" s="1">
        <v>42011</v>
      </c>
      <c r="D1048" t="s">
        <v>31</v>
      </c>
      <c r="E1048">
        <v>0</v>
      </c>
      <c r="F1048">
        <v>5</v>
      </c>
      <c r="G1048">
        <v>33</v>
      </c>
      <c r="H1048">
        <v>0</v>
      </c>
      <c r="I1048" t="s">
        <v>25</v>
      </c>
      <c r="J1048">
        <v>101</v>
      </c>
      <c r="K1048" t="s">
        <v>31</v>
      </c>
      <c r="L1048">
        <v>91</v>
      </c>
    </row>
    <row r="1049" spans="1:12" x14ac:dyDescent="0.25">
      <c r="A1049">
        <v>400578817</v>
      </c>
      <c r="B1049">
        <v>2015</v>
      </c>
      <c r="C1049" s="1">
        <v>42011</v>
      </c>
      <c r="D1049" t="s">
        <v>25</v>
      </c>
      <c r="E1049">
        <v>1</v>
      </c>
      <c r="F1049">
        <v>24</v>
      </c>
      <c r="G1049">
        <v>11</v>
      </c>
      <c r="H1049">
        <v>1</v>
      </c>
      <c r="I1049" t="s">
        <v>25</v>
      </c>
      <c r="J1049">
        <v>101</v>
      </c>
      <c r="K1049" t="s">
        <v>31</v>
      </c>
      <c r="L1049">
        <v>91</v>
      </c>
    </row>
    <row r="1050" spans="1:12" x14ac:dyDescent="0.25">
      <c r="A1050">
        <v>400578818</v>
      </c>
      <c r="B1050">
        <v>2015</v>
      </c>
      <c r="C1050" s="1">
        <v>42011</v>
      </c>
      <c r="D1050" t="s">
        <v>26</v>
      </c>
      <c r="E1050">
        <v>1</v>
      </c>
      <c r="F1050">
        <v>27</v>
      </c>
      <c r="G1050">
        <v>8</v>
      </c>
      <c r="H1050">
        <v>1</v>
      </c>
      <c r="I1050" t="s">
        <v>26</v>
      </c>
      <c r="J1050">
        <v>96</v>
      </c>
      <c r="K1050" t="s">
        <v>28</v>
      </c>
      <c r="L1050">
        <v>86</v>
      </c>
    </row>
    <row r="1051" spans="1:12" x14ac:dyDescent="0.25">
      <c r="A1051">
        <v>400578818</v>
      </c>
      <c r="B1051">
        <v>2015</v>
      </c>
      <c r="C1051" s="1">
        <v>42011</v>
      </c>
      <c r="D1051" t="s">
        <v>28</v>
      </c>
      <c r="E1051">
        <v>0</v>
      </c>
      <c r="F1051">
        <v>25</v>
      </c>
      <c r="G1051">
        <v>10</v>
      </c>
      <c r="H1051">
        <v>0</v>
      </c>
      <c r="I1051" t="s">
        <v>26</v>
      </c>
      <c r="J1051">
        <v>96</v>
      </c>
      <c r="K1051" t="s">
        <v>28</v>
      </c>
      <c r="L1051">
        <v>86</v>
      </c>
    </row>
    <row r="1052" spans="1:12" x14ac:dyDescent="0.25">
      <c r="A1052">
        <v>400578819</v>
      </c>
      <c r="B1052">
        <v>2015</v>
      </c>
      <c r="C1052" s="1">
        <v>42011</v>
      </c>
      <c r="D1052" t="s">
        <v>22</v>
      </c>
      <c r="E1052">
        <v>1</v>
      </c>
      <c r="F1052">
        <v>12</v>
      </c>
      <c r="G1052">
        <v>21</v>
      </c>
      <c r="H1052">
        <v>0</v>
      </c>
      <c r="I1052" t="s">
        <v>23</v>
      </c>
      <c r="J1052">
        <v>81</v>
      </c>
      <c r="K1052" t="s">
        <v>22</v>
      </c>
      <c r="L1052">
        <v>89</v>
      </c>
    </row>
    <row r="1053" spans="1:12" x14ac:dyDescent="0.25">
      <c r="A1053">
        <v>400578819</v>
      </c>
      <c r="B1053">
        <v>2015</v>
      </c>
      <c r="C1053" s="1">
        <v>42011</v>
      </c>
      <c r="D1053" t="s">
        <v>23</v>
      </c>
      <c r="E1053">
        <v>0</v>
      </c>
      <c r="F1053">
        <v>16</v>
      </c>
      <c r="G1053">
        <v>19</v>
      </c>
      <c r="H1053">
        <v>1</v>
      </c>
      <c r="I1053" t="s">
        <v>23</v>
      </c>
      <c r="J1053">
        <v>81</v>
      </c>
      <c r="K1053" t="s">
        <v>22</v>
      </c>
      <c r="L1053">
        <v>89</v>
      </c>
    </row>
    <row r="1054" spans="1:12" x14ac:dyDescent="0.25">
      <c r="A1054">
        <v>400578820</v>
      </c>
      <c r="B1054">
        <v>2015</v>
      </c>
      <c r="C1054" s="1">
        <v>42011</v>
      </c>
      <c r="D1054" t="s">
        <v>30</v>
      </c>
      <c r="E1054">
        <v>0</v>
      </c>
      <c r="F1054">
        <v>25</v>
      </c>
      <c r="G1054">
        <v>11</v>
      </c>
      <c r="H1054">
        <v>1</v>
      </c>
      <c r="I1054" t="s">
        <v>30</v>
      </c>
      <c r="J1054">
        <v>77</v>
      </c>
      <c r="K1054" t="s">
        <v>34</v>
      </c>
      <c r="L1054">
        <v>97</v>
      </c>
    </row>
    <row r="1055" spans="1:12" x14ac:dyDescent="0.25">
      <c r="A1055">
        <v>400578820</v>
      </c>
      <c r="B1055">
        <v>2015</v>
      </c>
      <c r="C1055" s="1">
        <v>42011</v>
      </c>
      <c r="D1055" t="s">
        <v>34</v>
      </c>
      <c r="E1055">
        <v>1</v>
      </c>
      <c r="F1055">
        <v>13</v>
      </c>
      <c r="G1055">
        <v>23</v>
      </c>
      <c r="H1055">
        <v>0</v>
      </c>
      <c r="I1055" t="s">
        <v>30</v>
      </c>
      <c r="J1055">
        <v>77</v>
      </c>
      <c r="K1055" t="s">
        <v>34</v>
      </c>
      <c r="L1055">
        <v>97</v>
      </c>
    </row>
    <row r="1056" spans="1:12" x14ac:dyDescent="0.25">
      <c r="A1056">
        <v>400578821</v>
      </c>
      <c r="B1056">
        <v>2015</v>
      </c>
      <c r="C1056" s="1">
        <v>42011</v>
      </c>
      <c r="D1056" t="s">
        <v>14</v>
      </c>
      <c r="E1056">
        <v>0</v>
      </c>
      <c r="F1056">
        <v>26</v>
      </c>
      <c r="G1056">
        <v>11</v>
      </c>
      <c r="H1056">
        <v>1</v>
      </c>
      <c r="I1056" t="s">
        <v>14</v>
      </c>
      <c r="J1056">
        <v>95</v>
      </c>
      <c r="K1056" t="s">
        <v>33</v>
      </c>
      <c r="L1056">
        <v>108</v>
      </c>
    </row>
    <row r="1057" spans="1:12" x14ac:dyDescent="0.25">
      <c r="A1057">
        <v>400578821</v>
      </c>
      <c r="B1057">
        <v>2015</v>
      </c>
      <c r="C1057" s="1">
        <v>42011</v>
      </c>
      <c r="D1057" t="s">
        <v>33</v>
      </c>
      <c r="E1057">
        <v>1</v>
      </c>
      <c r="F1057">
        <v>12</v>
      </c>
      <c r="G1057">
        <v>23</v>
      </c>
      <c r="H1057">
        <v>0</v>
      </c>
      <c r="I1057" t="s">
        <v>14</v>
      </c>
      <c r="J1057">
        <v>95</v>
      </c>
      <c r="K1057" t="s">
        <v>33</v>
      </c>
      <c r="L1057">
        <v>108</v>
      </c>
    </row>
    <row r="1058" spans="1:12" x14ac:dyDescent="0.25">
      <c r="A1058">
        <v>400578822</v>
      </c>
      <c r="B1058">
        <v>2015</v>
      </c>
      <c r="C1058" s="1">
        <v>42011</v>
      </c>
      <c r="D1058" t="s">
        <v>32</v>
      </c>
      <c r="E1058">
        <v>1</v>
      </c>
      <c r="F1058">
        <v>16</v>
      </c>
      <c r="G1058">
        <v>20</v>
      </c>
      <c r="H1058">
        <v>1</v>
      </c>
      <c r="I1058" t="s">
        <v>32</v>
      </c>
      <c r="J1058">
        <v>93</v>
      </c>
      <c r="K1058" t="s">
        <v>13</v>
      </c>
      <c r="L1058">
        <v>90</v>
      </c>
    </row>
    <row r="1059" spans="1:12" x14ac:dyDescent="0.25">
      <c r="A1059">
        <v>400578822</v>
      </c>
      <c r="B1059">
        <v>2015</v>
      </c>
      <c r="C1059" s="1">
        <v>42011</v>
      </c>
      <c r="D1059" t="s">
        <v>13</v>
      </c>
      <c r="E1059">
        <v>0</v>
      </c>
      <c r="F1059">
        <v>13</v>
      </c>
      <c r="G1059">
        <v>25</v>
      </c>
      <c r="H1059">
        <v>0</v>
      </c>
      <c r="I1059" t="s">
        <v>32</v>
      </c>
      <c r="J1059">
        <v>93</v>
      </c>
      <c r="K1059" t="s">
        <v>13</v>
      </c>
      <c r="L1059">
        <v>90</v>
      </c>
    </row>
    <row r="1060" spans="1:12" x14ac:dyDescent="0.25">
      <c r="A1060">
        <v>400578823</v>
      </c>
      <c r="B1060">
        <v>2015</v>
      </c>
      <c r="C1060" s="1">
        <v>42011</v>
      </c>
      <c r="D1060" t="s">
        <v>29</v>
      </c>
      <c r="E1060">
        <v>0</v>
      </c>
      <c r="F1060">
        <v>5</v>
      </c>
      <c r="G1060">
        <v>29</v>
      </c>
      <c r="H1060">
        <v>1</v>
      </c>
      <c r="I1060" t="s">
        <v>29</v>
      </c>
      <c r="J1060">
        <v>111</v>
      </c>
      <c r="K1060" t="s">
        <v>35</v>
      </c>
      <c r="L1060">
        <v>113</v>
      </c>
    </row>
    <row r="1061" spans="1:12" x14ac:dyDescent="0.25">
      <c r="A1061">
        <v>400578823</v>
      </c>
      <c r="B1061">
        <v>2015</v>
      </c>
      <c r="C1061" s="1">
        <v>42011</v>
      </c>
      <c r="D1061" t="s">
        <v>35</v>
      </c>
      <c r="E1061">
        <v>1</v>
      </c>
      <c r="F1061">
        <v>22</v>
      </c>
      <c r="G1061">
        <v>16</v>
      </c>
      <c r="H1061">
        <v>0</v>
      </c>
      <c r="I1061" t="s">
        <v>29</v>
      </c>
      <c r="J1061">
        <v>111</v>
      </c>
      <c r="K1061" t="s">
        <v>35</v>
      </c>
      <c r="L1061">
        <v>113</v>
      </c>
    </row>
    <row r="1062" spans="1:12" x14ac:dyDescent="0.25">
      <c r="A1062">
        <v>400578824</v>
      </c>
      <c r="B1062">
        <v>2015</v>
      </c>
      <c r="C1062" s="1">
        <v>42011</v>
      </c>
      <c r="D1062" t="s">
        <v>38</v>
      </c>
      <c r="E1062">
        <v>0</v>
      </c>
      <c r="F1062">
        <v>17</v>
      </c>
      <c r="G1062">
        <v>19</v>
      </c>
      <c r="H1062">
        <v>0</v>
      </c>
      <c r="I1062" t="s">
        <v>37</v>
      </c>
      <c r="J1062">
        <v>104</v>
      </c>
      <c r="K1062" t="s">
        <v>38</v>
      </c>
      <c r="L1062">
        <v>83</v>
      </c>
    </row>
    <row r="1063" spans="1:12" x14ac:dyDescent="0.25">
      <c r="A1063">
        <v>400578824</v>
      </c>
      <c r="B1063">
        <v>2015</v>
      </c>
      <c r="C1063" s="1">
        <v>42011</v>
      </c>
      <c r="D1063" t="s">
        <v>37</v>
      </c>
      <c r="E1063">
        <v>1</v>
      </c>
      <c r="F1063">
        <v>15</v>
      </c>
      <c r="G1063">
        <v>20</v>
      </c>
      <c r="H1063">
        <v>1</v>
      </c>
      <c r="I1063" t="s">
        <v>37</v>
      </c>
      <c r="J1063">
        <v>104</v>
      </c>
      <c r="K1063" t="s">
        <v>38</v>
      </c>
      <c r="L1063">
        <v>83</v>
      </c>
    </row>
    <row r="1064" spans="1:12" x14ac:dyDescent="0.25">
      <c r="A1064">
        <v>400578825</v>
      </c>
      <c r="B1064">
        <v>2015</v>
      </c>
      <c r="C1064" s="1">
        <v>42011</v>
      </c>
      <c r="D1064" t="s">
        <v>36</v>
      </c>
      <c r="E1064">
        <v>1</v>
      </c>
      <c r="F1064">
        <v>28</v>
      </c>
      <c r="G1064">
        <v>5</v>
      </c>
      <c r="H1064">
        <v>1</v>
      </c>
      <c r="I1064" t="s">
        <v>36</v>
      </c>
      <c r="J1064">
        <v>117</v>
      </c>
      <c r="K1064" t="s">
        <v>20</v>
      </c>
      <c r="L1064">
        <v>102</v>
      </c>
    </row>
    <row r="1065" spans="1:12" x14ac:dyDescent="0.25">
      <c r="A1065">
        <v>400578825</v>
      </c>
      <c r="B1065">
        <v>2015</v>
      </c>
      <c r="C1065" s="1">
        <v>42011</v>
      </c>
      <c r="D1065" t="s">
        <v>20</v>
      </c>
      <c r="E1065">
        <v>0</v>
      </c>
      <c r="F1065">
        <v>14</v>
      </c>
      <c r="G1065">
        <v>23</v>
      </c>
      <c r="H1065">
        <v>0</v>
      </c>
      <c r="I1065" t="s">
        <v>36</v>
      </c>
      <c r="J1065">
        <v>117</v>
      </c>
      <c r="K1065" t="s">
        <v>20</v>
      </c>
      <c r="L1065">
        <v>102</v>
      </c>
    </row>
    <row r="1066" spans="1:12" x14ac:dyDescent="0.25">
      <c r="A1066">
        <v>400578826</v>
      </c>
      <c r="B1066">
        <v>2015</v>
      </c>
      <c r="C1066" s="1">
        <v>42011</v>
      </c>
      <c r="D1066" t="s">
        <v>41</v>
      </c>
      <c r="E1066">
        <v>1</v>
      </c>
      <c r="F1066">
        <v>24</v>
      </c>
      <c r="G1066">
        <v>12</v>
      </c>
      <c r="H1066">
        <v>1</v>
      </c>
      <c r="I1066" t="s">
        <v>41</v>
      </c>
      <c r="J1066">
        <v>114</v>
      </c>
      <c r="K1066" t="s">
        <v>17</v>
      </c>
      <c r="L1066">
        <v>89</v>
      </c>
    </row>
    <row r="1067" spans="1:12" x14ac:dyDescent="0.25">
      <c r="A1067">
        <v>400578826</v>
      </c>
      <c r="B1067">
        <v>2015</v>
      </c>
      <c r="C1067" s="1">
        <v>42011</v>
      </c>
      <c r="D1067" t="s">
        <v>17</v>
      </c>
      <c r="E1067">
        <v>0</v>
      </c>
      <c r="F1067">
        <v>11</v>
      </c>
      <c r="G1067">
        <v>25</v>
      </c>
      <c r="H1067">
        <v>0</v>
      </c>
      <c r="I1067" t="s">
        <v>41</v>
      </c>
      <c r="J1067">
        <v>114</v>
      </c>
      <c r="K1067" t="s">
        <v>17</v>
      </c>
      <c r="L1067">
        <v>89</v>
      </c>
    </row>
    <row r="1068" spans="1:12" x14ac:dyDescent="0.25">
      <c r="A1068">
        <v>400578827</v>
      </c>
      <c r="B1068">
        <v>2015</v>
      </c>
      <c r="C1068" s="1">
        <v>42012</v>
      </c>
      <c r="D1068" t="s">
        <v>18</v>
      </c>
      <c r="E1068">
        <v>1</v>
      </c>
      <c r="F1068">
        <v>14</v>
      </c>
      <c r="G1068">
        <v>24</v>
      </c>
      <c r="H1068">
        <v>0</v>
      </c>
      <c r="I1068" t="s">
        <v>27</v>
      </c>
      <c r="J1068">
        <v>95</v>
      </c>
      <c r="K1068" t="s">
        <v>18</v>
      </c>
      <c r="L1068">
        <v>103</v>
      </c>
    </row>
    <row r="1069" spans="1:12" x14ac:dyDescent="0.25">
      <c r="A1069">
        <v>400578827</v>
      </c>
      <c r="B1069">
        <v>2015</v>
      </c>
      <c r="C1069" s="1">
        <v>42012</v>
      </c>
      <c r="D1069" t="s">
        <v>27</v>
      </c>
      <c r="E1069">
        <v>0</v>
      </c>
      <c r="F1069">
        <v>24</v>
      </c>
      <c r="G1069">
        <v>11</v>
      </c>
      <c r="H1069">
        <v>1</v>
      </c>
      <c r="I1069" t="s">
        <v>27</v>
      </c>
      <c r="J1069">
        <v>95</v>
      </c>
      <c r="K1069" t="s">
        <v>18</v>
      </c>
      <c r="L1069">
        <v>103</v>
      </c>
    </row>
    <row r="1070" spans="1:12" x14ac:dyDescent="0.25">
      <c r="A1070">
        <v>400578828</v>
      </c>
      <c r="B1070">
        <v>2015</v>
      </c>
      <c r="C1070" s="1">
        <v>42012</v>
      </c>
      <c r="D1070" t="s">
        <v>16</v>
      </c>
      <c r="E1070">
        <v>1</v>
      </c>
      <c r="F1070">
        <v>25</v>
      </c>
      <c r="G1070">
        <v>11</v>
      </c>
      <c r="H1070">
        <v>0</v>
      </c>
      <c r="I1070" t="s">
        <v>31</v>
      </c>
      <c r="J1070">
        <v>96</v>
      </c>
      <c r="K1070" t="s">
        <v>16</v>
      </c>
      <c r="L1070">
        <v>120</v>
      </c>
    </row>
    <row r="1071" spans="1:12" x14ac:dyDescent="0.25">
      <c r="A1071">
        <v>400578828</v>
      </c>
      <c r="B1071">
        <v>2015</v>
      </c>
      <c r="C1071" s="1">
        <v>42012</v>
      </c>
      <c r="D1071" t="s">
        <v>31</v>
      </c>
      <c r="E1071">
        <v>0</v>
      </c>
      <c r="F1071">
        <v>5</v>
      </c>
      <c r="G1071">
        <v>34</v>
      </c>
      <c r="H1071">
        <v>1</v>
      </c>
      <c r="I1071" t="s">
        <v>31</v>
      </c>
      <c r="J1071">
        <v>96</v>
      </c>
      <c r="K1071" t="s">
        <v>16</v>
      </c>
      <c r="L1071">
        <v>120</v>
      </c>
    </row>
    <row r="1072" spans="1:12" x14ac:dyDescent="0.25">
      <c r="A1072">
        <v>400578829</v>
      </c>
      <c r="B1072">
        <v>2015</v>
      </c>
      <c r="C1072" s="1">
        <v>42012</v>
      </c>
      <c r="D1072" t="s">
        <v>24</v>
      </c>
      <c r="E1072">
        <v>0</v>
      </c>
      <c r="F1072">
        <v>15</v>
      </c>
      <c r="G1072">
        <v>21</v>
      </c>
      <c r="H1072">
        <v>0</v>
      </c>
      <c r="I1072" t="s">
        <v>39</v>
      </c>
      <c r="J1072">
        <v>99</v>
      </c>
      <c r="K1072" t="s">
        <v>24</v>
      </c>
      <c r="L1072">
        <v>83</v>
      </c>
    </row>
    <row r="1073" spans="1:12" x14ac:dyDescent="0.25">
      <c r="A1073">
        <v>400578829</v>
      </c>
      <c r="B1073">
        <v>2015</v>
      </c>
      <c r="C1073" s="1">
        <v>42012</v>
      </c>
      <c r="D1073" t="s">
        <v>39</v>
      </c>
      <c r="E1073">
        <v>1</v>
      </c>
      <c r="F1073">
        <v>28</v>
      </c>
      <c r="G1073">
        <v>8</v>
      </c>
      <c r="H1073">
        <v>1</v>
      </c>
      <c r="I1073" t="s">
        <v>39</v>
      </c>
      <c r="J1073">
        <v>99</v>
      </c>
      <c r="K1073" t="s">
        <v>24</v>
      </c>
      <c r="L1073">
        <v>83</v>
      </c>
    </row>
    <row r="1074" spans="1:12" x14ac:dyDescent="0.25">
      <c r="A1074">
        <v>400578830</v>
      </c>
      <c r="B1074">
        <v>2015</v>
      </c>
      <c r="C1074" s="1">
        <v>42013</v>
      </c>
      <c r="D1074" t="s">
        <v>22</v>
      </c>
      <c r="E1074">
        <v>0</v>
      </c>
      <c r="F1074">
        <v>12</v>
      </c>
      <c r="G1074">
        <v>22</v>
      </c>
      <c r="H1074">
        <v>0</v>
      </c>
      <c r="I1074" t="s">
        <v>20</v>
      </c>
      <c r="J1074">
        <v>107</v>
      </c>
      <c r="K1074" t="s">
        <v>22</v>
      </c>
      <c r="L1074">
        <v>103</v>
      </c>
    </row>
    <row r="1075" spans="1:12" x14ac:dyDescent="0.25">
      <c r="A1075">
        <v>400578830</v>
      </c>
      <c r="B1075">
        <v>2015</v>
      </c>
      <c r="C1075" s="1">
        <v>42013</v>
      </c>
      <c r="D1075" t="s">
        <v>20</v>
      </c>
      <c r="E1075">
        <v>1</v>
      </c>
      <c r="F1075">
        <v>15</v>
      </c>
      <c r="G1075">
        <v>23</v>
      </c>
      <c r="H1075">
        <v>1</v>
      </c>
      <c r="I1075" t="s">
        <v>20</v>
      </c>
      <c r="J1075">
        <v>107</v>
      </c>
      <c r="K1075" t="s">
        <v>22</v>
      </c>
      <c r="L1075">
        <v>103</v>
      </c>
    </row>
    <row r="1076" spans="1:12" x14ac:dyDescent="0.25">
      <c r="A1076">
        <v>400578831</v>
      </c>
      <c r="B1076">
        <v>2015</v>
      </c>
      <c r="C1076" s="1">
        <v>42013</v>
      </c>
      <c r="D1076" t="s">
        <v>23</v>
      </c>
      <c r="E1076">
        <v>0</v>
      </c>
      <c r="F1076">
        <v>16</v>
      </c>
      <c r="G1076">
        <v>20</v>
      </c>
      <c r="H1076">
        <v>1</v>
      </c>
      <c r="I1076" t="s">
        <v>23</v>
      </c>
      <c r="J1076">
        <v>88</v>
      </c>
      <c r="K1076" t="s">
        <v>21</v>
      </c>
      <c r="L1076">
        <v>90</v>
      </c>
    </row>
    <row r="1077" spans="1:12" x14ac:dyDescent="0.25">
      <c r="A1077">
        <v>400578831</v>
      </c>
      <c r="B1077">
        <v>2015</v>
      </c>
      <c r="C1077" s="1">
        <v>42013</v>
      </c>
      <c r="D1077" t="s">
        <v>21</v>
      </c>
      <c r="E1077">
        <v>1</v>
      </c>
      <c r="F1077">
        <v>6</v>
      </c>
      <c r="G1077">
        <v>29</v>
      </c>
      <c r="H1077">
        <v>0</v>
      </c>
      <c r="I1077" t="s">
        <v>23</v>
      </c>
      <c r="J1077">
        <v>88</v>
      </c>
      <c r="K1077" t="s">
        <v>21</v>
      </c>
      <c r="L1077">
        <v>90</v>
      </c>
    </row>
    <row r="1078" spans="1:12" x14ac:dyDescent="0.25">
      <c r="A1078">
        <v>400578832</v>
      </c>
      <c r="B1078">
        <v>2015</v>
      </c>
      <c r="C1078" s="1">
        <v>42013</v>
      </c>
      <c r="D1078" t="s">
        <v>26</v>
      </c>
      <c r="E1078">
        <v>1</v>
      </c>
      <c r="F1078">
        <v>28</v>
      </c>
      <c r="G1078">
        <v>8</v>
      </c>
      <c r="H1078">
        <v>0</v>
      </c>
      <c r="I1078" t="s">
        <v>33</v>
      </c>
      <c r="J1078">
        <v>103</v>
      </c>
      <c r="K1078" t="s">
        <v>26</v>
      </c>
      <c r="L1078">
        <v>106</v>
      </c>
    </row>
    <row r="1079" spans="1:12" x14ac:dyDescent="0.25">
      <c r="A1079">
        <v>400578832</v>
      </c>
      <c r="B1079">
        <v>2015</v>
      </c>
      <c r="C1079" s="1">
        <v>42013</v>
      </c>
      <c r="D1079" t="s">
        <v>33</v>
      </c>
      <c r="E1079">
        <v>0</v>
      </c>
      <c r="F1079">
        <v>12</v>
      </c>
      <c r="G1079">
        <v>24</v>
      </c>
      <c r="H1079">
        <v>1</v>
      </c>
      <c r="I1079" t="s">
        <v>33</v>
      </c>
      <c r="J1079">
        <v>103</v>
      </c>
      <c r="K1079" t="s">
        <v>26</v>
      </c>
      <c r="L1079">
        <v>106</v>
      </c>
    </row>
    <row r="1080" spans="1:12" x14ac:dyDescent="0.25">
      <c r="A1080">
        <v>400578833</v>
      </c>
      <c r="B1080">
        <v>2015</v>
      </c>
      <c r="C1080" s="1">
        <v>42013</v>
      </c>
      <c r="D1080" t="s">
        <v>28</v>
      </c>
      <c r="E1080">
        <v>0</v>
      </c>
      <c r="F1080">
        <v>25</v>
      </c>
      <c r="G1080">
        <v>11</v>
      </c>
      <c r="H1080">
        <v>0</v>
      </c>
      <c r="I1080" t="s">
        <v>12</v>
      </c>
      <c r="J1080">
        <v>106</v>
      </c>
      <c r="K1080" t="s">
        <v>28</v>
      </c>
      <c r="L1080">
        <v>95</v>
      </c>
    </row>
    <row r="1081" spans="1:12" x14ac:dyDescent="0.25">
      <c r="A1081">
        <v>400578833</v>
      </c>
      <c r="B1081">
        <v>2015</v>
      </c>
      <c r="C1081" s="1">
        <v>42013</v>
      </c>
      <c r="D1081" t="s">
        <v>12</v>
      </c>
      <c r="E1081">
        <v>1</v>
      </c>
      <c r="F1081">
        <v>18</v>
      </c>
      <c r="G1081">
        <v>18</v>
      </c>
      <c r="H1081">
        <v>1</v>
      </c>
      <c r="I1081" t="s">
        <v>12</v>
      </c>
      <c r="J1081">
        <v>106</v>
      </c>
      <c r="K1081" t="s">
        <v>28</v>
      </c>
      <c r="L1081">
        <v>95</v>
      </c>
    </row>
    <row r="1082" spans="1:12" x14ac:dyDescent="0.25">
      <c r="A1082">
        <v>400578834</v>
      </c>
      <c r="B1082">
        <v>2015</v>
      </c>
      <c r="C1082" s="1">
        <v>42013</v>
      </c>
      <c r="D1082" t="s">
        <v>38</v>
      </c>
      <c r="E1082">
        <v>1</v>
      </c>
      <c r="F1082">
        <v>18</v>
      </c>
      <c r="G1082">
        <v>19</v>
      </c>
      <c r="H1082">
        <v>1</v>
      </c>
      <c r="I1082" t="s">
        <v>38</v>
      </c>
      <c r="J1082">
        <v>99</v>
      </c>
      <c r="K1082" t="s">
        <v>34</v>
      </c>
      <c r="L1082">
        <v>94</v>
      </c>
    </row>
    <row r="1083" spans="1:12" x14ac:dyDescent="0.25">
      <c r="A1083">
        <v>400578834</v>
      </c>
      <c r="B1083">
        <v>2015</v>
      </c>
      <c r="C1083" s="1">
        <v>42013</v>
      </c>
      <c r="D1083" t="s">
        <v>34</v>
      </c>
      <c r="E1083">
        <v>0</v>
      </c>
      <c r="F1083">
        <v>13</v>
      </c>
      <c r="G1083">
        <v>24</v>
      </c>
      <c r="H1083">
        <v>0</v>
      </c>
      <c r="I1083" t="s">
        <v>38</v>
      </c>
      <c r="J1083">
        <v>99</v>
      </c>
      <c r="K1083" t="s">
        <v>34</v>
      </c>
      <c r="L1083">
        <v>94</v>
      </c>
    </row>
    <row r="1084" spans="1:12" x14ac:dyDescent="0.25">
      <c r="A1084">
        <v>400578835</v>
      </c>
      <c r="B1084">
        <v>2015</v>
      </c>
      <c r="C1084" s="1">
        <v>42013</v>
      </c>
      <c r="D1084" t="s">
        <v>30</v>
      </c>
      <c r="E1084">
        <v>0</v>
      </c>
      <c r="F1084">
        <v>25</v>
      </c>
      <c r="G1084">
        <v>12</v>
      </c>
      <c r="H1084">
        <v>0</v>
      </c>
      <c r="I1084" t="s">
        <v>25</v>
      </c>
      <c r="J1084">
        <v>102</v>
      </c>
      <c r="K1084" t="s">
        <v>30</v>
      </c>
      <c r="L1084">
        <v>86</v>
      </c>
    </row>
    <row r="1085" spans="1:12" x14ac:dyDescent="0.25">
      <c r="A1085">
        <v>400578835</v>
      </c>
      <c r="B1085">
        <v>2015</v>
      </c>
      <c r="C1085" s="1">
        <v>42013</v>
      </c>
      <c r="D1085" t="s">
        <v>25</v>
      </c>
      <c r="E1085">
        <v>1</v>
      </c>
      <c r="F1085">
        <v>25</v>
      </c>
      <c r="G1085">
        <v>11</v>
      </c>
      <c r="H1085">
        <v>1</v>
      </c>
      <c r="I1085" t="s">
        <v>25</v>
      </c>
      <c r="J1085">
        <v>102</v>
      </c>
      <c r="K1085" t="s">
        <v>30</v>
      </c>
      <c r="L1085">
        <v>86</v>
      </c>
    </row>
    <row r="1086" spans="1:12" x14ac:dyDescent="0.25">
      <c r="A1086">
        <v>400578836</v>
      </c>
      <c r="B1086">
        <v>2015</v>
      </c>
      <c r="C1086" s="1">
        <v>42013</v>
      </c>
      <c r="D1086" t="s">
        <v>19</v>
      </c>
      <c r="E1086">
        <v>1</v>
      </c>
      <c r="F1086">
        <v>20</v>
      </c>
      <c r="G1086">
        <v>18</v>
      </c>
      <c r="H1086">
        <v>1</v>
      </c>
      <c r="I1086" t="s">
        <v>19</v>
      </c>
      <c r="J1086">
        <v>98</v>
      </c>
      <c r="K1086" t="s">
        <v>29</v>
      </c>
      <c r="L1086">
        <v>84</v>
      </c>
    </row>
    <row r="1087" spans="1:12" x14ac:dyDescent="0.25">
      <c r="A1087">
        <v>400578836</v>
      </c>
      <c r="B1087">
        <v>2015</v>
      </c>
      <c r="C1087" s="1">
        <v>42013</v>
      </c>
      <c r="D1087" t="s">
        <v>29</v>
      </c>
      <c r="E1087">
        <v>0</v>
      </c>
      <c r="F1087">
        <v>5</v>
      </c>
      <c r="G1087">
        <v>30</v>
      </c>
      <c r="H1087">
        <v>0</v>
      </c>
      <c r="I1087" t="s">
        <v>19</v>
      </c>
      <c r="J1087">
        <v>98</v>
      </c>
      <c r="K1087" t="s">
        <v>29</v>
      </c>
      <c r="L1087">
        <v>84</v>
      </c>
    </row>
    <row r="1088" spans="1:12" x14ac:dyDescent="0.25">
      <c r="A1088">
        <v>400578837</v>
      </c>
      <c r="B1088">
        <v>2015</v>
      </c>
      <c r="C1088" s="1">
        <v>42013</v>
      </c>
      <c r="D1088" t="s">
        <v>35</v>
      </c>
      <c r="E1088">
        <v>0</v>
      </c>
      <c r="F1088">
        <v>22</v>
      </c>
      <c r="G1088">
        <v>17</v>
      </c>
      <c r="H1088">
        <v>0</v>
      </c>
      <c r="I1088" t="s">
        <v>15</v>
      </c>
      <c r="J1088">
        <v>100</v>
      </c>
      <c r="K1088" t="s">
        <v>35</v>
      </c>
      <c r="L1088">
        <v>95</v>
      </c>
    </row>
    <row r="1089" spans="1:12" x14ac:dyDescent="0.25">
      <c r="A1089">
        <v>400578837</v>
      </c>
      <c r="B1089">
        <v>2015</v>
      </c>
      <c r="C1089" s="1">
        <v>42013</v>
      </c>
      <c r="D1089" t="s">
        <v>15</v>
      </c>
      <c r="E1089">
        <v>1</v>
      </c>
      <c r="F1089">
        <v>22</v>
      </c>
      <c r="G1089">
        <v>15</v>
      </c>
      <c r="H1089">
        <v>1</v>
      </c>
      <c r="I1089" t="s">
        <v>15</v>
      </c>
      <c r="J1089">
        <v>100</v>
      </c>
      <c r="K1089" t="s">
        <v>35</v>
      </c>
      <c r="L1089">
        <v>95</v>
      </c>
    </row>
    <row r="1090" spans="1:12" x14ac:dyDescent="0.25">
      <c r="A1090">
        <v>400578838</v>
      </c>
      <c r="B1090">
        <v>2015</v>
      </c>
      <c r="C1090" s="1">
        <v>42013</v>
      </c>
      <c r="D1090" t="s">
        <v>32</v>
      </c>
      <c r="E1090">
        <v>1</v>
      </c>
      <c r="F1090">
        <v>17</v>
      </c>
      <c r="G1090">
        <v>20</v>
      </c>
      <c r="H1090">
        <v>0</v>
      </c>
      <c r="I1090" t="s">
        <v>37</v>
      </c>
      <c r="J1090">
        <v>108</v>
      </c>
      <c r="K1090" t="s">
        <v>32</v>
      </c>
      <c r="L1090">
        <v>118</v>
      </c>
    </row>
    <row r="1091" spans="1:12" x14ac:dyDescent="0.25">
      <c r="A1091">
        <v>400578838</v>
      </c>
      <c r="B1091">
        <v>2015</v>
      </c>
      <c r="C1091" s="1">
        <v>42013</v>
      </c>
      <c r="D1091" t="s">
        <v>37</v>
      </c>
      <c r="E1091">
        <v>0</v>
      </c>
      <c r="F1091">
        <v>15</v>
      </c>
      <c r="G1091">
        <v>21</v>
      </c>
      <c r="H1091">
        <v>1</v>
      </c>
      <c r="I1091" t="s">
        <v>37</v>
      </c>
      <c r="J1091">
        <v>108</v>
      </c>
      <c r="K1091" t="s">
        <v>32</v>
      </c>
      <c r="L1091">
        <v>118</v>
      </c>
    </row>
    <row r="1092" spans="1:12" x14ac:dyDescent="0.25">
      <c r="A1092">
        <v>400578839</v>
      </c>
      <c r="B1092">
        <v>2015</v>
      </c>
      <c r="C1092" s="1">
        <v>42013</v>
      </c>
      <c r="D1092" t="s">
        <v>40</v>
      </c>
      <c r="E1092">
        <v>0</v>
      </c>
      <c r="F1092">
        <v>19</v>
      </c>
      <c r="G1092">
        <v>18</v>
      </c>
      <c r="H1092">
        <v>0</v>
      </c>
      <c r="I1092" t="s">
        <v>36</v>
      </c>
      <c r="J1092">
        <v>112</v>
      </c>
      <c r="K1092" t="s">
        <v>40</v>
      </c>
      <c r="L1092">
        <v>94</v>
      </c>
    </row>
    <row r="1093" spans="1:12" x14ac:dyDescent="0.25">
      <c r="A1093">
        <v>400578839</v>
      </c>
      <c r="B1093">
        <v>2015</v>
      </c>
      <c r="C1093" s="1">
        <v>42013</v>
      </c>
      <c r="D1093" t="s">
        <v>36</v>
      </c>
      <c r="E1093">
        <v>1</v>
      </c>
      <c r="F1093">
        <v>29</v>
      </c>
      <c r="G1093">
        <v>5</v>
      </c>
      <c r="H1093">
        <v>1</v>
      </c>
      <c r="I1093" t="s">
        <v>36</v>
      </c>
      <c r="J1093">
        <v>112</v>
      </c>
      <c r="K1093" t="s">
        <v>40</v>
      </c>
      <c r="L1093">
        <v>94</v>
      </c>
    </row>
    <row r="1094" spans="1:12" x14ac:dyDescent="0.25">
      <c r="A1094">
        <v>400578840</v>
      </c>
      <c r="B1094">
        <v>2015</v>
      </c>
      <c r="C1094" s="1">
        <v>42013</v>
      </c>
      <c r="D1094" t="s">
        <v>17</v>
      </c>
      <c r="E1094">
        <v>1</v>
      </c>
      <c r="F1094">
        <v>12</v>
      </c>
      <c r="G1094">
        <v>25</v>
      </c>
      <c r="H1094">
        <v>1</v>
      </c>
      <c r="I1094" t="s">
        <v>17</v>
      </c>
      <c r="J1094">
        <v>101</v>
      </c>
      <c r="K1094" t="s">
        <v>13</v>
      </c>
      <c r="L1094">
        <v>84</v>
      </c>
    </row>
    <row r="1095" spans="1:12" x14ac:dyDescent="0.25">
      <c r="A1095">
        <v>400578840</v>
      </c>
      <c r="B1095">
        <v>2015</v>
      </c>
      <c r="C1095" s="1">
        <v>42013</v>
      </c>
      <c r="D1095" t="s">
        <v>13</v>
      </c>
      <c r="E1095">
        <v>0</v>
      </c>
      <c r="F1095">
        <v>13</v>
      </c>
      <c r="G1095">
        <v>26</v>
      </c>
      <c r="H1095">
        <v>0</v>
      </c>
      <c r="I1095" t="s">
        <v>17</v>
      </c>
      <c r="J1095">
        <v>101</v>
      </c>
      <c r="K1095" t="s">
        <v>13</v>
      </c>
      <c r="L1095">
        <v>84</v>
      </c>
    </row>
    <row r="1096" spans="1:12" x14ac:dyDescent="0.25">
      <c r="A1096">
        <v>400578841</v>
      </c>
      <c r="B1096">
        <v>2015</v>
      </c>
      <c r="C1096" s="1">
        <v>42014</v>
      </c>
      <c r="D1096" t="s">
        <v>18</v>
      </c>
      <c r="E1096">
        <v>1</v>
      </c>
      <c r="F1096">
        <v>15</v>
      </c>
      <c r="G1096">
        <v>24</v>
      </c>
      <c r="H1096">
        <v>0</v>
      </c>
      <c r="I1096" t="s">
        <v>31</v>
      </c>
      <c r="J1096">
        <v>82</v>
      </c>
      <c r="K1096" t="s">
        <v>18</v>
      </c>
      <c r="L1096">
        <v>110</v>
      </c>
    </row>
    <row r="1097" spans="1:12" x14ac:dyDescent="0.25">
      <c r="A1097">
        <v>400578841</v>
      </c>
      <c r="B1097">
        <v>2015</v>
      </c>
      <c r="C1097" s="1">
        <v>42014</v>
      </c>
      <c r="D1097" t="s">
        <v>31</v>
      </c>
      <c r="E1097">
        <v>0</v>
      </c>
      <c r="F1097">
        <v>5</v>
      </c>
      <c r="G1097">
        <v>35</v>
      </c>
      <c r="H1097">
        <v>1</v>
      </c>
      <c r="I1097" t="s">
        <v>31</v>
      </c>
      <c r="J1097">
        <v>82</v>
      </c>
      <c r="K1097" t="s">
        <v>18</v>
      </c>
      <c r="L1097">
        <v>110</v>
      </c>
    </row>
    <row r="1098" spans="1:12" x14ac:dyDescent="0.25">
      <c r="A1098">
        <v>400578842</v>
      </c>
      <c r="B1098">
        <v>2015</v>
      </c>
      <c r="C1098" s="1">
        <v>42014</v>
      </c>
      <c r="D1098" t="s">
        <v>14</v>
      </c>
      <c r="E1098">
        <v>0</v>
      </c>
      <c r="F1098">
        <v>26</v>
      </c>
      <c r="G1098">
        <v>12</v>
      </c>
      <c r="H1098">
        <v>0</v>
      </c>
      <c r="I1098" t="s">
        <v>41</v>
      </c>
      <c r="J1098">
        <v>120</v>
      </c>
      <c r="K1098" t="s">
        <v>14</v>
      </c>
      <c r="L1098">
        <v>100</v>
      </c>
    </row>
    <row r="1099" spans="1:12" x14ac:dyDescent="0.25">
      <c r="A1099">
        <v>400578842</v>
      </c>
      <c r="B1099">
        <v>2015</v>
      </c>
      <c r="C1099" s="1">
        <v>42014</v>
      </c>
      <c r="D1099" t="s">
        <v>41</v>
      </c>
      <c r="E1099">
        <v>1</v>
      </c>
      <c r="F1099">
        <v>25</v>
      </c>
      <c r="G1099">
        <v>12</v>
      </c>
      <c r="H1099">
        <v>1</v>
      </c>
      <c r="I1099" t="s">
        <v>41</v>
      </c>
      <c r="J1099">
        <v>120</v>
      </c>
      <c r="K1099" t="s">
        <v>14</v>
      </c>
      <c r="L1099">
        <v>100</v>
      </c>
    </row>
    <row r="1100" spans="1:12" x14ac:dyDescent="0.25">
      <c r="A1100">
        <v>400578843</v>
      </c>
      <c r="B1100">
        <v>2015</v>
      </c>
      <c r="C1100" s="1">
        <v>42014</v>
      </c>
      <c r="D1100" t="s">
        <v>23</v>
      </c>
      <c r="E1100">
        <v>0</v>
      </c>
      <c r="F1100">
        <v>16</v>
      </c>
      <c r="G1100">
        <v>21</v>
      </c>
      <c r="H1100">
        <v>0</v>
      </c>
      <c r="I1100" t="s">
        <v>33</v>
      </c>
      <c r="J1100">
        <v>98</v>
      </c>
      <c r="K1100" t="s">
        <v>23</v>
      </c>
      <c r="L1100">
        <v>93</v>
      </c>
    </row>
    <row r="1101" spans="1:12" x14ac:dyDescent="0.25">
      <c r="A1101">
        <v>400578843</v>
      </c>
      <c r="B1101">
        <v>2015</v>
      </c>
      <c r="C1101" s="1">
        <v>42014</v>
      </c>
      <c r="D1101" t="s">
        <v>33</v>
      </c>
      <c r="E1101">
        <v>1</v>
      </c>
      <c r="F1101">
        <v>13</v>
      </c>
      <c r="G1101">
        <v>24</v>
      </c>
      <c r="H1101">
        <v>1</v>
      </c>
      <c r="I1101" t="s">
        <v>33</v>
      </c>
      <c r="J1101">
        <v>98</v>
      </c>
      <c r="K1101" t="s">
        <v>23</v>
      </c>
      <c r="L1101">
        <v>93</v>
      </c>
    </row>
    <row r="1102" spans="1:12" x14ac:dyDescent="0.25">
      <c r="A1102">
        <v>400578844</v>
      </c>
      <c r="B1102">
        <v>2015</v>
      </c>
      <c r="C1102" s="1">
        <v>42014</v>
      </c>
      <c r="D1102" t="s">
        <v>20</v>
      </c>
      <c r="E1102">
        <v>0</v>
      </c>
      <c r="F1102">
        <v>15</v>
      </c>
      <c r="G1102">
        <v>24</v>
      </c>
      <c r="H1102">
        <v>0</v>
      </c>
      <c r="I1102" t="s">
        <v>21</v>
      </c>
      <c r="J1102">
        <v>93</v>
      </c>
      <c r="K1102" t="s">
        <v>20</v>
      </c>
      <c r="L1102">
        <v>92</v>
      </c>
    </row>
    <row r="1103" spans="1:12" x14ac:dyDescent="0.25">
      <c r="A1103">
        <v>400578844</v>
      </c>
      <c r="B1103">
        <v>2015</v>
      </c>
      <c r="C1103" s="1">
        <v>42014</v>
      </c>
      <c r="D1103" t="s">
        <v>21</v>
      </c>
      <c r="E1103">
        <v>1</v>
      </c>
      <c r="F1103">
        <v>7</v>
      </c>
      <c r="G1103">
        <v>29</v>
      </c>
      <c r="H1103">
        <v>1</v>
      </c>
      <c r="I1103" t="s">
        <v>21</v>
      </c>
      <c r="J1103">
        <v>93</v>
      </c>
      <c r="K1103" t="s">
        <v>20</v>
      </c>
      <c r="L1103">
        <v>92</v>
      </c>
    </row>
    <row r="1104" spans="1:12" x14ac:dyDescent="0.25">
      <c r="A1104">
        <v>400578845</v>
      </c>
      <c r="B1104">
        <v>2015</v>
      </c>
      <c r="C1104" s="1">
        <v>42014</v>
      </c>
      <c r="D1104" t="s">
        <v>22</v>
      </c>
      <c r="E1104">
        <v>0</v>
      </c>
      <c r="F1104">
        <v>12</v>
      </c>
      <c r="G1104">
        <v>23</v>
      </c>
      <c r="H1104">
        <v>0</v>
      </c>
      <c r="I1104" t="s">
        <v>27</v>
      </c>
      <c r="J1104">
        <v>109</v>
      </c>
      <c r="K1104" t="s">
        <v>22</v>
      </c>
      <c r="L1104">
        <v>96</v>
      </c>
    </row>
    <row r="1105" spans="1:12" x14ac:dyDescent="0.25">
      <c r="A1105">
        <v>400578845</v>
      </c>
      <c r="B1105">
        <v>2015</v>
      </c>
      <c r="C1105" s="1">
        <v>42014</v>
      </c>
      <c r="D1105" t="s">
        <v>27</v>
      </c>
      <c r="E1105">
        <v>1</v>
      </c>
      <c r="F1105">
        <v>25</v>
      </c>
      <c r="G1105">
        <v>11</v>
      </c>
      <c r="H1105">
        <v>1</v>
      </c>
      <c r="I1105" t="s">
        <v>27</v>
      </c>
      <c r="J1105">
        <v>109</v>
      </c>
      <c r="K1105" t="s">
        <v>22</v>
      </c>
      <c r="L1105">
        <v>96</v>
      </c>
    </row>
    <row r="1106" spans="1:12" x14ac:dyDescent="0.25">
      <c r="A1106">
        <v>400578846</v>
      </c>
      <c r="B1106">
        <v>2015</v>
      </c>
      <c r="C1106" s="1">
        <v>42014</v>
      </c>
      <c r="D1106" t="s">
        <v>30</v>
      </c>
      <c r="E1106">
        <v>1</v>
      </c>
      <c r="F1106">
        <v>26</v>
      </c>
      <c r="G1106">
        <v>12</v>
      </c>
      <c r="H1106">
        <v>1</v>
      </c>
      <c r="I1106" t="s">
        <v>30</v>
      </c>
      <c r="J1106">
        <v>95</v>
      </c>
      <c r="K1106" t="s">
        <v>19</v>
      </c>
      <c r="L1106">
        <v>87</v>
      </c>
    </row>
    <row r="1107" spans="1:12" x14ac:dyDescent="0.25">
      <c r="A1107">
        <v>400578846</v>
      </c>
      <c r="B1107">
        <v>2015</v>
      </c>
      <c r="C1107" s="1">
        <v>42014</v>
      </c>
      <c r="D1107" t="s">
        <v>19</v>
      </c>
      <c r="E1107">
        <v>0</v>
      </c>
      <c r="F1107">
        <v>20</v>
      </c>
      <c r="G1107">
        <v>19</v>
      </c>
      <c r="H1107">
        <v>0</v>
      </c>
      <c r="I1107" t="s">
        <v>30</v>
      </c>
      <c r="J1107">
        <v>95</v>
      </c>
      <c r="K1107" t="s">
        <v>19</v>
      </c>
      <c r="L1107">
        <v>87</v>
      </c>
    </row>
    <row r="1108" spans="1:12" x14ac:dyDescent="0.25">
      <c r="A1108">
        <v>400578847</v>
      </c>
      <c r="B1108">
        <v>2015</v>
      </c>
      <c r="C1108" s="1">
        <v>42014</v>
      </c>
      <c r="D1108" t="s">
        <v>16</v>
      </c>
      <c r="E1108">
        <v>1</v>
      </c>
      <c r="F1108">
        <v>26</v>
      </c>
      <c r="G1108">
        <v>11</v>
      </c>
      <c r="H1108">
        <v>1</v>
      </c>
      <c r="I1108" t="s">
        <v>16</v>
      </c>
      <c r="J1108">
        <v>97</v>
      </c>
      <c r="K1108" t="s">
        <v>34</v>
      </c>
      <c r="L1108">
        <v>82</v>
      </c>
    </row>
    <row r="1109" spans="1:12" x14ac:dyDescent="0.25">
      <c r="A1109">
        <v>400578847</v>
      </c>
      <c r="B1109">
        <v>2015</v>
      </c>
      <c r="C1109" s="1">
        <v>42014</v>
      </c>
      <c r="D1109" t="s">
        <v>34</v>
      </c>
      <c r="E1109">
        <v>0</v>
      </c>
      <c r="F1109">
        <v>13</v>
      </c>
      <c r="G1109">
        <v>25</v>
      </c>
      <c r="H1109">
        <v>0</v>
      </c>
      <c r="I1109" t="s">
        <v>16</v>
      </c>
      <c r="J1109">
        <v>97</v>
      </c>
      <c r="K1109" t="s">
        <v>34</v>
      </c>
      <c r="L1109">
        <v>82</v>
      </c>
    </row>
    <row r="1110" spans="1:12" x14ac:dyDescent="0.25">
      <c r="A1110">
        <v>400578848</v>
      </c>
      <c r="B1110">
        <v>2015</v>
      </c>
      <c r="C1110" s="1">
        <v>42014</v>
      </c>
      <c r="D1110" t="s">
        <v>29</v>
      </c>
      <c r="E1110">
        <v>0</v>
      </c>
      <c r="F1110">
        <v>5</v>
      </c>
      <c r="G1110">
        <v>31</v>
      </c>
      <c r="H1110">
        <v>1</v>
      </c>
      <c r="I1110" t="s">
        <v>29</v>
      </c>
      <c r="J1110">
        <v>93</v>
      </c>
      <c r="K1110" t="s">
        <v>15</v>
      </c>
      <c r="L1110">
        <v>108</v>
      </c>
    </row>
    <row r="1111" spans="1:12" x14ac:dyDescent="0.25">
      <c r="A1111">
        <v>400578848</v>
      </c>
      <c r="B1111">
        <v>2015</v>
      </c>
      <c r="C1111" s="1">
        <v>42014</v>
      </c>
      <c r="D1111" t="s">
        <v>15</v>
      </c>
      <c r="E1111">
        <v>1</v>
      </c>
      <c r="F1111">
        <v>23</v>
      </c>
      <c r="G1111">
        <v>15</v>
      </c>
      <c r="H1111">
        <v>0</v>
      </c>
      <c r="I1111" t="s">
        <v>29</v>
      </c>
      <c r="J1111">
        <v>93</v>
      </c>
      <c r="K1111" t="s">
        <v>15</v>
      </c>
      <c r="L1111">
        <v>108</v>
      </c>
    </row>
    <row r="1112" spans="1:12" x14ac:dyDescent="0.25">
      <c r="A1112">
        <v>400578849</v>
      </c>
      <c r="B1112">
        <v>2015</v>
      </c>
      <c r="C1112" s="1">
        <v>42014</v>
      </c>
      <c r="D1112" t="s">
        <v>13</v>
      </c>
      <c r="E1112">
        <v>0</v>
      </c>
      <c r="F1112">
        <v>13</v>
      </c>
      <c r="G1112">
        <v>27</v>
      </c>
      <c r="H1112">
        <v>0</v>
      </c>
      <c r="I1112" t="s">
        <v>39</v>
      </c>
      <c r="J1112">
        <v>103</v>
      </c>
      <c r="K1112" t="s">
        <v>13</v>
      </c>
      <c r="L1112">
        <v>92</v>
      </c>
    </row>
    <row r="1113" spans="1:12" x14ac:dyDescent="0.25">
      <c r="A1113">
        <v>400578849</v>
      </c>
      <c r="B1113">
        <v>2015</v>
      </c>
      <c r="C1113" s="1">
        <v>42014</v>
      </c>
      <c r="D1113" t="s">
        <v>39</v>
      </c>
      <c r="E1113">
        <v>1</v>
      </c>
      <c r="F1113">
        <v>29</v>
      </c>
      <c r="G1113">
        <v>8</v>
      </c>
      <c r="H1113">
        <v>1</v>
      </c>
      <c r="I1113" t="s">
        <v>39</v>
      </c>
      <c r="J1113">
        <v>103</v>
      </c>
      <c r="K1113" t="s">
        <v>13</v>
      </c>
      <c r="L1113">
        <v>92</v>
      </c>
    </row>
    <row r="1114" spans="1:12" x14ac:dyDescent="0.25">
      <c r="A1114">
        <v>400578850</v>
      </c>
      <c r="B1114">
        <v>2015</v>
      </c>
      <c r="C1114" s="1">
        <v>42015</v>
      </c>
      <c r="D1114" t="s">
        <v>26</v>
      </c>
      <c r="E1114">
        <v>1</v>
      </c>
      <c r="F1114">
        <v>29</v>
      </c>
      <c r="G1114">
        <v>8</v>
      </c>
      <c r="H1114">
        <v>1</v>
      </c>
      <c r="I1114" t="s">
        <v>26</v>
      </c>
      <c r="J1114">
        <v>120</v>
      </c>
      <c r="K1114" t="s">
        <v>25</v>
      </c>
      <c r="L1114">
        <v>89</v>
      </c>
    </row>
    <row r="1115" spans="1:12" x14ac:dyDescent="0.25">
      <c r="A1115">
        <v>400578850</v>
      </c>
      <c r="B1115">
        <v>2015</v>
      </c>
      <c r="C1115" s="1">
        <v>42015</v>
      </c>
      <c r="D1115" t="s">
        <v>25</v>
      </c>
      <c r="E1115">
        <v>0</v>
      </c>
      <c r="F1115">
        <v>25</v>
      </c>
      <c r="G1115">
        <v>12</v>
      </c>
      <c r="H1115">
        <v>0</v>
      </c>
      <c r="I1115" t="s">
        <v>26</v>
      </c>
      <c r="J1115">
        <v>120</v>
      </c>
      <c r="K1115" t="s">
        <v>25</v>
      </c>
      <c r="L1115">
        <v>89</v>
      </c>
    </row>
    <row r="1116" spans="1:12" x14ac:dyDescent="0.25">
      <c r="A1116">
        <v>400578851</v>
      </c>
      <c r="B1116">
        <v>2015</v>
      </c>
      <c r="C1116" s="1">
        <v>42015</v>
      </c>
      <c r="D1116" t="s">
        <v>41</v>
      </c>
      <c r="E1116">
        <v>0</v>
      </c>
      <c r="F1116">
        <v>25</v>
      </c>
      <c r="G1116">
        <v>13</v>
      </c>
      <c r="H1116">
        <v>1</v>
      </c>
      <c r="I1116" t="s">
        <v>41</v>
      </c>
      <c r="J1116">
        <v>90</v>
      </c>
      <c r="K1116" t="s">
        <v>24</v>
      </c>
      <c r="L1116">
        <v>104</v>
      </c>
    </row>
    <row r="1117" spans="1:12" x14ac:dyDescent="0.25">
      <c r="A1117">
        <v>400578851</v>
      </c>
      <c r="B1117">
        <v>2015</v>
      </c>
      <c r="C1117" s="1">
        <v>42015</v>
      </c>
      <c r="D1117" t="s">
        <v>24</v>
      </c>
      <c r="E1117">
        <v>1</v>
      </c>
      <c r="F1117">
        <v>16</v>
      </c>
      <c r="G1117">
        <v>21</v>
      </c>
      <c r="H1117">
        <v>0</v>
      </c>
      <c r="I1117" t="s">
        <v>41</v>
      </c>
      <c r="J1117">
        <v>90</v>
      </c>
      <c r="K1117" t="s">
        <v>24</v>
      </c>
      <c r="L1117">
        <v>104</v>
      </c>
    </row>
    <row r="1118" spans="1:12" x14ac:dyDescent="0.25">
      <c r="A1118">
        <v>400578852</v>
      </c>
      <c r="B1118">
        <v>2015</v>
      </c>
      <c r="C1118" s="1">
        <v>42015</v>
      </c>
      <c r="D1118" t="s">
        <v>28</v>
      </c>
      <c r="E1118">
        <v>1</v>
      </c>
      <c r="F1118">
        <v>26</v>
      </c>
      <c r="G1118">
        <v>11</v>
      </c>
      <c r="H1118">
        <v>1</v>
      </c>
      <c r="I1118" t="s">
        <v>28</v>
      </c>
      <c r="J1118">
        <v>122</v>
      </c>
      <c r="K1118" t="s">
        <v>35</v>
      </c>
      <c r="L1118">
        <v>110</v>
      </c>
    </row>
    <row r="1119" spans="1:12" x14ac:dyDescent="0.25">
      <c r="A1119">
        <v>400578852</v>
      </c>
      <c r="B1119">
        <v>2015</v>
      </c>
      <c r="C1119" s="1">
        <v>42015</v>
      </c>
      <c r="D1119" t="s">
        <v>35</v>
      </c>
      <c r="E1119">
        <v>0</v>
      </c>
      <c r="F1119">
        <v>22</v>
      </c>
      <c r="G1119">
        <v>18</v>
      </c>
      <c r="H1119">
        <v>0</v>
      </c>
      <c r="I1119" t="s">
        <v>28</v>
      </c>
      <c r="J1119">
        <v>122</v>
      </c>
      <c r="K1119" t="s">
        <v>35</v>
      </c>
      <c r="L1119">
        <v>110</v>
      </c>
    </row>
    <row r="1120" spans="1:12" x14ac:dyDescent="0.25">
      <c r="A1120">
        <v>400578853</v>
      </c>
      <c r="B1120">
        <v>2015</v>
      </c>
      <c r="C1120" s="1">
        <v>42015</v>
      </c>
      <c r="D1120" t="s">
        <v>40</v>
      </c>
      <c r="E1120">
        <v>0</v>
      </c>
      <c r="F1120">
        <v>19</v>
      </c>
      <c r="G1120">
        <v>19</v>
      </c>
      <c r="H1120">
        <v>0</v>
      </c>
      <c r="I1120" t="s">
        <v>37</v>
      </c>
      <c r="J1120">
        <v>103</v>
      </c>
      <c r="K1120" t="s">
        <v>40</v>
      </c>
      <c r="L1120">
        <v>84</v>
      </c>
    </row>
    <row r="1121" spans="1:12" x14ac:dyDescent="0.25">
      <c r="A1121">
        <v>400578853</v>
      </c>
      <c r="B1121">
        <v>2015</v>
      </c>
      <c r="C1121" s="1">
        <v>42015</v>
      </c>
      <c r="D1121" t="s">
        <v>37</v>
      </c>
      <c r="E1121">
        <v>1</v>
      </c>
      <c r="F1121">
        <v>16</v>
      </c>
      <c r="G1121">
        <v>21</v>
      </c>
      <c r="H1121">
        <v>1</v>
      </c>
      <c r="I1121" t="s">
        <v>37</v>
      </c>
      <c r="J1121">
        <v>103</v>
      </c>
      <c r="K1121" t="s">
        <v>40</v>
      </c>
      <c r="L1121">
        <v>84</v>
      </c>
    </row>
    <row r="1122" spans="1:12" x14ac:dyDescent="0.25">
      <c r="A1122">
        <v>400578854</v>
      </c>
      <c r="B1122">
        <v>2015</v>
      </c>
      <c r="C1122" s="1">
        <v>42015</v>
      </c>
      <c r="D1122" t="s">
        <v>17</v>
      </c>
      <c r="E1122">
        <v>0</v>
      </c>
      <c r="F1122">
        <v>12</v>
      </c>
      <c r="G1122">
        <v>26</v>
      </c>
      <c r="H1122">
        <v>1</v>
      </c>
      <c r="I1122" t="s">
        <v>17</v>
      </c>
      <c r="J1122">
        <v>94</v>
      </c>
      <c r="K1122" t="s">
        <v>39</v>
      </c>
      <c r="L1122">
        <v>106</v>
      </c>
    </row>
    <row r="1123" spans="1:12" x14ac:dyDescent="0.25">
      <c r="A1123">
        <v>400578854</v>
      </c>
      <c r="B1123">
        <v>2015</v>
      </c>
      <c r="C1123" s="1">
        <v>42015</v>
      </c>
      <c r="D1123" t="s">
        <v>39</v>
      </c>
      <c r="E1123">
        <v>1</v>
      </c>
      <c r="F1123">
        <v>30</v>
      </c>
      <c r="G1123">
        <v>8</v>
      </c>
      <c r="H1123">
        <v>0</v>
      </c>
      <c r="I1123" t="s">
        <v>17</v>
      </c>
      <c r="J1123">
        <v>94</v>
      </c>
      <c r="K1123" t="s">
        <v>39</v>
      </c>
      <c r="L1123">
        <v>106</v>
      </c>
    </row>
    <row r="1124" spans="1:12" x14ac:dyDescent="0.25">
      <c r="A1124">
        <v>400578855</v>
      </c>
      <c r="B1124">
        <v>2015</v>
      </c>
      <c r="C1124" s="1">
        <v>42016</v>
      </c>
      <c r="D1124" t="s">
        <v>22</v>
      </c>
      <c r="E1124">
        <v>1</v>
      </c>
      <c r="F1124">
        <v>13</v>
      </c>
      <c r="G1124">
        <v>23</v>
      </c>
      <c r="H1124">
        <v>1</v>
      </c>
      <c r="I1124" t="s">
        <v>22</v>
      </c>
      <c r="J1124">
        <v>108</v>
      </c>
      <c r="K1124" t="s">
        <v>12</v>
      </c>
      <c r="L1124">
        <v>100</v>
      </c>
    </row>
    <row r="1125" spans="1:12" x14ac:dyDescent="0.25">
      <c r="A1125">
        <v>400578855</v>
      </c>
      <c r="B1125">
        <v>2015</v>
      </c>
      <c r="C1125" s="1">
        <v>42016</v>
      </c>
      <c r="D1125" t="s">
        <v>12</v>
      </c>
      <c r="E1125">
        <v>0</v>
      </c>
      <c r="F1125">
        <v>18</v>
      </c>
      <c r="G1125">
        <v>19</v>
      </c>
      <c r="H1125">
        <v>0</v>
      </c>
      <c r="I1125" t="s">
        <v>22</v>
      </c>
      <c r="J1125">
        <v>108</v>
      </c>
      <c r="K1125" t="s">
        <v>12</v>
      </c>
      <c r="L1125">
        <v>100</v>
      </c>
    </row>
    <row r="1126" spans="1:12" x14ac:dyDescent="0.25">
      <c r="A1126">
        <v>400578856</v>
      </c>
      <c r="B1126">
        <v>2015</v>
      </c>
      <c r="C1126" s="1">
        <v>42016</v>
      </c>
      <c r="D1126" t="s">
        <v>23</v>
      </c>
      <c r="E1126">
        <v>0</v>
      </c>
      <c r="F1126">
        <v>16</v>
      </c>
      <c r="G1126">
        <v>22</v>
      </c>
      <c r="H1126">
        <v>1</v>
      </c>
      <c r="I1126" t="s">
        <v>23</v>
      </c>
      <c r="J1126">
        <v>99</v>
      </c>
      <c r="K1126" t="s">
        <v>16</v>
      </c>
      <c r="L1126">
        <v>113</v>
      </c>
    </row>
    <row r="1127" spans="1:12" x14ac:dyDescent="0.25">
      <c r="A1127">
        <v>400578856</v>
      </c>
      <c r="B1127">
        <v>2015</v>
      </c>
      <c r="C1127" s="1">
        <v>42016</v>
      </c>
      <c r="D1127" t="s">
        <v>16</v>
      </c>
      <c r="E1127">
        <v>1</v>
      </c>
      <c r="F1127">
        <v>27</v>
      </c>
      <c r="G1127">
        <v>11</v>
      </c>
      <c r="H1127">
        <v>0</v>
      </c>
      <c r="I1127" t="s">
        <v>23</v>
      </c>
      <c r="J1127">
        <v>99</v>
      </c>
      <c r="K1127" t="s">
        <v>16</v>
      </c>
      <c r="L1127">
        <v>113</v>
      </c>
    </row>
    <row r="1128" spans="1:12" x14ac:dyDescent="0.25">
      <c r="A1128">
        <v>400578857</v>
      </c>
      <c r="B1128">
        <v>2015</v>
      </c>
      <c r="C1128" s="1">
        <v>42016</v>
      </c>
      <c r="D1128" t="s">
        <v>33</v>
      </c>
      <c r="E1128">
        <v>1</v>
      </c>
      <c r="F1128">
        <v>14</v>
      </c>
      <c r="G1128">
        <v>24</v>
      </c>
      <c r="H1128">
        <v>0</v>
      </c>
      <c r="I1128" t="s">
        <v>27</v>
      </c>
      <c r="J1128">
        <v>111</v>
      </c>
      <c r="K1128" t="s">
        <v>33</v>
      </c>
      <c r="L1128">
        <v>114</v>
      </c>
    </row>
    <row r="1129" spans="1:12" x14ac:dyDescent="0.25">
      <c r="A1129">
        <v>400578857</v>
      </c>
      <c r="B1129">
        <v>2015</v>
      </c>
      <c r="C1129" s="1">
        <v>42016</v>
      </c>
      <c r="D1129" t="s">
        <v>27</v>
      </c>
      <c r="E1129">
        <v>0</v>
      </c>
      <c r="F1129">
        <v>25</v>
      </c>
      <c r="G1129">
        <v>12</v>
      </c>
      <c r="H1129">
        <v>1</v>
      </c>
      <c r="I1129" t="s">
        <v>27</v>
      </c>
      <c r="J1129">
        <v>111</v>
      </c>
      <c r="K1129" t="s">
        <v>33</v>
      </c>
      <c r="L1129">
        <v>114</v>
      </c>
    </row>
    <row r="1130" spans="1:12" x14ac:dyDescent="0.25">
      <c r="A1130">
        <v>400578858</v>
      </c>
      <c r="B1130">
        <v>2015</v>
      </c>
      <c r="C1130" s="1">
        <v>42016</v>
      </c>
      <c r="D1130" t="s">
        <v>30</v>
      </c>
      <c r="E1130">
        <v>0</v>
      </c>
      <c r="F1130">
        <v>26</v>
      </c>
      <c r="G1130">
        <v>13</v>
      </c>
      <c r="H1130">
        <v>1</v>
      </c>
      <c r="I1130" t="s">
        <v>30</v>
      </c>
      <c r="J1130">
        <v>114</v>
      </c>
      <c r="K1130" t="s">
        <v>13</v>
      </c>
      <c r="L1130">
        <v>121</v>
      </c>
    </row>
    <row r="1131" spans="1:12" x14ac:dyDescent="0.25">
      <c r="A1131">
        <v>400578858</v>
      </c>
      <c r="B1131">
        <v>2015</v>
      </c>
      <c r="C1131" s="1">
        <v>42016</v>
      </c>
      <c r="D1131" t="s">
        <v>13</v>
      </c>
      <c r="E1131">
        <v>1</v>
      </c>
      <c r="F1131">
        <v>14</v>
      </c>
      <c r="G1131">
        <v>27</v>
      </c>
      <c r="H1131">
        <v>0</v>
      </c>
      <c r="I1131" t="s">
        <v>30</v>
      </c>
      <c r="J1131">
        <v>114</v>
      </c>
      <c r="K1131" t="s">
        <v>13</v>
      </c>
      <c r="L1131">
        <v>121</v>
      </c>
    </row>
    <row r="1132" spans="1:12" x14ac:dyDescent="0.25">
      <c r="A1132">
        <v>400578859</v>
      </c>
      <c r="B1132">
        <v>2015</v>
      </c>
      <c r="C1132" s="1">
        <v>42017</v>
      </c>
      <c r="D1132" t="s">
        <v>20</v>
      </c>
      <c r="E1132">
        <v>0</v>
      </c>
      <c r="F1132">
        <v>15</v>
      </c>
      <c r="G1132">
        <v>25</v>
      </c>
      <c r="H1132">
        <v>1</v>
      </c>
      <c r="I1132" t="s">
        <v>20</v>
      </c>
      <c r="J1132">
        <v>101</v>
      </c>
      <c r="K1132" t="s">
        <v>29</v>
      </c>
      <c r="L1132">
        <v>110</v>
      </c>
    </row>
    <row r="1133" spans="1:12" x14ac:dyDescent="0.25">
      <c r="A1133">
        <v>400578859</v>
      </c>
      <c r="B1133">
        <v>2015</v>
      </c>
      <c r="C1133" s="1">
        <v>42017</v>
      </c>
      <c r="D1133" t="s">
        <v>29</v>
      </c>
      <c r="E1133">
        <v>1</v>
      </c>
      <c r="F1133">
        <v>6</v>
      </c>
      <c r="G1133">
        <v>31</v>
      </c>
      <c r="H1133">
        <v>0</v>
      </c>
      <c r="I1133" t="s">
        <v>20</v>
      </c>
      <c r="J1133">
        <v>101</v>
      </c>
      <c r="K1133" t="s">
        <v>29</v>
      </c>
      <c r="L1133">
        <v>110</v>
      </c>
    </row>
    <row r="1134" spans="1:12" x14ac:dyDescent="0.25">
      <c r="A1134">
        <v>400578860</v>
      </c>
      <c r="B1134">
        <v>2015</v>
      </c>
      <c r="C1134" s="1">
        <v>42017</v>
      </c>
      <c r="D1134" t="s">
        <v>26</v>
      </c>
      <c r="E1134">
        <v>1</v>
      </c>
      <c r="F1134">
        <v>30</v>
      </c>
      <c r="G1134">
        <v>8</v>
      </c>
      <c r="H1134">
        <v>0</v>
      </c>
      <c r="I1134" t="s">
        <v>21</v>
      </c>
      <c r="J1134">
        <v>87</v>
      </c>
      <c r="K1134" t="s">
        <v>26</v>
      </c>
      <c r="L1134">
        <v>105</v>
      </c>
    </row>
    <row r="1135" spans="1:12" x14ac:dyDescent="0.25">
      <c r="A1135">
        <v>400578860</v>
      </c>
      <c r="B1135">
        <v>2015</v>
      </c>
      <c r="C1135" s="1">
        <v>42017</v>
      </c>
      <c r="D1135" t="s">
        <v>21</v>
      </c>
      <c r="E1135">
        <v>0</v>
      </c>
      <c r="F1135">
        <v>7</v>
      </c>
      <c r="G1135">
        <v>30</v>
      </c>
      <c r="H1135">
        <v>1</v>
      </c>
      <c r="I1135" t="s">
        <v>21</v>
      </c>
      <c r="J1135">
        <v>87</v>
      </c>
      <c r="K1135" t="s">
        <v>26</v>
      </c>
      <c r="L1135">
        <v>105</v>
      </c>
    </row>
    <row r="1136" spans="1:12" x14ac:dyDescent="0.25">
      <c r="A1136">
        <v>400578861</v>
      </c>
      <c r="B1136">
        <v>2015</v>
      </c>
      <c r="C1136" s="1">
        <v>42017</v>
      </c>
      <c r="D1136" t="s">
        <v>15</v>
      </c>
      <c r="E1136">
        <v>0</v>
      </c>
      <c r="F1136">
        <v>23</v>
      </c>
      <c r="G1136">
        <v>16</v>
      </c>
      <c r="H1136">
        <v>0</v>
      </c>
      <c r="I1136" t="s">
        <v>25</v>
      </c>
      <c r="J1136">
        <v>101</v>
      </c>
      <c r="K1136" t="s">
        <v>15</v>
      </c>
      <c r="L1136">
        <v>93</v>
      </c>
    </row>
    <row r="1137" spans="1:12" x14ac:dyDescent="0.25">
      <c r="A1137">
        <v>400578861</v>
      </c>
      <c r="B1137">
        <v>2015</v>
      </c>
      <c r="C1137" s="1">
        <v>42017</v>
      </c>
      <c r="D1137" t="s">
        <v>25</v>
      </c>
      <c r="E1137">
        <v>1</v>
      </c>
      <c r="F1137">
        <v>26</v>
      </c>
      <c r="G1137">
        <v>12</v>
      </c>
      <c r="H1137">
        <v>1</v>
      </c>
      <c r="I1137" t="s">
        <v>25</v>
      </c>
      <c r="J1137">
        <v>101</v>
      </c>
      <c r="K1137" t="s">
        <v>15</v>
      </c>
      <c r="L1137">
        <v>93</v>
      </c>
    </row>
    <row r="1138" spans="1:12" x14ac:dyDescent="0.25">
      <c r="A1138">
        <v>400578862</v>
      </c>
      <c r="B1138">
        <v>2015</v>
      </c>
      <c r="C1138" s="1">
        <v>42017</v>
      </c>
      <c r="D1138" t="s">
        <v>40</v>
      </c>
      <c r="E1138">
        <v>0</v>
      </c>
      <c r="F1138">
        <v>19</v>
      </c>
      <c r="G1138">
        <v>20</v>
      </c>
      <c r="H1138">
        <v>0</v>
      </c>
      <c r="I1138" t="s">
        <v>35</v>
      </c>
      <c r="J1138">
        <v>107</v>
      </c>
      <c r="K1138" t="s">
        <v>40</v>
      </c>
      <c r="L1138">
        <v>100</v>
      </c>
    </row>
    <row r="1139" spans="1:12" x14ac:dyDescent="0.25">
      <c r="A1139">
        <v>400578862</v>
      </c>
      <c r="B1139">
        <v>2015</v>
      </c>
      <c r="C1139" s="1">
        <v>42017</v>
      </c>
      <c r="D1139" t="s">
        <v>35</v>
      </c>
      <c r="E1139">
        <v>1</v>
      </c>
      <c r="F1139">
        <v>23</v>
      </c>
      <c r="G1139">
        <v>18</v>
      </c>
      <c r="H1139">
        <v>1</v>
      </c>
      <c r="I1139" t="s">
        <v>35</v>
      </c>
      <c r="J1139">
        <v>107</v>
      </c>
      <c r="K1139" t="s">
        <v>40</v>
      </c>
      <c r="L1139">
        <v>100</v>
      </c>
    </row>
    <row r="1140" spans="1:12" x14ac:dyDescent="0.25">
      <c r="A1140">
        <v>400578863</v>
      </c>
      <c r="B1140">
        <v>2015</v>
      </c>
      <c r="C1140" s="1">
        <v>42017</v>
      </c>
      <c r="D1140" t="s">
        <v>36</v>
      </c>
      <c r="E1140">
        <v>1</v>
      </c>
      <c r="F1140">
        <v>30</v>
      </c>
      <c r="G1140">
        <v>5</v>
      </c>
      <c r="H1140">
        <v>0</v>
      </c>
      <c r="I1140" t="s">
        <v>34</v>
      </c>
      <c r="J1140">
        <v>105</v>
      </c>
      <c r="K1140" t="s">
        <v>36</v>
      </c>
      <c r="L1140">
        <v>116</v>
      </c>
    </row>
    <row r="1141" spans="1:12" x14ac:dyDescent="0.25">
      <c r="A1141">
        <v>400578863</v>
      </c>
      <c r="B1141">
        <v>2015</v>
      </c>
      <c r="C1141" s="1">
        <v>42017</v>
      </c>
      <c r="D1141" t="s">
        <v>34</v>
      </c>
      <c r="E1141">
        <v>0</v>
      </c>
      <c r="F1141">
        <v>13</v>
      </c>
      <c r="G1141">
        <v>26</v>
      </c>
      <c r="H1141">
        <v>1</v>
      </c>
      <c r="I1141" t="s">
        <v>34</v>
      </c>
      <c r="J1141">
        <v>105</v>
      </c>
      <c r="K1141" t="s">
        <v>36</v>
      </c>
      <c r="L1141">
        <v>116</v>
      </c>
    </row>
    <row r="1142" spans="1:12" x14ac:dyDescent="0.25">
      <c r="A1142">
        <v>400578864</v>
      </c>
      <c r="B1142">
        <v>2015</v>
      </c>
      <c r="C1142" s="1">
        <v>42017</v>
      </c>
      <c r="D1142" t="s">
        <v>14</v>
      </c>
      <c r="E1142">
        <v>1</v>
      </c>
      <c r="F1142">
        <v>27</v>
      </c>
      <c r="G1142">
        <v>12</v>
      </c>
      <c r="H1142">
        <v>0</v>
      </c>
      <c r="I1142" t="s">
        <v>37</v>
      </c>
      <c r="J1142">
        <v>104</v>
      </c>
      <c r="K1142" t="s">
        <v>14</v>
      </c>
      <c r="L1142">
        <v>108</v>
      </c>
    </row>
    <row r="1143" spans="1:12" x14ac:dyDescent="0.25">
      <c r="A1143">
        <v>400578864</v>
      </c>
      <c r="B1143">
        <v>2015</v>
      </c>
      <c r="C1143" s="1">
        <v>42017</v>
      </c>
      <c r="D1143" t="s">
        <v>37</v>
      </c>
      <c r="E1143">
        <v>0</v>
      </c>
      <c r="F1143">
        <v>16</v>
      </c>
      <c r="G1143">
        <v>22</v>
      </c>
      <c r="H1143">
        <v>1</v>
      </c>
      <c r="I1143" t="s">
        <v>37</v>
      </c>
      <c r="J1143">
        <v>104</v>
      </c>
      <c r="K1143" t="s">
        <v>14</v>
      </c>
      <c r="L1143">
        <v>108</v>
      </c>
    </row>
    <row r="1144" spans="1:12" x14ac:dyDescent="0.25">
      <c r="A1144">
        <v>400578865</v>
      </c>
      <c r="B1144">
        <v>2015</v>
      </c>
      <c r="C1144" s="1">
        <v>42017</v>
      </c>
      <c r="D1144" t="s">
        <v>17</v>
      </c>
      <c r="E1144">
        <v>0</v>
      </c>
      <c r="F1144">
        <v>12</v>
      </c>
      <c r="G1144">
        <v>27</v>
      </c>
      <c r="H1144">
        <v>1</v>
      </c>
      <c r="I1144" t="s">
        <v>17</v>
      </c>
      <c r="J1144">
        <v>75</v>
      </c>
      <c r="K1144" t="s">
        <v>24</v>
      </c>
      <c r="L1144">
        <v>78</v>
      </c>
    </row>
    <row r="1145" spans="1:12" x14ac:dyDescent="0.25">
      <c r="A1145">
        <v>400578865</v>
      </c>
      <c r="B1145">
        <v>2015</v>
      </c>
      <c r="C1145" s="1">
        <v>42017</v>
      </c>
      <c r="D1145" t="s">
        <v>24</v>
      </c>
      <c r="E1145">
        <v>1</v>
      </c>
      <c r="F1145">
        <v>17</v>
      </c>
      <c r="G1145">
        <v>21</v>
      </c>
      <c r="H1145">
        <v>0</v>
      </c>
      <c r="I1145" t="s">
        <v>17</v>
      </c>
      <c r="J1145">
        <v>75</v>
      </c>
      <c r="K1145" t="s">
        <v>24</v>
      </c>
      <c r="L1145">
        <v>78</v>
      </c>
    </row>
    <row r="1146" spans="1:12" x14ac:dyDescent="0.25">
      <c r="A1146">
        <v>400578866</v>
      </c>
      <c r="B1146">
        <v>2015</v>
      </c>
      <c r="C1146" s="1">
        <v>42018</v>
      </c>
      <c r="D1146" t="s">
        <v>18</v>
      </c>
      <c r="E1146">
        <v>0</v>
      </c>
      <c r="F1146">
        <v>15</v>
      </c>
      <c r="G1146">
        <v>25</v>
      </c>
      <c r="H1146">
        <v>1</v>
      </c>
      <c r="I1146" t="s">
        <v>18</v>
      </c>
      <c r="J1146">
        <v>93</v>
      </c>
      <c r="K1146" t="s">
        <v>15</v>
      </c>
      <c r="L1146">
        <v>98</v>
      </c>
    </row>
    <row r="1147" spans="1:12" x14ac:dyDescent="0.25">
      <c r="A1147">
        <v>400578866</v>
      </c>
      <c r="B1147">
        <v>2015</v>
      </c>
      <c r="C1147" s="1">
        <v>42018</v>
      </c>
      <c r="D1147" t="s">
        <v>15</v>
      </c>
      <c r="E1147">
        <v>1</v>
      </c>
      <c r="F1147">
        <v>24</v>
      </c>
      <c r="G1147">
        <v>16</v>
      </c>
      <c r="H1147">
        <v>0</v>
      </c>
      <c r="I1147" t="s">
        <v>18</v>
      </c>
      <c r="J1147">
        <v>93</v>
      </c>
      <c r="K1147" t="s">
        <v>15</v>
      </c>
      <c r="L1147">
        <v>98</v>
      </c>
    </row>
    <row r="1148" spans="1:12" x14ac:dyDescent="0.25">
      <c r="A1148">
        <v>400578867</v>
      </c>
      <c r="B1148">
        <v>2015</v>
      </c>
      <c r="C1148" s="1">
        <v>42018</v>
      </c>
      <c r="D1148" t="s">
        <v>16</v>
      </c>
      <c r="E1148">
        <v>0</v>
      </c>
      <c r="F1148">
        <v>27</v>
      </c>
      <c r="G1148">
        <v>12</v>
      </c>
      <c r="H1148">
        <v>0</v>
      </c>
      <c r="I1148" t="s">
        <v>13</v>
      </c>
      <c r="J1148">
        <v>120</v>
      </c>
      <c r="K1148" t="s">
        <v>16</v>
      </c>
      <c r="L1148">
        <v>113</v>
      </c>
    </row>
    <row r="1149" spans="1:12" x14ac:dyDescent="0.25">
      <c r="A1149">
        <v>400578867</v>
      </c>
      <c r="B1149">
        <v>2015</v>
      </c>
      <c r="C1149" s="1">
        <v>42018</v>
      </c>
      <c r="D1149" t="s">
        <v>13</v>
      </c>
      <c r="E1149">
        <v>1</v>
      </c>
      <c r="F1149">
        <v>15</v>
      </c>
      <c r="G1149">
        <v>27</v>
      </c>
      <c r="H1149">
        <v>1</v>
      </c>
      <c r="I1149" t="s">
        <v>13</v>
      </c>
      <c r="J1149">
        <v>120</v>
      </c>
      <c r="K1149" t="s">
        <v>16</v>
      </c>
      <c r="L1149">
        <v>113</v>
      </c>
    </row>
    <row r="1150" spans="1:12" x14ac:dyDescent="0.25">
      <c r="A1150">
        <v>400578868</v>
      </c>
      <c r="B1150">
        <v>2015</v>
      </c>
      <c r="C1150" s="1">
        <v>42018</v>
      </c>
      <c r="D1150" t="s">
        <v>23</v>
      </c>
      <c r="E1150">
        <v>0</v>
      </c>
      <c r="F1150">
        <v>16</v>
      </c>
      <c r="G1150">
        <v>23</v>
      </c>
      <c r="H1150">
        <v>1</v>
      </c>
      <c r="I1150" t="s">
        <v>23</v>
      </c>
      <c r="J1150">
        <v>92</v>
      </c>
      <c r="K1150" t="s">
        <v>28</v>
      </c>
      <c r="L1150">
        <v>103</v>
      </c>
    </row>
    <row r="1151" spans="1:12" x14ac:dyDescent="0.25">
      <c r="A1151">
        <v>400578868</v>
      </c>
      <c r="B1151">
        <v>2015</v>
      </c>
      <c r="C1151" s="1">
        <v>42018</v>
      </c>
      <c r="D1151" t="s">
        <v>28</v>
      </c>
      <c r="E1151">
        <v>1</v>
      </c>
      <c r="F1151">
        <v>27</v>
      </c>
      <c r="G1151">
        <v>11</v>
      </c>
      <c r="H1151">
        <v>0</v>
      </c>
      <c r="I1151" t="s">
        <v>23</v>
      </c>
      <c r="J1151">
        <v>92</v>
      </c>
      <c r="K1151" t="s">
        <v>28</v>
      </c>
      <c r="L1151">
        <v>103</v>
      </c>
    </row>
    <row r="1152" spans="1:12" x14ac:dyDescent="0.25">
      <c r="A1152">
        <v>400578869</v>
      </c>
      <c r="B1152">
        <v>2015</v>
      </c>
      <c r="C1152" s="1">
        <v>42018</v>
      </c>
      <c r="D1152" t="s">
        <v>33</v>
      </c>
      <c r="E1152">
        <v>0</v>
      </c>
      <c r="F1152">
        <v>14</v>
      </c>
      <c r="G1152">
        <v>25</v>
      </c>
      <c r="H1152">
        <v>1</v>
      </c>
      <c r="I1152" t="s">
        <v>33</v>
      </c>
      <c r="J1152">
        <v>94</v>
      </c>
      <c r="K1152" t="s">
        <v>12</v>
      </c>
      <c r="L1152">
        <v>105</v>
      </c>
    </row>
    <row r="1153" spans="1:12" x14ac:dyDescent="0.25">
      <c r="A1153">
        <v>400578869</v>
      </c>
      <c r="B1153">
        <v>2015</v>
      </c>
      <c r="C1153" s="1">
        <v>42018</v>
      </c>
      <c r="D1153" t="s">
        <v>12</v>
      </c>
      <c r="E1153">
        <v>1</v>
      </c>
      <c r="F1153">
        <v>19</v>
      </c>
      <c r="G1153">
        <v>19</v>
      </c>
      <c r="H1153">
        <v>0</v>
      </c>
      <c r="I1153" t="s">
        <v>33</v>
      </c>
      <c r="J1153">
        <v>94</v>
      </c>
      <c r="K1153" t="s">
        <v>12</v>
      </c>
      <c r="L1153">
        <v>105</v>
      </c>
    </row>
    <row r="1154" spans="1:12" x14ac:dyDescent="0.25">
      <c r="A1154">
        <v>400578870</v>
      </c>
      <c r="B1154">
        <v>2015</v>
      </c>
      <c r="C1154" s="1">
        <v>42018</v>
      </c>
      <c r="D1154" t="s">
        <v>21</v>
      </c>
      <c r="E1154">
        <v>0</v>
      </c>
      <c r="F1154">
        <v>7</v>
      </c>
      <c r="G1154">
        <v>31</v>
      </c>
      <c r="H1154">
        <v>0</v>
      </c>
      <c r="I1154" t="s">
        <v>27</v>
      </c>
      <c r="J1154">
        <v>100</v>
      </c>
      <c r="K1154" t="s">
        <v>21</v>
      </c>
      <c r="L1154">
        <v>84</v>
      </c>
    </row>
    <row r="1155" spans="1:12" x14ac:dyDescent="0.25">
      <c r="A1155">
        <v>400578870</v>
      </c>
      <c r="B1155">
        <v>2015</v>
      </c>
      <c r="C1155" s="1">
        <v>42018</v>
      </c>
      <c r="D1155" t="s">
        <v>27</v>
      </c>
      <c r="E1155">
        <v>1</v>
      </c>
      <c r="F1155">
        <v>26</v>
      </c>
      <c r="G1155">
        <v>12</v>
      </c>
      <c r="H1155">
        <v>1</v>
      </c>
      <c r="I1155" t="s">
        <v>27</v>
      </c>
      <c r="J1155">
        <v>100</v>
      </c>
      <c r="K1155" t="s">
        <v>21</v>
      </c>
      <c r="L1155">
        <v>84</v>
      </c>
    </row>
    <row r="1156" spans="1:12" x14ac:dyDescent="0.25">
      <c r="A1156">
        <v>400578871</v>
      </c>
      <c r="B1156">
        <v>2015</v>
      </c>
      <c r="C1156" s="1">
        <v>42018</v>
      </c>
      <c r="D1156" t="s">
        <v>30</v>
      </c>
      <c r="E1156">
        <v>0</v>
      </c>
      <c r="F1156">
        <v>26</v>
      </c>
      <c r="G1156">
        <v>14</v>
      </c>
      <c r="H1156">
        <v>1</v>
      </c>
      <c r="I1156" t="s">
        <v>30</v>
      </c>
      <c r="J1156">
        <v>99</v>
      </c>
      <c r="K1156" t="s">
        <v>25</v>
      </c>
      <c r="L1156">
        <v>105</v>
      </c>
    </row>
    <row r="1157" spans="1:12" x14ac:dyDescent="0.25">
      <c r="A1157">
        <v>400578871</v>
      </c>
      <c r="B1157">
        <v>2015</v>
      </c>
      <c r="C1157" s="1">
        <v>42018</v>
      </c>
      <c r="D1157" t="s">
        <v>25</v>
      </c>
      <c r="E1157">
        <v>1</v>
      </c>
      <c r="F1157">
        <v>27</v>
      </c>
      <c r="G1157">
        <v>12</v>
      </c>
      <c r="H1157">
        <v>0</v>
      </c>
      <c r="I1157" t="s">
        <v>30</v>
      </c>
      <c r="J1157">
        <v>99</v>
      </c>
      <c r="K1157" t="s">
        <v>25</v>
      </c>
      <c r="L1157">
        <v>105</v>
      </c>
    </row>
    <row r="1158" spans="1:12" x14ac:dyDescent="0.25">
      <c r="A1158">
        <v>400578872</v>
      </c>
      <c r="B1158">
        <v>2015</v>
      </c>
      <c r="C1158" s="1">
        <v>42018</v>
      </c>
      <c r="D1158" t="s">
        <v>26</v>
      </c>
      <c r="E1158">
        <v>1</v>
      </c>
      <c r="F1158">
        <v>31</v>
      </c>
      <c r="G1158">
        <v>8</v>
      </c>
      <c r="H1158">
        <v>0</v>
      </c>
      <c r="I1158" t="s">
        <v>22</v>
      </c>
      <c r="J1158">
        <v>91</v>
      </c>
      <c r="K1158" t="s">
        <v>26</v>
      </c>
      <c r="L1158">
        <v>105</v>
      </c>
    </row>
    <row r="1159" spans="1:12" x14ac:dyDescent="0.25">
      <c r="A1159">
        <v>400578872</v>
      </c>
      <c r="B1159">
        <v>2015</v>
      </c>
      <c r="C1159" s="1">
        <v>42018</v>
      </c>
      <c r="D1159" t="s">
        <v>22</v>
      </c>
      <c r="E1159">
        <v>0</v>
      </c>
      <c r="F1159">
        <v>13</v>
      </c>
      <c r="G1159">
        <v>24</v>
      </c>
      <c r="H1159">
        <v>1</v>
      </c>
      <c r="I1159" t="s">
        <v>22</v>
      </c>
      <c r="J1159">
        <v>91</v>
      </c>
      <c r="K1159" t="s">
        <v>26</v>
      </c>
      <c r="L1159">
        <v>105</v>
      </c>
    </row>
    <row r="1160" spans="1:12" x14ac:dyDescent="0.25">
      <c r="A1160">
        <v>400578873</v>
      </c>
      <c r="B1160">
        <v>2015</v>
      </c>
      <c r="C1160" s="1">
        <v>42018</v>
      </c>
      <c r="D1160" t="s">
        <v>14</v>
      </c>
      <c r="E1160">
        <v>0</v>
      </c>
      <c r="F1160">
        <v>27</v>
      </c>
      <c r="G1160">
        <v>13</v>
      </c>
      <c r="H1160">
        <v>0</v>
      </c>
      <c r="I1160" t="s">
        <v>32</v>
      </c>
      <c r="J1160">
        <v>114</v>
      </c>
      <c r="K1160" t="s">
        <v>14</v>
      </c>
      <c r="L1160">
        <v>107</v>
      </c>
    </row>
    <row r="1161" spans="1:12" x14ac:dyDescent="0.25">
      <c r="A1161">
        <v>400578873</v>
      </c>
      <c r="B1161">
        <v>2015</v>
      </c>
      <c r="C1161" s="1">
        <v>42018</v>
      </c>
      <c r="D1161" t="s">
        <v>32</v>
      </c>
      <c r="E1161">
        <v>1</v>
      </c>
      <c r="F1161">
        <v>18</v>
      </c>
      <c r="G1161">
        <v>20</v>
      </c>
      <c r="H1161">
        <v>1</v>
      </c>
      <c r="I1161" t="s">
        <v>32</v>
      </c>
      <c r="J1161">
        <v>114</v>
      </c>
      <c r="K1161" t="s">
        <v>14</v>
      </c>
      <c r="L1161">
        <v>107</v>
      </c>
    </row>
    <row r="1162" spans="1:12" x14ac:dyDescent="0.25">
      <c r="A1162">
        <v>400578874</v>
      </c>
      <c r="B1162">
        <v>2015</v>
      </c>
      <c r="C1162" s="1">
        <v>42018</v>
      </c>
      <c r="D1162" t="s">
        <v>36</v>
      </c>
      <c r="E1162">
        <v>1</v>
      </c>
      <c r="F1162">
        <v>31</v>
      </c>
      <c r="G1162">
        <v>5</v>
      </c>
      <c r="H1162">
        <v>1</v>
      </c>
      <c r="I1162" t="s">
        <v>36</v>
      </c>
      <c r="J1162">
        <v>104</v>
      </c>
      <c r="K1162" t="s">
        <v>24</v>
      </c>
      <c r="L1162">
        <v>89</v>
      </c>
    </row>
    <row r="1163" spans="1:12" x14ac:dyDescent="0.25">
      <c r="A1163">
        <v>400578874</v>
      </c>
      <c r="B1163">
        <v>2015</v>
      </c>
      <c r="C1163" s="1">
        <v>42018</v>
      </c>
      <c r="D1163" t="s">
        <v>24</v>
      </c>
      <c r="E1163">
        <v>0</v>
      </c>
      <c r="F1163">
        <v>17</v>
      </c>
      <c r="G1163">
        <v>22</v>
      </c>
      <c r="H1163">
        <v>0</v>
      </c>
      <c r="I1163" t="s">
        <v>36</v>
      </c>
      <c r="J1163">
        <v>104</v>
      </c>
      <c r="K1163" t="s">
        <v>24</v>
      </c>
      <c r="L1163">
        <v>89</v>
      </c>
    </row>
    <row r="1164" spans="1:12" x14ac:dyDescent="0.25">
      <c r="A1164">
        <v>400578875</v>
      </c>
      <c r="B1164">
        <v>2015</v>
      </c>
      <c r="C1164" s="1">
        <v>42018</v>
      </c>
      <c r="D1164" t="s">
        <v>41</v>
      </c>
      <c r="E1164">
        <v>1</v>
      </c>
      <c r="F1164">
        <v>26</v>
      </c>
      <c r="G1164">
        <v>13</v>
      </c>
      <c r="H1164">
        <v>0</v>
      </c>
      <c r="I1164" t="s">
        <v>39</v>
      </c>
      <c r="J1164">
        <v>94</v>
      </c>
      <c r="K1164" t="s">
        <v>41</v>
      </c>
      <c r="L1164">
        <v>100</v>
      </c>
    </row>
    <row r="1165" spans="1:12" x14ac:dyDescent="0.25">
      <c r="A1165">
        <v>400578875</v>
      </c>
      <c r="B1165">
        <v>2015</v>
      </c>
      <c r="C1165" s="1">
        <v>42018</v>
      </c>
      <c r="D1165" t="s">
        <v>39</v>
      </c>
      <c r="E1165">
        <v>0</v>
      </c>
      <c r="F1165">
        <v>30</v>
      </c>
      <c r="G1165">
        <v>9</v>
      </c>
      <c r="H1165">
        <v>1</v>
      </c>
      <c r="I1165" t="s">
        <v>39</v>
      </c>
      <c r="J1165">
        <v>94</v>
      </c>
      <c r="K1165" t="s">
        <v>41</v>
      </c>
      <c r="L1165">
        <v>100</v>
      </c>
    </row>
    <row r="1166" spans="1:12" x14ac:dyDescent="0.25">
      <c r="A1166">
        <v>400578876</v>
      </c>
      <c r="B1166">
        <v>2015</v>
      </c>
      <c r="C1166" s="1">
        <v>42019</v>
      </c>
      <c r="D1166" t="s">
        <v>16</v>
      </c>
      <c r="E1166">
        <v>1</v>
      </c>
      <c r="F1166">
        <v>28</v>
      </c>
      <c r="G1166">
        <v>12</v>
      </c>
      <c r="H1166">
        <v>1</v>
      </c>
      <c r="I1166" t="s">
        <v>16</v>
      </c>
      <c r="J1166">
        <v>112</v>
      </c>
      <c r="K1166" t="s">
        <v>38</v>
      </c>
      <c r="L1166">
        <v>101</v>
      </c>
    </row>
    <row r="1167" spans="1:12" x14ac:dyDescent="0.25">
      <c r="A1167">
        <v>400578876</v>
      </c>
      <c r="B1167">
        <v>2015</v>
      </c>
      <c r="C1167" s="1">
        <v>42019</v>
      </c>
      <c r="D1167" t="s">
        <v>38</v>
      </c>
      <c r="E1167">
        <v>0</v>
      </c>
      <c r="F1167">
        <v>18</v>
      </c>
      <c r="G1167">
        <v>20</v>
      </c>
      <c r="H1167">
        <v>0</v>
      </c>
      <c r="I1167" t="s">
        <v>16</v>
      </c>
      <c r="J1167">
        <v>112</v>
      </c>
      <c r="K1167" t="s">
        <v>38</v>
      </c>
      <c r="L1167">
        <v>101</v>
      </c>
    </row>
    <row r="1168" spans="1:12" x14ac:dyDescent="0.25">
      <c r="A1168">
        <v>400578877</v>
      </c>
      <c r="B1168">
        <v>2015</v>
      </c>
      <c r="C1168" s="1">
        <v>42019</v>
      </c>
      <c r="D1168" t="s">
        <v>19</v>
      </c>
      <c r="E1168">
        <v>1</v>
      </c>
      <c r="F1168">
        <v>21</v>
      </c>
      <c r="G1168">
        <v>19</v>
      </c>
      <c r="H1168">
        <v>1</v>
      </c>
      <c r="I1168" t="s">
        <v>19</v>
      </c>
      <c r="J1168">
        <v>95</v>
      </c>
      <c r="K1168" t="s">
        <v>31</v>
      </c>
      <c r="L1168">
        <v>79</v>
      </c>
    </row>
    <row r="1169" spans="1:12" x14ac:dyDescent="0.25">
      <c r="A1169">
        <v>400578877</v>
      </c>
      <c r="B1169">
        <v>2015</v>
      </c>
      <c r="C1169" s="1">
        <v>42019</v>
      </c>
      <c r="D1169" t="s">
        <v>31</v>
      </c>
      <c r="E1169">
        <v>0</v>
      </c>
      <c r="F1169">
        <v>5</v>
      </c>
      <c r="G1169">
        <v>36</v>
      </c>
      <c r="H1169">
        <v>0</v>
      </c>
      <c r="I1169" t="s">
        <v>19</v>
      </c>
      <c r="J1169">
        <v>95</v>
      </c>
      <c r="K1169" t="s">
        <v>31</v>
      </c>
      <c r="L1169">
        <v>79</v>
      </c>
    </row>
    <row r="1170" spans="1:12" x14ac:dyDescent="0.25">
      <c r="A1170">
        <v>400578878</v>
      </c>
      <c r="B1170">
        <v>2015</v>
      </c>
      <c r="C1170" s="1">
        <v>42019</v>
      </c>
      <c r="D1170" t="s">
        <v>40</v>
      </c>
      <c r="E1170">
        <v>1</v>
      </c>
      <c r="F1170">
        <v>20</v>
      </c>
      <c r="G1170">
        <v>20</v>
      </c>
      <c r="H1170">
        <v>0</v>
      </c>
      <c r="I1170" t="s">
        <v>17</v>
      </c>
      <c r="J1170">
        <v>102</v>
      </c>
      <c r="K1170" t="s">
        <v>40</v>
      </c>
      <c r="L1170">
        <v>109</v>
      </c>
    </row>
    <row r="1171" spans="1:12" x14ac:dyDescent="0.25">
      <c r="A1171">
        <v>400578878</v>
      </c>
      <c r="B1171">
        <v>2015</v>
      </c>
      <c r="C1171" s="1">
        <v>42019</v>
      </c>
      <c r="D1171" t="s">
        <v>17</v>
      </c>
      <c r="E1171">
        <v>0</v>
      </c>
      <c r="F1171">
        <v>12</v>
      </c>
      <c r="G1171">
        <v>28</v>
      </c>
      <c r="H1171">
        <v>1</v>
      </c>
      <c r="I1171" t="s">
        <v>17</v>
      </c>
      <c r="J1171">
        <v>102</v>
      </c>
      <c r="K1171" t="s">
        <v>40</v>
      </c>
      <c r="L1171">
        <v>109</v>
      </c>
    </row>
    <row r="1172" spans="1:12" x14ac:dyDescent="0.25">
      <c r="A1172">
        <v>400578879</v>
      </c>
      <c r="B1172">
        <v>2015</v>
      </c>
      <c r="C1172" s="1">
        <v>42020</v>
      </c>
      <c r="D1172" t="s">
        <v>33</v>
      </c>
      <c r="E1172">
        <v>1</v>
      </c>
      <c r="F1172">
        <v>15</v>
      </c>
      <c r="G1172">
        <v>25</v>
      </c>
      <c r="H1172">
        <v>0</v>
      </c>
      <c r="I1172" t="s">
        <v>20</v>
      </c>
      <c r="J1172">
        <v>96</v>
      </c>
      <c r="K1172" t="s">
        <v>33</v>
      </c>
      <c r="L1172">
        <v>98</v>
      </c>
    </row>
    <row r="1173" spans="1:12" x14ac:dyDescent="0.25">
      <c r="A1173">
        <v>400578879</v>
      </c>
      <c r="B1173">
        <v>2015</v>
      </c>
      <c r="C1173" s="1">
        <v>42020</v>
      </c>
      <c r="D1173" t="s">
        <v>20</v>
      </c>
      <c r="E1173">
        <v>0</v>
      </c>
      <c r="F1173">
        <v>15</v>
      </c>
      <c r="G1173">
        <v>26</v>
      </c>
      <c r="H1173">
        <v>1</v>
      </c>
      <c r="I1173" t="s">
        <v>20</v>
      </c>
      <c r="J1173">
        <v>96</v>
      </c>
      <c r="K1173" t="s">
        <v>33</v>
      </c>
      <c r="L1173">
        <v>98</v>
      </c>
    </row>
    <row r="1174" spans="1:12" x14ac:dyDescent="0.25">
      <c r="A1174">
        <v>400578880</v>
      </c>
      <c r="B1174">
        <v>2015</v>
      </c>
      <c r="C1174" s="1">
        <v>42020</v>
      </c>
      <c r="D1174" t="s">
        <v>28</v>
      </c>
      <c r="E1174">
        <v>1</v>
      </c>
      <c r="F1174">
        <v>28</v>
      </c>
      <c r="G1174">
        <v>11</v>
      </c>
      <c r="H1174">
        <v>0</v>
      </c>
      <c r="I1174" t="s">
        <v>13</v>
      </c>
      <c r="J1174">
        <v>96</v>
      </c>
      <c r="K1174" t="s">
        <v>28</v>
      </c>
      <c r="L1174">
        <v>106</v>
      </c>
    </row>
    <row r="1175" spans="1:12" x14ac:dyDescent="0.25">
      <c r="A1175">
        <v>400578880</v>
      </c>
      <c r="B1175">
        <v>2015</v>
      </c>
      <c r="C1175" s="1">
        <v>42020</v>
      </c>
      <c r="D1175" t="s">
        <v>13</v>
      </c>
      <c r="E1175">
        <v>0</v>
      </c>
      <c r="F1175">
        <v>15</v>
      </c>
      <c r="G1175">
        <v>28</v>
      </c>
      <c r="H1175">
        <v>1</v>
      </c>
      <c r="I1175" t="s">
        <v>13</v>
      </c>
      <c r="J1175">
        <v>96</v>
      </c>
      <c r="K1175" t="s">
        <v>28</v>
      </c>
      <c r="L1175">
        <v>106</v>
      </c>
    </row>
    <row r="1176" spans="1:12" x14ac:dyDescent="0.25">
      <c r="A1176">
        <v>400578881</v>
      </c>
      <c r="B1176">
        <v>2015</v>
      </c>
      <c r="C1176" s="1">
        <v>42020</v>
      </c>
      <c r="D1176" t="s">
        <v>12</v>
      </c>
      <c r="E1176">
        <v>0</v>
      </c>
      <c r="F1176">
        <v>19</v>
      </c>
      <c r="G1176">
        <v>20</v>
      </c>
      <c r="H1176">
        <v>0</v>
      </c>
      <c r="I1176" t="s">
        <v>21</v>
      </c>
      <c r="J1176">
        <v>96</v>
      </c>
      <c r="K1176" t="s">
        <v>12</v>
      </c>
      <c r="L1176">
        <v>81</v>
      </c>
    </row>
    <row r="1177" spans="1:12" x14ac:dyDescent="0.25">
      <c r="A1177">
        <v>400578881</v>
      </c>
      <c r="B1177">
        <v>2015</v>
      </c>
      <c r="C1177" s="1">
        <v>42020</v>
      </c>
      <c r="D1177" t="s">
        <v>21</v>
      </c>
      <c r="E1177">
        <v>1</v>
      </c>
      <c r="F1177">
        <v>8</v>
      </c>
      <c r="G1177">
        <v>31</v>
      </c>
      <c r="H1177">
        <v>1</v>
      </c>
      <c r="I1177" t="s">
        <v>21</v>
      </c>
      <c r="J1177">
        <v>96</v>
      </c>
      <c r="K1177" t="s">
        <v>12</v>
      </c>
      <c r="L1177">
        <v>81</v>
      </c>
    </row>
    <row r="1178" spans="1:12" x14ac:dyDescent="0.25">
      <c r="A1178">
        <v>400578882</v>
      </c>
      <c r="B1178">
        <v>2015</v>
      </c>
      <c r="C1178" s="1">
        <v>42020</v>
      </c>
      <c r="D1178" t="s">
        <v>23</v>
      </c>
      <c r="E1178">
        <v>1</v>
      </c>
      <c r="F1178">
        <v>17</v>
      </c>
      <c r="G1178">
        <v>23</v>
      </c>
      <c r="H1178">
        <v>0</v>
      </c>
      <c r="I1178" t="s">
        <v>25</v>
      </c>
      <c r="J1178">
        <v>80</v>
      </c>
      <c r="K1178" t="s">
        <v>23</v>
      </c>
      <c r="L1178">
        <v>102</v>
      </c>
    </row>
    <row r="1179" spans="1:12" x14ac:dyDescent="0.25">
      <c r="A1179">
        <v>400578882</v>
      </c>
      <c r="B1179">
        <v>2015</v>
      </c>
      <c r="C1179" s="1">
        <v>42020</v>
      </c>
      <c r="D1179" t="s">
        <v>25</v>
      </c>
      <c r="E1179">
        <v>0</v>
      </c>
      <c r="F1179">
        <v>27</v>
      </c>
      <c r="G1179">
        <v>13</v>
      </c>
      <c r="H1179">
        <v>1</v>
      </c>
      <c r="I1179" t="s">
        <v>25</v>
      </c>
      <c r="J1179">
        <v>80</v>
      </c>
      <c r="K1179" t="s">
        <v>23</v>
      </c>
      <c r="L1179">
        <v>102</v>
      </c>
    </row>
    <row r="1180" spans="1:12" x14ac:dyDescent="0.25">
      <c r="A1180">
        <v>400578883</v>
      </c>
      <c r="B1180">
        <v>2015</v>
      </c>
      <c r="C1180" s="1">
        <v>42020</v>
      </c>
      <c r="D1180" t="s">
        <v>22</v>
      </c>
      <c r="E1180">
        <v>0</v>
      </c>
      <c r="F1180">
        <v>13</v>
      </c>
      <c r="G1180">
        <v>25</v>
      </c>
      <c r="H1180">
        <v>1</v>
      </c>
      <c r="I1180" t="s">
        <v>22</v>
      </c>
      <c r="J1180">
        <v>103</v>
      </c>
      <c r="K1180" t="s">
        <v>30</v>
      </c>
      <c r="L1180">
        <v>119</v>
      </c>
    </row>
    <row r="1181" spans="1:12" x14ac:dyDescent="0.25">
      <c r="A1181">
        <v>400578883</v>
      </c>
      <c r="B1181">
        <v>2015</v>
      </c>
      <c r="C1181" s="1">
        <v>42020</v>
      </c>
      <c r="D1181" t="s">
        <v>30</v>
      </c>
      <c r="E1181">
        <v>1</v>
      </c>
      <c r="F1181">
        <v>27</v>
      </c>
      <c r="G1181">
        <v>14</v>
      </c>
      <c r="H1181">
        <v>0</v>
      </c>
      <c r="I1181" t="s">
        <v>22</v>
      </c>
      <c r="J1181">
        <v>103</v>
      </c>
      <c r="K1181" t="s">
        <v>30</v>
      </c>
      <c r="L1181">
        <v>119</v>
      </c>
    </row>
    <row r="1182" spans="1:12" x14ac:dyDescent="0.25">
      <c r="A1182">
        <v>400578884</v>
      </c>
      <c r="B1182">
        <v>2015</v>
      </c>
      <c r="C1182" s="1">
        <v>42020</v>
      </c>
      <c r="D1182" t="s">
        <v>26</v>
      </c>
      <c r="E1182">
        <v>1</v>
      </c>
      <c r="F1182">
        <v>32</v>
      </c>
      <c r="G1182">
        <v>8</v>
      </c>
      <c r="H1182">
        <v>0</v>
      </c>
      <c r="I1182" t="s">
        <v>27</v>
      </c>
      <c r="J1182">
        <v>89</v>
      </c>
      <c r="K1182" t="s">
        <v>26</v>
      </c>
      <c r="L1182">
        <v>110</v>
      </c>
    </row>
    <row r="1183" spans="1:12" x14ac:dyDescent="0.25">
      <c r="A1183">
        <v>400578884</v>
      </c>
      <c r="B1183">
        <v>2015</v>
      </c>
      <c r="C1183" s="1">
        <v>42020</v>
      </c>
      <c r="D1183" t="s">
        <v>27</v>
      </c>
      <c r="E1183">
        <v>0</v>
      </c>
      <c r="F1183">
        <v>26</v>
      </c>
      <c r="G1183">
        <v>13</v>
      </c>
      <c r="H1183">
        <v>1</v>
      </c>
      <c r="I1183" t="s">
        <v>27</v>
      </c>
      <c r="J1183">
        <v>89</v>
      </c>
      <c r="K1183" t="s">
        <v>26</v>
      </c>
      <c r="L1183">
        <v>110</v>
      </c>
    </row>
    <row r="1184" spans="1:12" x14ac:dyDescent="0.25">
      <c r="A1184">
        <v>400578885</v>
      </c>
      <c r="B1184">
        <v>2015</v>
      </c>
      <c r="C1184" s="1">
        <v>42020</v>
      </c>
      <c r="D1184" t="s">
        <v>36</v>
      </c>
      <c r="E1184">
        <v>0</v>
      </c>
      <c r="F1184">
        <v>31</v>
      </c>
      <c r="G1184">
        <v>6</v>
      </c>
      <c r="H1184">
        <v>0</v>
      </c>
      <c r="I1184" t="s">
        <v>38</v>
      </c>
      <c r="J1184">
        <v>127</v>
      </c>
      <c r="K1184" t="s">
        <v>36</v>
      </c>
      <c r="L1184">
        <v>115</v>
      </c>
    </row>
    <row r="1185" spans="1:12" x14ac:dyDescent="0.25">
      <c r="A1185">
        <v>400578885</v>
      </c>
      <c r="B1185">
        <v>2015</v>
      </c>
      <c r="C1185" s="1">
        <v>42020</v>
      </c>
      <c r="D1185" t="s">
        <v>38</v>
      </c>
      <c r="E1185">
        <v>1</v>
      </c>
      <c r="F1185">
        <v>19</v>
      </c>
      <c r="G1185">
        <v>20</v>
      </c>
      <c r="H1185">
        <v>1</v>
      </c>
      <c r="I1185" t="s">
        <v>38</v>
      </c>
      <c r="J1185">
        <v>127</v>
      </c>
      <c r="K1185" t="s">
        <v>36</v>
      </c>
      <c r="L1185">
        <v>115</v>
      </c>
    </row>
    <row r="1186" spans="1:12" x14ac:dyDescent="0.25">
      <c r="A1186">
        <v>400578886</v>
      </c>
      <c r="B1186">
        <v>2015</v>
      </c>
      <c r="C1186" s="1">
        <v>42020</v>
      </c>
      <c r="D1186" t="s">
        <v>14</v>
      </c>
      <c r="E1186">
        <v>1</v>
      </c>
      <c r="F1186">
        <v>28</v>
      </c>
      <c r="G1186">
        <v>13</v>
      </c>
      <c r="H1186">
        <v>1</v>
      </c>
      <c r="I1186" t="s">
        <v>14</v>
      </c>
      <c r="J1186">
        <v>97</v>
      </c>
      <c r="K1186" t="s">
        <v>32</v>
      </c>
      <c r="L1186">
        <v>89</v>
      </c>
    </row>
    <row r="1187" spans="1:12" x14ac:dyDescent="0.25">
      <c r="A1187">
        <v>400578886</v>
      </c>
      <c r="B1187">
        <v>2015</v>
      </c>
      <c r="C1187" s="1">
        <v>42020</v>
      </c>
      <c r="D1187" t="s">
        <v>32</v>
      </c>
      <c r="E1187">
        <v>0</v>
      </c>
      <c r="F1187">
        <v>18</v>
      </c>
      <c r="G1187">
        <v>21</v>
      </c>
      <c r="H1187">
        <v>0</v>
      </c>
      <c r="I1187" t="s">
        <v>14</v>
      </c>
      <c r="J1187">
        <v>97</v>
      </c>
      <c r="K1187" t="s">
        <v>32</v>
      </c>
      <c r="L1187">
        <v>89</v>
      </c>
    </row>
    <row r="1188" spans="1:12" x14ac:dyDescent="0.25">
      <c r="A1188">
        <v>400578887</v>
      </c>
      <c r="B1188">
        <v>2015</v>
      </c>
      <c r="C1188" s="1">
        <v>42020</v>
      </c>
      <c r="D1188" t="s">
        <v>39</v>
      </c>
      <c r="E1188">
        <v>0</v>
      </c>
      <c r="F1188">
        <v>30</v>
      </c>
      <c r="G1188">
        <v>10</v>
      </c>
      <c r="H1188">
        <v>0</v>
      </c>
      <c r="I1188" t="s">
        <v>15</v>
      </c>
      <c r="J1188">
        <v>110</v>
      </c>
      <c r="K1188" t="s">
        <v>39</v>
      </c>
      <c r="L1188">
        <v>96</v>
      </c>
    </row>
    <row r="1189" spans="1:12" x14ac:dyDescent="0.25">
      <c r="A1189">
        <v>400578887</v>
      </c>
      <c r="B1189">
        <v>2015</v>
      </c>
      <c r="C1189" s="1">
        <v>42020</v>
      </c>
      <c r="D1189" t="s">
        <v>15</v>
      </c>
      <c r="E1189">
        <v>1</v>
      </c>
      <c r="F1189">
        <v>25</v>
      </c>
      <c r="G1189">
        <v>16</v>
      </c>
      <c r="H1189">
        <v>1</v>
      </c>
      <c r="I1189" t="s">
        <v>15</v>
      </c>
      <c r="J1189">
        <v>110</v>
      </c>
      <c r="K1189" t="s">
        <v>39</v>
      </c>
      <c r="L1189">
        <v>96</v>
      </c>
    </row>
    <row r="1190" spans="1:12" x14ac:dyDescent="0.25">
      <c r="A1190">
        <v>400578888</v>
      </c>
      <c r="B1190">
        <v>2015</v>
      </c>
      <c r="C1190" s="1">
        <v>42020</v>
      </c>
      <c r="D1190" t="s">
        <v>29</v>
      </c>
      <c r="E1190">
        <v>0</v>
      </c>
      <c r="F1190">
        <v>6</v>
      </c>
      <c r="G1190">
        <v>32</v>
      </c>
      <c r="H1190">
        <v>0</v>
      </c>
      <c r="I1190" t="s">
        <v>35</v>
      </c>
      <c r="J1190">
        <v>110</v>
      </c>
      <c r="K1190" t="s">
        <v>29</v>
      </c>
      <c r="L1190">
        <v>99</v>
      </c>
    </row>
    <row r="1191" spans="1:12" x14ac:dyDescent="0.25">
      <c r="A1191">
        <v>400578888</v>
      </c>
      <c r="B1191">
        <v>2015</v>
      </c>
      <c r="C1191" s="1">
        <v>42020</v>
      </c>
      <c r="D1191" t="s">
        <v>35</v>
      </c>
      <c r="E1191">
        <v>1</v>
      </c>
      <c r="F1191">
        <v>24</v>
      </c>
      <c r="G1191">
        <v>18</v>
      </c>
      <c r="H1191">
        <v>1</v>
      </c>
      <c r="I1191" t="s">
        <v>35</v>
      </c>
      <c r="J1191">
        <v>110</v>
      </c>
      <c r="K1191" t="s">
        <v>29</v>
      </c>
      <c r="L1191">
        <v>99</v>
      </c>
    </row>
    <row r="1192" spans="1:12" x14ac:dyDescent="0.25">
      <c r="A1192">
        <v>400578889</v>
      </c>
      <c r="B1192">
        <v>2015</v>
      </c>
      <c r="C1192" s="1">
        <v>42020</v>
      </c>
      <c r="D1192" t="s">
        <v>17</v>
      </c>
      <c r="E1192">
        <v>0</v>
      </c>
      <c r="F1192">
        <v>12</v>
      </c>
      <c r="G1192">
        <v>29</v>
      </c>
      <c r="H1192">
        <v>0</v>
      </c>
      <c r="I1192" t="s">
        <v>34</v>
      </c>
      <c r="J1192">
        <v>94</v>
      </c>
      <c r="K1192" t="s">
        <v>17</v>
      </c>
      <c r="L1192">
        <v>85</v>
      </c>
    </row>
    <row r="1193" spans="1:12" x14ac:dyDescent="0.25">
      <c r="A1193">
        <v>400578889</v>
      </c>
      <c r="B1193">
        <v>2015</v>
      </c>
      <c r="C1193" s="1">
        <v>42020</v>
      </c>
      <c r="D1193" t="s">
        <v>34</v>
      </c>
      <c r="E1193">
        <v>1</v>
      </c>
      <c r="F1193">
        <v>14</v>
      </c>
      <c r="G1193">
        <v>26</v>
      </c>
      <c r="H1193">
        <v>1</v>
      </c>
      <c r="I1193" t="s">
        <v>34</v>
      </c>
      <c r="J1193">
        <v>94</v>
      </c>
      <c r="K1193" t="s">
        <v>17</v>
      </c>
      <c r="L1193">
        <v>85</v>
      </c>
    </row>
    <row r="1194" spans="1:12" x14ac:dyDescent="0.25">
      <c r="A1194">
        <v>400578890</v>
      </c>
      <c r="B1194">
        <v>2015</v>
      </c>
      <c r="C1194" s="1">
        <v>42020</v>
      </c>
      <c r="D1194" t="s">
        <v>24</v>
      </c>
      <c r="E1194">
        <v>1</v>
      </c>
      <c r="F1194">
        <v>18</v>
      </c>
      <c r="G1194">
        <v>22</v>
      </c>
      <c r="H1194">
        <v>0</v>
      </c>
      <c r="I1194" t="s">
        <v>37</v>
      </c>
      <c r="J1194">
        <v>83</v>
      </c>
      <c r="K1194" t="s">
        <v>24</v>
      </c>
      <c r="L1194">
        <v>95</v>
      </c>
    </row>
    <row r="1195" spans="1:12" x14ac:dyDescent="0.25">
      <c r="A1195">
        <v>400578890</v>
      </c>
      <c r="B1195">
        <v>2015</v>
      </c>
      <c r="C1195" s="1">
        <v>42020</v>
      </c>
      <c r="D1195" t="s">
        <v>37</v>
      </c>
      <c r="E1195">
        <v>0</v>
      </c>
      <c r="F1195">
        <v>16</v>
      </c>
      <c r="G1195">
        <v>23</v>
      </c>
      <c r="H1195">
        <v>1</v>
      </c>
      <c r="I1195" t="s">
        <v>37</v>
      </c>
      <c r="J1195">
        <v>83</v>
      </c>
      <c r="K1195" t="s">
        <v>24</v>
      </c>
      <c r="L1195">
        <v>95</v>
      </c>
    </row>
    <row r="1196" spans="1:12" x14ac:dyDescent="0.25">
      <c r="A1196">
        <v>400578891</v>
      </c>
      <c r="B1196">
        <v>2015</v>
      </c>
      <c r="C1196" s="1">
        <v>42020</v>
      </c>
      <c r="D1196" t="s">
        <v>40</v>
      </c>
      <c r="E1196">
        <v>1</v>
      </c>
      <c r="F1196">
        <v>21</v>
      </c>
      <c r="G1196">
        <v>20</v>
      </c>
      <c r="H1196">
        <v>0</v>
      </c>
      <c r="I1196" t="s">
        <v>41</v>
      </c>
      <c r="J1196">
        <v>121</v>
      </c>
      <c r="K1196" t="s">
        <v>40</v>
      </c>
      <c r="L1196">
        <v>126</v>
      </c>
    </row>
    <row r="1197" spans="1:12" x14ac:dyDescent="0.25">
      <c r="A1197">
        <v>400578891</v>
      </c>
      <c r="B1197">
        <v>2015</v>
      </c>
      <c r="C1197" s="1">
        <v>42020</v>
      </c>
      <c r="D1197" t="s">
        <v>41</v>
      </c>
      <c r="E1197">
        <v>0</v>
      </c>
      <c r="F1197">
        <v>26</v>
      </c>
      <c r="G1197">
        <v>14</v>
      </c>
      <c r="H1197">
        <v>1</v>
      </c>
      <c r="I1197" t="s">
        <v>41</v>
      </c>
      <c r="J1197">
        <v>121</v>
      </c>
      <c r="K1197" t="s">
        <v>40</v>
      </c>
      <c r="L1197">
        <v>126</v>
      </c>
    </row>
    <row r="1198" spans="1:12" x14ac:dyDescent="0.25">
      <c r="A1198">
        <v>400578892</v>
      </c>
      <c r="B1198">
        <v>2015</v>
      </c>
      <c r="C1198" s="1">
        <v>42021</v>
      </c>
      <c r="D1198" t="s">
        <v>18</v>
      </c>
      <c r="E1198">
        <v>1</v>
      </c>
      <c r="F1198">
        <v>16</v>
      </c>
      <c r="G1198">
        <v>25</v>
      </c>
      <c r="H1198">
        <v>1</v>
      </c>
      <c r="I1198" t="s">
        <v>18</v>
      </c>
      <c r="J1198">
        <v>80</v>
      </c>
      <c r="K1198" t="s">
        <v>20</v>
      </c>
      <c r="L1198">
        <v>71</v>
      </c>
    </row>
    <row r="1199" spans="1:12" x14ac:dyDescent="0.25">
      <c r="A1199">
        <v>400578892</v>
      </c>
      <c r="B1199">
        <v>2015</v>
      </c>
      <c r="C1199" s="1">
        <v>42021</v>
      </c>
      <c r="D1199" t="s">
        <v>20</v>
      </c>
      <c r="E1199">
        <v>0</v>
      </c>
      <c r="F1199">
        <v>15</v>
      </c>
      <c r="G1199">
        <v>27</v>
      </c>
      <c r="H1199">
        <v>0</v>
      </c>
      <c r="I1199" t="s">
        <v>18</v>
      </c>
      <c r="J1199">
        <v>80</v>
      </c>
      <c r="K1199" t="s">
        <v>20</v>
      </c>
      <c r="L1199">
        <v>71</v>
      </c>
    </row>
    <row r="1200" spans="1:12" x14ac:dyDescent="0.25">
      <c r="A1200">
        <v>400578893</v>
      </c>
      <c r="B1200">
        <v>2015</v>
      </c>
      <c r="C1200" s="1">
        <v>42021</v>
      </c>
      <c r="D1200" t="s">
        <v>33</v>
      </c>
      <c r="E1200">
        <v>1</v>
      </c>
      <c r="F1200">
        <v>16</v>
      </c>
      <c r="G1200">
        <v>25</v>
      </c>
      <c r="H1200">
        <v>1</v>
      </c>
      <c r="I1200" t="s">
        <v>33</v>
      </c>
      <c r="J1200">
        <v>107</v>
      </c>
      <c r="K1200" t="s">
        <v>21</v>
      </c>
      <c r="L1200">
        <v>89</v>
      </c>
    </row>
    <row r="1201" spans="1:12" x14ac:dyDescent="0.25">
      <c r="A1201">
        <v>400578893</v>
      </c>
      <c r="B1201">
        <v>2015</v>
      </c>
      <c r="C1201" s="1">
        <v>42021</v>
      </c>
      <c r="D1201" t="s">
        <v>21</v>
      </c>
      <c r="E1201">
        <v>0</v>
      </c>
      <c r="F1201">
        <v>8</v>
      </c>
      <c r="G1201">
        <v>32</v>
      </c>
      <c r="H1201">
        <v>0</v>
      </c>
      <c r="I1201" t="s">
        <v>33</v>
      </c>
      <c r="J1201">
        <v>107</v>
      </c>
      <c r="K1201" t="s">
        <v>21</v>
      </c>
      <c r="L1201">
        <v>89</v>
      </c>
    </row>
    <row r="1202" spans="1:12" x14ac:dyDescent="0.25">
      <c r="A1202">
        <v>400578894</v>
      </c>
      <c r="B1202">
        <v>2015</v>
      </c>
      <c r="C1202" s="1">
        <v>42021</v>
      </c>
      <c r="D1202" t="s">
        <v>26</v>
      </c>
      <c r="E1202">
        <v>1</v>
      </c>
      <c r="F1202">
        <v>33</v>
      </c>
      <c r="G1202">
        <v>8</v>
      </c>
      <c r="H1202">
        <v>0</v>
      </c>
      <c r="I1202" t="s">
        <v>30</v>
      </c>
      <c r="J1202">
        <v>99</v>
      </c>
      <c r="K1202" t="s">
        <v>26</v>
      </c>
      <c r="L1202">
        <v>107</v>
      </c>
    </row>
    <row r="1203" spans="1:12" x14ac:dyDescent="0.25">
      <c r="A1203">
        <v>400578894</v>
      </c>
      <c r="B1203">
        <v>2015</v>
      </c>
      <c r="C1203" s="1">
        <v>42021</v>
      </c>
      <c r="D1203" t="s">
        <v>30</v>
      </c>
      <c r="E1203">
        <v>0</v>
      </c>
      <c r="F1203">
        <v>27</v>
      </c>
      <c r="G1203">
        <v>15</v>
      </c>
      <c r="H1203">
        <v>1</v>
      </c>
      <c r="I1203" t="s">
        <v>30</v>
      </c>
      <c r="J1203">
        <v>99</v>
      </c>
      <c r="K1203" t="s">
        <v>26</v>
      </c>
      <c r="L1203">
        <v>107</v>
      </c>
    </row>
    <row r="1204" spans="1:12" x14ac:dyDescent="0.25">
      <c r="A1204">
        <v>400578895</v>
      </c>
      <c r="B1204">
        <v>2015</v>
      </c>
      <c r="C1204" s="1">
        <v>42021</v>
      </c>
      <c r="D1204" t="s">
        <v>36</v>
      </c>
      <c r="E1204">
        <v>1</v>
      </c>
      <c r="F1204">
        <v>32</v>
      </c>
      <c r="G1204">
        <v>6</v>
      </c>
      <c r="H1204">
        <v>0</v>
      </c>
      <c r="I1204" t="s">
        <v>16</v>
      </c>
      <c r="J1204">
        <v>106</v>
      </c>
      <c r="K1204" t="s">
        <v>36</v>
      </c>
      <c r="L1204">
        <v>131</v>
      </c>
    </row>
    <row r="1205" spans="1:12" x14ac:dyDescent="0.25">
      <c r="A1205">
        <v>400578895</v>
      </c>
      <c r="B1205">
        <v>2015</v>
      </c>
      <c r="C1205" s="1">
        <v>42021</v>
      </c>
      <c r="D1205" t="s">
        <v>16</v>
      </c>
      <c r="E1205">
        <v>0</v>
      </c>
      <c r="F1205">
        <v>28</v>
      </c>
      <c r="G1205">
        <v>13</v>
      </c>
      <c r="H1205">
        <v>1</v>
      </c>
      <c r="I1205" t="s">
        <v>16</v>
      </c>
      <c r="J1205">
        <v>106</v>
      </c>
      <c r="K1205" t="s">
        <v>36</v>
      </c>
      <c r="L1205">
        <v>131</v>
      </c>
    </row>
    <row r="1206" spans="1:12" x14ac:dyDescent="0.25">
      <c r="A1206">
        <v>400578896</v>
      </c>
      <c r="B1206">
        <v>2015</v>
      </c>
      <c r="C1206" s="1">
        <v>42021</v>
      </c>
      <c r="D1206" t="s">
        <v>28</v>
      </c>
      <c r="E1206">
        <v>1</v>
      </c>
      <c r="F1206">
        <v>29</v>
      </c>
      <c r="G1206">
        <v>11</v>
      </c>
      <c r="H1206">
        <v>1</v>
      </c>
      <c r="I1206" t="s">
        <v>28</v>
      </c>
      <c r="J1206">
        <v>102</v>
      </c>
      <c r="K1206" t="s">
        <v>39</v>
      </c>
      <c r="L1206">
        <v>98</v>
      </c>
    </row>
    <row r="1207" spans="1:12" x14ac:dyDescent="0.25">
      <c r="A1207">
        <v>400578896</v>
      </c>
      <c r="B1207">
        <v>2015</v>
      </c>
      <c r="C1207" s="1">
        <v>42021</v>
      </c>
      <c r="D1207" t="s">
        <v>39</v>
      </c>
      <c r="E1207">
        <v>0</v>
      </c>
      <c r="F1207">
        <v>30</v>
      </c>
      <c r="G1207">
        <v>11</v>
      </c>
      <c r="H1207">
        <v>0</v>
      </c>
      <c r="I1207" t="s">
        <v>28</v>
      </c>
      <c r="J1207">
        <v>102</v>
      </c>
      <c r="K1207" t="s">
        <v>39</v>
      </c>
      <c r="L1207">
        <v>98</v>
      </c>
    </row>
    <row r="1208" spans="1:12" x14ac:dyDescent="0.25">
      <c r="A1208">
        <v>400578897</v>
      </c>
      <c r="B1208">
        <v>2015</v>
      </c>
      <c r="C1208" s="1">
        <v>42021</v>
      </c>
      <c r="D1208" t="s">
        <v>23</v>
      </c>
      <c r="E1208">
        <v>0</v>
      </c>
      <c r="F1208">
        <v>17</v>
      </c>
      <c r="G1208">
        <v>24</v>
      </c>
      <c r="H1208">
        <v>1</v>
      </c>
      <c r="I1208" t="s">
        <v>23</v>
      </c>
      <c r="J1208">
        <v>90</v>
      </c>
      <c r="K1208" t="s">
        <v>25</v>
      </c>
      <c r="L1208">
        <v>99</v>
      </c>
    </row>
    <row r="1209" spans="1:12" x14ac:dyDescent="0.25">
      <c r="A1209">
        <v>400578897</v>
      </c>
      <c r="B1209">
        <v>2015</v>
      </c>
      <c r="C1209" s="1">
        <v>42021</v>
      </c>
      <c r="D1209" t="s">
        <v>25</v>
      </c>
      <c r="E1209">
        <v>1</v>
      </c>
      <c r="F1209">
        <v>28</v>
      </c>
      <c r="G1209">
        <v>13</v>
      </c>
      <c r="H1209">
        <v>0</v>
      </c>
      <c r="I1209" t="s">
        <v>23</v>
      </c>
      <c r="J1209">
        <v>90</v>
      </c>
      <c r="K1209" t="s">
        <v>25</v>
      </c>
      <c r="L1209">
        <v>99</v>
      </c>
    </row>
    <row r="1210" spans="1:12" x14ac:dyDescent="0.25">
      <c r="A1210">
        <v>400578898</v>
      </c>
      <c r="B1210">
        <v>2015</v>
      </c>
      <c r="C1210" s="1">
        <v>42021</v>
      </c>
      <c r="D1210" t="s">
        <v>32</v>
      </c>
      <c r="E1210">
        <v>0</v>
      </c>
      <c r="F1210">
        <v>18</v>
      </c>
      <c r="G1210">
        <v>22</v>
      </c>
      <c r="H1210">
        <v>1</v>
      </c>
      <c r="I1210" t="s">
        <v>32</v>
      </c>
      <c r="J1210">
        <v>105</v>
      </c>
      <c r="K1210" t="s">
        <v>29</v>
      </c>
      <c r="L1210">
        <v>113</v>
      </c>
    </row>
    <row r="1211" spans="1:12" x14ac:dyDescent="0.25">
      <c r="A1211">
        <v>400578898</v>
      </c>
      <c r="B1211">
        <v>2015</v>
      </c>
      <c r="C1211" s="1">
        <v>42021</v>
      </c>
      <c r="D1211" t="s">
        <v>29</v>
      </c>
      <c r="E1211">
        <v>1</v>
      </c>
      <c r="F1211">
        <v>7</v>
      </c>
      <c r="G1211">
        <v>32</v>
      </c>
      <c r="H1211">
        <v>0</v>
      </c>
      <c r="I1211" t="s">
        <v>32</v>
      </c>
      <c r="J1211">
        <v>105</v>
      </c>
      <c r="K1211" t="s">
        <v>29</v>
      </c>
      <c r="L1211">
        <v>113</v>
      </c>
    </row>
    <row r="1212" spans="1:12" x14ac:dyDescent="0.25">
      <c r="A1212">
        <v>400578899</v>
      </c>
      <c r="B1212">
        <v>2015</v>
      </c>
      <c r="C1212" s="1">
        <v>42021</v>
      </c>
      <c r="D1212" t="s">
        <v>41</v>
      </c>
      <c r="E1212">
        <v>1</v>
      </c>
      <c r="F1212">
        <v>27</v>
      </c>
      <c r="G1212">
        <v>14</v>
      </c>
      <c r="H1212">
        <v>0</v>
      </c>
      <c r="I1212" t="s">
        <v>37</v>
      </c>
      <c r="J1212">
        <v>108</v>
      </c>
      <c r="K1212" t="s">
        <v>41</v>
      </c>
      <c r="L1212">
        <v>117</v>
      </c>
    </row>
    <row r="1213" spans="1:12" x14ac:dyDescent="0.25">
      <c r="A1213">
        <v>400578899</v>
      </c>
      <c r="B1213">
        <v>2015</v>
      </c>
      <c r="C1213" s="1">
        <v>42021</v>
      </c>
      <c r="D1213" t="s">
        <v>37</v>
      </c>
      <c r="E1213">
        <v>0</v>
      </c>
      <c r="F1213">
        <v>16</v>
      </c>
      <c r="G1213">
        <v>24</v>
      </c>
      <c r="H1213">
        <v>1</v>
      </c>
      <c r="I1213" t="s">
        <v>37</v>
      </c>
      <c r="J1213">
        <v>108</v>
      </c>
      <c r="K1213" t="s">
        <v>41</v>
      </c>
      <c r="L1213">
        <v>117</v>
      </c>
    </row>
    <row r="1214" spans="1:12" x14ac:dyDescent="0.25">
      <c r="A1214">
        <v>400578900</v>
      </c>
      <c r="B1214">
        <v>2015</v>
      </c>
      <c r="C1214" s="1">
        <v>42022</v>
      </c>
      <c r="D1214" t="s">
        <v>12</v>
      </c>
      <c r="E1214">
        <v>1</v>
      </c>
      <c r="F1214">
        <v>20</v>
      </c>
      <c r="G1214">
        <v>20</v>
      </c>
      <c r="H1214">
        <v>0</v>
      </c>
      <c r="I1214" t="s">
        <v>27</v>
      </c>
      <c r="J1214">
        <v>93</v>
      </c>
      <c r="K1214" t="s">
        <v>12</v>
      </c>
      <c r="L1214">
        <v>95</v>
      </c>
    </row>
    <row r="1215" spans="1:12" x14ac:dyDescent="0.25">
      <c r="A1215">
        <v>400578900</v>
      </c>
      <c r="B1215">
        <v>2015</v>
      </c>
      <c r="C1215" s="1">
        <v>42022</v>
      </c>
      <c r="D1215" t="s">
        <v>27</v>
      </c>
      <c r="E1215">
        <v>0</v>
      </c>
      <c r="F1215">
        <v>26</v>
      </c>
      <c r="G1215">
        <v>14</v>
      </c>
      <c r="H1215">
        <v>1</v>
      </c>
      <c r="I1215" t="s">
        <v>27</v>
      </c>
      <c r="J1215">
        <v>93</v>
      </c>
      <c r="K1215" t="s">
        <v>12</v>
      </c>
      <c r="L1215">
        <v>95</v>
      </c>
    </row>
    <row r="1216" spans="1:12" x14ac:dyDescent="0.25">
      <c r="A1216">
        <v>400578901</v>
      </c>
      <c r="B1216">
        <v>2015</v>
      </c>
      <c r="C1216" s="1">
        <v>42022</v>
      </c>
      <c r="D1216" t="s">
        <v>38</v>
      </c>
      <c r="E1216">
        <v>1</v>
      </c>
      <c r="F1216">
        <v>20</v>
      </c>
      <c r="G1216">
        <v>20</v>
      </c>
      <c r="H1216">
        <v>0</v>
      </c>
      <c r="I1216" t="s">
        <v>13</v>
      </c>
      <c r="J1216">
        <v>99</v>
      </c>
      <c r="K1216" t="s">
        <v>38</v>
      </c>
      <c r="L1216">
        <v>127</v>
      </c>
    </row>
    <row r="1217" spans="1:12" x14ac:dyDescent="0.25">
      <c r="A1217">
        <v>400578901</v>
      </c>
      <c r="B1217">
        <v>2015</v>
      </c>
      <c r="C1217" s="1">
        <v>42022</v>
      </c>
      <c r="D1217" t="s">
        <v>13</v>
      </c>
      <c r="E1217">
        <v>0</v>
      </c>
      <c r="F1217">
        <v>15</v>
      </c>
      <c r="G1217">
        <v>29</v>
      </c>
      <c r="H1217">
        <v>1</v>
      </c>
      <c r="I1217" t="s">
        <v>13</v>
      </c>
      <c r="J1217">
        <v>99</v>
      </c>
      <c r="K1217" t="s">
        <v>38</v>
      </c>
      <c r="L1217">
        <v>127</v>
      </c>
    </row>
    <row r="1218" spans="1:12" x14ac:dyDescent="0.25">
      <c r="A1218">
        <v>400578902</v>
      </c>
      <c r="B1218">
        <v>2015</v>
      </c>
      <c r="C1218" s="1">
        <v>42022</v>
      </c>
      <c r="D1218" t="s">
        <v>15</v>
      </c>
      <c r="E1218">
        <v>1</v>
      </c>
      <c r="F1218">
        <v>26</v>
      </c>
      <c r="G1218">
        <v>16</v>
      </c>
      <c r="H1218">
        <v>1</v>
      </c>
      <c r="I1218" t="s">
        <v>15</v>
      </c>
      <c r="J1218">
        <v>89</v>
      </c>
      <c r="K1218" t="s">
        <v>34</v>
      </c>
      <c r="L1218">
        <v>69</v>
      </c>
    </row>
    <row r="1219" spans="1:12" x14ac:dyDescent="0.25">
      <c r="A1219">
        <v>400578902</v>
      </c>
      <c r="B1219">
        <v>2015</v>
      </c>
      <c r="C1219" s="1">
        <v>42022</v>
      </c>
      <c r="D1219" t="s">
        <v>34</v>
      </c>
      <c r="E1219">
        <v>0</v>
      </c>
      <c r="F1219">
        <v>14</v>
      </c>
      <c r="G1219">
        <v>27</v>
      </c>
      <c r="H1219">
        <v>0</v>
      </c>
      <c r="I1219" t="s">
        <v>15</v>
      </c>
      <c r="J1219">
        <v>89</v>
      </c>
      <c r="K1219" t="s">
        <v>34</v>
      </c>
      <c r="L1219">
        <v>69</v>
      </c>
    </row>
    <row r="1220" spans="1:12" x14ac:dyDescent="0.25">
      <c r="A1220">
        <v>400578903</v>
      </c>
      <c r="B1220">
        <v>2015</v>
      </c>
      <c r="C1220" s="1">
        <v>42023</v>
      </c>
      <c r="D1220" t="s">
        <v>18</v>
      </c>
      <c r="E1220">
        <v>1</v>
      </c>
      <c r="F1220">
        <v>17</v>
      </c>
      <c r="G1220">
        <v>25</v>
      </c>
      <c r="H1220">
        <v>1</v>
      </c>
      <c r="I1220" t="s">
        <v>18</v>
      </c>
      <c r="J1220">
        <v>105</v>
      </c>
      <c r="K1220" t="s">
        <v>29</v>
      </c>
      <c r="L1220">
        <v>80</v>
      </c>
    </row>
    <row r="1221" spans="1:12" x14ac:dyDescent="0.25">
      <c r="A1221">
        <v>400578903</v>
      </c>
      <c r="B1221">
        <v>2015</v>
      </c>
      <c r="C1221" s="1">
        <v>42023</v>
      </c>
      <c r="D1221" t="s">
        <v>29</v>
      </c>
      <c r="E1221">
        <v>0</v>
      </c>
      <c r="F1221">
        <v>7</v>
      </c>
      <c r="G1221">
        <v>33</v>
      </c>
      <c r="H1221">
        <v>0</v>
      </c>
      <c r="I1221" t="s">
        <v>18</v>
      </c>
      <c r="J1221">
        <v>105</v>
      </c>
      <c r="K1221" t="s">
        <v>29</v>
      </c>
      <c r="L1221">
        <v>80</v>
      </c>
    </row>
    <row r="1222" spans="1:12" x14ac:dyDescent="0.25">
      <c r="A1222">
        <v>400578904</v>
      </c>
      <c r="B1222">
        <v>2015</v>
      </c>
      <c r="C1222" s="1">
        <v>42023</v>
      </c>
      <c r="D1222" t="s">
        <v>21</v>
      </c>
      <c r="E1222">
        <v>0</v>
      </c>
      <c r="F1222">
        <v>8</v>
      </c>
      <c r="G1222">
        <v>33</v>
      </c>
      <c r="H1222">
        <v>0</v>
      </c>
      <c r="I1222" t="s">
        <v>25</v>
      </c>
      <c r="J1222">
        <v>111</v>
      </c>
      <c r="K1222" t="s">
        <v>21</v>
      </c>
      <c r="L1222">
        <v>76</v>
      </c>
    </row>
    <row r="1223" spans="1:12" x14ac:dyDescent="0.25">
      <c r="A1223">
        <v>400578904</v>
      </c>
      <c r="B1223">
        <v>2015</v>
      </c>
      <c r="C1223" s="1">
        <v>42023</v>
      </c>
      <c r="D1223" t="s">
        <v>25</v>
      </c>
      <c r="E1223">
        <v>1</v>
      </c>
      <c r="F1223">
        <v>29</v>
      </c>
      <c r="G1223">
        <v>13</v>
      </c>
      <c r="H1223">
        <v>1</v>
      </c>
      <c r="I1223" t="s">
        <v>25</v>
      </c>
      <c r="J1223">
        <v>111</v>
      </c>
      <c r="K1223" t="s">
        <v>21</v>
      </c>
      <c r="L1223">
        <v>76</v>
      </c>
    </row>
    <row r="1224" spans="1:12" x14ac:dyDescent="0.25">
      <c r="A1224">
        <v>400578905</v>
      </c>
      <c r="B1224">
        <v>2015</v>
      </c>
      <c r="C1224" s="1">
        <v>42023</v>
      </c>
      <c r="D1224" t="s">
        <v>26</v>
      </c>
      <c r="E1224">
        <v>1</v>
      </c>
      <c r="F1224">
        <v>34</v>
      </c>
      <c r="G1224">
        <v>8</v>
      </c>
      <c r="H1224">
        <v>1</v>
      </c>
      <c r="I1224" t="s">
        <v>26</v>
      </c>
      <c r="J1224">
        <v>93</v>
      </c>
      <c r="K1224" t="s">
        <v>33</v>
      </c>
      <c r="L1224">
        <v>82</v>
      </c>
    </row>
    <row r="1225" spans="1:12" x14ac:dyDescent="0.25">
      <c r="A1225">
        <v>400578905</v>
      </c>
      <c r="B1225">
        <v>2015</v>
      </c>
      <c r="C1225" s="1">
        <v>42023</v>
      </c>
      <c r="D1225" t="s">
        <v>33</v>
      </c>
      <c r="E1225">
        <v>0</v>
      </c>
      <c r="F1225">
        <v>16</v>
      </c>
      <c r="G1225">
        <v>26</v>
      </c>
      <c r="H1225">
        <v>0</v>
      </c>
      <c r="I1225" t="s">
        <v>26</v>
      </c>
      <c r="J1225">
        <v>93</v>
      </c>
      <c r="K1225" t="s">
        <v>33</v>
      </c>
      <c r="L1225">
        <v>82</v>
      </c>
    </row>
    <row r="1226" spans="1:12" x14ac:dyDescent="0.25">
      <c r="A1226">
        <v>400578906</v>
      </c>
      <c r="B1226">
        <v>2015</v>
      </c>
      <c r="C1226" s="1">
        <v>42023</v>
      </c>
      <c r="D1226" t="s">
        <v>22</v>
      </c>
      <c r="E1226">
        <v>0</v>
      </c>
      <c r="F1226">
        <v>13</v>
      </c>
      <c r="G1226">
        <v>26</v>
      </c>
      <c r="H1226">
        <v>0</v>
      </c>
      <c r="I1226" t="s">
        <v>41</v>
      </c>
      <c r="J1226">
        <v>102</v>
      </c>
      <c r="K1226" t="s">
        <v>22</v>
      </c>
      <c r="L1226">
        <v>93</v>
      </c>
    </row>
    <row r="1227" spans="1:12" x14ac:dyDescent="0.25">
      <c r="A1227">
        <v>400578906</v>
      </c>
      <c r="B1227">
        <v>2015</v>
      </c>
      <c r="C1227" s="1">
        <v>42023</v>
      </c>
      <c r="D1227" t="s">
        <v>41</v>
      </c>
      <c r="E1227">
        <v>1</v>
      </c>
      <c r="F1227">
        <v>28</v>
      </c>
      <c r="G1227">
        <v>14</v>
      </c>
      <c r="H1227">
        <v>1</v>
      </c>
      <c r="I1227" t="s">
        <v>41</v>
      </c>
      <c r="J1227">
        <v>102</v>
      </c>
      <c r="K1227" t="s">
        <v>22</v>
      </c>
      <c r="L1227">
        <v>93</v>
      </c>
    </row>
    <row r="1228" spans="1:12" x14ac:dyDescent="0.25">
      <c r="A1228">
        <v>400578907</v>
      </c>
      <c r="B1228">
        <v>2015</v>
      </c>
      <c r="C1228" s="1">
        <v>42023</v>
      </c>
      <c r="D1228" t="s">
        <v>32</v>
      </c>
      <c r="E1228">
        <v>0</v>
      </c>
      <c r="F1228">
        <v>18</v>
      </c>
      <c r="G1228">
        <v>23</v>
      </c>
      <c r="H1228">
        <v>0</v>
      </c>
      <c r="I1228" t="s">
        <v>36</v>
      </c>
      <c r="J1228">
        <v>122</v>
      </c>
      <c r="K1228" t="s">
        <v>32</v>
      </c>
      <c r="L1228">
        <v>79</v>
      </c>
    </row>
    <row r="1229" spans="1:12" x14ac:dyDescent="0.25">
      <c r="A1229">
        <v>400578907</v>
      </c>
      <c r="B1229">
        <v>2015</v>
      </c>
      <c r="C1229" s="1">
        <v>42023</v>
      </c>
      <c r="D1229" t="s">
        <v>36</v>
      </c>
      <c r="E1229">
        <v>1</v>
      </c>
      <c r="F1229">
        <v>33</v>
      </c>
      <c r="G1229">
        <v>6</v>
      </c>
      <c r="H1229">
        <v>1</v>
      </c>
      <c r="I1229" t="s">
        <v>36</v>
      </c>
      <c r="J1229">
        <v>122</v>
      </c>
      <c r="K1229" t="s">
        <v>32</v>
      </c>
      <c r="L1229">
        <v>79</v>
      </c>
    </row>
    <row r="1230" spans="1:12" x14ac:dyDescent="0.25">
      <c r="A1230">
        <v>400578908</v>
      </c>
      <c r="B1230">
        <v>2015</v>
      </c>
      <c r="C1230" s="1">
        <v>42023</v>
      </c>
      <c r="D1230" t="s">
        <v>14</v>
      </c>
      <c r="E1230">
        <v>1</v>
      </c>
      <c r="F1230">
        <v>29</v>
      </c>
      <c r="G1230">
        <v>13</v>
      </c>
      <c r="H1230">
        <v>0</v>
      </c>
      <c r="I1230" t="s">
        <v>28</v>
      </c>
      <c r="J1230">
        <v>95</v>
      </c>
      <c r="K1230" t="s">
        <v>14</v>
      </c>
      <c r="L1230">
        <v>103</v>
      </c>
    </row>
    <row r="1231" spans="1:12" x14ac:dyDescent="0.25">
      <c r="A1231">
        <v>400578908</v>
      </c>
      <c r="B1231">
        <v>2015</v>
      </c>
      <c r="C1231" s="1">
        <v>42023</v>
      </c>
      <c r="D1231" t="s">
        <v>28</v>
      </c>
      <c r="E1231">
        <v>0</v>
      </c>
      <c r="F1231">
        <v>29</v>
      </c>
      <c r="G1231">
        <v>12</v>
      </c>
      <c r="H1231">
        <v>1</v>
      </c>
      <c r="I1231" t="s">
        <v>28</v>
      </c>
      <c r="J1231">
        <v>95</v>
      </c>
      <c r="K1231" t="s">
        <v>14</v>
      </c>
      <c r="L1231">
        <v>103</v>
      </c>
    </row>
    <row r="1232" spans="1:12" x14ac:dyDescent="0.25">
      <c r="A1232">
        <v>400578909</v>
      </c>
      <c r="B1232">
        <v>2015</v>
      </c>
      <c r="C1232" s="1">
        <v>42023</v>
      </c>
      <c r="D1232" t="s">
        <v>16</v>
      </c>
      <c r="E1232">
        <v>1</v>
      </c>
      <c r="F1232">
        <v>29</v>
      </c>
      <c r="G1232">
        <v>13</v>
      </c>
      <c r="H1232">
        <v>1</v>
      </c>
      <c r="I1232" t="s">
        <v>16</v>
      </c>
      <c r="J1232">
        <v>110</v>
      </c>
      <c r="K1232" t="s">
        <v>20</v>
      </c>
      <c r="L1232">
        <v>98</v>
      </c>
    </row>
    <row r="1233" spans="1:12" x14ac:dyDescent="0.25">
      <c r="A1233">
        <v>400578909</v>
      </c>
      <c r="B1233">
        <v>2015</v>
      </c>
      <c r="C1233" s="1">
        <v>42023</v>
      </c>
      <c r="D1233" t="s">
        <v>20</v>
      </c>
      <c r="E1233">
        <v>0</v>
      </c>
      <c r="F1233">
        <v>15</v>
      </c>
      <c r="G1233">
        <v>28</v>
      </c>
      <c r="H1233">
        <v>0</v>
      </c>
      <c r="I1233" t="s">
        <v>16</v>
      </c>
      <c r="J1233">
        <v>110</v>
      </c>
      <c r="K1233" t="s">
        <v>20</v>
      </c>
      <c r="L1233">
        <v>98</v>
      </c>
    </row>
    <row r="1234" spans="1:12" x14ac:dyDescent="0.25">
      <c r="A1234">
        <v>400578910</v>
      </c>
      <c r="B1234">
        <v>2015</v>
      </c>
      <c r="C1234" s="1">
        <v>42023</v>
      </c>
      <c r="D1234" t="s">
        <v>12</v>
      </c>
      <c r="E1234">
        <v>0</v>
      </c>
      <c r="F1234">
        <v>20</v>
      </c>
      <c r="G1234">
        <v>21</v>
      </c>
      <c r="H1234">
        <v>0</v>
      </c>
      <c r="I1234" t="s">
        <v>31</v>
      </c>
      <c r="J1234">
        <v>99</v>
      </c>
      <c r="K1234" t="s">
        <v>12</v>
      </c>
      <c r="L1234">
        <v>92</v>
      </c>
    </row>
    <row r="1235" spans="1:12" x14ac:dyDescent="0.25">
      <c r="A1235">
        <v>400578910</v>
      </c>
      <c r="B1235">
        <v>2015</v>
      </c>
      <c r="C1235" s="1">
        <v>42023</v>
      </c>
      <c r="D1235" t="s">
        <v>31</v>
      </c>
      <c r="E1235">
        <v>1</v>
      </c>
      <c r="F1235">
        <v>6</v>
      </c>
      <c r="G1235">
        <v>36</v>
      </c>
      <c r="H1235">
        <v>1</v>
      </c>
      <c r="I1235" t="s">
        <v>31</v>
      </c>
      <c r="J1235">
        <v>99</v>
      </c>
      <c r="K1235" t="s">
        <v>12</v>
      </c>
      <c r="L1235">
        <v>92</v>
      </c>
    </row>
    <row r="1236" spans="1:12" x14ac:dyDescent="0.25">
      <c r="A1236">
        <v>400578911</v>
      </c>
      <c r="B1236">
        <v>2015</v>
      </c>
      <c r="C1236" s="1">
        <v>42023</v>
      </c>
      <c r="D1236" t="s">
        <v>19</v>
      </c>
      <c r="E1236">
        <v>0</v>
      </c>
      <c r="F1236">
        <v>21</v>
      </c>
      <c r="G1236">
        <v>20</v>
      </c>
      <c r="H1236">
        <v>1</v>
      </c>
      <c r="I1236" t="s">
        <v>19</v>
      </c>
      <c r="J1236">
        <v>89</v>
      </c>
      <c r="K1236" t="s">
        <v>27</v>
      </c>
      <c r="L1236">
        <v>92</v>
      </c>
    </row>
    <row r="1237" spans="1:12" x14ac:dyDescent="0.25">
      <c r="A1237">
        <v>400578911</v>
      </c>
      <c r="B1237">
        <v>2015</v>
      </c>
      <c r="C1237" s="1">
        <v>42023</v>
      </c>
      <c r="D1237" t="s">
        <v>27</v>
      </c>
      <c r="E1237">
        <v>1</v>
      </c>
      <c r="F1237">
        <v>27</v>
      </c>
      <c r="G1237">
        <v>14</v>
      </c>
      <c r="H1237">
        <v>0</v>
      </c>
      <c r="I1237" t="s">
        <v>19</v>
      </c>
      <c r="J1237">
        <v>89</v>
      </c>
      <c r="K1237" t="s">
        <v>27</v>
      </c>
      <c r="L1237">
        <v>92</v>
      </c>
    </row>
    <row r="1238" spans="1:12" x14ac:dyDescent="0.25">
      <c r="A1238">
        <v>400578912</v>
      </c>
      <c r="B1238">
        <v>2015</v>
      </c>
      <c r="C1238" s="1">
        <v>42023</v>
      </c>
      <c r="D1238" t="s">
        <v>30</v>
      </c>
      <c r="E1238">
        <v>0</v>
      </c>
      <c r="F1238">
        <v>27</v>
      </c>
      <c r="G1238">
        <v>16</v>
      </c>
      <c r="H1238">
        <v>0</v>
      </c>
      <c r="I1238" t="s">
        <v>40</v>
      </c>
      <c r="J1238">
        <v>108</v>
      </c>
      <c r="K1238" t="s">
        <v>30</v>
      </c>
      <c r="L1238">
        <v>94</v>
      </c>
    </row>
    <row r="1239" spans="1:12" x14ac:dyDescent="0.25">
      <c r="A1239">
        <v>400578912</v>
      </c>
      <c r="B1239">
        <v>2015</v>
      </c>
      <c r="C1239" s="1">
        <v>42023</v>
      </c>
      <c r="D1239" t="s">
        <v>40</v>
      </c>
      <c r="E1239">
        <v>1</v>
      </c>
      <c r="F1239">
        <v>22</v>
      </c>
      <c r="G1239">
        <v>20</v>
      </c>
      <c r="H1239">
        <v>1</v>
      </c>
      <c r="I1239" t="s">
        <v>40</v>
      </c>
      <c r="J1239">
        <v>108</v>
      </c>
      <c r="K1239" t="s">
        <v>30</v>
      </c>
      <c r="L1239">
        <v>94</v>
      </c>
    </row>
    <row r="1240" spans="1:12" x14ac:dyDescent="0.25">
      <c r="A1240">
        <v>400578913</v>
      </c>
      <c r="B1240">
        <v>2015</v>
      </c>
      <c r="C1240" s="1">
        <v>42023</v>
      </c>
      <c r="D1240" t="s">
        <v>39</v>
      </c>
      <c r="E1240">
        <v>1</v>
      </c>
      <c r="F1240">
        <v>31</v>
      </c>
      <c r="G1240">
        <v>11</v>
      </c>
      <c r="H1240">
        <v>1</v>
      </c>
      <c r="I1240" t="s">
        <v>39</v>
      </c>
      <c r="J1240">
        <v>98</v>
      </c>
      <c r="K1240" t="s">
        <v>37</v>
      </c>
      <c r="L1240">
        <v>94</v>
      </c>
    </row>
    <row r="1241" spans="1:12" x14ac:dyDescent="0.25">
      <c r="A1241">
        <v>400578913</v>
      </c>
      <c r="B1241">
        <v>2015</v>
      </c>
      <c r="C1241" s="1">
        <v>42023</v>
      </c>
      <c r="D1241" t="s">
        <v>37</v>
      </c>
      <c r="E1241">
        <v>0</v>
      </c>
      <c r="F1241">
        <v>16</v>
      </c>
      <c r="G1241">
        <v>25</v>
      </c>
      <c r="H1241">
        <v>0</v>
      </c>
      <c r="I1241" t="s">
        <v>39</v>
      </c>
      <c r="J1241">
        <v>98</v>
      </c>
      <c r="K1241" t="s">
        <v>37</v>
      </c>
      <c r="L1241">
        <v>94</v>
      </c>
    </row>
    <row r="1242" spans="1:12" x14ac:dyDescent="0.25">
      <c r="A1242">
        <v>400578914</v>
      </c>
      <c r="B1242">
        <v>2015</v>
      </c>
      <c r="C1242" s="1">
        <v>42023</v>
      </c>
      <c r="D1242" t="s">
        <v>17</v>
      </c>
      <c r="E1242">
        <v>0</v>
      </c>
      <c r="F1242">
        <v>12</v>
      </c>
      <c r="G1242">
        <v>30</v>
      </c>
      <c r="H1242">
        <v>0</v>
      </c>
      <c r="I1242" t="s">
        <v>35</v>
      </c>
      <c r="J1242">
        <v>115</v>
      </c>
      <c r="K1242" t="s">
        <v>17</v>
      </c>
      <c r="L1242">
        <v>100</v>
      </c>
    </row>
    <row r="1243" spans="1:12" x14ac:dyDescent="0.25">
      <c r="A1243">
        <v>400578914</v>
      </c>
      <c r="B1243">
        <v>2015</v>
      </c>
      <c r="C1243" s="1">
        <v>42023</v>
      </c>
      <c r="D1243" t="s">
        <v>35</v>
      </c>
      <c r="E1243">
        <v>1</v>
      </c>
      <c r="F1243">
        <v>25</v>
      </c>
      <c r="G1243">
        <v>18</v>
      </c>
      <c r="H1243">
        <v>1</v>
      </c>
      <c r="I1243" t="s">
        <v>35</v>
      </c>
      <c r="J1243">
        <v>115</v>
      </c>
      <c r="K1243" t="s">
        <v>17</v>
      </c>
      <c r="L1243">
        <v>100</v>
      </c>
    </row>
    <row r="1244" spans="1:12" x14ac:dyDescent="0.25">
      <c r="A1244">
        <v>400578915</v>
      </c>
      <c r="B1244">
        <v>2015</v>
      </c>
      <c r="C1244" s="1">
        <v>42024</v>
      </c>
      <c r="D1244" t="s">
        <v>24</v>
      </c>
      <c r="E1244">
        <v>0</v>
      </c>
      <c r="F1244">
        <v>18</v>
      </c>
      <c r="G1244">
        <v>23</v>
      </c>
      <c r="H1244">
        <v>1</v>
      </c>
      <c r="I1244" t="s">
        <v>24</v>
      </c>
      <c r="J1244">
        <v>86</v>
      </c>
      <c r="K1244" t="s">
        <v>38</v>
      </c>
      <c r="L1244">
        <v>94</v>
      </c>
    </row>
    <row r="1245" spans="1:12" x14ac:dyDescent="0.25">
      <c r="A1245">
        <v>400578915</v>
      </c>
      <c r="B1245">
        <v>2015</v>
      </c>
      <c r="C1245" s="1">
        <v>42024</v>
      </c>
      <c r="D1245" t="s">
        <v>38</v>
      </c>
      <c r="E1245">
        <v>1</v>
      </c>
      <c r="F1245">
        <v>21</v>
      </c>
      <c r="G1245">
        <v>20</v>
      </c>
      <c r="H1245">
        <v>0</v>
      </c>
      <c r="I1245" t="s">
        <v>24</v>
      </c>
      <c r="J1245">
        <v>86</v>
      </c>
      <c r="K1245" t="s">
        <v>38</v>
      </c>
      <c r="L1245">
        <v>94</v>
      </c>
    </row>
    <row r="1246" spans="1:12" x14ac:dyDescent="0.25">
      <c r="A1246">
        <v>400578916</v>
      </c>
      <c r="B1246">
        <v>2015</v>
      </c>
      <c r="C1246" s="1">
        <v>42024</v>
      </c>
      <c r="D1246" t="s">
        <v>32</v>
      </c>
      <c r="E1246">
        <v>0</v>
      </c>
      <c r="F1246">
        <v>18</v>
      </c>
      <c r="G1246">
        <v>24</v>
      </c>
      <c r="H1246">
        <v>1</v>
      </c>
      <c r="I1246" t="s">
        <v>32</v>
      </c>
      <c r="J1246">
        <v>99</v>
      </c>
      <c r="K1246" t="s">
        <v>15</v>
      </c>
      <c r="L1246">
        <v>109</v>
      </c>
    </row>
    <row r="1247" spans="1:12" x14ac:dyDescent="0.25">
      <c r="A1247">
        <v>400578916</v>
      </c>
      <c r="B1247">
        <v>2015</v>
      </c>
      <c r="C1247" s="1">
        <v>42024</v>
      </c>
      <c r="D1247" t="s">
        <v>15</v>
      </c>
      <c r="E1247">
        <v>1</v>
      </c>
      <c r="F1247">
        <v>27</v>
      </c>
      <c r="G1247">
        <v>16</v>
      </c>
      <c r="H1247">
        <v>0</v>
      </c>
      <c r="I1247" t="s">
        <v>32</v>
      </c>
      <c r="J1247">
        <v>99</v>
      </c>
      <c r="K1247" t="s">
        <v>15</v>
      </c>
      <c r="L1247">
        <v>109</v>
      </c>
    </row>
    <row r="1248" spans="1:12" x14ac:dyDescent="0.25">
      <c r="A1248">
        <v>400578917</v>
      </c>
      <c r="B1248">
        <v>2015</v>
      </c>
      <c r="C1248" s="1">
        <v>42025</v>
      </c>
      <c r="D1248" t="s">
        <v>18</v>
      </c>
      <c r="E1248">
        <v>1</v>
      </c>
      <c r="F1248">
        <v>18</v>
      </c>
      <c r="G1248">
        <v>25</v>
      </c>
      <c r="H1248">
        <v>1</v>
      </c>
      <c r="I1248" t="s">
        <v>18</v>
      </c>
      <c r="J1248">
        <v>78</v>
      </c>
      <c r="K1248" t="s">
        <v>24</v>
      </c>
      <c r="L1248">
        <v>76</v>
      </c>
    </row>
    <row r="1249" spans="1:12" x14ac:dyDescent="0.25">
      <c r="A1249">
        <v>400578917</v>
      </c>
      <c r="B1249">
        <v>2015</v>
      </c>
      <c r="C1249" s="1">
        <v>42025</v>
      </c>
      <c r="D1249" t="s">
        <v>24</v>
      </c>
      <c r="E1249">
        <v>0</v>
      </c>
      <c r="F1249">
        <v>18</v>
      </c>
      <c r="G1249">
        <v>24</v>
      </c>
      <c r="H1249">
        <v>0</v>
      </c>
      <c r="I1249" t="s">
        <v>18</v>
      </c>
      <c r="J1249">
        <v>78</v>
      </c>
      <c r="K1249" t="s">
        <v>24</v>
      </c>
      <c r="L1249">
        <v>76</v>
      </c>
    </row>
    <row r="1250" spans="1:12" x14ac:dyDescent="0.25">
      <c r="A1250">
        <v>400578918</v>
      </c>
      <c r="B1250">
        <v>2015</v>
      </c>
      <c r="C1250" s="1">
        <v>42025</v>
      </c>
      <c r="D1250" t="s">
        <v>40</v>
      </c>
      <c r="E1250">
        <v>1</v>
      </c>
      <c r="F1250">
        <v>23</v>
      </c>
      <c r="G1250">
        <v>20</v>
      </c>
      <c r="H1250">
        <v>1</v>
      </c>
      <c r="I1250" t="s">
        <v>40</v>
      </c>
      <c r="J1250">
        <v>106</v>
      </c>
      <c r="K1250" t="s">
        <v>34</v>
      </c>
      <c r="L1250">
        <v>92</v>
      </c>
    </row>
    <row r="1251" spans="1:12" x14ac:dyDescent="0.25">
      <c r="A1251">
        <v>400578918</v>
      </c>
      <c r="B1251">
        <v>2015</v>
      </c>
      <c r="C1251" s="1">
        <v>42025</v>
      </c>
      <c r="D1251" t="s">
        <v>34</v>
      </c>
      <c r="E1251">
        <v>0</v>
      </c>
      <c r="F1251">
        <v>14</v>
      </c>
      <c r="G1251">
        <v>28</v>
      </c>
      <c r="H1251">
        <v>0</v>
      </c>
      <c r="I1251" t="s">
        <v>40</v>
      </c>
      <c r="J1251">
        <v>106</v>
      </c>
      <c r="K1251" t="s">
        <v>34</v>
      </c>
      <c r="L1251">
        <v>92</v>
      </c>
    </row>
    <row r="1252" spans="1:12" x14ac:dyDescent="0.25">
      <c r="A1252">
        <v>400578919</v>
      </c>
      <c r="B1252">
        <v>2015</v>
      </c>
      <c r="C1252" s="1">
        <v>42025</v>
      </c>
      <c r="D1252" t="s">
        <v>31</v>
      </c>
      <c r="E1252">
        <v>1</v>
      </c>
      <c r="F1252">
        <v>7</v>
      </c>
      <c r="G1252">
        <v>36</v>
      </c>
      <c r="H1252">
        <v>0</v>
      </c>
      <c r="I1252" t="s">
        <v>21</v>
      </c>
      <c r="J1252">
        <v>91</v>
      </c>
      <c r="K1252" t="s">
        <v>31</v>
      </c>
      <c r="L1252">
        <v>98</v>
      </c>
    </row>
    <row r="1253" spans="1:12" x14ac:dyDescent="0.25">
      <c r="A1253">
        <v>400578919</v>
      </c>
      <c r="B1253">
        <v>2015</v>
      </c>
      <c r="C1253" s="1">
        <v>42025</v>
      </c>
      <c r="D1253" t="s">
        <v>21</v>
      </c>
      <c r="E1253">
        <v>0</v>
      </c>
      <c r="F1253">
        <v>8</v>
      </c>
      <c r="G1253">
        <v>34</v>
      </c>
      <c r="H1253">
        <v>1</v>
      </c>
      <c r="I1253" t="s">
        <v>21</v>
      </c>
      <c r="J1253">
        <v>91</v>
      </c>
      <c r="K1253" t="s">
        <v>31</v>
      </c>
      <c r="L1253">
        <v>98</v>
      </c>
    </row>
    <row r="1254" spans="1:12" x14ac:dyDescent="0.25">
      <c r="A1254">
        <v>400578920</v>
      </c>
      <c r="B1254">
        <v>2015</v>
      </c>
      <c r="C1254" s="1">
        <v>42025</v>
      </c>
      <c r="D1254" t="s">
        <v>26</v>
      </c>
      <c r="E1254">
        <v>1</v>
      </c>
      <c r="F1254">
        <v>35</v>
      </c>
      <c r="G1254">
        <v>8</v>
      </c>
      <c r="H1254">
        <v>1</v>
      </c>
      <c r="I1254" t="s">
        <v>26</v>
      </c>
      <c r="J1254">
        <v>110</v>
      </c>
      <c r="K1254" t="s">
        <v>20</v>
      </c>
      <c r="L1254">
        <v>91</v>
      </c>
    </row>
    <row r="1255" spans="1:12" x14ac:dyDescent="0.25">
      <c r="A1255">
        <v>400578920</v>
      </c>
      <c r="B1255">
        <v>2015</v>
      </c>
      <c r="C1255" s="1">
        <v>42025</v>
      </c>
      <c r="D1255" t="s">
        <v>20</v>
      </c>
      <c r="E1255">
        <v>0</v>
      </c>
      <c r="F1255">
        <v>15</v>
      </c>
      <c r="G1255">
        <v>29</v>
      </c>
      <c r="H1255">
        <v>0</v>
      </c>
      <c r="I1255" t="s">
        <v>26</v>
      </c>
      <c r="J1255">
        <v>110</v>
      </c>
      <c r="K1255" t="s">
        <v>20</v>
      </c>
      <c r="L1255">
        <v>91</v>
      </c>
    </row>
    <row r="1256" spans="1:12" x14ac:dyDescent="0.25">
      <c r="A1256">
        <v>400578921</v>
      </c>
      <c r="B1256">
        <v>2015</v>
      </c>
      <c r="C1256" s="1">
        <v>42025</v>
      </c>
      <c r="D1256" t="s">
        <v>33</v>
      </c>
      <c r="E1256">
        <v>1</v>
      </c>
      <c r="F1256">
        <v>17</v>
      </c>
      <c r="G1256">
        <v>26</v>
      </c>
      <c r="H1256">
        <v>1</v>
      </c>
      <c r="I1256" t="s">
        <v>33</v>
      </c>
      <c r="J1256">
        <v>128</v>
      </c>
      <c r="K1256" t="s">
        <v>13</v>
      </c>
      <c r="L1256">
        <v>118</v>
      </c>
    </row>
    <row r="1257" spans="1:12" x14ac:dyDescent="0.25">
      <c r="A1257">
        <v>400578921</v>
      </c>
      <c r="B1257">
        <v>2015</v>
      </c>
      <c r="C1257" s="1">
        <v>42025</v>
      </c>
      <c r="D1257" t="s">
        <v>13</v>
      </c>
      <c r="E1257">
        <v>0</v>
      </c>
      <c r="F1257">
        <v>15</v>
      </c>
      <c r="G1257">
        <v>30</v>
      </c>
      <c r="H1257">
        <v>0</v>
      </c>
      <c r="I1257" t="s">
        <v>33</v>
      </c>
      <c r="J1257">
        <v>128</v>
      </c>
      <c r="K1257" t="s">
        <v>13</v>
      </c>
      <c r="L1257">
        <v>118</v>
      </c>
    </row>
    <row r="1258" spans="1:12" x14ac:dyDescent="0.25">
      <c r="A1258">
        <v>400578922</v>
      </c>
      <c r="B1258">
        <v>2015</v>
      </c>
      <c r="C1258" s="1">
        <v>42025</v>
      </c>
      <c r="D1258" t="s">
        <v>28</v>
      </c>
      <c r="E1258">
        <v>1</v>
      </c>
      <c r="F1258">
        <v>30</v>
      </c>
      <c r="G1258">
        <v>12</v>
      </c>
      <c r="H1258">
        <v>1</v>
      </c>
      <c r="I1258" t="s">
        <v>28</v>
      </c>
      <c r="J1258">
        <v>92</v>
      </c>
      <c r="K1258" t="s">
        <v>27</v>
      </c>
      <c r="L1258">
        <v>86</v>
      </c>
    </row>
    <row r="1259" spans="1:12" x14ac:dyDescent="0.25">
      <c r="A1259">
        <v>400578922</v>
      </c>
      <c r="B1259">
        <v>2015</v>
      </c>
      <c r="C1259" s="1">
        <v>42025</v>
      </c>
      <c r="D1259" t="s">
        <v>27</v>
      </c>
      <c r="E1259">
        <v>0</v>
      </c>
      <c r="F1259">
        <v>27</v>
      </c>
      <c r="G1259">
        <v>15</v>
      </c>
      <c r="H1259">
        <v>0</v>
      </c>
      <c r="I1259" t="s">
        <v>28</v>
      </c>
      <c r="J1259">
        <v>92</v>
      </c>
      <c r="K1259" t="s">
        <v>27</v>
      </c>
      <c r="L1259">
        <v>86</v>
      </c>
    </row>
    <row r="1260" spans="1:12" x14ac:dyDescent="0.25">
      <c r="A1260">
        <v>400578923</v>
      </c>
      <c r="B1260">
        <v>2015</v>
      </c>
      <c r="C1260" s="1">
        <v>42025</v>
      </c>
      <c r="D1260" t="s">
        <v>14</v>
      </c>
      <c r="E1260">
        <v>1</v>
      </c>
      <c r="F1260">
        <v>30</v>
      </c>
      <c r="G1260">
        <v>13</v>
      </c>
      <c r="H1260">
        <v>0</v>
      </c>
      <c r="I1260" t="s">
        <v>29</v>
      </c>
      <c r="J1260">
        <v>75</v>
      </c>
      <c r="K1260" t="s">
        <v>14</v>
      </c>
      <c r="L1260">
        <v>98</v>
      </c>
    </row>
    <row r="1261" spans="1:12" x14ac:dyDescent="0.25">
      <c r="A1261">
        <v>400578923</v>
      </c>
      <c r="B1261">
        <v>2015</v>
      </c>
      <c r="C1261" s="1">
        <v>42025</v>
      </c>
      <c r="D1261" t="s">
        <v>29</v>
      </c>
      <c r="E1261">
        <v>0</v>
      </c>
      <c r="F1261">
        <v>7</v>
      </c>
      <c r="G1261">
        <v>34</v>
      </c>
      <c r="H1261">
        <v>1</v>
      </c>
      <c r="I1261" t="s">
        <v>29</v>
      </c>
      <c r="J1261">
        <v>75</v>
      </c>
      <c r="K1261" t="s">
        <v>14</v>
      </c>
      <c r="L1261">
        <v>98</v>
      </c>
    </row>
    <row r="1262" spans="1:12" x14ac:dyDescent="0.25">
      <c r="A1262">
        <v>400578924</v>
      </c>
      <c r="B1262">
        <v>2015</v>
      </c>
      <c r="C1262" s="1">
        <v>42025</v>
      </c>
      <c r="D1262" t="s">
        <v>17</v>
      </c>
      <c r="E1262">
        <v>0</v>
      </c>
      <c r="F1262">
        <v>12</v>
      </c>
      <c r="G1262">
        <v>31</v>
      </c>
      <c r="H1262">
        <v>0</v>
      </c>
      <c r="I1262" t="s">
        <v>12</v>
      </c>
      <c r="J1262">
        <v>96</v>
      </c>
      <c r="K1262" t="s">
        <v>17</v>
      </c>
      <c r="L1262">
        <v>80</v>
      </c>
    </row>
    <row r="1263" spans="1:12" x14ac:dyDescent="0.25">
      <c r="A1263">
        <v>400578924</v>
      </c>
      <c r="B1263">
        <v>2015</v>
      </c>
      <c r="C1263" s="1">
        <v>42025</v>
      </c>
      <c r="D1263" t="s">
        <v>12</v>
      </c>
      <c r="E1263">
        <v>1</v>
      </c>
      <c r="F1263">
        <v>21</v>
      </c>
      <c r="G1263">
        <v>21</v>
      </c>
      <c r="H1263">
        <v>1</v>
      </c>
      <c r="I1263" t="s">
        <v>12</v>
      </c>
      <c r="J1263">
        <v>96</v>
      </c>
      <c r="K1263" t="s">
        <v>17</v>
      </c>
      <c r="L1263">
        <v>80</v>
      </c>
    </row>
    <row r="1264" spans="1:12" x14ac:dyDescent="0.25">
      <c r="A1264">
        <v>400578925</v>
      </c>
      <c r="B1264">
        <v>2015</v>
      </c>
      <c r="C1264" s="1">
        <v>42025</v>
      </c>
      <c r="D1264" t="s">
        <v>38</v>
      </c>
      <c r="E1264">
        <v>1</v>
      </c>
      <c r="F1264">
        <v>22</v>
      </c>
      <c r="G1264">
        <v>20</v>
      </c>
      <c r="H1264">
        <v>0</v>
      </c>
      <c r="I1264" t="s">
        <v>25</v>
      </c>
      <c r="J1264">
        <v>103</v>
      </c>
      <c r="K1264" t="s">
        <v>38</v>
      </c>
      <c r="L1264">
        <v>105</v>
      </c>
    </row>
    <row r="1265" spans="1:12" x14ac:dyDescent="0.25">
      <c r="A1265">
        <v>400578925</v>
      </c>
      <c r="B1265">
        <v>2015</v>
      </c>
      <c r="C1265" s="1">
        <v>42025</v>
      </c>
      <c r="D1265" t="s">
        <v>25</v>
      </c>
      <c r="E1265">
        <v>0</v>
      </c>
      <c r="F1265">
        <v>29</v>
      </c>
      <c r="G1265">
        <v>14</v>
      </c>
      <c r="H1265">
        <v>1</v>
      </c>
      <c r="I1265" t="s">
        <v>25</v>
      </c>
      <c r="J1265">
        <v>103</v>
      </c>
      <c r="K1265" t="s">
        <v>38</v>
      </c>
      <c r="L1265">
        <v>105</v>
      </c>
    </row>
    <row r="1266" spans="1:12" x14ac:dyDescent="0.25">
      <c r="A1266">
        <v>400578926</v>
      </c>
      <c r="B1266">
        <v>2015</v>
      </c>
      <c r="C1266" s="1">
        <v>42025</v>
      </c>
      <c r="D1266" t="s">
        <v>35</v>
      </c>
      <c r="E1266">
        <v>1</v>
      </c>
      <c r="F1266">
        <v>26</v>
      </c>
      <c r="G1266">
        <v>18</v>
      </c>
      <c r="H1266">
        <v>1</v>
      </c>
      <c r="I1266" t="s">
        <v>35</v>
      </c>
      <c r="J1266">
        <v>118</v>
      </c>
      <c r="K1266" t="s">
        <v>39</v>
      </c>
      <c r="L1266">
        <v>113</v>
      </c>
    </row>
    <row r="1267" spans="1:12" x14ac:dyDescent="0.25">
      <c r="A1267">
        <v>400578926</v>
      </c>
      <c r="B1267">
        <v>2015</v>
      </c>
      <c r="C1267" s="1">
        <v>42025</v>
      </c>
      <c r="D1267" t="s">
        <v>39</v>
      </c>
      <c r="E1267">
        <v>0</v>
      </c>
      <c r="F1267">
        <v>31</v>
      </c>
      <c r="G1267">
        <v>12</v>
      </c>
      <c r="H1267">
        <v>0</v>
      </c>
      <c r="I1267" t="s">
        <v>35</v>
      </c>
      <c r="J1267">
        <v>118</v>
      </c>
      <c r="K1267" t="s">
        <v>39</v>
      </c>
      <c r="L1267">
        <v>113</v>
      </c>
    </row>
    <row r="1268" spans="1:12" x14ac:dyDescent="0.25">
      <c r="A1268">
        <v>400578927</v>
      </c>
      <c r="B1268">
        <v>2015</v>
      </c>
      <c r="C1268" s="1">
        <v>42025</v>
      </c>
      <c r="D1268" t="s">
        <v>23</v>
      </c>
      <c r="E1268">
        <v>1</v>
      </c>
      <c r="F1268">
        <v>18</v>
      </c>
      <c r="G1268">
        <v>24</v>
      </c>
      <c r="H1268">
        <v>0</v>
      </c>
      <c r="I1268" t="s">
        <v>37</v>
      </c>
      <c r="J1268">
        <v>100</v>
      </c>
      <c r="K1268" t="s">
        <v>23</v>
      </c>
      <c r="L1268">
        <v>103</v>
      </c>
    </row>
    <row r="1269" spans="1:12" x14ac:dyDescent="0.25">
      <c r="A1269">
        <v>400578927</v>
      </c>
      <c r="B1269">
        <v>2015</v>
      </c>
      <c r="C1269" s="1">
        <v>42025</v>
      </c>
      <c r="D1269" t="s">
        <v>37</v>
      </c>
      <c r="E1269">
        <v>0</v>
      </c>
      <c r="F1269">
        <v>16</v>
      </c>
      <c r="G1269">
        <v>26</v>
      </c>
      <c r="H1269">
        <v>1</v>
      </c>
      <c r="I1269" t="s">
        <v>37</v>
      </c>
      <c r="J1269">
        <v>100</v>
      </c>
      <c r="K1269" t="s">
        <v>23</v>
      </c>
      <c r="L1269">
        <v>103</v>
      </c>
    </row>
    <row r="1270" spans="1:12" x14ac:dyDescent="0.25">
      <c r="A1270">
        <v>400578928</v>
      </c>
      <c r="B1270">
        <v>2015</v>
      </c>
      <c r="C1270" s="1">
        <v>42025</v>
      </c>
      <c r="D1270" t="s">
        <v>36</v>
      </c>
      <c r="E1270">
        <v>1</v>
      </c>
      <c r="F1270">
        <v>34</v>
      </c>
      <c r="G1270">
        <v>6</v>
      </c>
      <c r="H1270">
        <v>1</v>
      </c>
      <c r="I1270" t="s">
        <v>36</v>
      </c>
      <c r="J1270">
        <v>126</v>
      </c>
      <c r="K1270" t="s">
        <v>16</v>
      </c>
      <c r="L1270">
        <v>113</v>
      </c>
    </row>
    <row r="1271" spans="1:12" x14ac:dyDescent="0.25">
      <c r="A1271">
        <v>400578928</v>
      </c>
      <c r="B1271">
        <v>2015</v>
      </c>
      <c r="C1271" s="1">
        <v>42025</v>
      </c>
      <c r="D1271" t="s">
        <v>16</v>
      </c>
      <c r="E1271">
        <v>0</v>
      </c>
      <c r="F1271">
        <v>29</v>
      </c>
      <c r="G1271">
        <v>14</v>
      </c>
      <c r="H1271">
        <v>0</v>
      </c>
      <c r="I1271" t="s">
        <v>36</v>
      </c>
      <c r="J1271">
        <v>126</v>
      </c>
      <c r="K1271" t="s">
        <v>16</v>
      </c>
      <c r="L1271">
        <v>113</v>
      </c>
    </row>
    <row r="1272" spans="1:12" x14ac:dyDescent="0.25">
      <c r="A1272">
        <v>400578929</v>
      </c>
      <c r="B1272">
        <v>2015</v>
      </c>
      <c r="C1272" s="1">
        <v>42026</v>
      </c>
      <c r="D1272" t="s">
        <v>30</v>
      </c>
      <c r="E1272">
        <v>1</v>
      </c>
      <c r="F1272">
        <v>28</v>
      </c>
      <c r="G1272">
        <v>16</v>
      </c>
      <c r="H1272">
        <v>1</v>
      </c>
      <c r="I1272" t="s">
        <v>30</v>
      </c>
      <c r="J1272">
        <v>104</v>
      </c>
      <c r="K1272" t="s">
        <v>15</v>
      </c>
      <c r="L1272">
        <v>81</v>
      </c>
    </row>
    <row r="1273" spans="1:12" x14ac:dyDescent="0.25">
      <c r="A1273">
        <v>400578929</v>
      </c>
      <c r="B1273">
        <v>2015</v>
      </c>
      <c r="C1273" s="1">
        <v>42026</v>
      </c>
      <c r="D1273" t="s">
        <v>15</v>
      </c>
      <c r="E1273">
        <v>0</v>
      </c>
      <c r="F1273">
        <v>27</v>
      </c>
      <c r="G1273">
        <v>17</v>
      </c>
      <c r="H1273">
        <v>0</v>
      </c>
      <c r="I1273" t="s">
        <v>30</v>
      </c>
      <c r="J1273">
        <v>104</v>
      </c>
      <c r="K1273" t="s">
        <v>15</v>
      </c>
      <c r="L1273">
        <v>81</v>
      </c>
    </row>
    <row r="1274" spans="1:12" x14ac:dyDescent="0.25">
      <c r="A1274">
        <v>400578930</v>
      </c>
      <c r="B1274">
        <v>2015</v>
      </c>
      <c r="C1274" s="1">
        <v>42026</v>
      </c>
      <c r="D1274" t="s">
        <v>19</v>
      </c>
      <c r="E1274">
        <v>0</v>
      </c>
      <c r="F1274">
        <v>21</v>
      </c>
      <c r="G1274">
        <v>21</v>
      </c>
      <c r="H1274">
        <v>1</v>
      </c>
      <c r="I1274" t="s">
        <v>19</v>
      </c>
      <c r="J1274">
        <v>99</v>
      </c>
      <c r="K1274" t="s">
        <v>34</v>
      </c>
      <c r="L1274">
        <v>101</v>
      </c>
    </row>
    <row r="1275" spans="1:12" x14ac:dyDescent="0.25">
      <c r="A1275">
        <v>400578930</v>
      </c>
      <c r="B1275">
        <v>2015</v>
      </c>
      <c r="C1275" s="1">
        <v>42026</v>
      </c>
      <c r="D1275" t="s">
        <v>34</v>
      </c>
      <c r="E1275">
        <v>1</v>
      </c>
      <c r="F1275">
        <v>15</v>
      </c>
      <c r="G1275">
        <v>28</v>
      </c>
      <c r="H1275">
        <v>0</v>
      </c>
      <c r="I1275" t="s">
        <v>19</v>
      </c>
      <c r="J1275">
        <v>99</v>
      </c>
      <c r="K1275" t="s">
        <v>34</v>
      </c>
      <c r="L1275">
        <v>101</v>
      </c>
    </row>
    <row r="1276" spans="1:12" x14ac:dyDescent="0.25">
      <c r="A1276">
        <v>400578931</v>
      </c>
      <c r="B1276">
        <v>2015</v>
      </c>
      <c r="C1276" s="1">
        <v>42026</v>
      </c>
      <c r="D1276" t="s">
        <v>22</v>
      </c>
      <c r="E1276">
        <v>1</v>
      </c>
      <c r="F1276">
        <v>14</v>
      </c>
      <c r="G1276">
        <v>26</v>
      </c>
      <c r="H1276">
        <v>0</v>
      </c>
      <c r="I1276" t="s">
        <v>39</v>
      </c>
      <c r="J1276">
        <v>89</v>
      </c>
      <c r="K1276" t="s">
        <v>22</v>
      </c>
      <c r="L1276">
        <v>90</v>
      </c>
    </row>
    <row r="1277" spans="1:12" x14ac:dyDescent="0.25">
      <c r="A1277">
        <v>400578931</v>
      </c>
      <c r="B1277">
        <v>2015</v>
      </c>
      <c r="C1277" s="1">
        <v>42026</v>
      </c>
      <c r="D1277" t="s">
        <v>39</v>
      </c>
      <c r="E1277">
        <v>0</v>
      </c>
      <c r="F1277">
        <v>31</v>
      </c>
      <c r="G1277">
        <v>13</v>
      </c>
      <c r="H1277">
        <v>1</v>
      </c>
      <c r="I1277" t="s">
        <v>39</v>
      </c>
      <c r="J1277">
        <v>89</v>
      </c>
      <c r="K1277" t="s">
        <v>22</v>
      </c>
      <c r="L1277">
        <v>90</v>
      </c>
    </row>
    <row r="1278" spans="1:12" x14ac:dyDescent="0.25">
      <c r="A1278">
        <v>400578932</v>
      </c>
      <c r="B1278">
        <v>2015</v>
      </c>
      <c r="C1278" s="1">
        <v>42026</v>
      </c>
      <c r="D1278" t="s">
        <v>23</v>
      </c>
      <c r="E1278">
        <v>0</v>
      </c>
      <c r="F1278">
        <v>18</v>
      </c>
      <c r="G1278">
        <v>25</v>
      </c>
      <c r="H1278">
        <v>0</v>
      </c>
      <c r="I1278" t="s">
        <v>41</v>
      </c>
      <c r="J1278">
        <v>123</v>
      </c>
      <c r="K1278" t="s">
        <v>23</v>
      </c>
      <c r="L1278">
        <v>84</v>
      </c>
    </row>
    <row r="1279" spans="1:12" x14ac:dyDescent="0.25">
      <c r="A1279">
        <v>400578932</v>
      </c>
      <c r="B1279">
        <v>2015</v>
      </c>
      <c r="C1279" s="1">
        <v>42026</v>
      </c>
      <c r="D1279" t="s">
        <v>41</v>
      </c>
      <c r="E1279">
        <v>1</v>
      </c>
      <c r="F1279">
        <v>29</v>
      </c>
      <c r="G1279">
        <v>14</v>
      </c>
      <c r="H1279">
        <v>1</v>
      </c>
      <c r="I1279" t="s">
        <v>41</v>
      </c>
      <c r="J1279">
        <v>123</v>
      </c>
      <c r="K1279" t="s">
        <v>23</v>
      </c>
      <c r="L1279">
        <v>84</v>
      </c>
    </row>
    <row r="1280" spans="1:12" x14ac:dyDescent="0.25">
      <c r="A1280">
        <v>400578933</v>
      </c>
      <c r="B1280">
        <v>2015</v>
      </c>
      <c r="C1280" s="1">
        <v>42027</v>
      </c>
      <c r="D1280" t="s">
        <v>21</v>
      </c>
      <c r="E1280">
        <v>0</v>
      </c>
      <c r="F1280">
        <v>8</v>
      </c>
      <c r="G1280">
        <v>35</v>
      </c>
      <c r="H1280">
        <v>1</v>
      </c>
      <c r="I1280" t="s">
        <v>21</v>
      </c>
      <c r="J1280">
        <v>86</v>
      </c>
      <c r="K1280" t="s">
        <v>27</v>
      </c>
      <c r="L1280">
        <v>91</v>
      </c>
    </row>
    <row r="1281" spans="1:12" x14ac:dyDescent="0.25">
      <c r="A1281">
        <v>400578933</v>
      </c>
      <c r="B1281">
        <v>2015</v>
      </c>
      <c r="C1281" s="1">
        <v>42027</v>
      </c>
      <c r="D1281" t="s">
        <v>27</v>
      </c>
      <c r="E1281">
        <v>1</v>
      </c>
      <c r="F1281">
        <v>28</v>
      </c>
      <c r="G1281">
        <v>15</v>
      </c>
      <c r="H1281">
        <v>0</v>
      </c>
      <c r="I1281" t="s">
        <v>21</v>
      </c>
      <c r="J1281">
        <v>86</v>
      </c>
      <c r="K1281" t="s">
        <v>27</v>
      </c>
      <c r="L1281">
        <v>91</v>
      </c>
    </row>
    <row r="1282" spans="1:12" x14ac:dyDescent="0.25">
      <c r="A1282">
        <v>400578934</v>
      </c>
      <c r="B1282">
        <v>2015</v>
      </c>
      <c r="C1282" s="1">
        <v>42027</v>
      </c>
      <c r="D1282" t="s">
        <v>26</v>
      </c>
      <c r="E1282">
        <v>1</v>
      </c>
      <c r="F1282">
        <v>36</v>
      </c>
      <c r="G1282">
        <v>8</v>
      </c>
      <c r="H1282">
        <v>1</v>
      </c>
      <c r="I1282" t="s">
        <v>26</v>
      </c>
      <c r="J1282">
        <v>103</v>
      </c>
      <c r="K1282" t="s">
        <v>38</v>
      </c>
      <c r="L1282">
        <v>93</v>
      </c>
    </row>
    <row r="1283" spans="1:12" x14ac:dyDescent="0.25">
      <c r="A1283">
        <v>400578934</v>
      </c>
      <c r="B1283">
        <v>2015</v>
      </c>
      <c r="C1283" s="1">
        <v>42027</v>
      </c>
      <c r="D1283" t="s">
        <v>38</v>
      </c>
      <c r="E1283">
        <v>0</v>
      </c>
      <c r="F1283">
        <v>22</v>
      </c>
      <c r="G1283">
        <v>21</v>
      </c>
      <c r="H1283">
        <v>0</v>
      </c>
      <c r="I1283" t="s">
        <v>26</v>
      </c>
      <c r="J1283">
        <v>103</v>
      </c>
      <c r="K1283" t="s">
        <v>38</v>
      </c>
      <c r="L1283">
        <v>93</v>
      </c>
    </row>
    <row r="1284" spans="1:12" x14ac:dyDescent="0.25">
      <c r="A1284">
        <v>400578935</v>
      </c>
      <c r="B1284">
        <v>2015</v>
      </c>
      <c r="C1284" s="1">
        <v>42027</v>
      </c>
      <c r="D1284" t="s">
        <v>18</v>
      </c>
      <c r="E1284">
        <v>0</v>
      </c>
      <c r="F1284">
        <v>18</v>
      </c>
      <c r="G1284">
        <v>26</v>
      </c>
      <c r="H1284">
        <v>0</v>
      </c>
      <c r="I1284" t="s">
        <v>40</v>
      </c>
      <c r="J1284">
        <v>129</v>
      </c>
      <c r="K1284" t="s">
        <v>18</v>
      </c>
      <c r="L1284">
        <v>90</v>
      </c>
    </row>
    <row r="1285" spans="1:12" x14ac:dyDescent="0.25">
      <c r="A1285">
        <v>400578935</v>
      </c>
      <c r="B1285">
        <v>2015</v>
      </c>
      <c r="C1285" s="1">
        <v>42027</v>
      </c>
      <c r="D1285" t="s">
        <v>40</v>
      </c>
      <c r="E1285">
        <v>1</v>
      </c>
      <c r="F1285">
        <v>24</v>
      </c>
      <c r="G1285">
        <v>20</v>
      </c>
      <c r="H1285">
        <v>1</v>
      </c>
      <c r="I1285" t="s">
        <v>40</v>
      </c>
      <c r="J1285">
        <v>129</v>
      </c>
      <c r="K1285" t="s">
        <v>18</v>
      </c>
      <c r="L1285">
        <v>90</v>
      </c>
    </row>
    <row r="1286" spans="1:12" x14ac:dyDescent="0.25">
      <c r="A1286">
        <v>400578936</v>
      </c>
      <c r="B1286">
        <v>2015</v>
      </c>
      <c r="C1286" s="1">
        <v>42027</v>
      </c>
      <c r="D1286" t="s">
        <v>20</v>
      </c>
      <c r="E1286">
        <v>0</v>
      </c>
      <c r="F1286">
        <v>15</v>
      </c>
      <c r="G1286">
        <v>30</v>
      </c>
      <c r="H1286">
        <v>0</v>
      </c>
      <c r="I1286" t="s">
        <v>24</v>
      </c>
      <c r="J1286">
        <v>89</v>
      </c>
      <c r="K1286" t="s">
        <v>20</v>
      </c>
      <c r="L1286">
        <v>87</v>
      </c>
    </row>
    <row r="1287" spans="1:12" x14ac:dyDescent="0.25">
      <c r="A1287">
        <v>400578936</v>
      </c>
      <c r="B1287">
        <v>2015</v>
      </c>
      <c r="C1287" s="1">
        <v>42027</v>
      </c>
      <c r="D1287" t="s">
        <v>24</v>
      </c>
      <c r="E1287">
        <v>1</v>
      </c>
      <c r="F1287">
        <v>19</v>
      </c>
      <c r="G1287">
        <v>24</v>
      </c>
      <c r="H1287">
        <v>1</v>
      </c>
      <c r="I1287" t="s">
        <v>24</v>
      </c>
      <c r="J1287">
        <v>89</v>
      </c>
      <c r="K1287" t="s">
        <v>20</v>
      </c>
      <c r="L1287">
        <v>87</v>
      </c>
    </row>
    <row r="1288" spans="1:12" x14ac:dyDescent="0.25">
      <c r="A1288">
        <v>400578937</v>
      </c>
      <c r="B1288">
        <v>2015</v>
      </c>
      <c r="C1288" s="1">
        <v>42027</v>
      </c>
      <c r="D1288" t="s">
        <v>31</v>
      </c>
      <c r="E1288">
        <v>1</v>
      </c>
      <c r="F1288">
        <v>8</v>
      </c>
      <c r="G1288">
        <v>36</v>
      </c>
      <c r="H1288">
        <v>1</v>
      </c>
      <c r="I1288" t="s">
        <v>31</v>
      </c>
      <c r="J1288">
        <v>113</v>
      </c>
      <c r="K1288" t="s">
        <v>13</v>
      </c>
      <c r="L1288">
        <v>106</v>
      </c>
    </row>
    <row r="1289" spans="1:12" x14ac:dyDescent="0.25">
      <c r="A1289">
        <v>400578937</v>
      </c>
      <c r="B1289">
        <v>2015</v>
      </c>
      <c r="C1289" s="1">
        <v>42027</v>
      </c>
      <c r="D1289" t="s">
        <v>13</v>
      </c>
      <c r="E1289">
        <v>0</v>
      </c>
      <c r="F1289">
        <v>15</v>
      </c>
      <c r="G1289">
        <v>31</v>
      </c>
      <c r="H1289">
        <v>0</v>
      </c>
      <c r="I1289" t="s">
        <v>31</v>
      </c>
      <c r="J1289">
        <v>113</v>
      </c>
      <c r="K1289" t="s">
        <v>13</v>
      </c>
      <c r="L1289">
        <v>106</v>
      </c>
    </row>
    <row r="1290" spans="1:12" x14ac:dyDescent="0.25">
      <c r="A1290">
        <v>400578938</v>
      </c>
      <c r="B1290">
        <v>2015</v>
      </c>
      <c r="C1290" s="1">
        <v>42027</v>
      </c>
      <c r="D1290" t="s">
        <v>30</v>
      </c>
      <c r="E1290">
        <v>1</v>
      </c>
      <c r="F1290">
        <v>29</v>
      </c>
      <c r="G1290">
        <v>16</v>
      </c>
      <c r="H1290">
        <v>0</v>
      </c>
      <c r="I1290" t="s">
        <v>14</v>
      </c>
      <c r="J1290">
        <v>98</v>
      </c>
      <c r="K1290" t="s">
        <v>30</v>
      </c>
      <c r="L1290">
        <v>102</v>
      </c>
    </row>
    <row r="1291" spans="1:12" x14ac:dyDescent="0.25">
      <c r="A1291">
        <v>400578938</v>
      </c>
      <c r="B1291">
        <v>2015</v>
      </c>
      <c r="C1291" s="1">
        <v>42027</v>
      </c>
      <c r="D1291" t="s">
        <v>14</v>
      </c>
      <c r="E1291">
        <v>0</v>
      </c>
      <c r="F1291">
        <v>30</v>
      </c>
      <c r="G1291">
        <v>14</v>
      </c>
      <c r="H1291">
        <v>1</v>
      </c>
      <c r="I1291" t="s">
        <v>14</v>
      </c>
      <c r="J1291">
        <v>98</v>
      </c>
      <c r="K1291" t="s">
        <v>30</v>
      </c>
      <c r="L1291">
        <v>102</v>
      </c>
    </row>
    <row r="1292" spans="1:12" x14ac:dyDescent="0.25">
      <c r="A1292">
        <v>400578939</v>
      </c>
      <c r="B1292">
        <v>2015</v>
      </c>
      <c r="C1292" s="1">
        <v>42027</v>
      </c>
      <c r="D1292" t="s">
        <v>29</v>
      </c>
      <c r="E1292">
        <v>0</v>
      </c>
      <c r="F1292">
        <v>7</v>
      </c>
      <c r="G1292">
        <v>35</v>
      </c>
      <c r="H1292">
        <v>1</v>
      </c>
      <c r="I1292" t="s">
        <v>29</v>
      </c>
      <c r="J1292">
        <v>84</v>
      </c>
      <c r="K1292" t="s">
        <v>12</v>
      </c>
      <c r="L1292">
        <v>92</v>
      </c>
    </row>
    <row r="1293" spans="1:12" x14ac:dyDescent="0.25">
      <c r="A1293">
        <v>400578939</v>
      </c>
      <c r="B1293">
        <v>2015</v>
      </c>
      <c r="C1293" s="1">
        <v>42027</v>
      </c>
      <c r="D1293" t="s">
        <v>12</v>
      </c>
      <c r="E1293">
        <v>1</v>
      </c>
      <c r="F1293">
        <v>22</v>
      </c>
      <c r="G1293">
        <v>21</v>
      </c>
      <c r="H1293">
        <v>0</v>
      </c>
      <c r="I1293" t="s">
        <v>29</v>
      </c>
      <c r="J1293">
        <v>84</v>
      </c>
      <c r="K1293" t="s">
        <v>12</v>
      </c>
      <c r="L1293">
        <v>92</v>
      </c>
    </row>
    <row r="1294" spans="1:12" x14ac:dyDescent="0.25">
      <c r="A1294">
        <v>400578940</v>
      </c>
      <c r="B1294">
        <v>2015</v>
      </c>
      <c r="C1294" s="1">
        <v>42027</v>
      </c>
      <c r="D1294" t="s">
        <v>17</v>
      </c>
      <c r="E1294">
        <v>0</v>
      </c>
      <c r="F1294">
        <v>12</v>
      </c>
      <c r="G1294">
        <v>32</v>
      </c>
      <c r="H1294">
        <v>0</v>
      </c>
      <c r="I1294" t="s">
        <v>15</v>
      </c>
      <c r="J1294">
        <v>99</v>
      </c>
      <c r="K1294" t="s">
        <v>17</v>
      </c>
      <c r="L1294">
        <v>85</v>
      </c>
    </row>
    <row r="1295" spans="1:12" x14ac:dyDescent="0.25">
      <c r="A1295">
        <v>400578940</v>
      </c>
      <c r="B1295">
        <v>2015</v>
      </c>
      <c r="C1295" s="1">
        <v>42027</v>
      </c>
      <c r="D1295" t="s">
        <v>15</v>
      </c>
      <c r="E1295">
        <v>1</v>
      </c>
      <c r="F1295">
        <v>28</v>
      </c>
      <c r="G1295">
        <v>17</v>
      </c>
      <c r="H1295">
        <v>1</v>
      </c>
      <c r="I1295" t="s">
        <v>15</v>
      </c>
      <c r="J1295">
        <v>99</v>
      </c>
      <c r="K1295" t="s">
        <v>17</v>
      </c>
      <c r="L1295">
        <v>85</v>
      </c>
    </row>
    <row r="1296" spans="1:12" x14ac:dyDescent="0.25">
      <c r="A1296">
        <v>400578941</v>
      </c>
      <c r="B1296">
        <v>2015</v>
      </c>
      <c r="C1296" s="1">
        <v>42027</v>
      </c>
      <c r="D1296" t="s">
        <v>22</v>
      </c>
      <c r="E1296">
        <v>1</v>
      </c>
      <c r="F1296">
        <v>15</v>
      </c>
      <c r="G1296">
        <v>26</v>
      </c>
      <c r="H1296">
        <v>0</v>
      </c>
      <c r="I1296" t="s">
        <v>32</v>
      </c>
      <c r="J1296">
        <v>99</v>
      </c>
      <c r="K1296" t="s">
        <v>22</v>
      </c>
      <c r="L1296">
        <v>100</v>
      </c>
    </row>
    <row r="1297" spans="1:12" x14ac:dyDescent="0.25">
      <c r="A1297">
        <v>400578941</v>
      </c>
      <c r="B1297">
        <v>2015</v>
      </c>
      <c r="C1297" s="1">
        <v>42027</v>
      </c>
      <c r="D1297" t="s">
        <v>32</v>
      </c>
      <c r="E1297">
        <v>0</v>
      </c>
      <c r="F1297">
        <v>18</v>
      </c>
      <c r="G1297">
        <v>25</v>
      </c>
      <c r="H1297">
        <v>1</v>
      </c>
      <c r="I1297" t="s">
        <v>32</v>
      </c>
      <c r="J1297">
        <v>99</v>
      </c>
      <c r="K1297" t="s">
        <v>22</v>
      </c>
      <c r="L1297">
        <v>100</v>
      </c>
    </row>
    <row r="1298" spans="1:12" x14ac:dyDescent="0.25">
      <c r="A1298">
        <v>400578942</v>
      </c>
      <c r="B1298">
        <v>2015</v>
      </c>
      <c r="C1298" s="1">
        <v>42027</v>
      </c>
      <c r="D1298" t="s">
        <v>16</v>
      </c>
      <c r="E1298">
        <v>1</v>
      </c>
      <c r="F1298">
        <v>30</v>
      </c>
      <c r="G1298">
        <v>14</v>
      </c>
      <c r="H1298">
        <v>0</v>
      </c>
      <c r="I1298" t="s">
        <v>35</v>
      </c>
      <c r="J1298">
        <v>111</v>
      </c>
      <c r="K1298" t="s">
        <v>16</v>
      </c>
      <c r="L1298">
        <v>113</v>
      </c>
    </row>
    <row r="1299" spans="1:12" x14ac:dyDescent="0.25">
      <c r="A1299">
        <v>400578942</v>
      </c>
      <c r="B1299">
        <v>2015</v>
      </c>
      <c r="C1299" s="1">
        <v>42027</v>
      </c>
      <c r="D1299" t="s">
        <v>35</v>
      </c>
      <c r="E1299">
        <v>0</v>
      </c>
      <c r="F1299">
        <v>26</v>
      </c>
      <c r="G1299">
        <v>19</v>
      </c>
      <c r="H1299">
        <v>1</v>
      </c>
      <c r="I1299" t="s">
        <v>35</v>
      </c>
      <c r="J1299">
        <v>111</v>
      </c>
      <c r="K1299" t="s">
        <v>16</v>
      </c>
      <c r="L1299">
        <v>113</v>
      </c>
    </row>
    <row r="1300" spans="1:12" x14ac:dyDescent="0.25">
      <c r="A1300">
        <v>400578943</v>
      </c>
      <c r="B1300">
        <v>2015</v>
      </c>
      <c r="C1300" s="1">
        <v>42027</v>
      </c>
      <c r="D1300" t="s">
        <v>36</v>
      </c>
      <c r="E1300">
        <v>1</v>
      </c>
      <c r="F1300">
        <v>35</v>
      </c>
      <c r="G1300">
        <v>6</v>
      </c>
      <c r="H1300">
        <v>1</v>
      </c>
      <c r="I1300" t="s">
        <v>36</v>
      </c>
      <c r="J1300">
        <v>126</v>
      </c>
      <c r="K1300" t="s">
        <v>37</v>
      </c>
      <c r="L1300">
        <v>101</v>
      </c>
    </row>
    <row r="1301" spans="1:12" x14ac:dyDescent="0.25">
      <c r="A1301">
        <v>400578943</v>
      </c>
      <c r="B1301">
        <v>2015</v>
      </c>
      <c r="C1301" s="1">
        <v>42027</v>
      </c>
      <c r="D1301" t="s">
        <v>37</v>
      </c>
      <c r="E1301">
        <v>0</v>
      </c>
      <c r="F1301">
        <v>16</v>
      </c>
      <c r="G1301">
        <v>27</v>
      </c>
      <c r="H1301">
        <v>0</v>
      </c>
      <c r="I1301" t="s">
        <v>36</v>
      </c>
      <c r="J1301">
        <v>126</v>
      </c>
      <c r="K1301" t="s">
        <v>37</v>
      </c>
      <c r="L1301">
        <v>101</v>
      </c>
    </row>
    <row r="1302" spans="1:12" x14ac:dyDescent="0.25">
      <c r="A1302">
        <v>400578944</v>
      </c>
      <c r="B1302">
        <v>2015</v>
      </c>
      <c r="C1302" s="1">
        <v>42028</v>
      </c>
      <c r="D1302" t="s">
        <v>18</v>
      </c>
      <c r="E1302">
        <v>1</v>
      </c>
      <c r="F1302">
        <v>19</v>
      </c>
      <c r="G1302">
        <v>26</v>
      </c>
      <c r="H1302">
        <v>1</v>
      </c>
      <c r="I1302" t="s">
        <v>18</v>
      </c>
      <c r="J1302">
        <v>76</v>
      </c>
      <c r="K1302" t="s">
        <v>31</v>
      </c>
      <c r="L1302">
        <v>71</v>
      </c>
    </row>
    <row r="1303" spans="1:12" x14ac:dyDescent="0.25">
      <c r="A1303">
        <v>400578944</v>
      </c>
      <c r="B1303">
        <v>2015</v>
      </c>
      <c r="C1303" s="1">
        <v>42028</v>
      </c>
      <c r="D1303" t="s">
        <v>31</v>
      </c>
      <c r="E1303">
        <v>0</v>
      </c>
      <c r="F1303">
        <v>8</v>
      </c>
      <c r="G1303">
        <v>37</v>
      </c>
      <c r="H1303">
        <v>0</v>
      </c>
      <c r="I1303" t="s">
        <v>18</v>
      </c>
      <c r="J1303">
        <v>76</v>
      </c>
      <c r="K1303" t="s">
        <v>31</v>
      </c>
      <c r="L1303">
        <v>71</v>
      </c>
    </row>
    <row r="1304" spans="1:12" x14ac:dyDescent="0.25">
      <c r="A1304">
        <v>400578945</v>
      </c>
      <c r="B1304">
        <v>2015</v>
      </c>
      <c r="C1304" s="1">
        <v>42028</v>
      </c>
      <c r="D1304" t="s">
        <v>33</v>
      </c>
      <c r="E1304">
        <v>0</v>
      </c>
      <c r="F1304">
        <v>17</v>
      </c>
      <c r="G1304">
        <v>27</v>
      </c>
      <c r="H1304">
        <v>0</v>
      </c>
      <c r="I1304" t="s">
        <v>19</v>
      </c>
      <c r="J1304">
        <v>101</v>
      </c>
      <c r="K1304" t="s">
        <v>33</v>
      </c>
      <c r="L1304">
        <v>86</v>
      </c>
    </row>
    <row r="1305" spans="1:12" x14ac:dyDescent="0.25">
      <c r="A1305">
        <v>400578945</v>
      </c>
      <c r="B1305">
        <v>2015</v>
      </c>
      <c r="C1305" s="1">
        <v>42028</v>
      </c>
      <c r="D1305" t="s">
        <v>19</v>
      </c>
      <c r="E1305">
        <v>1</v>
      </c>
      <c r="F1305">
        <v>22</v>
      </c>
      <c r="G1305">
        <v>21</v>
      </c>
      <c r="H1305">
        <v>1</v>
      </c>
      <c r="I1305" t="s">
        <v>19</v>
      </c>
      <c r="J1305">
        <v>101</v>
      </c>
      <c r="K1305" t="s">
        <v>33</v>
      </c>
      <c r="L1305">
        <v>86</v>
      </c>
    </row>
    <row r="1306" spans="1:12" x14ac:dyDescent="0.25">
      <c r="A1306">
        <v>400578946</v>
      </c>
      <c r="B1306">
        <v>2015</v>
      </c>
      <c r="C1306" s="1">
        <v>42028</v>
      </c>
      <c r="D1306" t="s">
        <v>28</v>
      </c>
      <c r="E1306">
        <v>1</v>
      </c>
      <c r="F1306">
        <v>31</v>
      </c>
      <c r="G1306">
        <v>12</v>
      </c>
      <c r="H1306">
        <v>1</v>
      </c>
      <c r="I1306" t="s">
        <v>28</v>
      </c>
      <c r="J1306">
        <v>101</v>
      </c>
      <c r="K1306" t="s">
        <v>21</v>
      </c>
      <c r="L1306">
        <v>83</v>
      </c>
    </row>
    <row r="1307" spans="1:12" x14ac:dyDescent="0.25">
      <c r="A1307">
        <v>400578946</v>
      </c>
      <c r="B1307">
        <v>2015</v>
      </c>
      <c r="C1307" s="1">
        <v>42028</v>
      </c>
      <c r="D1307" t="s">
        <v>21</v>
      </c>
      <c r="E1307">
        <v>0</v>
      </c>
      <c r="F1307">
        <v>8</v>
      </c>
      <c r="G1307">
        <v>36</v>
      </c>
      <c r="H1307">
        <v>0</v>
      </c>
      <c r="I1307" t="s">
        <v>28</v>
      </c>
      <c r="J1307">
        <v>101</v>
      </c>
      <c r="K1307" t="s">
        <v>21</v>
      </c>
      <c r="L1307">
        <v>83</v>
      </c>
    </row>
    <row r="1308" spans="1:12" x14ac:dyDescent="0.25">
      <c r="A1308">
        <v>400578947</v>
      </c>
      <c r="B1308">
        <v>2015</v>
      </c>
      <c r="C1308" s="1">
        <v>42028</v>
      </c>
      <c r="D1308" t="s">
        <v>23</v>
      </c>
      <c r="E1308">
        <v>0</v>
      </c>
      <c r="F1308">
        <v>18</v>
      </c>
      <c r="G1308">
        <v>26</v>
      </c>
      <c r="H1308">
        <v>0</v>
      </c>
      <c r="I1308" t="s">
        <v>34</v>
      </c>
      <c r="J1308">
        <v>108</v>
      </c>
      <c r="K1308" t="s">
        <v>23</v>
      </c>
      <c r="L1308">
        <v>73</v>
      </c>
    </row>
    <row r="1309" spans="1:12" x14ac:dyDescent="0.25">
      <c r="A1309">
        <v>400578947</v>
      </c>
      <c r="B1309">
        <v>2015</v>
      </c>
      <c r="C1309" s="1">
        <v>42028</v>
      </c>
      <c r="D1309" t="s">
        <v>34</v>
      </c>
      <c r="E1309">
        <v>1</v>
      </c>
      <c r="F1309">
        <v>16</v>
      </c>
      <c r="G1309">
        <v>28</v>
      </c>
      <c r="H1309">
        <v>1</v>
      </c>
      <c r="I1309" t="s">
        <v>34</v>
      </c>
      <c r="J1309">
        <v>108</v>
      </c>
      <c r="K1309" t="s">
        <v>23</v>
      </c>
      <c r="L1309">
        <v>73</v>
      </c>
    </row>
    <row r="1310" spans="1:12" x14ac:dyDescent="0.25">
      <c r="A1310">
        <v>400578948</v>
      </c>
      <c r="B1310">
        <v>2015</v>
      </c>
      <c r="C1310" s="1">
        <v>42028</v>
      </c>
      <c r="D1310" t="s">
        <v>39</v>
      </c>
      <c r="E1310">
        <v>1</v>
      </c>
      <c r="F1310">
        <v>32</v>
      </c>
      <c r="G1310">
        <v>13</v>
      </c>
      <c r="H1310">
        <v>1</v>
      </c>
      <c r="I1310" t="s">
        <v>39</v>
      </c>
      <c r="J1310">
        <v>103</v>
      </c>
      <c r="K1310" t="s">
        <v>25</v>
      </c>
      <c r="L1310">
        <v>96</v>
      </c>
    </row>
    <row r="1311" spans="1:12" x14ac:dyDescent="0.25">
      <c r="A1311">
        <v>400578948</v>
      </c>
      <c r="B1311">
        <v>2015</v>
      </c>
      <c r="C1311" s="1">
        <v>42028</v>
      </c>
      <c r="D1311" t="s">
        <v>25</v>
      </c>
      <c r="E1311">
        <v>0</v>
      </c>
      <c r="F1311">
        <v>29</v>
      </c>
      <c r="G1311">
        <v>15</v>
      </c>
      <c r="H1311">
        <v>0</v>
      </c>
      <c r="I1311" t="s">
        <v>39</v>
      </c>
      <c r="J1311">
        <v>103</v>
      </c>
      <c r="K1311" t="s">
        <v>25</v>
      </c>
      <c r="L1311">
        <v>96</v>
      </c>
    </row>
    <row r="1312" spans="1:12" x14ac:dyDescent="0.25">
      <c r="A1312">
        <v>400578949</v>
      </c>
      <c r="B1312">
        <v>2015</v>
      </c>
      <c r="C1312" s="1">
        <v>42029</v>
      </c>
      <c r="D1312" t="s">
        <v>30</v>
      </c>
      <c r="E1312">
        <v>0</v>
      </c>
      <c r="F1312">
        <v>29</v>
      </c>
      <c r="G1312">
        <v>17</v>
      </c>
      <c r="H1312">
        <v>1</v>
      </c>
      <c r="I1312" t="s">
        <v>30</v>
      </c>
      <c r="J1312">
        <v>84</v>
      </c>
      <c r="K1312" t="s">
        <v>24</v>
      </c>
      <c r="L1312">
        <v>96</v>
      </c>
    </row>
    <row r="1313" spans="1:12" x14ac:dyDescent="0.25">
      <c r="A1313">
        <v>400578949</v>
      </c>
      <c r="B1313">
        <v>2015</v>
      </c>
      <c r="C1313" s="1">
        <v>42029</v>
      </c>
      <c r="D1313" t="s">
        <v>24</v>
      </c>
      <c r="E1313">
        <v>1</v>
      </c>
      <c r="F1313">
        <v>20</v>
      </c>
      <c r="G1313">
        <v>24</v>
      </c>
      <c r="H1313">
        <v>0</v>
      </c>
      <c r="I1313" t="s">
        <v>30</v>
      </c>
      <c r="J1313">
        <v>84</v>
      </c>
      <c r="K1313" t="s">
        <v>24</v>
      </c>
      <c r="L1313">
        <v>96</v>
      </c>
    </row>
    <row r="1314" spans="1:12" x14ac:dyDescent="0.25">
      <c r="A1314">
        <v>400578950</v>
      </c>
      <c r="B1314">
        <v>2015</v>
      </c>
      <c r="C1314" s="1">
        <v>42029</v>
      </c>
      <c r="D1314" t="s">
        <v>40</v>
      </c>
      <c r="E1314">
        <v>1</v>
      </c>
      <c r="F1314">
        <v>25</v>
      </c>
      <c r="G1314">
        <v>20</v>
      </c>
      <c r="H1314">
        <v>1</v>
      </c>
      <c r="I1314" t="s">
        <v>40</v>
      </c>
      <c r="J1314">
        <v>108</v>
      </c>
      <c r="K1314" t="s">
        <v>38</v>
      </c>
      <c r="L1314">
        <v>98</v>
      </c>
    </row>
    <row r="1315" spans="1:12" x14ac:dyDescent="0.25">
      <c r="A1315">
        <v>400578950</v>
      </c>
      <c r="B1315">
        <v>2015</v>
      </c>
      <c r="C1315" s="1">
        <v>42029</v>
      </c>
      <c r="D1315" t="s">
        <v>38</v>
      </c>
      <c r="E1315">
        <v>0</v>
      </c>
      <c r="F1315">
        <v>22</v>
      </c>
      <c r="G1315">
        <v>22</v>
      </c>
      <c r="H1315">
        <v>0</v>
      </c>
      <c r="I1315" t="s">
        <v>40</v>
      </c>
      <c r="J1315">
        <v>108</v>
      </c>
      <c r="K1315" t="s">
        <v>38</v>
      </c>
      <c r="L1315">
        <v>98</v>
      </c>
    </row>
    <row r="1316" spans="1:12" x14ac:dyDescent="0.25">
      <c r="A1316">
        <v>400578951</v>
      </c>
      <c r="B1316">
        <v>2015</v>
      </c>
      <c r="C1316" s="1">
        <v>42029</v>
      </c>
      <c r="D1316" t="s">
        <v>41</v>
      </c>
      <c r="E1316">
        <v>1</v>
      </c>
      <c r="F1316">
        <v>30</v>
      </c>
      <c r="G1316">
        <v>14</v>
      </c>
      <c r="H1316">
        <v>0</v>
      </c>
      <c r="I1316" t="s">
        <v>35</v>
      </c>
      <c r="J1316">
        <v>100</v>
      </c>
      <c r="K1316" t="s">
        <v>41</v>
      </c>
      <c r="L1316">
        <v>120</v>
      </c>
    </row>
    <row r="1317" spans="1:12" x14ac:dyDescent="0.25">
      <c r="A1317">
        <v>400578951</v>
      </c>
      <c r="B1317">
        <v>2015</v>
      </c>
      <c r="C1317" s="1">
        <v>42029</v>
      </c>
      <c r="D1317" t="s">
        <v>35</v>
      </c>
      <c r="E1317">
        <v>0</v>
      </c>
      <c r="F1317">
        <v>26</v>
      </c>
      <c r="G1317">
        <v>20</v>
      </c>
      <c r="H1317">
        <v>1</v>
      </c>
      <c r="I1317" t="s">
        <v>35</v>
      </c>
      <c r="J1317">
        <v>100</v>
      </c>
      <c r="K1317" t="s">
        <v>41</v>
      </c>
      <c r="L1317">
        <v>120</v>
      </c>
    </row>
    <row r="1318" spans="1:12" x14ac:dyDescent="0.25">
      <c r="A1318">
        <v>400578952</v>
      </c>
      <c r="B1318">
        <v>2015</v>
      </c>
      <c r="C1318" s="1">
        <v>42029</v>
      </c>
      <c r="D1318" t="s">
        <v>14</v>
      </c>
      <c r="E1318">
        <v>0</v>
      </c>
      <c r="F1318">
        <v>30</v>
      </c>
      <c r="G1318">
        <v>15</v>
      </c>
      <c r="H1318">
        <v>0</v>
      </c>
      <c r="I1318" t="s">
        <v>12</v>
      </c>
      <c r="J1318">
        <v>109</v>
      </c>
      <c r="K1318" t="s">
        <v>14</v>
      </c>
      <c r="L1318">
        <v>106</v>
      </c>
    </row>
    <row r="1319" spans="1:12" x14ac:dyDescent="0.25">
      <c r="A1319">
        <v>400578952</v>
      </c>
      <c r="B1319">
        <v>2015</v>
      </c>
      <c r="C1319" s="1">
        <v>42029</v>
      </c>
      <c r="D1319" t="s">
        <v>12</v>
      </c>
      <c r="E1319">
        <v>1</v>
      </c>
      <c r="F1319">
        <v>23</v>
      </c>
      <c r="G1319">
        <v>21</v>
      </c>
      <c r="H1319">
        <v>1</v>
      </c>
      <c r="I1319" t="s">
        <v>12</v>
      </c>
      <c r="J1319">
        <v>109</v>
      </c>
      <c r="K1319" t="s">
        <v>14</v>
      </c>
      <c r="L1319">
        <v>106</v>
      </c>
    </row>
    <row r="1320" spans="1:12" x14ac:dyDescent="0.25">
      <c r="A1320">
        <v>400578953</v>
      </c>
      <c r="B1320">
        <v>2015</v>
      </c>
      <c r="C1320" s="1">
        <v>42029</v>
      </c>
      <c r="D1320" t="s">
        <v>26</v>
      </c>
      <c r="E1320">
        <v>1</v>
      </c>
      <c r="F1320">
        <v>37</v>
      </c>
      <c r="G1320">
        <v>8</v>
      </c>
      <c r="H1320">
        <v>1</v>
      </c>
      <c r="I1320" t="s">
        <v>26</v>
      </c>
      <c r="J1320">
        <v>112</v>
      </c>
      <c r="K1320" t="s">
        <v>29</v>
      </c>
      <c r="L1320">
        <v>100</v>
      </c>
    </row>
    <row r="1321" spans="1:12" x14ac:dyDescent="0.25">
      <c r="A1321">
        <v>400578953</v>
      </c>
      <c r="B1321">
        <v>2015</v>
      </c>
      <c r="C1321" s="1">
        <v>42029</v>
      </c>
      <c r="D1321" t="s">
        <v>29</v>
      </c>
      <c r="E1321">
        <v>0</v>
      </c>
      <c r="F1321">
        <v>7</v>
      </c>
      <c r="G1321">
        <v>36</v>
      </c>
      <c r="H1321">
        <v>0</v>
      </c>
      <c r="I1321" t="s">
        <v>26</v>
      </c>
      <c r="J1321">
        <v>112</v>
      </c>
      <c r="K1321" t="s">
        <v>29</v>
      </c>
      <c r="L1321">
        <v>100</v>
      </c>
    </row>
    <row r="1322" spans="1:12" x14ac:dyDescent="0.25">
      <c r="A1322">
        <v>400578954</v>
      </c>
      <c r="B1322">
        <v>2015</v>
      </c>
      <c r="C1322" s="1">
        <v>42029</v>
      </c>
      <c r="D1322" t="s">
        <v>20</v>
      </c>
      <c r="E1322">
        <v>1</v>
      </c>
      <c r="F1322">
        <v>16</v>
      </c>
      <c r="G1322">
        <v>30</v>
      </c>
      <c r="H1322">
        <v>0</v>
      </c>
      <c r="I1322" t="s">
        <v>13</v>
      </c>
      <c r="J1322">
        <v>99</v>
      </c>
      <c r="K1322" t="s">
        <v>20</v>
      </c>
      <c r="L1322">
        <v>106</v>
      </c>
    </row>
    <row r="1323" spans="1:12" x14ac:dyDescent="0.25">
      <c r="A1323">
        <v>400578954</v>
      </c>
      <c r="B1323">
        <v>2015</v>
      </c>
      <c r="C1323" s="1">
        <v>42029</v>
      </c>
      <c r="D1323" t="s">
        <v>13</v>
      </c>
      <c r="E1323">
        <v>0</v>
      </c>
      <c r="F1323">
        <v>15</v>
      </c>
      <c r="G1323">
        <v>32</v>
      </c>
      <c r="H1323">
        <v>1</v>
      </c>
      <c r="I1323" t="s">
        <v>13</v>
      </c>
      <c r="J1323">
        <v>99</v>
      </c>
      <c r="K1323" t="s">
        <v>20</v>
      </c>
      <c r="L1323">
        <v>106</v>
      </c>
    </row>
    <row r="1324" spans="1:12" x14ac:dyDescent="0.25">
      <c r="A1324">
        <v>400578955</v>
      </c>
      <c r="B1324">
        <v>2015</v>
      </c>
      <c r="C1324" s="1">
        <v>42029</v>
      </c>
      <c r="D1324" t="s">
        <v>19</v>
      </c>
      <c r="E1324">
        <v>0</v>
      </c>
      <c r="F1324">
        <v>22</v>
      </c>
      <c r="G1324">
        <v>22</v>
      </c>
      <c r="H1324">
        <v>0</v>
      </c>
      <c r="I1324" t="s">
        <v>15</v>
      </c>
      <c r="J1324">
        <v>101</v>
      </c>
      <c r="K1324" t="s">
        <v>19</v>
      </c>
      <c r="L1324">
        <v>95</v>
      </c>
    </row>
    <row r="1325" spans="1:12" x14ac:dyDescent="0.25">
      <c r="A1325">
        <v>400578955</v>
      </c>
      <c r="B1325">
        <v>2015</v>
      </c>
      <c r="C1325" s="1">
        <v>42029</v>
      </c>
      <c r="D1325" t="s">
        <v>15</v>
      </c>
      <c r="E1325">
        <v>1</v>
      </c>
      <c r="F1325">
        <v>29</v>
      </c>
      <c r="G1325">
        <v>17</v>
      </c>
      <c r="H1325">
        <v>1</v>
      </c>
      <c r="I1325" t="s">
        <v>15</v>
      </c>
      <c r="J1325">
        <v>101</v>
      </c>
      <c r="K1325" t="s">
        <v>19</v>
      </c>
      <c r="L1325">
        <v>95</v>
      </c>
    </row>
    <row r="1326" spans="1:12" x14ac:dyDescent="0.25">
      <c r="A1326">
        <v>400578956</v>
      </c>
      <c r="B1326">
        <v>2015</v>
      </c>
      <c r="C1326" s="1">
        <v>42029</v>
      </c>
      <c r="D1326" t="s">
        <v>33</v>
      </c>
      <c r="E1326">
        <v>0</v>
      </c>
      <c r="F1326">
        <v>17</v>
      </c>
      <c r="G1326">
        <v>28</v>
      </c>
      <c r="H1326">
        <v>0</v>
      </c>
      <c r="I1326" t="s">
        <v>27</v>
      </c>
      <c r="J1326">
        <v>114</v>
      </c>
      <c r="K1326" t="s">
        <v>33</v>
      </c>
      <c r="L1326">
        <v>110</v>
      </c>
    </row>
    <row r="1327" spans="1:12" x14ac:dyDescent="0.25">
      <c r="A1327">
        <v>400578956</v>
      </c>
      <c r="B1327">
        <v>2015</v>
      </c>
      <c r="C1327" s="1">
        <v>42029</v>
      </c>
      <c r="D1327" t="s">
        <v>27</v>
      </c>
      <c r="E1327">
        <v>1</v>
      </c>
      <c r="F1327">
        <v>29</v>
      </c>
      <c r="G1327">
        <v>15</v>
      </c>
      <c r="H1327">
        <v>1</v>
      </c>
      <c r="I1327" t="s">
        <v>27</v>
      </c>
      <c r="J1327">
        <v>114</v>
      </c>
      <c r="K1327" t="s">
        <v>33</v>
      </c>
      <c r="L1327">
        <v>110</v>
      </c>
    </row>
    <row r="1328" spans="1:12" x14ac:dyDescent="0.25">
      <c r="A1328">
        <v>400578957</v>
      </c>
      <c r="B1328">
        <v>2015</v>
      </c>
      <c r="C1328" s="1">
        <v>42029</v>
      </c>
      <c r="D1328" t="s">
        <v>22</v>
      </c>
      <c r="E1328">
        <v>0</v>
      </c>
      <c r="F1328">
        <v>15</v>
      </c>
      <c r="G1328">
        <v>27</v>
      </c>
      <c r="H1328">
        <v>0</v>
      </c>
      <c r="I1328" t="s">
        <v>36</v>
      </c>
      <c r="J1328">
        <v>114</v>
      </c>
      <c r="K1328" t="s">
        <v>22</v>
      </c>
      <c r="L1328">
        <v>111</v>
      </c>
    </row>
    <row r="1329" spans="1:12" x14ac:dyDescent="0.25">
      <c r="A1329">
        <v>400578957</v>
      </c>
      <c r="B1329">
        <v>2015</v>
      </c>
      <c r="C1329" s="1">
        <v>42029</v>
      </c>
      <c r="D1329" t="s">
        <v>36</v>
      </c>
      <c r="E1329">
        <v>1</v>
      </c>
      <c r="F1329">
        <v>36</v>
      </c>
      <c r="G1329">
        <v>6</v>
      </c>
      <c r="H1329">
        <v>1</v>
      </c>
      <c r="I1329" t="s">
        <v>36</v>
      </c>
      <c r="J1329">
        <v>114</v>
      </c>
      <c r="K1329" t="s">
        <v>22</v>
      </c>
      <c r="L1329">
        <v>111</v>
      </c>
    </row>
    <row r="1330" spans="1:12" x14ac:dyDescent="0.25">
      <c r="A1330">
        <v>400578958</v>
      </c>
      <c r="B1330">
        <v>2015</v>
      </c>
      <c r="C1330" s="1">
        <v>42029</v>
      </c>
      <c r="D1330" t="s">
        <v>32</v>
      </c>
      <c r="E1330">
        <v>0</v>
      </c>
      <c r="F1330">
        <v>18</v>
      </c>
      <c r="G1330">
        <v>26</v>
      </c>
      <c r="H1330">
        <v>1</v>
      </c>
      <c r="I1330" t="s">
        <v>32</v>
      </c>
      <c r="J1330">
        <v>115</v>
      </c>
      <c r="K1330" t="s">
        <v>25</v>
      </c>
      <c r="L1330">
        <v>117</v>
      </c>
    </row>
    <row r="1331" spans="1:12" x14ac:dyDescent="0.25">
      <c r="A1331">
        <v>400578958</v>
      </c>
      <c r="B1331">
        <v>2015</v>
      </c>
      <c r="C1331" s="1">
        <v>42029</v>
      </c>
      <c r="D1331" t="s">
        <v>25</v>
      </c>
      <c r="E1331">
        <v>1</v>
      </c>
      <c r="F1331">
        <v>30</v>
      </c>
      <c r="G1331">
        <v>15</v>
      </c>
      <c r="H1331">
        <v>0</v>
      </c>
      <c r="I1331" t="s">
        <v>32</v>
      </c>
      <c r="J1331">
        <v>115</v>
      </c>
      <c r="K1331" t="s">
        <v>25</v>
      </c>
      <c r="L1331">
        <v>117</v>
      </c>
    </row>
    <row r="1332" spans="1:12" x14ac:dyDescent="0.25">
      <c r="A1332">
        <v>400578959</v>
      </c>
      <c r="B1332">
        <v>2015</v>
      </c>
      <c r="C1332" s="1">
        <v>42029</v>
      </c>
      <c r="D1332" t="s">
        <v>16</v>
      </c>
      <c r="E1332">
        <v>1</v>
      </c>
      <c r="F1332">
        <v>31</v>
      </c>
      <c r="G1332">
        <v>14</v>
      </c>
      <c r="H1332">
        <v>0</v>
      </c>
      <c r="I1332" t="s">
        <v>17</v>
      </c>
      <c r="J1332">
        <v>87</v>
      </c>
      <c r="K1332" t="s">
        <v>16</v>
      </c>
      <c r="L1332">
        <v>99</v>
      </c>
    </row>
    <row r="1333" spans="1:12" x14ac:dyDescent="0.25">
      <c r="A1333">
        <v>400578959</v>
      </c>
      <c r="B1333">
        <v>2015</v>
      </c>
      <c r="C1333" s="1">
        <v>42029</v>
      </c>
      <c r="D1333" t="s">
        <v>17</v>
      </c>
      <c r="E1333">
        <v>0</v>
      </c>
      <c r="F1333">
        <v>12</v>
      </c>
      <c r="G1333">
        <v>33</v>
      </c>
      <c r="H1333">
        <v>1</v>
      </c>
      <c r="I1333" t="s">
        <v>17</v>
      </c>
      <c r="J1333">
        <v>87</v>
      </c>
      <c r="K1333" t="s">
        <v>16</v>
      </c>
      <c r="L1333">
        <v>99</v>
      </c>
    </row>
    <row r="1334" spans="1:12" x14ac:dyDescent="0.25">
      <c r="A1334">
        <v>400578962</v>
      </c>
      <c r="B1334">
        <v>2015</v>
      </c>
      <c r="C1334" s="1">
        <v>42030</v>
      </c>
      <c r="D1334" t="s">
        <v>28</v>
      </c>
      <c r="E1334">
        <v>1</v>
      </c>
      <c r="F1334">
        <v>32</v>
      </c>
      <c r="G1334">
        <v>12</v>
      </c>
      <c r="H1334">
        <v>1</v>
      </c>
      <c r="I1334" t="s">
        <v>28</v>
      </c>
      <c r="J1334">
        <v>103</v>
      </c>
      <c r="K1334" t="s">
        <v>13</v>
      </c>
      <c r="L1334">
        <v>94</v>
      </c>
    </row>
    <row r="1335" spans="1:12" x14ac:dyDescent="0.25">
      <c r="A1335">
        <v>400578962</v>
      </c>
      <c r="B1335">
        <v>2015</v>
      </c>
      <c r="C1335" s="1">
        <v>42030</v>
      </c>
      <c r="D1335" t="s">
        <v>13</v>
      </c>
      <c r="E1335">
        <v>0</v>
      </c>
      <c r="F1335">
        <v>15</v>
      </c>
      <c r="G1335">
        <v>33</v>
      </c>
      <c r="H1335">
        <v>0</v>
      </c>
      <c r="I1335" t="s">
        <v>28</v>
      </c>
      <c r="J1335">
        <v>103</v>
      </c>
      <c r="K1335" t="s">
        <v>13</v>
      </c>
      <c r="L1335">
        <v>94</v>
      </c>
    </row>
    <row r="1336" spans="1:12" x14ac:dyDescent="0.25">
      <c r="A1336">
        <v>400578963</v>
      </c>
      <c r="B1336">
        <v>2015</v>
      </c>
      <c r="C1336" s="1">
        <v>42030</v>
      </c>
      <c r="D1336" t="s">
        <v>12</v>
      </c>
      <c r="E1336">
        <v>1</v>
      </c>
      <c r="F1336">
        <v>24</v>
      </c>
      <c r="G1336">
        <v>21</v>
      </c>
      <c r="H1336">
        <v>1</v>
      </c>
      <c r="I1336" t="s">
        <v>12</v>
      </c>
      <c r="J1336">
        <v>99</v>
      </c>
      <c r="K1336" t="s">
        <v>21</v>
      </c>
      <c r="L1336">
        <v>74</v>
      </c>
    </row>
    <row r="1337" spans="1:12" x14ac:dyDescent="0.25">
      <c r="A1337">
        <v>400578963</v>
      </c>
      <c r="B1337">
        <v>2015</v>
      </c>
      <c r="C1337" s="1">
        <v>42030</v>
      </c>
      <c r="D1337" t="s">
        <v>21</v>
      </c>
      <c r="E1337">
        <v>0</v>
      </c>
      <c r="F1337">
        <v>8</v>
      </c>
      <c r="G1337">
        <v>37</v>
      </c>
      <c r="H1337">
        <v>0</v>
      </c>
      <c r="I1337" t="s">
        <v>12</v>
      </c>
      <c r="J1337">
        <v>99</v>
      </c>
      <c r="K1337" t="s">
        <v>21</v>
      </c>
      <c r="L1337">
        <v>74</v>
      </c>
    </row>
    <row r="1338" spans="1:12" x14ac:dyDescent="0.25">
      <c r="A1338">
        <v>400578964</v>
      </c>
      <c r="B1338">
        <v>2015</v>
      </c>
      <c r="C1338" s="1">
        <v>42030</v>
      </c>
      <c r="D1338" t="s">
        <v>29</v>
      </c>
      <c r="E1338">
        <v>0</v>
      </c>
      <c r="F1338">
        <v>7</v>
      </c>
      <c r="G1338">
        <v>37</v>
      </c>
      <c r="H1338">
        <v>0</v>
      </c>
      <c r="I1338" t="s">
        <v>38</v>
      </c>
      <c r="J1338">
        <v>92</v>
      </c>
      <c r="K1338" t="s">
        <v>29</v>
      </c>
      <c r="L1338">
        <v>84</v>
      </c>
    </row>
    <row r="1339" spans="1:12" x14ac:dyDescent="0.25">
      <c r="A1339">
        <v>400578964</v>
      </c>
      <c r="B1339">
        <v>2015</v>
      </c>
      <c r="C1339" s="1">
        <v>42030</v>
      </c>
      <c r="D1339" t="s">
        <v>38</v>
      </c>
      <c r="E1339">
        <v>1</v>
      </c>
      <c r="F1339">
        <v>23</v>
      </c>
      <c r="G1339">
        <v>22</v>
      </c>
      <c r="H1339">
        <v>1</v>
      </c>
      <c r="I1339" t="s">
        <v>38</v>
      </c>
      <c r="J1339">
        <v>92</v>
      </c>
      <c r="K1339" t="s">
        <v>29</v>
      </c>
      <c r="L1339">
        <v>84</v>
      </c>
    </row>
    <row r="1340" spans="1:12" x14ac:dyDescent="0.25">
      <c r="A1340">
        <v>400578965</v>
      </c>
      <c r="B1340">
        <v>2015</v>
      </c>
      <c r="C1340" s="1">
        <v>42030</v>
      </c>
      <c r="D1340" t="s">
        <v>22</v>
      </c>
      <c r="E1340">
        <v>1</v>
      </c>
      <c r="F1340">
        <v>16</v>
      </c>
      <c r="G1340">
        <v>27</v>
      </c>
      <c r="H1340">
        <v>0</v>
      </c>
      <c r="I1340" t="s">
        <v>34</v>
      </c>
      <c r="J1340">
        <v>90</v>
      </c>
      <c r="K1340" t="s">
        <v>22</v>
      </c>
      <c r="L1340">
        <v>99</v>
      </c>
    </row>
    <row r="1341" spans="1:12" x14ac:dyDescent="0.25">
      <c r="A1341">
        <v>400578965</v>
      </c>
      <c r="B1341">
        <v>2015</v>
      </c>
      <c r="C1341" s="1">
        <v>42030</v>
      </c>
      <c r="D1341" t="s">
        <v>34</v>
      </c>
      <c r="E1341">
        <v>0</v>
      </c>
      <c r="F1341">
        <v>16</v>
      </c>
      <c r="G1341">
        <v>29</v>
      </c>
      <c r="H1341">
        <v>1</v>
      </c>
      <c r="I1341" t="s">
        <v>34</v>
      </c>
      <c r="J1341">
        <v>90</v>
      </c>
      <c r="K1341" t="s">
        <v>22</v>
      </c>
      <c r="L1341">
        <v>99</v>
      </c>
    </row>
    <row r="1342" spans="1:12" x14ac:dyDescent="0.25">
      <c r="A1342">
        <v>400578966</v>
      </c>
      <c r="B1342">
        <v>2015</v>
      </c>
      <c r="C1342" s="1">
        <v>42030</v>
      </c>
      <c r="D1342" t="s">
        <v>32</v>
      </c>
      <c r="E1342">
        <v>0</v>
      </c>
      <c r="F1342">
        <v>18</v>
      </c>
      <c r="G1342">
        <v>27</v>
      </c>
      <c r="H1342">
        <v>0</v>
      </c>
      <c r="I1342" t="s">
        <v>41</v>
      </c>
      <c r="J1342">
        <v>102</v>
      </c>
      <c r="K1342" t="s">
        <v>32</v>
      </c>
      <c r="L1342">
        <v>98</v>
      </c>
    </row>
    <row r="1343" spans="1:12" x14ac:dyDescent="0.25">
      <c r="A1343">
        <v>400578966</v>
      </c>
      <c r="B1343">
        <v>2015</v>
      </c>
      <c r="C1343" s="1">
        <v>42030</v>
      </c>
      <c r="D1343" t="s">
        <v>41</v>
      </c>
      <c r="E1343">
        <v>1</v>
      </c>
      <c r="F1343">
        <v>31</v>
      </c>
      <c r="G1343">
        <v>14</v>
      </c>
      <c r="H1343">
        <v>1</v>
      </c>
      <c r="I1343" t="s">
        <v>41</v>
      </c>
      <c r="J1343">
        <v>102</v>
      </c>
      <c r="K1343" t="s">
        <v>32</v>
      </c>
      <c r="L1343">
        <v>98</v>
      </c>
    </row>
    <row r="1344" spans="1:12" x14ac:dyDescent="0.25">
      <c r="A1344">
        <v>400578967</v>
      </c>
      <c r="B1344">
        <v>2015</v>
      </c>
      <c r="C1344" s="1">
        <v>42031</v>
      </c>
      <c r="D1344" t="s">
        <v>20</v>
      </c>
      <c r="E1344">
        <v>0</v>
      </c>
      <c r="F1344">
        <v>16</v>
      </c>
      <c r="G1344">
        <v>31</v>
      </c>
      <c r="H1344">
        <v>1</v>
      </c>
      <c r="I1344" t="s">
        <v>20</v>
      </c>
      <c r="J1344">
        <v>91</v>
      </c>
      <c r="K1344" t="s">
        <v>27</v>
      </c>
      <c r="L1344">
        <v>104</v>
      </c>
    </row>
    <row r="1345" spans="1:12" x14ac:dyDescent="0.25">
      <c r="A1345">
        <v>400578967</v>
      </c>
      <c r="B1345">
        <v>2015</v>
      </c>
      <c r="C1345" s="1">
        <v>42031</v>
      </c>
      <c r="D1345" t="s">
        <v>27</v>
      </c>
      <c r="E1345">
        <v>1</v>
      </c>
      <c r="F1345">
        <v>30</v>
      </c>
      <c r="G1345">
        <v>15</v>
      </c>
      <c r="H1345">
        <v>0</v>
      </c>
      <c r="I1345" t="s">
        <v>20</v>
      </c>
      <c r="J1345">
        <v>91</v>
      </c>
      <c r="K1345" t="s">
        <v>27</v>
      </c>
      <c r="L1345">
        <v>104</v>
      </c>
    </row>
    <row r="1346" spans="1:12" x14ac:dyDescent="0.25">
      <c r="A1346">
        <v>400578968</v>
      </c>
      <c r="B1346">
        <v>2015</v>
      </c>
      <c r="C1346" s="1">
        <v>42031</v>
      </c>
      <c r="D1346" t="s">
        <v>40</v>
      </c>
      <c r="E1346">
        <v>1</v>
      </c>
      <c r="F1346">
        <v>26</v>
      </c>
      <c r="G1346">
        <v>20</v>
      </c>
      <c r="H1346">
        <v>0</v>
      </c>
      <c r="I1346" t="s">
        <v>33</v>
      </c>
      <c r="J1346">
        <v>95</v>
      </c>
      <c r="K1346" t="s">
        <v>40</v>
      </c>
      <c r="L1346">
        <v>103</v>
      </c>
    </row>
    <row r="1347" spans="1:12" x14ac:dyDescent="0.25">
      <c r="A1347">
        <v>400578968</v>
      </c>
      <c r="B1347">
        <v>2015</v>
      </c>
      <c r="C1347" s="1">
        <v>42031</v>
      </c>
      <c r="D1347" t="s">
        <v>33</v>
      </c>
      <c r="E1347">
        <v>0</v>
      </c>
      <c r="F1347">
        <v>17</v>
      </c>
      <c r="G1347">
        <v>29</v>
      </c>
      <c r="H1347">
        <v>1</v>
      </c>
      <c r="I1347" t="s">
        <v>33</v>
      </c>
      <c r="J1347">
        <v>95</v>
      </c>
      <c r="K1347" t="s">
        <v>40</v>
      </c>
      <c r="L1347">
        <v>103</v>
      </c>
    </row>
    <row r="1348" spans="1:12" x14ac:dyDescent="0.25">
      <c r="A1348">
        <v>400578969</v>
      </c>
      <c r="B1348">
        <v>2015</v>
      </c>
      <c r="C1348" s="1">
        <v>42031</v>
      </c>
      <c r="D1348" t="s">
        <v>24</v>
      </c>
      <c r="E1348">
        <v>0</v>
      </c>
      <c r="F1348">
        <v>20</v>
      </c>
      <c r="G1348">
        <v>25</v>
      </c>
      <c r="H1348">
        <v>1</v>
      </c>
      <c r="I1348" t="s">
        <v>24</v>
      </c>
      <c r="J1348">
        <v>102</v>
      </c>
      <c r="K1348" t="s">
        <v>19</v>
      </c>
      <c r="L1348">
        <v>109</v>
      </c>
    </row>
    <row r="1349" spans="1:12" x14ac:dyDescent="0.25">
      <c r="A1349">
        <v>400578969</v>
      </c>
      <c r="B1349">
        <v>2015</v>
      </c>
      <c r="C1349" s="1">
        <v>42031</v>
      </c>
      <c r="D1349" t="s">
        <v>19</v>
      </c>
      <c r="E1349">
        <v>1</v>
      </c>
      <c r="F1349">
        <v>23</v>
      </c>
      <c r="G1349">
        <v>22</v>
      </c>
      <c r="H1349">
        <v>0</v>
      </c>
      <c r="I1349" t="s">
        <v>24</v>
      </c>
      <c r="J1349">
        <v>102</v>
      </c>
      <c r="K1349" t="s">
        <v>19</v>
      </c>
      <c r="L1349">
        <v>109</v>
      </c>
    </row>
    <row r="1350" spans="1:12" x14ac:dyDescent="0.25">
      <c r="A1350">
        <v>400578970</v>
      </c>
      <c r="B1350">
        <v>2015</v>
      </c>
      <c r="C1350" s="1">
        <v>42031</v>
      </c>
      <c r="D1350" t="s">
        <v>14</v>
      </c>
      <c r="E1350">
        <v>0</v>
      </c>
      <c r="F1350">
        <v>30</v>
      </c>
      <c r="G1350">
        <v>16</v>
      </c>
      <c r="H1350">
        <v>1</v>
      </c>
      <c r="I1350" t="s">
        <v>14</v>
      </c>
      <c r="J1350">
        <v>90</v>
      </c>
      <c r="K1350" t="s">
        <v>28</v>
      </c>
      <c r="L1350">
        <v>109</v>
      </c>
    </row>
    <row r="1351" spans="1:12" x14ac:dyDescent="0.25">
      <c r="A1351">
        <v>400578970</v>
      </c>
      <c r="B1351">
        <v>2015</v>
      </c>
      <c r="C1351" s="1">
        <v>42031</v>
      </c>
      <c r="D1351" t="s">
        <v>28</v>
      </c>
      <c r="E1351">
        <v>1</v>
      </c>
      <c r="F1351">
        <v>33</v>
      </c>
      <c r="G1351">
        <v>12</v>
      </c>
      <c r="H1351">
        <v>0</v>
      </c>
      <c r="I1351" t="s">
        <v>14</v>
      </c>
      <c r="J1351">
        <v>90</v>
      </c>
      <c r="K1351" t="s">
        <v>28</v>
      </c>
      <c r="L1351">
        <v>109</v>
      </c>
    </row>
    <row r="1352" spans="1:12" x14ac:dyDescent="0.25">
      <c r="A1352">
        <v>400578971</v>
      </c>
      <c r="B1352">
        <v>2015</v>
      </c>
      <c r="C1352" s="1">
        <v>42031</v>
      </c>
      <c r="D1352" t="s">
        <v>30</v>
      </c>
      <c r="E1352">
        <v>1</v>
      </c>
      <c r="F1352">
        <v>30</v>
      </c>
      <c r="G1352">
        <v>17</v>
      </c>
      <c r="H1352">
        <v>0</v>
      </c>
      <c r="I1352" t="s">
        <v>36</v>
      </c>
      <c r="J1352">
        <v>111</v>
      </c>
      <c r="K1352" t="s">
        <v>30</v>
      </c>
      <c r="L1352">
        <v>113</v>
      </c>
    </row>
    <row r="1353" spans="1:12" x14ac:dyDescent="0.25">
      <c r="A1353">
        <v>400578971</v>
      </c>
      <c r="B1353">
        <v>2015</v>
      </c>
      <c r="C1353" s="1">
        <v>42031</v>
      </c>
      <c r="D1353" t="s">
        <v>36</v>
      </c>
      <c r="E1353">
        <v>0</v>
      </c>
      <c r="F1353">
        <v>36</v>
      </c>
      <c r="G1353">
        <v>7</v>
      </c>
      <c r="H1353">
        <v>1</v>
      </c>
      <c r="I1353" t="s">
        <v>36</v>
      </c>
      <c r="J1353">
        <v>111</v>
      </c>
      <c r="K1353" t="s">
        <v>30</v>
      </c>
      <c r="L1353">
        <v>113</v>
      </c>
    </row>
    <row r="1354" spans="1:12" x14ac:dyDescent="0.25">
      <c r="A1354">
        <v>400578972</v>
      </c>
      <c r="B1354">
        <v>2015</v>
      </c>
      <c r="C1354" s="1">
        <v>42031</v>
      </c>
      <c r="D1354" t="s">
        <v>17</v>
      </c>
      <c r="E1354">
        <v>0</v>
      </c>
      <c r="F1354">
        <v>12</v>
      </c>
      <c r="G1354">
        <v>34</v>
      </c>
      <c r="H1354">
        <v>1</v>
      </c>
      <c r="I1354" t="s">
        <v>17</v>
      </c>
      <c r="J1354">
        <v>92</v>
      </c>
      <c r="K1354" t="s">
        <v>25</v>
      </c>
      <c r="L1354">
        <v>98</v>
      </c>
    </row>
    <row r="1355" spans="1:12" x14ac:dyDescent="0.25">
      <c r="A1355">
        <v>400578972</v>
      </c>
      <c r="B1355">
        <v>2015</v>
      </c>
      <c r="C1355" s="1">
        <v>42031</v>
      </c>
      <c r="D1355" t="s">
        <v>25</v>
      </c>
      <c r="E1355">
        <v>1</v>
      </c>
      <c r="F1355">
        <v>31</v>
      </c>
      <c r="G1355">
        <v>15</v>
      </c>
      <c r="H1355">
        <v>0</v>
      </c>
      <c r="I1355" t="s">
        <v>17</v>
      </c>
      <c r="J1355">
        <v>92</v>
      </c>
      <c r="K1355" t="s">
        <v>25</v>
      </c>
      <c r="L1355">
        <v>98</v>
      </c>
    </row>
    <row r="1356" spans="1:12" x14ac:dyDescent="0.25">
      <c r="A1356">
        <v>400578973</v>
      </c>
      <c r="B1356">
        <v>2015</v>
      </c>
      <c r="C1356" s="1">
        <v>42032</v>
      </c>
      <c r="D1356" t="s">
        <v>40</v>
      </c>
      <c r="E1356">
        <v>1</v>
      </c>
      <c r="F1356">
        <v>27</v>
      </c>
      <c r="G1356">
        <v>20</v>
      </c>
      <c r="H1356">
        <v>1</v>
      </c>
      <c r="I1356" t="s">
        <v>40</v>
      </c>
      <c r="J1356">
        <v>99</v>
      </c>
      <c r="K1356" t="s">
        <v>39</v>
      </c>
      <c r="L1356">
        <v>94</v>
      </c>
    </row>
    <row r="1357" spans="1:12" x14ac:dyDescent="0.25">
      <c r="A1357">
        <v>400578973</v>
      </c>
      <c r="B1357">
        <v>2015</v>
      </c>
      <c r="C1357" s="1">
        <v>42032</v>
      </c>
      <c r="D1357" t="s">
        <v>39</v>
      </c>
      <c r="E1357">
        <v>0</v>
      </c>
      <c r="F1357">
        <v>32</v>
      </c>
      <c r="G1357">
        <v>14</v>
      </c>
      <c r="H1357">
        <v>0</v>
      </c>
      <c r="I1357" t="s">
        <v>40</v>
      </c>
      <c r="J1357">
        <v>99</v>
      </c>
      <c r="K1357" t="s">
        <v>39</v>
      </c>
      <c r="L1357">
        <v>94</v>
      </c>
    </row>
    <row r="1358" spans="1:12" x14ac:dyDescent="0.25">
      <c r="A1358">
        <v>400578974</v>
      </c>
      <c r="B1358">
        <v>2015</v>
      </c>
      <c r="C1358" s="1">
        <v>42032</v>
      </c>
      <c r="D1358" t="s">
        <v>33</v>
      </c>
      <c r="E1358">
        <v>0</v>
      </c>
      <c r="F1358">
        <v>17</v>
      </c>
      <c r="G1358">
        <v>30</v>
      </c>
      <c r="H1358">
        <v>0</v>
      </c>
      <c r="I1358" t="s">
        <v>21</v>
      </c>
      <c r="J1358">
        <v>89</v>
      </c>
      <c r="K1358" t="s">
        <v>33</v>
      </c>
      <c r="L1358">
        <v>69</v>
      </c>
    </row>
    <row r="1359" spans="1:12" x14ac:dyDescent="0.25">
      <c r="A1359">
        <v>400578974</v>
      </c>
      <c r="B1359">
        <v>2015</v>
      </c>
      <c r="C1359" s="1">
        <v>42032</v>
      </c>
      <c r="D1359" t="s">
        <v>21</v>
      </c>
      <c r="E1359">
        <v>1</v>
      </c>
      <c r="F1359">
        <v>9</v>
      </c>
      <c r="G1359">
        <v>37</v>
      </c>
      <c r="H1359">
        <v>1</v>
      </c>
      <c r="I1359" t="s">
        <v>21</v>
      </c>
      <c r="J1359">
        <v>89</v>
      </c>
      <c r="K1359" t="s">
        <v>33</v>
      </c>
      <c r="L1359">
        <v>69</v>
      </c>
    </row>
    <row r="1360" spans="1:12" x14ac:dyDescent="0.25">
      <c r="A1360">
        <v>400578975</v>
      </c>
      <c r="B1360">
        <v>2015</v>
      </c>
      <c r="C1360" s="1">
        <v>42032</v>
      </c>
      <c r="D1360" t="s">
        <v>26</v>
      </c>
      <c r="E1360">
        <v>1</v>
      </c>
      <c r="F1360">
        <v>38</v>
      </c>
      <c r="G1360">
        <v>8</v>
      </c>
      <c r="H1360">
        <v>1</v>
      </c>
      <c r="I1360" t="s">
        <v>26</v>
      </c>
      <c r="J1360">
        <v>113</v>
      </c>
      <c r="K1360" t="s">
        <v>23</v>
      </c>
      <c r="L1360">
        <v>102</v>
      </c>
    </row>
    <row r="1361" spans="1:12" x14ac:dyDescent="0.25">
      <c r="A1361">
        <v>400578975</v>
      </c>
      <c r="B1361">
        <v>2015</v>
      </c>
      <c r="C1361" s="1">
        <v>42032</v>
      </c>
      <c r="D1361" t="s">
        <v>23</v>
      </c>
      <c r="E1361">
        <v>0</v>
      </c>
      <c r="F1361">
        <v>18</v>
      </c>
      <c r="G1361">
        <v>27</v>
      </c>
      <c r="H1361">
        <v>0</v>
      </c>
      <c r="I1361" t="s">
        <v>26</v>
      </c>
      <c r="J1361">
        <v>113</v>
      </c>
      <c r="K1361" t="s">
        <v>23</v>
      </c>
      <c r="L1361">
        <v>102</v>
      </c>
    </row>
    <row r="1362" spans="1:12" x14ac:dyDescent="0.25">
      <c r="A1362">
        <v>400578976</v>
      </c>
      <c r="B1362">
        <v>2015</v>
      </c>
      <c r="C1362" s="1">
        <v>42032</v>
      </c>
      <c r="D1362" t="s">
        <v>37</v>
      </c>
      <c r="E1362">
        <v>0</v>
      </c>
      <c r="F1362">
        <v>16</v>
      </c>
      <c r="G1362">
        <v>28</v>
      </c>
      <c r="H1362">
        <v>0</v>
      </c>
      <c r="I1362" t="s">
        <v>27</v>
      </c>
      <c r="J1362">
        <v>119</v>
      </c>
      <c r="K1362" t="s">
        <v>37</v>
      </c>
      <c r="L1362">
        <v>102</v>
      </c>
    </row>
    <row r="1363" spans="1:12" x14ac:dyDescent="0.25">
      <c r="A1363">
        <v>400578976</v>
      </c>
      <c r="B1363">
        <v>2015</v>
      </c>
      <c r="C1363" s="1">
        <v>42032</v>
      </c>
      <c r="D1363" t="s">
        <v>27</v>
      </c>
      <c r="E1363">
        <v>1</v>
      </c>
      <c r="F1363">
        <v>31</v>
      </c>
      <c r="G1363">
        <v>15</v>
      </c>
      <c r="H1363">
        <v>1</v>
      </c>
      <c r="I1363" t="s">
        <v>27</v>
      </c>
      <c r="J1363">
        <v>119</v>
      </c>
      <c r="K1363" t="s">
        <v>37</v>
      </c>
      <c r="L1363">
        <v>102</v>
      </c>
    </row>
    <row r="1364" spans="1:12" x14ac:dyDescent="0.25">
      <c r="A1364">
        <v>400578977</v>
      </c>
      <c r="B1364">
        <v>2015</v>
      </c>
      <c r="C1364" s="1">
        <v>42032</v>
      </c>
      <c r="D1364" t="s">
        <v>14</v>
      </c>
      <c r="E1364">
        <v>0</v>
      </c>
      <c r="F1364">
        <v>30</v>
      </c>
      <c r="G1364">
        <v>17</v>
      </c>
      <c r="H1364">
        <v>0</v>
      </c>
      <c r="I1364" t="s">
        <v>16</v>
      </c>
      <c r="J1364">
        <v>99</v>
      </c>
      <c r="K1364" t="s">
        <v>14</v>
      </c>
      <c r="L1364">
        <v>94</v>
      </c>
    </row>
    <row r="1365" spans="1:12" x14ac:dyDescent="0.25">
      <c r="A1365">
        <v>400578977</v>
      </c>
      <c r="B1365">
        <v>2015</v>
      </c>
      <c r="C1365" s="1">
        <v>42032</v>
      </c>
      <c r="D1365" t="s">
        <v>16</v>
      </c>
      <c r="E1365">
        <v>1</v>
      </c>
      <c r="F1365">
        <v>32</v>
      </c>
      <c r="G1365">
        <v>14</v>
      </c>
      <c r="H1365">
        <v>1</v>
      </c>
      <c r="I1365" t="s">
        <v>16</v>
      </c>
      <c r="J1365">
        <v>99</v>
      </c>
      <c r="K1365" t="s">
        <v>14</v>
      </c>
      <c r="L1365">
        <v>94</v>
      </c>
    </row>
    <row r="1366" spans="1:12" x14ac:dyDescent="0.25">
      <c r="A1366">
        <v>400578978</v>
      </c>
      <c r="B1366">
        <v>2015</v>
      </c>
      <c r="C1366" s="1">
        <v>42032</v>
      </c>
      <c r="D1366" t="s">
        <v>22</v>
      </c>
      <c r="E1366">
        <v>0</v>
      </c>
      <c r="F1366">
        <v>16</v>
      </c>
      <c r="G1366">
        <v>28</v>
      </c>
      <c r="H1366">
        <v>0</v>
      </c>
      <c r="I1366" t="s">
        <v>29</v>
      </c>
      <c r="J1366">
        <v>110</v>
      </c>
      <c r="K1366" t="s">
        <v>22</v>
      </c>
      <c r="L1366">
        <v>98</v>
      </c>
    </row>
    <row r="1367" spans="1:12" x14ac:dyDescent="0.25">
      <c r="A1367">
        <v>400578978</v>
      </c>
      <c r="B1367">
        <v>2015</v>
      </c>
      <c r="C1367" s="1">
        <v>42032</v>
      </c>
      <c r="D1367" t="s">
        <v>29</v>
      </c>
      <c r="E1367">
        <v>1</v>
      </c>
      <c r="F1367">
        <v>8</v>
      </c>
      <c r="G1367">
        <v>37</v>
      </c>
      <c r="H1367">
        <v>1</v>
      </c>
      <c r="I1367" t="s">
        <v>29</v>
      </c>
      <c r="J1367">
        <v>110</v>
      </c>
      <c r="K1367" t="s">
        <v>22</v>
      </c>
      <c r="L1367">
        <v>98</v>
      </c>
    </row>
    <row r="1368" spans="1:12" x14ac:dyDescent="0.25">
      <c r="A1368">
        <v>400578979</v>
      </c>
      <c r="B1368">
        <v>2015</v>
      </c>
      <c r="C1368" s="1">
        <v>42032</v>
      </c>
      <c r="D1368" t="s">
        <v>32</v>
      </c>
      <c r="E1368">
        <v>1</v>
      </c>
      <c r="F1368">
        <v>19</v>
      </c>
      <c r="G1368">
        <v>27</v>
      </c>
      <c r="H1368">
        <v>0</v>
      </c>
      <c r="I1368" t="s">
        <v>12</v>
      </c>
      <c r="J1368">
        <v>85</v>
      </c>
      <c r="K1368" t="s">
        <v>32</v>
      </c>
      <c r="L1368">
        <v>93</v>
      </c>
    </row>
    <row r="1369" spans="1:12" x14ac:dyDescent="0.25">
      <c r="A1369">
        <v>400578979</v>
      </c>
      <c r="B1369">
        <v>2015</v>
      </c>
      <c r="C1369" s="1">
        <v>42032</v>
      </c>
      <c r="D1369" t="s">
        <v>12</v>
      </c>
      <c r="E1369">
        <v>0</v>
      </c>
      <c r="F1369">
        <v>24</v>
      </c>
      <c r="G1369">
        <v>22</v>
      </c>
      <c r="H1369">
        <v>1</v>
      </c>
      <c r="I1369" t="s">
        <v>12</v>
      </c>
      <c r="J1369">
        <v>85</v>
      </c>
      <c r="K1369" t="s">
        <v>32</v>
      </c>
      <c r="L1369">
        <v>93</v>
      </c>
    </row>
    <row r="1370" spans="1:12" x14ac:dyDescent="0.25">
      <c r="A1370">
        <v>400578980</v>
      </c>
      <c r="B1370">
        <v>2015</v>
      </c>
      <c r="C1370" s="1">
        <v>42032</v>
      </c>
      <c r="D1370" t="s">
        <v>31</v>
      </c>
      <c r="E1370">
        <v>1</v>
      </c>
      <c r="F1370">
        <v>9</v>
      </c>
      <c r="G1370">
        <v>37</v>
      </c>
      <c r="H1370">
        <v>1</v>
      </c>
      <c r="I1370" t="s">
        <v>31</v>
      </c>
      <c r="J1370">
        <v>100</v>
      </c>
      <c r="K1370" t="s">
        <v>38</v>
      </c>
      <c r="L1370">
        <v>92</v>
      </c>
    </row>
    <row r="1371" spans="1:12" x14ac:dyDescent="0.25">
      <c r="A1371">
        <v>400578980</v>
      </c>
      <c r="B1371">
        <v>2015</v>
      </c>
      <c r="C1371" s="1">
        <v>42032</v>
      </c>
      <c r="D1371" t="s">
        <v>38</v>
      </c>
      <c r="E1371">
        <v>0</v>
      </c>
      <c r="F1371">
        <v>23</v>
      </c>
      <c r="G1371">
        <v>23</v>
      </c>
      <c r="H1371">
        <v>0</v>
      </c>
      <c r="I1371" t="s">
        <v>31</v>
      </c>
      <c r="J1371">
        <v>100</v>
      </c>
      <c r="K1371" t="s">
        <v>38</v>
      </c>
      <c r="L1371">
        <v>92</v>
      </c>
    </row>
    <row r="1372" spans="1:12" x14ac:dyDescent="0.25">
      <c r="A1372">
        <v>400578981</v>
      </c>
      <c r="B1372">
        <v>2015</v>
      </c>
      <c r="C1372" s="1">
        <v>42032</v>
      </c>
      <c r="D1372" t="s">
        <v>18</v>
      </c>
      <c r="E1372">
        <v>0</v>
      </c>
      <c r="F1372">
        <v>19</v>
      </c>
      <c r="G1372">
        <v>27</v>
      </c>
      <c r="H1372">
        <v>0</v>
      </c>
      <c r="I1372" t="s">
        <v>15</v>
      </c>
      <c r="J1372">
        <v>95</v>
      </c>
      <c r="K1372" t="s">
        <v>18</v>
      </c>
      <c r="L1372">
        <v>86</v>
      </c>
    </row>
    <row r="1373" spans="1:12" x14ac:dyDescent="0.25">
      <c r="A1373">
        <v>400578981</v>
      </c>
      <c r="B1373">
        <v>2015</v>
      </c>
      <c r="C1373" s="1">
        <v>42032</v>
      </c>
      <c r="D1373" t="s">
        <v>15</v>
      </c>
      <c r="E1373">
        <v>1</v>
      </c>
      <c r="F1373">
        <v>30</v>
      </c>
      <c r="G1373">
        <v>17</v>
      </c>
      <c r="H1373">
        <v>1</v>
      </c>
      <c r="I1373" t="s">
        <v>15</v>
      </c>
      <c r="J1373">
        <v>95</v>
      </c>
      <c r="K1373" t="s">
        <v>18</v>
      </c>
      <c r="L1373">
        <v>86</v>
      </c>
    </row>
    <row r="1374" spans="1:12" x14ac:dyDescent="0.25">
      <c r="A1374">
        <v>400578982</v>
      </c>
      <c r="B1374">
        <v>2015</v>
      </c>
      <c r="C1374" s="1">
        <v>42032</v>
      </c>
      <c r="D1374" t="s">
        <v>41</v>
      </c>
      <c r="E1374">
        <v>1</v>
      </c>
      <c r="F1374">
        <v>32</v>
      </c>
      <c r="G1374">
        <v>14</v>
      </c>
      <c r="H1374">
        <v>0</v>
      </c>
      <c r="I1374" t="s">
        <v>34</v>
      </c>
      <c r="J1374">
        <v>89</v>
      </c>
      <c r="K1374" t="s">
        <v>41</v>
      </c>
      <c r="L1374">
        <v>94</v>
      </c>
    </row>
    <row r="1375" spans="1:12" x14ac:dyDescent="0.25">
      <c r="A1375">
        <v>400578982</v>
      </c>
      <c r="B1375">
        <v>2015</v>
      </c>
      <c r="C1375" s="1">
        <v>42032</v>
      </c>
      <c r="D1375" t="s">
        <v>34</v>
      </c>
      <c r="E1375">
        <v>0</v>
      </c>
      <c r="F1375">
        <v>16</v>
      </c>
      <c r="G1375">
        <v>30</v>
      </c>
      <c r="H1375">
        <v>1</v>
      </c>
      <c r="I1375" t="s">
        <v>34</v>
      </c>
      <c r="J1375">
        <v>89</v>
      </c>
      <c r="K1375" t="s">
        <v>41</v>
      </c>
      <c r="L1375">
        <v>94</v>
      </c>
    </row>
    <row r="1376" spans="1:12" x14ac:dyDescent="0.25">
      <c r="A1376">
        <v>400578983</v>
      </c>
      <c r="B1376">
        <v>2015</v>
      </c>
      <c r="C1376" s="1">
        <v>42032</v>
      </c>
      <c r="D1376" t="s">
        <v>35</v>
      </c>
      <c r="E1376">
        <v>1</v>
      </c>
      <c r="F1376">
        <v>27</v>
      </c>
      <c r="G1376">
        <v>20</v>
      </c>
      <c r="H1376">
        <v>1</v>
      </c>
      <c r="I1376" t="s">
        <v>35</v>
      </c>
      <c r="J1376">
        <v>106</v>
      </c>
      <c r="K1376" t="s">
        <v>25</v>
      </c>
      <c r="L1376">
        <v>98</v>
      </c>
    </row>
    <row r="1377" spans="1:12" x14ac:dyDescent="0.25">
      <c r="A1377">
        <v>400578983</v>
      </c>
      <c r="B1377">
        <v>2015</v>
      </c>
      <c r="C1377" s="1">
        <v>42032</v>
      </c>
      <c r="D1377" t="s">
        <v>25</v>
      </c>
      <c r="E1377">
        <v>0</v>
      </c>
      <c r="F1377">
        <v>31</v>
      </c>
      <c r="G1377">
        <v>16</v>
      </c>
      <c r="H1377">
        <v>0</v>
      </c>
      <c r="I1377" t="s">
        <v>35</v>
      </c>
      <c r="J1377">
        <v>106</v>
      </c>
      <c r="K1377" t="s">
        <v>25</v>
      </c>
      <c r="L1377">
        <v>98</v>
      </c>
    </row>
    <row r="1378" spans="1:12" x14ac:dyDescent="0.25">
      <c r="A1378">
        <v>400578984</v>
      </c>
      <c r="B1378">
        <v>2015</v>
      </c>
      <c r="C1378" s="1">
        <v>42033</v>
      </c>
      <c r="D1378" t="s">
        <v>19</v>
      </c>
      <c r="E1378">
        <v>1</v>
      </c>
      <c r="F1378">
        <v>24</v>
      </c>
      <c r="G1378">
        <v>22</v>
      </c>
      <c r="H1378">
        <v>0</v>
      </c>
      <c r="I1378" t="s">
        <v>13</v>
      </c>
      <c r="J1378">
        <v>100</v>
      </c>
      <c r="K1378" t="s">
        <v>19</v>
      </c>
      <c r="L1378">
        <v>115</v>
      </c>
    </row>
    <row r="1379" spans="1:12" x14ac:dyDescent="0.25">
      <c r="A1379">
        <v>400578984</v>
      </c>
      <c r="B1379">
        <v>2015</v>
      </c>
      <c r="C1379" s="1">
        <v>42033</v>
      </c>
      <c r="D1379" t="s">
        <v>13</v>
      </c>
      <c r="E1379">
        <v>0</v>
      </c>
      <c r="F1379">
        <v>15</v>
      </c>
      <c r="G1379">
        <v>34</v>
      </c>
      <c r="H1379">
        <v>1</v>
      </c>
      <c r="I1379" t="s">
        <v>13</v>
      </c>
      <c r="J1379">
        <v>100</v>
      </c>
      <c r="K1379" t="s">
        <v>19</v>
      </c>
      <c r="L1379">
        <v>115</v>
      </c>
    </row>
    <row r="1380" spans="1:12" x14ac:dyDescent="0.25">
      <c r="A1380">
        <v>400578985</v>
      </c>
      <c r="B1380">
        <v>2015</v>
      </c>
      <c r="C1380" s="1">
        <v>42033</v>
      </c>
      <c r="D1380" t="s">
        <v>32</v>
      </c>
      <c r="E1380">
        <v>0</v>
      </c>
      <c r="F1380">
        <v>19</v>
      </c>
      <c r="G1380">
        <v>28</v>
      </c>
      <c r="H1380">
        <v>0</v>
      </c>
      <c r="I1380" t="s">
        <v>28</v>
      </c>
      <c r="J1380">
        <v>99</v>
      </c>
      <c r="K1380" t="s">
        <v>32</v>
      </c>
      <c r="L1380">
        <v>69</v>
      </c>
    </row>
    <row r="1381" spans="1:12" x14ac:dyDescent="0.25">
      <c r="A1381">
        <v>400578985</v>
      </c>
      <c r="B1381">
        <v>2015</v>
      </c>
      <c r="C1381" s="1">
        <v>42033</v>
      </c>
      <c r="D1381" t="s">
        <v>28</v>
      </c>
      <c r="E1381">
        <v>1</v>
      </c>
      <c r="F1381">
        <v>34</v>
      </c>
      <c r="G1381">
        <v>12</v>
      </c>
      <c r="H1381">
        <v>1</v>
      </c>
      <c r="I1381" t="s">
        <v>28</v>
      </c>
      <c r="J1381">
        <v>99</v>
      </c>
      <c r="K1381" t="s">
        <v>32</v>
      </c>
      <c r="L1381">
        <v>69</v>
      </c>
    </row>
    <row r="1382" spans="1:12" x14ac:dyDescent="0.25">
      <c r="A1382">
        <v>400578986</v>
      </c>
      <c r="B1382">
        <v>2015</v>
      </c>
      <c r="C1382" s="1">
        <v>42033</v>
      </c>
      <c r="D1382" t="s">
        <v>20</v>
      </c>
      <c r="E1382">
        <v>1</v>
      </c>
      <c r="F1382">
        <v>17</v>
      </c>
      <c r="G1382">
        <v>31</v>
      </c>
      <c r="H1382">
        <v>1</v>
      </c>
      <c r="I1382" t="s">
        <v>20</v>
      </c>
      <c r="J1382">
        <v>103</v>
      </c>
      <c r="K1382" t="s">
        <v>31</v>
      </c>
      <c r="L1382">
        <v>82</v>
      </c>
    </row>
    <row r="1383" spans="1:12" x14ac:dyDescent="0.25">
      <c r="A1383">
        <v>400578986</v>
      </c>
      <c r="B1383">
        <v>2015</v>
      </c>
      <c r="C1383" s="1">
        <v>42033</v>
      </c>
      <c r="D1383" t="s">
        <v>31</v>
      </c>
      <c r="E1383">
        <v>0</v>
      </c>
      <c r="F1383">
        <v>9</v>
      </c>
      <c r="G1383">
        <v>38</v>
      </c>
      <c r="H1383">
        <v>0</v>
      </c>
      <c r="I1383" t="s">
        <v>20</v>
      </c>
      <c r="J1383">
        <v>103</v>
      </c>
      <c r="K1383" t="s">
        <v>31</v>
      </c>
      <c r="L1383">
        <v>82</v>
      </c>
    </row>
    <row r="1384" spans="1:12" x14ac:dyDescent="0.25">
      <c r="A1384">
        <v>400578987</v>
      </c>
      <c r="B1384">
        <v>2015</v>
      </c>
      <c r="C1384" s="1">
        <v>42033</v>
      </c>
      <c r="D1384" t="s">
        <v>30</v>
      </c>
      <c r="E1384">
        <v>0</v>
      </c>
      <c r="F1384">
        <v>30</v>
      </c>
      <c r="G1384">
        <v>18</v>
      </c>
      <c r="H1384">
        <v>0</v>
      </c>
      <c r="I1384" t="s">
        <v>17</v>
      </c>
      <c r="J1384">
        <v>123</v>
      </c>
      <c r="K1384" t="s">
        <v>30</v>
      </c>
      <c r="L1384">
        <v>118</v>
      </c>
    </row>
    <row r="1385" spans="1:12" x14ac:dyDescent="0.25">
      <c r="A1385">
        <v>400578987</v>
      </c>
      <c r="B1385">
        <v>2015</v>
      </c>
      <c r="C1385" s="1">
        <v>42033</v>
      </c>
      <c r="D1385" t="s">
        <v>17</v>
      </c>
      <c r="E1385">
        <v>1</v>
      </c>
      <c r="F1385">
        <v>13</v>
      </c>
      <c r="G1385">
        <v>34</v>
      </c>
      <c r="H1385">
        <v>1</v>
      </c>
      <c r="I1385" t="s">
        <v>17</v>
      </c>
      <c r="J1385">
        <v>123</v>
      </c>
      <c r="K1385" t="s">
        <v>30</v>
      </c>
      <c r="L1385">
        <v>118</v>
      </c>
    </row>
    <row r="1386" spans="1:12" x14ac:dyDescent="0.25">
      <c r="A1386">
        <v>400578988</v>
      </c>
      <c r="B1386">
        <v>2015</v>
      </c>
      <c r="C1386" s="1">
        <v>42034</v>
      </c>
      <c r="D1386" t="s">
        <v>29</v>
      </c>
      <c r="E1386">
        <v>0</v>
      </c>
      <c r="F1386">
        <v>8</v>
      </c>
      <c r="G1386">
        <v>38</v>
      </c>
      <c r="H1386">
        <v>0</v>
      </c>
      <c r="I1386" t="s">
        <v>21</v>
      </c>
      <c r="J1386">
        <v>103</v>
      </c>
      <c r="K1386" t="s">
        <v>29</v>
      </c>
      <c r="L1386">
        <v>94</v>
      </c>
    </row>
    <row r="1387" spans="1:12" x14ac:dyDescent="0.25">
      <c r="A1387">
        <v>400578988</v>
      </c>
      <c r="B1387">
        <v>2015</v>
      </c>
      <c r="C1387" s="1">
        <v>42034</v>
      </c>
      <c r="D1387" t="s">
        <v>21</v>
      </c>
      <c r="E1387">
        <v>1</v>
      </c>
      <c r="F1387">
        <v>10</v>
      </c>
      <c r="G1387">
        <v>37</v>
      </c>
      <c r="H1387">
        <v>1</v>
      </c>
      <c r="I1387" t="s">
        <v>21</v>
      </c>
      <c r="J1387">
        <v>103</v>
      </c>
      <c r="K1387" t="s">
        <v>29</v>
      </c>
      <c r="L1387">
        <v>94</v>
      </c>
    </row>
    <row r="1388" spans="1:12" x14ac:dyDescent="0.25">
      <c r="A1388">
        <v>400578989</v>
      </c>
      <c r="B1388">
        <v>2015</v>
      </c>
      <c r="C1388" s="1">
        <v>42034</v>
      </c>
      <c r="D1388" t="s">
        <v>26</v>
      </c>
      <c r="E1388">
        <v>1</v>
      </c>
      <c r="F1388">
        <v>39</v>
      </c>
      <c r="G1388">
        <v>8</v>
      </c>
      <c r="H1388">
        <v>1</v>
      </c>
      <c r="I1388" t="s">
        <v>26</v>
      </c>
      <c r="J1388">
        <v>105</v>
      </c>
      <c r="K1388" t="s">
        <v>39</v>
      </c>
      <c r="L1388">
        <v>99</v>
      </c>
    </row>
    <row r="1389" spans="1:12" x14ac:dyDescent="0.25">
      <c r="A1389">
        <v>400578989</v>
      </c>
      <c r="B1389">
        <v>2015</v>
      </c>
      <c r="C1389" s="1">
        <v>42034</v>
      </c>
      <c r="D1389" t="s">
        <v>39</v>
      </c>
      <c r="E1389">
        <v>0</v>
      </c>
      <c r="F1389">
        <v>32</v>
      </c>
      <c r="G1389">
        <v>15</v>
      </c>
      <c r="H1389">
        <v>0</v>
      </c>
      <c r="I1389" t="s">
        <v>26</v>
      </c>
      <c r="J1389">
        <v>105</v>
      </c>
      <c r="K1389" t="s">
        <v>39</v>
      </c>
      <c r="L1389">
        <v>99</v>
      </c>
    </row>
    <row r="1390" spans="1:12" x14ac:dyDescent="0.25">
      <c r="A1390">
        <v>400578990</v>
      </c>
      <c r="B1390">
        <v>2015</v>
      </c>
      <c r="C1390" s="1">
        <v>42034</v>
      </c>
      <c r="D1390" t="s">
        <v>22</v>
      </c>
      <c r="E1390">
        <v>0</v>
      </c>
      <c r="F1390">
        <v>16</v>
      </c>
      <c r="G1390">
        <v>29</v>
      </c>
      <c r="H1390">
        <v>1</v>
      </c>
      <c r="I1390" t="s">
        <v>22</v>
      </c>
      <c r="J1390">
        <v>87</v>
      </c>
      <c r="K1390" t="s">
        <v>16</v>
      </c>
      <c r="L1390">
        <v>93</v>
      </c>
    </row>
    <row r="1391" spans="1:12" x14ac:dyDescent="0.25">
      <c r="A1391">
        <v>400578990</v>
      </c>
      <c r="B1391">
        <v>2015</v>
      </c>
      <c r="C1391" s="1">
        <v>42034</v>
      </c>
      <c r="D1391" t="s">
        <v>16</v>
      </c>
      <c r="E1391">
        <v>1</v>
      </c>
      <c r="F1391">
        <v>33</v>
      </c>
      <c r="G1391">
        <v>14</v>
      </c>
      <c r="H1391">
        <v>0</v>
      </c>
      <c r="I1391" t="s">
        <v>22</v>
      </c>
      <c r="J1391">
        <v>87</v>
      </c>
      <c r="K1391" t="s">
        <v>16</v>
      </c>
      <c r="L1391">
        <v>93</v>
      </c>
    </row>
    <row r="1392" spans="1:12" x14ac:dyDescent="0.25">
      <c r="A1392">
        <v>400578991</v>
      </c>
      <c r="B1392">
        <v>2015</v>
      </c>
      <c r="C1392" s="1">
        <v>42034</v>
      </c>
      <c r="D1392" t="s">
        <v>23</v>
      </c>
      <c r="E1392">
        <v>0</v>
      </c>
      <c r="F1392">
        <v>18</v>
      </c>
      <c r="G1392">
        <v>28</v>
      </c>
      <c r="H1392">
        <v>1</v>
      </c>
      <c r="I1392" t="s">
        <v>23</v>
      </c>
      <c r="J1392">
        <v>122</v>
      </c>
      <c r="K1392" t="s">
        <v>27</v>
      </c>
      <c r="L1392">
        <v>127</v>
      </c>
    </row>
    <row r="1393" spans="1:12" x14ac:dyDescent="0.25">
      <c r="A1393">
        <v>400578991</v>
      </c>
      <c r="B1393">
        <v>2015</v>
      </c>
      <c r="C1393" s="1">
        <v>42034</v>
      </c>
      <c r="D1393" t="s">
        <v>27</v>
      </c>
      <c r="E1393">
        <v>1</v>
      </c>
      <c r="F1393">
        <v>32</v>
      </c>
      <c r="G1393">
        <v>15</v>
      </c>
      <c r="H1393">
        <v>0</v>
      </c>
      <c r="I1393" t="s">
        <v>23</v>
      </c>
      <c r="J1393">
        <v>122</v>
      </c>
      <c r="K1393" t="s">
        <v>27</v>
      </c>
      <c r="L1393">
        <v>127</v>
      </c>
    </row>
    <row r="1394" spans="1:12" x14ac:dyDescent="0.25">
      <c r="A1394">
        <v>400578992</v>
      </c>
      <c r="B1394">
        <v>2015</v>
      </c>
      <c r="C1394" s="1">
        <v>42034</v>
      </c>
      <c r="D1394" t="s">
        <v>40</v>
      </c>
      <c r="E1394">
        <v>1</v>
      </c>
      <c r="F1394">
        <v>28</v>
      </c>
      <c r="G1394">
        <v>20</v>
      </c>
      <c r="H1394">
        <v>1</v>
      </c>
      <c r="I1394" t="s">
        <v>40</v>
      </c>
      <c r="J1394">
        <v>101</v>
      </c>
      <c r="K1394" t="s">
        <v>37</v>
      </c>
      <c r="L1394">
        <v>90</v>
      </c>
    </row>
    <row r="1395" spans="1:12" x14ac:dyDescent="0.25">
      <c r="A1395">
        <v>400578992</v>
      </c>
      <c r="B1395">
        <v>2015</v>
      </c>
      <c r="C1395" s="1">
        <v>42034</v>
      </c>
      <c r="D1395" t="s">
        <v>37</v>
      </c>
      <c r="E1395">
        <v>0</v>
      </c>
      <c r="F1395">
        <v>16</v>
      </c>
      <c r="G1395">
        <v>29</v>
      </c>
      <c r="H1395">
        <v>0</v>
      </c>
      <c r="I1395" t="s">
        <v>40</v>
      </c>
      <c r="J1395">
        <v>101</v>
      </c>
      <c r="K1395" t="s">
        <v>37</v>
      </c>
      <c r="L1395">
        <v>90</v>
      </c>
    </row>
    <row r="1396" spans="1:12" x14ac:dyDescent="0.25">
      <c r="A1396">
        <v>400578993</v>
      </c>
      <c r="B1396">
        <v>2015</v>
      </c>
      <c r="C1396" s="1">
        <v>42034</v>
      </c>
      <c r="D1396" t="s">
        <v>41</v>
      </c>
      <c r="E1396">
        <v>0</v>
      </c>
      <c r="F1396">
        <v>32</v>
      </c>
      <c r="G1396">
        <v>15</v>
      </c>
      <c r="H1396">
        <v>0</v>
      </c>
      <c r="I1396" t="s">
        <v>12</v>
      </c>
      <c r="J1396">
        <v>108</v>
      </c>
      <c r="K1396" t="s">
        <v>41</v>
      </c>
      <c r="L1396">
        <v>103</v>
      </c>
    </row>
    <row r="1397" spans="1:12" x14ac:dyDescent="0.25">
      <c r="A1397">
        <v>400578993</v>
      </c>
      <c r="B1397">
        <v>2015</v>
      </c>
      <c r="C1397" s="1">
        <v>42034</v>
      </c>
      <c r="D1397" t="s">
        <v>12</v>
      </c>
      <c r="E1397">
        <v>1</v>
      </c>
      <c r="F1397">
        <v>25</v>
      </c>
      <c r="G1397">
        <v>22</v>
      </c>
      <c r="H1397">
        <v>1</v>
      </c>
      <c r="I1397" t="s">
        <v>12</v>
      </c>
      <c r="J1397">
        <v>108</v>
      </c>
      <c r="K1397" t="s">
        <v>41</v>
      </c>
      <c r="L1397">
        <v>103</v>
      </c>
    </row>
    <row r="1398" spans="1:12" x14ac:dyDescent="0.25">
      <c r="A1398">
        <v>400578994</v>
      </c>
      <c r="B1398">
        <v>2015</v>
      </c>
      <c r="C1398" s="1">
        <v>42034</v>
      </c>
      <c r="D1398" t="s">
        <v>14</v>
      </c>
      <c r="E1398">
        <v>1</v>
      </c>
      <c r="F1398">
        <v>31</v>
      </c>
      <c r="G1398">
        <v>17</v>
      </c>
      <c r="H1398">
        <v>0</v>
      </c>
      <c r="I1398" t="s">
        <v>24</v>
      </c>
      <c r="J1398">
        <v>72</v>
      </c>
      <c r="K1398" t="s">
        <v>14</v>
      </c>
      <c r="L1398">
        <v>93</v>
      </c>
    </row>
    <row r="1399" spans="1:12" x14ac:dyDescent="0.25">
      <c r="A1399">
        <v>400578994</v>
      </c>
      <c r="B1399">
        <v>2015</v>
      </c>
      <c r="C1399" s="1">
        <v>42034</v>
      </c>
      <c r="D1399" t="s">
        <v>24</v>
      </c>
      <c r="E1399">
        <v>0</v>
      </c>
      <c r="F1399">
        <v>20</v>
      </c>
      <c r="G1399">
        <v>26</v>
      </c>
      <c r="H1399">
        <v>1</v>
      </c>
      <c r="I1399" t="s">
        <v>24</v>
      </c>
      <c r="J1399">
        <v>72</v>
      </c>
      <c r="K1399" t="s">
        <v>14</v>
      </c>
      <c r="L1399">
        <v>93</v>
      </c>
    </row>
    <row r="1400" spans="1:12" x14ac:dyDescent="0.25">
      <c r="A1400">
        <v>400578995</v>
      </c>
      <c r="B1400">
        <v>2015</v>
      </c>
      <c r="C1400" s="1">
        <v>42034</v>
      </c>
      <c r="D1400" t="s">
        <v>36</v>
      </c>
      <c r="E1400">
        <v>0</v>
      </c>
      <c r="F1400">
        <v>36</v>
      </c>
      <c r="G1400">
        <v>8</v>
      </c>
      <c r="H1400">
        <v>0</v>
      </c>
      <c r="I1400" t="s">
        <v>34</v>
      </c>
      <c r="J1400">
        <v>110</v>
      </c>
      <c r="K1400" t="s">
        <v>36</v>
      </c>
      <c r="L1400">
        <v>100</v>
      </c>
    </row>
    <row r="1401" spans="1:12" x14ac:dyDescent="0.25">
      <c r="A1401">
        <v>400578995</v>
      </c>
      <c r="B1401">
        <v>2015</v>
      </c>
      <c r="C1401" s="1">
        <v>42034</v>
      </c>
      <c r="D1401" t="s">
        <v>34</v>
      </c>
      <c r="E1401">
        <v>1</v>
      </c>
      <c r="F1401">
        <v>17</v>
      </c>
      <c r="G1401">
        <v>30</v>
      </c>
      <c r="H1401">
        <v>1</v>
      </c>
      <c r="I1401" t="s">
        <v>34</v>
      </c>
      <c r="J1401">
        <v>110</v>
      </c>
      <c r="K1401" t="s">
        <v>36</v>
      </c>
      <c r="L1401">
        <v>100</v>
      </c>
    </row>
    <row r="1402" spans="1:12" x14ac:dyDescent="0.25">
      <c r="A1402">
        <v>400578996</v>
      </c>
      <c r="B1402">
        <v>2015</v>
      </c>
      <c r="C1402" s="1">
        <v>42034</v>
      </c>
      <c r="D1402" t="s">
        <v>30</v>
      </c>
      <c r="E1402">
        <v>0</v>
      </c>
      <c r="F1402">
        <v>30</v>
      </c>
      <c r="G1402">
        <v>19</v>
      </c>
      <c r="H1402">
        <v>0</v>
      </c>
      <c r="I1402" t="s">
        <v>35</v>
      </c>
      <c r="J1402">
        <v>99</v>
      </c>
      <c r="K1402" t="s">
        <v>30</v>
      </c>
      <c r="L1402">
        <v>93</v>
      </c>
    </row>
    <row r="1403" spans="1:12" x14ac:dyDescent="0.25">
      <c r="A1403">
        <v>400578996</v>
      </c>
      <c r="B1403">
        <v>2015</v>
      </c>
      <c r="C1403" s="1">
        <v>42034</v>
      </c>
      <c r="D1403" t="s">
        <v>35</v>
      </c>
      <c r="E1403">
        <v>1</v>
      </c>
      <c r="F1403">
        <v>28</v>
      </c>
      <c r="G1403">
        <v>20</v>
      </c>
      <c r="H1403">
        <v>1</v>
      </c>
      <c r="I1403" t="s">
        <v>35</v>
      </c>
      <c r="J1403">
        <v>99</v>
      </c>
      <c r="K1403" t="s">
        <v>30</v>
      </c>
      <c r="L1403">
        <v>93</v>
      </c>
    </row>
    <row r="1404" spans="1:12" x14ac:dyDescent="0.25">
      <c r="A1404">
        <v>400578997</v>
      </c>
      <c r="B1404">
        <v>2015</v>
      </c>
      <c r="C1404" s="1">
        <v>42035</v>
      </c>
      <c r="D1404" t="s">
        <v>20</v>
      </c>
      <c r="E1404">
        <v>0</v>
      </c>
      <c r="F1404">
        <v>17</v>
      </c>
      <c r="G1404">
        <v>32</v>
      </c>
      <c r="H1404">
        <v>1</v>
      </c>
      <c r="I1404" t="s">
        <v>20</v>
      </c>
      <c r="J1404">
        <v>94</v>
      </c>
      <c r="K1404" t="s">
        <v>37</v>
      </c>
      <c r="L1404">
        <v>99</v>
      </c>
    </row>
    <row r="1405" spans="1:12" x14ac:dyDescent="0.25">
      <c r="A1405">
        <v>400578997</v>
      </c>
      <c r="B1405">
        <v>2015</v>
      </c>
      <c r="C1405" s="1">
        <v>42035</v>
      </c>
      <c r="D1405" t="s">
        <v>37</v>
      </c>
      <c r="E1405">
        <v>1</v>
      </c>
      <c r="F1405">
        <v>17</v>
      </c>
      <c r="G1405">
        <v>29</v>
      </c>
      <c r="H1405">
        <v>0</v>
      </c>
      <c r="I1405" t="s">
        <v>20</v>
      </c>
      <c r="J1405">
        <v>94</v>
      </c>
      <c r="K1405" t="s">
        <v>37</v>
      </c>
      <c r="L1405">
        <v>99</v>
      </c>
    </row>
    <row r="1406" spans="1:12" x14ac:dyDescent="0.25">
      <c r="A1406">
        <v>400578998</v>
      </c>
      <c r="B1406">
        <v>2015</v>
      </c>
      <c r="C1406" s="1">
        <v>42035</v>
      </c>
      <c r="D1406" t="s">
        <v>14</v>
      </c>
      <c r="E1406">
        <v>1</v>
      </c>
      <c r="F1406">
        <v>32</v>
      </c>
      <c r="G1406">
        <v>17</v>
      </c>
      <c r="H1406">
        <v>0</v>
      </c>
      <c r="I1406" t="s">
        <v>13</v>
      </c>
      <c r="J1406">
        <v>93</v>
      </c>
      <c r="K1406" t="s">
        <v>14</v>
      </c>
      <c r="L1406">
        <v>108</v>
      </c>
    </row>
    <row r="1407" spans="1:12" x14ac:dyDescent="0.25">
      <c r="A1407">
        <v>400578998</v>
      </c>
      <c r="B1407">
        <v>2015</v>
      </c>
      <c r="C1407" s="1">
        <v>42035</v>
      </c>
      <c r="D1407" t="s">
        <v>13</v>
      </c>
      <c r="E1407">
        <v>0</v>
      </c>
      <c r="F1407">
        <v>15</v>
      </c>
      <c r="G1407">
        <v>35</v>
      </c>
      <c r="H1407">
        <v>1</v>
      </c>
      <c r="I1407" t="s">
        <v>13</v>
      </c>
      <c r="J1407">
        <v>93</v>
      </c>
      <c r="K1407" t="s">
        <v>14</v>
      </c>
      <c r="L1407">
        <v>108</v>
      </c>
    </row>
    <row r="1408" spans="1:12" x14ac:dyDescent="0.25">
      <c r="A1408">
        <v>400578999</v>
      </c>
      <c r="B1408">
        <v>2015</v>
      </c>
      <c r="C1408" s="1">
        <v>42035</v>
      </c>
      <c r="D1408" t="s">
        <v>27</v>
      </c>
      <c r="E1408">
        <v>1</v>
      </c>
      <c r="F1408">
        <v>33</v>
      </c>
      <c r="G1408">
        <v>15</v>
      </c>
      <c r="H1408">
        <v>0</v>
      </c>
      <c r="I1408" t="s">
        <v>25</v>
      </c>
      <c r="J1408">
        <v>116</v>
      </c>
      <c r="K1408" t="s">
        <v>27</v>
      </c>
      <c r="L1408">
        <v>120</v>
      </c>
    </row>
    <row r="1409" spans="1:12" x14ac:dyDescent="0.25">
      <c r="A1409">
        <v>400578999</v>
      </c>
      <c r="B1409">
        <v>2015</v>
      </c>
      <c r="C1409" s="1">
        <v>42035</v>
      </c>
      <c r="D1409" t="s">
        <v>25</v>
      </c>
      <c r="E1409">
        <v>0</v>
      </c>
      <c r="F1409">
        <v>31</v>
      </c>
      <c r="G1409">
        <v>17</v>
      </c>
      <c r="H1409">
        <v>1</v>
      </c>
      <c r="I1409" t="s">
        <v>25</v>
      </c>
      <c r="J1409">
        <v>116</v>
      </c>
      <c r="K1409" t="s">
        <v>27</v>
      </c>
      <c r="L1409">
        <v>120</v>
      </c>
    </row>
    <row r="1410" spans="1:12" x14ac:dyDescent="0.25">
      <c r="A1410">
        <v>400579000</v>
      </c>
      <c r="B1410">
        <v>2015</v>
      </c>
      <c r="C1410" s="1">
        <v>42035</v>
      </c>
      <c r="D1410" t="s">
        <v>26</v>
      </c>
      <c r="E1410">
        <v>1</v>
      </c>
      <c r="F1410">
        <v>40</v>
      </c>
      <c r="G1410">
        <v>8</v>
      </c>
      <c r="H1410">
        <v>1</v>
      </c>
      <c r="I1410" t="s">
        <v>26</v>
      </c>
      <c r="J1410">
        <v>91</v>
      </c>
      <c r="K1410" t="s">
        <v>21</v>
      </c>
      <c r="L1410">
        <v>85</v>
      </c>
    </row>
    <row r="1411" spans="1:12" x14ac:dyDescent="0.25">
      <c r="A1411">
        <v>400579000</v>
      </c>
      <c r="B1411">
        <v>2015</v>
      </c>
      <c r="C1411" s="1">
        <v>42035</v>
      </c>
      <c r="D1411" t="s">
        <v>21</v>
      </c>
      <c r="E1411">
        <v>0</v>
      </c>
      <c r="F1411">
        <v>10</v>
      </c>
      <c r="G1411">
        <v>38</v>
      </c>
      <c r="H1411">
        <v>0</v>
      </c>
      <c r="I1411" t="s">
        <v>26</v>
      </c>
      <c r="J1411">
        <v>91</v>
      </c>
      <c r="K1411" t="s">
        <v>21</v>
      </c>
      <c r="L1411">
        <v>85</v>
      </c>
    </row>
    <row r="1412" spans="1:12" x14ac:dyDescent="0.25">
      <c r="A1412">
        <v>400579001</v>
      </c>
      <c r="B1412">
        <v>2015</v>
      </c>
      <c r="C1412" s="1">
        <v>42035</v>
      </c>
      <c r="D1412" t="s">
        <v>33</v>
      </c>
      <c r="E1412">
        <v>1</v>
      </c>
      <c r="F1412">
        <v>18</v>
      </c>
      <c r="G1412">
        <v>30</v>
      </c>
      <c r="H1412">
        <v>1</v>
      </c>
      <c r="I1412" t="s">
        <v>33</v>
      </c>
      <c r="J1412">
        <v>114</v>
      </c>
      <c r="K1412" t="s">
        <v>16</v>
      </c>
      <c r="L1412">
        <v>101</v>
      </c>
    </row>
    <row r="1413" spans="1:12" x14ac:dyDescent="0.25">
      <c r="A1413">
        <v>400579001</v>
      </c>
      <c r="B1413">
        <v>2015</v>
      </c>
      <c r="C1413" s="1">
        <v>42035</v>
      </c>
      <c r="D1413" t="s">
        <v>16</v>
      </c>
      <c r="E1413">
        <v>0</v>
      </c>
      <c r="F1413">
        <v>33</v>
      </c>
      <c r="G1413">
        <v>15</v>
      </c>
      <c r="H1413">
        <v>0</v>
      </c>
      <c r="I1413" t="s">
        <v>33</v>
      </c>
      <c r="J1413">
        <v>114</v>
      </c>
      <c r="K1413" t="s">
        <v>16</v>
      </c>
      <c r="L1413">
        <v>101</v>
      </c>
    </row>
    <row r="1414" spans="1:12" x14ac:dyDescent="0.25">
      <c r="A1414">
        <v>400579002</v>
      </c>
      <c r="B1414">
        <v>2015</v>
      </c>
      <c r="C1414" s="1">
        <v>42035</v>
      </c>
      <c r="D1414" t="s">
        <v>28</v>
      </c>
      <c r="E1414">
        <v>1</v>
      </c>
      <c r="F1414">
        <v>35</v>
      </c>
      <c r="G1414">
        <v>12</v>
      </c>
      <c r="H1414">
        <v>1</v>
      </c>
      <c r="I1414" t="s">
        <v>28</v>
      </c>
      <c r="J1414">
        <v>85</v>
      </c>
      <c r="K1414" t="s">
        <v>38</v>
      </c>
      <c r="L1414">
        <v>74</v>
      </c>
    </row>
    <row r="1415" spans="1:12" x14ac:dyDescent="0.25">
      <c r="A1415">
        <v>400579002</v>
      </c>
      <c r="B1415">
        <v>2015</v>
      </c>
      <c r="C1415" s="1">
        <v>42035</v>
      </c>
      <c r="D1415" t="s">
        <v>38</v>
      </c>
      <c r="E1415">
        <v>0</v>
      </c>
      <c r="F1415">
        <v>23</v>
      </c>
      <c r="G1415">
        <v>24</v>
      </c>
      <c r="H1415">
        <v>0</v>
      </c>
      <c r="I1415" t="s">
        <v>28</v>
      </c>
      <c r="J1415">
        <v>85</v>
      </c>
      <c r="K1415" t="s">
        <v>38</v>
      </c>
      <c r="L1415">
        <v>74</v>
      </c>
    </row>
    <row r="1416" spans="1:12" x14ac:dyDescent="0.25">
      <c r="A1416">
        <v>400579003</v>
      </c>
      <c r="B1416">
        <v>2015</v>
      </c>
      <c r="C1416" s="1">
        <v>42035</v>
      </c>
      <c r="D1416" t="s">
        <v>40</v>
      </c>
      <c r="E1416">
        <v>1</v>
      </c>
      <c r="F1416">
        <v>29</v>
      </c>
      <c r="G1416">
        <v>20</v>
      </c>
      <c r="H1416">
        <v>0</v>
      </c>
      <c r="I1416" t="s">
        <v>29</v>
      </c>
      <c r="J1416">
        <v>90</v>
      </c>
      <c r="K1416" t="s">
        <v>40</v>
      </c>
      <c r="L1416">
        <v>106</v>
      </c>
    </row>
    <row r="1417" spans="1:12" x14ac:dyDescent="0.25">
      <c r="A1417">
        <v>400579003</v>
      </c>
      <c r="B1417">
        <v>2015</v>
      </c>
      <c r="C1417" s="1">
        <v>42035</v>
      </c>
      <c r="D1417" t="s">
        <v>29</v>
      </c>
      <c r="E1417">
        <v>0</v>
      </c>
      <c r="F1417">
        <v>8</v>
      </c>
      <c r="G1417">
        <v>39</v>
      </c>
      <c r="H1417">
        <v>1</v>
      </c>
      <c r="I1417" t="s">
        <v>29</v>
      </c>
      <c r="J1417">
        <v>90</v>
      </c>
      <c r="K1417" t="s">
        <v>40</v>
      </c>
      <c r="L1417">
        <v>106</v>
      </c>
    </row>
    <row r="1418" spans="1:12" x14ac:dyDescent="0.25">
      <c r="A1418">
        <v>400579004</v>
      </c>
      <c r="B1418">
        <v>2015</v>
      </c>
      <c r="C1418" s="1">
        <v>42035</v>
      </c>
      <c r="D1418" t="s">
        <v>19</v>
      </c>
      <c r="E1418">
        <v>1</v>
      </c>
      <c r="F1418">
        <v>25</v>
      </c>
      <c r="G1418">
        <v>22</v>
      </c>
      <c r="H1418">
        <v>1</v>
      </c>
      <c r="I1418" t="s">
        <v>19</v>
      </c>
      <c r="J1418">
        <v>95</v>
      </c>
      <c r="K1418" t="s">
        <v>39</v>
      </c>
      <c r="L1418">
        <v>88</v>
      </c>
    </row>
    <row r="1419" spans="1:12" x14ac:dyDescent="0.25">
      <c r="A1419">
        <v>400579004</v>
      </c>
      <c r="B1419">
        <v>2015</v>
      </c>
      <c r="C1419" s="1">
        <v>42035</v>
      </c>
      <c r="D1419" t="s">
        <v>39</v>
      </c>
      <c r="E1419">
        <v>0</v>
      </c>
      <c r="F1419">
        <v>32</v>
      </c>
      <c r="G1419">
        <v>16</v>
      </c>
      <c r="H1419">
        <v>0</v>
      </c>
      <c r="I1419" t="s">
        <v>19</v>
      </c>
      <c r="J1419">
        <v>95</v>
      </c>
      <c r="K1419" t="s">
        <v>39</v>
      </c>
      <c r="L1419">
        <v>88</v>
      </c>
    </row>
    <row r="1420" spans="1:12" x14ac:dyDescent="0.25">
      <c r="A1420">
        <v>400579005</v>
      </c>
      <c r="B1420">
        <v>2015</v>
      </c>
      <c r="C1420" s="1">
        <v>42035</v>
      </c>
      <c r="D1420" t="s">
        <v>18</v>
      </c>
      <c r="E1420">
        <v>1</v>
      </c>
      <c r="F1420">
        <v>20</v>
      </c>
      <c r="G1420">
        <v>27</v>
      </c>
      <c r="H1420">
        <v>0</v>
      </c>
      <c r="I1420" t="s">
        <v>32</v>
      </c>
      <c r="J1420">
        <v>86</v>
      </c>
      <c r="K1420" t="s">
        <v>18</v>
      </c>
      <c r="L1420">
        <v>104</v>
      </c>
    </row>
    <row r="1421" spans="1:12" x14ac:dyDescent="0.25">
      <c r="A1421">
        <v>400579005</v>
      </c>
      <c r="B1421">
        <v>2015</v>
      </c>
      <c r="C1421" s="1">
        <v>42035</v>
      </c>
      <c r="D1421" t="s">
        <v>32</v>
      </c>
      <c r="E1421">
        <v>0</v>
      </c>
      <c r="F1421">
        <v>19</v>
      </c>
      <c r="G1421">
        <v>29</v>
      </c>
      <c r="H1421">
        <v>1</v>
      </c>
      <c r="I1421" t="s">
        <v>32</v>
      </c>
      <c r="J1421">
        <v>86</v>
      </c>
      <c r="K1421" t="s">
        <v>18</v>
      </c>
      <c r="L1421">
        <v>104</v>
      </c>
    </row>
    <row r="1422" spans="1:12" x14ac:dyDescent="0.25">
      <c r="A1422">
        <v>400579006</v>
      </c>
      <c r="B1422">
        <v>2015</v>
      </c>
      <c r="C1422" s="1">
        <v>42035</v>
      </c>
      <c r="D1422" t="s">
        <v>41</v>
      </c>
      <c r="E1422">
        <v>1</v>
      </c>
      <c r="F1422">
        <v>33</v>
      </c>
      <c r="G1422">
        <v>15</v>
      </c>
      <c r="H1422">
        <v>0</v>
      </c>
      <c r="I1422" t="s">
        <v>15</v>
      </c>
      <c r="J1422">
        <v>85</v>
      </c>
      <c r="K1422" t="s">
        <v>41</v>
      </c>
      <c r="L1422">
        <v>105</v>
      </c>
    </row>
    <row r="1423" spans="1:12" x14ac:dyDescent="0.25">
      <c r="A1423">
        <v>400579006</v>
      </c>
      <c r="B1423">
        <v>2015</v>
      </c>
      <c r="C1423" s="1">
        <v>42035</v>
      </c>
      <c r="D1423" t="s">
        <v>15</v>
      </c>
      <c r="E1423">
        <v>0</v>
      </c>
      <c r="F1423">
        <v>30</v>
      </c>
      <c r="G1423">
        <v>18</v>
      </c>
      <c r="H1423">
        <v>1</v>
      </c>
      <c r="I1423" t="s">
        <v>15</v>
      </c>
      <c r="J1423">
        <v>85</v>
      </c>
      <c r="K1423" t="s">
        <v>41</v>
      </c>
      <c r="L1423">
        <v>105</v>
      </c>
    </row>
    <row r="1424" spans="1:12" x14ac:dyDescent="0.25">
      <c r="A1424">
        <v>400579007</v>
      </c>
      <c r="B1424">
        <v>2015</v>
      </c>
      <c r="C1424" s="1">
        <v>42035</v>
      </c>
      <c r="D1424" t="s">
        <v>36</v>
      </c>
      <c r="E1424">
        <v>1</v>
      </c>
      <c r="F1424">
        <v>37</v>
      </c>
      <c r="G1424">
        <v>8</v>
      </c>
      <c r="H1424">
        <v>1</v>
      </c>
      <c r="I1424" t="s">
        <v>36</v>
      </c>
      <c r="J1424">
        <v>106</v>
      </c>
      <c r="K1424" t="s">
        <v>35</v>
      </c>
      <c r="L1424">
        <v>87</v>
      </c>
    </row>
    <row r="1425" spans="1:12" x14ac:dyDescent="0.25">
      <c r="A1425">
        <v>400579007</v>
      </c>
      <c r="B1425">
        <v>2015</v>
      </c>
      <c r="C1425" s="1">
        <v>42035</v>
      </c>
      <c r="D1425" t="s">
        <v>35</v>
      </c>
      <c r="E1425">
        <v>0</v>
      </c>
      <c r="F1425">
        <v>28</v>
      </c>
      <c r="G1425">
        <v>21</v>
      </c>
      <c r="H1425">
        <v>0</v>
      </c>
      <c r="I1425" t="s">
        <v>36</v>
      </c>
      <c r="J1425">
        <v>106</v>
      </c>
      <c r="K1425" t="s">
        <v>35</v>
      </c>
      <c r="L1425">
        <v>87</v>
      </c>
    </row>
    <row r="1426" spans="1:12" x14ac:dyDescent="0.25">
      <c r="A1426">
        <v>400579008</v>
      </c>
      <c r="B1426">
        <v>2015</v>
      </c>
      <c r="C1426" s="1">
        <v>42036</v>
      </c>
      <c r="D1426" t="s">
        <v>22</v>
      </c>
      <c r="E1426">
        <v>0</v>
      </c>
      <c r="F1426">
        <v>16</v>
      </c>
      <c r="G1426">
        <v>30</v>
      </c>
      <c r="H1426">
        <v>1</v>
      </c>
      <c r="I1426" t="s">
        <v>22</v>
      </c>
      <c r="J1426">
        <v>75</v>
      </c>
      <c r="K1426" t="s">
        <v>24</v>
      </c>
      <c r="L1426">
        <v>83</v>
      </c>
    </row>
    <row r="1427" spans="1:12" x14ac:dyDescent="0.25">
      <c r="A1427">
        <v>400579008</v>
      </c>
      <c r="B1427">
        <v>2015</v>
      </c>
      <c r="C1427" s="1">
        <v>42036</v>
      </c>
      <c r="D1427" t="s">
        <v>24</v>
      </c>
      <c r="E1427">
        <v>1</v>
      </c>
      <c r="F1427">
        <v>21</v>
      </c>
      <c r="G1427">
        <v>26</v>
      </c>
      <c r="H1427">
        <v>0</v>
      </c>
      <c r="I1427" t="s">
        <v>22</v>
      </c>
      <c r="J1427">
        <v>75</v>
      </c>
      <c r="K1427" t="s">
        <v>24</v>
      </c>
      <c r="L1427">
        <v>83</v>
      </c>
    </row>
    <row r="1428" spans="1:12" x14ac:dyDescent="0.25">
      <c r="A1428">
        <v>400579009</v>
      </c>
      <c r="B1428">
        <v>2015</v>
      </c>
      <c r="C1428" s="1">
        <v>42036</v>
      </c>
      <c r="D1428" t="s">
        <v>17</v>
      </c>
      <c r="E1428">
        <v>0</v>
      </c>
      <c r="F1428">
        <v>13</v>
      </c>
      <c r="G1428">
        <v>35</v>
      </c>
      <c r="H1428">
        <v>0</v>
      </c>
      <c r="I1428" t="s">
        <v>31</v>
      </c>
      <c r="J1428">
        <v>92</v>
      </c>
      <c r="K1428" t="s">
        <v>17</v>
      </c>
      <c r="L1428">
        <v>80</v>
      </c>
    </row>
    <row r="1429" spans="1:12" x14ac:dyDescent="0.25">
      <c r="A1429">
        <v>400579009</v>
      </c>
      <c r="B1429">
        <v>2015</v>
      </c>
      <c r="C1429" s="1">
        <v>42036</v>
      </c>
      <c r="D1429" t="s">
        <v>31</v>
      </c>
      <c r="E1429">
        <v>1</v>
      </c>
      <c r="F1429">
        <v>10</v>
      </c>
      <c r="G1429">
        <v>38</v>
      </c>
      <c r="H1429">
        <v>1</v>
      </c>
      <c r="I1429" t="s">
        <v>31</v>
      </c>
      <c r="J1429">
        <v>92</v>
      </c>
      <c r="K1429" t="s">
        <v>17</v>
      </c>
      <c r="L1429">
        <v>80</v>
      </c>
    </row>
    <row r="1430" spans="1:12" x14ac:dyDescent="0.25">
      <c r="A1430">
        <v>400579010</v>
      </c>
      <c r="B1430">
        <v>2015</v>
      </c>
      <c r="C1430" s="1">
        <v>42037</v>
      </c>
      <c r="D1430" t="s">
        <v>40</v>
      </c>
      <c r="E1430">
        <v>1</v>
      </c>
      <c r="F1430">
        <v>30</v>
      </c>
      <c r="G1430">
        <v>20</v>
      </c>
      <c r="H1430">
        <v>1</v>
      </c>
      <c r="I1430" t="s">
        <v>40</v>
      </c>
      <c r="J1430">
        <v>97</v>
      </c>
      <c r="K1430" t="s">
        <v>21</v>
      </c>
      <c r="L1430">
        <v>84</v>
      </c>
    </row>
    <row r="1431" spans="1:12" x14ac:dyDescent="0.25">
      <c r="A1431">
        <v>400579010</v>
      </c>
      <c r="B1431">
        <v>2015</v>
      </c>
      <c r="C1431" s="1">
        <v>42037</v>
      </c>
      <c r="D1431" t="s">
        <v>21</v>
      </c>
      <c r="E1431">
        <v>0</v>
      </c>
      <c r="F1431">
        <v>10</v>
      </c>
      <c r="G1431">
        <v>39</v>
      </c>
      <c r="H1431">
        <v>0</v>
      </c>
      <c r="I1431" t="s">
        <v>40</v>
      </c>
      <c r="J1431">
        <v>97</v>
      </c>
      <c r="K1431" t="s">
        <v>21</v>
      </c>
      <c r="L1431">
        <v>84</v>
      </c>
    </row>
    <row r="1432" spans="1:12" x14ac:dyDescent="0.25">
      <c r="A1432">
        <v>400579011</v>
      </c>
      <c r="B1432">
        <v>2015</v>
      </c>
      <c r="C1432" s="1">
        <v>42037</v>
      </c>
      <c r="D1432" t="s">
        <v>18</v>
      </c>
      <c r="E1432">
        <v>1</v>
      </c>
      <c r="F1432">
        <v>21</v>
      </c>
      <c r="G1432">
        <v>27</v>
      </c>
      <c r="H1432">
        <v>0</v>
      </c>
      <c r="I1432" t="s">
        <v>25</v>
      </c>
      <c r="J1432">
        <v>88</v>
      </c>
      <c r="K1432" t="s">
        <v>18</v>
      </c>
      <c r="L1432">
        <v>92</v>
      </c>
    </row>
    <row r="1433" spans="1:12" x14ac:dyDescent="0.25">
      <c r="A1433">
        <v>400579011</v>
      </c>
      <c r="B1433">
        <v>2015</v>
      </c>
      <c r="C1433" s="1">
        <v>42037</v>
      </c>
      <c r="D1433" t="s">
        <v>25</v>
      </c>
      <c r="E1433">
        <v>0</v>
      </c>
      <c r="F1433">
        <v>31</v>
      </c>
      <c r="G1433">
        <v>18</v>
      </c>
      <c r="H1433">
        <v>1</v>
      </c>
      <c r="I1433" t="s">
        <v>25</v>
      </c>
      <c r="J1433">
        <v>88</v>
      </c>
      <c r="K1433" t="s">
        <v>18</v>
      </c>
      <c r="L1433">
        <v>92</v>
      </c>
    </row>
    <row r="1434" spans="1:12" x14ac:dyDescent="0.25">
      <c r="A1434">
        <v>400579012</v>
      </c>
      <c r="B1434">
        <v>2015</v>
      </c>
      <c r="C1434" s="1">
        <v>42037</v>
      </c>
      <c r="D1434" t="s">
        <v>23</v>
      </c>
      <c r="E1434">
        <v>1</v>
      </c>
      <c r="F1434">
        <v>19</v>
      </c>
      <c r="G1434">
        <v>28</v>
      </c>
      <c r="H1434">
        <v>1</v>
      </c>
      <c r="I1434" t="s">
        <v>23</v>
      </c>
      <c r="J1434">
        <v>102</v>
      </c>
      <c r="K1434" t="s">
        <v>41</v>
      </c>
      <c r="L1434">
        <v>100</v>
      </c>
    </row>
    <row r="1435" spans="1:12" x14ac:dyDescent="0.25">
      <c r="A1435">
        <v>400579012</v>
      </c>
      <c r="B1435">
        <v>2015</v>
      </c>
      <c r="C1435" s="1">
        <v>42037</v>
      </c>
      <c r="D1435" t="s">
        <v>41</v>
      </c>
      <c r="E1435">
        <v>0</v>
      </c>
      <c r="F1435">
        <v>33</v>
      </c>
      <c r="G1435">
        <v>16</v>
      </c>
      <c r="H1435">
        <v>0</v>
      </c>
      <c r="I1435" t="s">
        <v>23</v>
      </c>
      <c r="J1435">
        <v>102</v>
      </c>
      <c r="K1435" t="s">
        <v>41</v>
      </c>
      <c r="L1435">
        <v>100</v>
      </c>
    </row>
    <row r="1436" spans="1:12" x14ac:dyDescent="0.25">
      <c r="A1436">
        <v>400579013</v>
      </c>
      <c r="B1436">
        <v>2015</v>
      </c>
      <c r="C1436" s="1">
        <v>42037</v>
      </c>
      <c r="D1436" t="s">
        <v>19</v>
      </c>
      <c r="E1436">
        <v>1</v>
      </c>
      <c r="F1436">
        <v>26</v>
      </c>
      <c r="G1436">
        <v>22</v>
      </c>
      <c r="H1436">
        <v>0</v>
      </c>
      <c r="I1436" t="s">
        <v>27</v>
      </c>
      <c r="J1436">
        <v>75</v>
      </c>
      <c r="K1436" t="s">
        <v>19</v>
      </c>
      <c r="L1436">
        <v>82</v>
      </c>
    </row>
    <row r="1437" spans="1:12" x14ac:dyDescent="0.25">
      <c r="A1437">
        <v>400579013</v>
      </c>
      <c r="B1437">
        <v>2015</v>
      </c>
      <c r="C1437" s="1">
        <v>42037</v>
      </c>
      <c r="D1437" t="s">
        <v>27</v>
      </c>
      <c r="E1437">
        <v>0</v>
      </c>
      <c r="F1437">
        <v>33</v>
      </c>
      <c r="G1437">
        <v>16</v>
      </c>
      <c r="H1437">
        <v>1</v>
      </c>
      <c r="I1437" t="s">
        <v>27</v>
      </c>
      <c r="J1437">
        <v>75</v>
      </c>
      <c r="K1437" t="s">
        <v>19</v>
      </c>
      <c r="L1437">
        <v>82</v>
      </c>
    </row>
    <row r="1438" spans="1:12" x14ac:dyDescent="0.25">
      <c r="A1438">
        <v>400579014</v>
      </c>
      <c r="B1438">
        <v>2015</v>
      </c>
      <c r="C1438" s="1">
        <v>42037</v>
      </c>
      <c r="D1438" t="s">
        <v>26</v>
      </c>
      <c r="E1438">
        <v>0</v>
      </c>
      <c r="F1438">
        <v>40</v>
      </c>
      <c r="G1438">
        <v>9</v>
      </c>
      <c r="H1438">
        <v>0</v>
      </c>
      <c r="I1438" t="s">
        <v>12</v>
      </c>
      <c r="J1438">
        <v>115</v>
      </c>
      <c r="K1438" t="s">
        <v>26</v>
      </c>
      <c r="L1438">
        <v>100</v>
      </c>
    </row>
    <row r="1439" spans="1:12" x14ac:dyDescent="0.25">
      <c r="A1439">
        <v>400579014</v>
      </c>
      <c r="B1439">
        <v>2015</v>
      </c>
      <c r="C1439" s="1">
        <v>42037</v>
      </c>
      <c r="D1439" t="s">
        <v>12</v>
      </c>
      <c r="E1439">
        <v>1</v>
      </c>
      <c r="F1439">
        <v>26</v>
      </c>
      <c r="G1439">
        <v>22</v>
      </c>
      <c r="H1439">
        <v>1</v>
      </c>
      <c r="I1439" t="s">
        <v>12</v>
      </c>
      <c r="J1439">
        <v>115</v>
      </c>
      <c r="K1439" t="s">
        <v>26</v>
      </c>
      <c r="L1439">
        <v>100</v>
      </c>
    </row>
    <row r="1440" spans="1:12" x14ac:dyDescent="0.25">
      <c r="A1440">
        <v>400579015</v>
      </c>
      <c r="B1440">
        <v>2015</v>
      </c>
      <c r="C1440" s="1">
        <v>42037</v>
      </c>
      <c r="D1440" t="s">
        <v>38</v>
      </c>
      <c r="E1440">
        <v>1</v>
      </c>
      <c r="F1440">
        <v>24</v>
      </c>
      <c r="G1440">
        <v>24</v>
      </c>
      <c r="H1440">
        <v>1</v>
      </c>
      <c r="I1440" t="s">
        <v>38</v>
      </c>
      <c r="J1440">
        <v>104</v>
      </c>
      <c r="K1440" t="s">
        <v>13</v>
      </c>
      <c r="L1440">
        <v>97</v>
      </c>
    </row>
    <row r="1441" spans="1:12" x14ac:dyDescent="0.25">
      <c r="A1441">
        <v>400579015</v>
      </c>
      <c r="B1441">
        <v>2015</v>
      </c>
      <c r="C1441" s="1">
        <v>42037</v>
      </c>
      <c r="D1441" t="s">
        <v>13</v>
      </c>
      <c r="E1441">
        <v>0</v>
      </c>
      <c r="F1441">
        <v>15</v>
      </c>
      <c r="G1441">
        <v>36</v>
      </c>
      <c r="H1441">
        <v>0</v>
      </c>
      <c r="I1441" t="s">
        <v>38</v>
      </c>
      <c r="J1441">
        <v>104</v>
      </c>
      <c r="K1441" t="s">
        <v>13</v>
      </c>
      <c r="L1441">
        <v>97</v>
      </c>
    </row>
    <row r="1442" spans="1:12" x14ac:dyDescent="0.25">
      <c r="A1442">
        <v>400579016</v>
      </c>
      <c r="B1442">
        <v>2015</v>
      </c>
      <c r="C1442" s="1">
        <v>42037</v>
      </c>
      <c r="D1442" t="s">
        <v>14</v>
      </c>
      <c r="E1442">
        <v>1</v>
      </c>
      <c r="F1442">
        <v>33</v>
      </c>
      <c r="G1442">
        <v>17</v>
      </c>
      <c r="H1442">
        <v>1</v>
      </c>
      <c r="I1442" t="s">
        <v>14</v>
      </c>
      <c r="J1442">
        <v>100</v>
      </c>
      <c r="K1442" t="s">
        <v>29</v>
      </c>
      <c r="L1442">
        <v>94</v>
      </c>
    </row>
    <row r="1443" spans="1:12" x14ac:dyDescent="0.25">
      <c r="A1443">
        <v>400579016</v>
      </c>
      <c r="B1443">
        <v>2015</v>
      </c>
      <c r="C1443" s="1">
        <v>42037</v>
      </c>
      <c r="D1443" t="s">
        <v>29</v>
      </c>
      <c r="E1443">
        <v>0</v>
      </c>
      <c r="F1443">
        <v>8</v>
      </c>
      <c r="G1443">
        <v>40</v>
      </c>
      <c r="H1443">
        <v>0</v>
      </c>
      <c r="I1443" t="s">
        <v>14</v>
      </c>
      <c r="J1443">
        <v>100</v>
      </c>
      <c r="K1443" t="s">
        <v>29</v>
      </c>
      <c r="L1443">
        <v>94</v>
      </c>
    </row>
    <row r="1444" spans="1:12" x14ac:dyDescent="0.25">
      <c r="A1444">
        <v>400579017</v>
      </c>
      <c r="B1444">
        <v>2015</v>
      </c>
      <c r="C1444" s="1">
        <v>42037</v>
      </c>
      <c r="D1444" t="s">
        <v>28</v>
      </c>
      <c r="E1444">
        <v>1</v>
      </c>
      <c r="F1444">
        <v>36</v>
      </c>
      <c r="G1444">
        <v>12</v>
      </c>
      <c r="H1444">
        <v>0</v>
      </c>
      <c r="I1444" t="s">
        <v>35</v>
      </c>
      <c r="J1444">
        <v>101</v>
      </c>
      <c r="K1444" t="s">
        <v>28</v>
      </c>
      <c r="L1444">
        <v>102</v>
      </c>
    </row>
    <row r="1445" spans="1:12" x14ac:dyDescent="0.25">
      <c r="A1445">
        <v>400579017</v>
      </c>
      <c r="B1445">
        <v>2015</v>
      </c>
      <c r="C1445" s="1">
        <v>42037</v>
      </c>
      <c r="D1445" t="s">
        <v>35</v>
      </c>
      <c r="E1445">
        <v>0</v>
      </c>
      <c r="F1445">
        <v>28</v>
      </c>
      <c r="G1445">
        <v>22</v>
      </c>
      <c r="H1445">
        <v>1</v>
      </c>
      <c r="I1445" t="s">
        <v>35</v>
      </c>
      <c r="J1445">
        <v>101</v>
      </c>
      <c r="K1445" t="s">
        <v>28</v>
      </c>
      <c r="L1445">
        <v>102</v>
      </c>
    </row>
    <row r="1446" spans="1:12" x14ac:dyDescent="0.25">
      <c r="A1446">
        <v>400579018</v>
      </c>
      <c r="B1446">
        <v>2015</v>
      </c>
      <c r="C1446" s="1">
        <v>42038</v>
      </c>
      <c r="D1446" t="s">
        <v>32</v>
      </c>
      <c r="E1446">
        <v>0</v>
      </c>
      <c r="F1446">
        <v>19</v>
      </c>
      <c r="G1446">
        <v>30</v>
      </c>
      <c r="H1446">
        <v>0</v>
      </c>
      <c r="I1446" t="s">
        <v>21</v>
      </c>
      <c r="J1446">
        <v>105</v>
      </c>
      <c r="K1446" t="s">
        <v>32</v>
      </c>
      <c r="L1446">
        <v>98</v>
      </c>
    </row>
    <row r="1447" spans="1:12" x14ac:dyDescent="0.25">
      <c r="A1447">
        <v>400579018</v>
      </c>
      <c r="B1447">
        <v>2015</v>
      </c>
      <c r="C1447" s="1">
        <v>42038</v>
      </c>
      <c r="D1447" t="s">
        <v>21</v>
      </c>
      <c r="E1447">
        <v>1</v>
      </c>
      <c r="F1447">
        <v>11</v>
      </c>
      <c r="G1447">
        <v>39</v>
      </c>
      <c r="H1447">
        <v>1</v>
      </c>
      <c r="I1447" t="s">
        <v>21</v>
      </c>
      <c r="J1447">
        <v>105</v>
      </c>
      <c r="K1447" t="s">
        <v>32</v>
      </c>
      <c r="L1447">
        <v>98</v>
      </c>
    </row>
    <row r="1448" spans="1:12" x14ac:dyDescent="0.25">
      <c r="A1448">
        <v>400579019</v>
      </c>
      <c r="B1448">
        <v>2015</v>
      </c>
      <c r="C1448" s="1">
        <v>42038</v>
      </c>
      <c r="D1448" t="s">
        <v>33</v>
      </c>
      <c r="E1448">
        <v>1</v>
      </c>
      <c r="F1448">
        <v>19</v>
      </c>
      <c r="G1448">
        <v>30</v>
      </c>
      <c r="H1448">
        <v>1</v>
      </c>
      <c r="I1448" t="s">
        <v>33</v>
      </c>
      <c r="J1448">
        <v>108</v>
      </c>
      <c r="K1448" t="s">
        <v>24</v>
      </c>
      <c r="L1448">
        <v>91</v>
      </c>
    </row>
    <row r="1449" spans="1:12" x14ac:dyDescent="0.25">
      <c r="A1449">
        <v>400579019</v>
      </c>
      <c r="B1449">
        <v>2015</v>
      </c>
      <c r="C1449" s="1">
        <v>42038</v>
      </c>
      <c r="D1449" t="s">
        <v>24</v>
      </c>
      <c r="E1449">
        <v>0</v>
      </c>
      <c r="F1449">
        <v>21</v>
      </c>
      <c r="G1449">
        <v>27</v>
      </c>
      <c r="H1449">
        <v>0</v>
      </c>
      <c r="I1449" t="s">
        <v>33</v>
      </c>
      <c r="J1449">
        <v>108</v>
      </c>
      <c r="K1449" t="s">
        <v>24</v>
      </c>
      <c r="L1449">
        <v>91</v>
      </c>
    </row>
    <row r="1450" spans="1:12" x14ac:dyDescent="0.25">
      <c r="A1450">
        <v>400579020</v>
      </c>
      <c r="B1450">
        <v>2015</v>
      </c>
      <c r="C1450" s="1">
        <v>42038</v>
      </c>
      <c r="D1450" t="s">
        <v>22</v>
      </c>
      <c r="E1450">
        <v>1</v>
      </c>
      <c r="F1450">
        <v>17</v>
      </c>
      <c r="G1450">
        <v>30</v>
      </c>
      <c r="H1450">
        <v>0</v>
      </c>
      <c r="I1450" t="s">
        <v>31</v>
      </c>
      <c r="J1450">
        <v>97</v>
      </c>
      <c r="K1450" t="s">
        <v>22</v>
      </c>
      <c r="L1450">
        <v>108</v>
      </c>
    </row>
    <row r="1451" spans="1:12" x14ac:dyDescent="0.25">
      <c r="A1451">
        <v>400579020</v>
      </c>
      <c r="B1451">
        <v>2015</v>
      </c>
      <c r="C1451" s="1">
        <v>42038</v>
      </c>
      <c r="D1451" t="s">
        <v>31</v>
      </c>
      <c r="E1451">
        <v>0</v>
      </c>
      <c r="F1451">
        <v>10</v>
      </c>
      <c r="G1451">
        <v>39</v>
      </c>
      <c r="H1451">
        <v>1</v>
      </c>
      <c r="I1451" t="s">
        <v>31</v>
      </c>
      <c r="J1451">
        <v>97</v>
      </c>
      <c r="K1451" t="s">
        <v>22</v>
      </c>
      <c r="L1451">
        <v>108</v>
      </c>
    </row>
    <row r="1452" spans="1:12" x14ac:dyDescent="0.25">
      <c r="A1452">
        <v>400579021</v>
      </c>
      <c r="B1452">
        <v>2015</v>
      </c>
      <c r="C1452" s="1">
        <v>42038</v>
      </c>
      <c r="D1452" t="s">
        <v>39</v>
      </c>
      <c r="E1452">
        <v>1</v>
      </c>
      <c r="F1452">
        <v>33</v>
      </c>
      <c r="G1452">
        <v>16</v>
      </c>
      <c r="H1452">
        <v>1</v>
      </c>
      <c r="I1452" t="s">
        <v>39</v>
      </c>
      <c r="J1452">
        <v>103</v>
      </c>
      <c r="K1452" t="s">
        <v>34</v>
      </c>
      <c r="L1452">
        <v>102</v>
      </c>
    </row>
    <row r="1453" spans="1:12" x14ac:dyDescent="0.25">
      <c r="A1453">
        <v>400579021</v>
      </c>
      <c r="B1453">
        <v>2015</v>
      </c>
      <c r="C1453" s="1">
        <v>42038</v>
      </c>
      <c r="D1453" t="s">
        <v>34</v>
      </c>
      <c r="E1453">
        <v>0</v>
      </c>
      <c r="F1453">
        <v>17</v>
      </c>
      <c r="G1453">
        <v>31</v>
      </c>
      <c r="H1453">
        <v>0</v>
      </c>
      <c r="I1453" t="s">
        <v>39</v>
      </c>
      <c r="J1453">
        <v>103</v>
      </c>
      <c r="K1453" t="s">
        <v>34</v>
      </c>
      <c r="L1453">
        <v>102</v>
      </c>
    </row>
    <row r="1454" spans="1:12" x14ac:dyDescent="0.25">
      <c r="A1454">
        <v>400579022</v>
      </c>
      <c r="B1454">
        <v>2015</v>
      </c>
      <c r="C1454" s="1">
        <v>42038</v>
      </c>
      <c r="D1454" t="s">
        <v>36</v>
      </c>
      <c r="E1454">
        <v>1</v>
      </c>
      <c r="F1454">
        <v>38</v>
      </c>
      <c r="G1454">
        <v>8</v>
      </c>
      <c r="H1454">
        <v>0</v>
      </c>
      <c r="I1454" t="s">
        <v>37</v>
      </c>
      <c r="J1454">
        <v>96</v>
      </c>
      <c r="K1454" t="s">
        <v>36</v>
      </c>
      <c r="L1454">
        <v>121</v>
      </c>
    </row>
    <row r="1455" spans="1:12" x14ac:dyDescent="0.25">
      <c r="A1455">
        <v>400579022</v>
      </c>
      <c r="B1455">
        <v>2015</v>
      </c>
      <c r="C1455" s="1">
        <v>42038</v>
      </c>
      <c r="D1455" t="s">
        <v>37</v>
      </c>
      <c r="E1455">
        <v>0</v>
      </c>
      <c r="F1455">
        <v>17</v>
      </c>
      <c r="G1455">
        <v>30</v>
      </c>
      <c r="H1455">
        <v>1</v>
      </c>
      <c r="I1455" t="s">
        <v>37</v>
      </c>
      <c r="J1455">
        <v>96</v>
      </c>
      <c r="K1455" t="s">
        <v>36</v>
      </c>
      <c r="L1455">
        <v>121</v>
      </c>
    </row>
    <row r="1456" spans="1:12" x14ac:dyDescent="0.25">
      <c r="A1456">
        <v>400579023</v>
      </c>
      <c r="B1456">
        <v>2015</v>
      </c>
      <c r="C1456" s="1">
        <v>42039</v>
      </c>
      <c r="D1456" t="s">
        <v>33</v>
      </c>
      <c r="E1456">
        <v>0</v>
      </c>
      <c r="F1456">
        <v>19</v>
      </c>
      <c r="G1456">
        <v>31</v>
      </c>
      <c r="H1456">
        <v>0</v>
      </c>
      <c r="I1456" t="s">
        <v>20</v>
      </c>
      <c r="J1456">
        <v>114</v>
      </c>
      <c r="K1456" t="s">
        <v>33</v>
      </c>
      <c r="L1456">
        <v>109</v>
      </c>
    </row>
    <row r="1457" spans="1:12" x14ac:dyDescent="0.25">
      <c r="A1457">
        <v>400579023</v>
      </c>
      <c r="B1457">
        <v>2015</v>
      </c>
      <c r="C1457" s="1">
        <v>42039</v>
      </c>
      <c r="D1457" t="s">
        <v>20</v>
      </c>
      <c r="E1457">
        <v>1</v>
      </c>
      <c r="F1457">
        <v>18</v>
      </c>
      <c r="G1457">
        <v>32</v>
      </c>
      <c r="H1457">
        <v>1</v>
      </c>
      <c r="I1457" t="s">
        <v>20</v>
      </c>
      <c r="J1457">
        <v>114</v>
      </c>
      <c r="K1457" t="s">
        <v>33</v>
      </c>
      <c r="L1457">
        <v>109</v>
      </c>
    </row>
    <row r="1458" spans="1:12" x14ac:dyDescent="0.25">
      <c r="A1458">
        <v>400579024</v>
      </c>
      <c r="B1458">
        <v>2015</v>
      </c>
      <c r="C1458" s="1">
        <v>42039</v>
      </c>
      <c r="D1458" t="s">
        <v>26</v>
      </c>
      <c r="E1458">
        <v>1</v>
      </c>
      <c r="F1458">
        <v>41</v>
      </c>
      <c r="G1458">
        <v>9</v>
      </c>
      <c r="H1458">
        <v>1</v>
      </c>
      <c r="I1458" t="s">
        <v>26</v>
      </c>
      <c r="J1458">
        <v>105</v>
      </c>
      <c r="K1458" t="s">
        <v>25</v>
      </c>
      <c r="L1458">
        <v>96</v>
      </c>
    </row>
    <row r="1459" spans="1:12" x14ac:dyDescent="0.25">
      <c r="A1459">
        <v>400579024</v>
      </c>
      <c r="B1459">
        <v>2015</v>
      </c>
      <c r="C1459" s="1">
        <v>42039</v>
      </c>
      <c r="D1459" t="s">
        <v>25</v>
      </c>
      <c r="E1459">
        <v>0</v>
      </c>
      <c r="F1459">
        <v>31</v>
      </c>
      <c r="G1459">
        <v>19</v>
      </c>
      <c r="H1459">
        <v>0</v>
      </c>
      <c r="I1459" t="s">
        <v>26</v>
      </c>
      <c r="J1459">
        <v>105</v>
      </c>
      <c r="K1459" t="s">
        <v>25</v>
      </c>
      <c r="L1459">
        <v>96</v>
      </c>
    </row>
    <row r="1460" spans="1:12" x14ac:dyDescent="0.25">
      <c r="A1460">
        <v>400579025</v>
      </c>
      <c r="B1460">
        <v>2015</v>
      </c>
      <c r="C1460" s="1">
        <v>42039</v>
      </c>
      <c r="D1460" t="s">
        <v>22</v>
      </c>
      <c r="E1460">
        <v>1</v>
      </c>
      <c r="F1460">
        <v>18</v>
      </c>
      <c r="G1460">
        <v>30</v>
      </c>
      <c r="H1460">
        <v>1</v>
      </c>
      <c r="I1460" t="s">
        <v>22</v>
      </c>
      <c r="J1460">
        <v>104</v>
      </c>
      <c r="K1460" t="s">
        <v>32</v>
      </c>
      <c r="L1460">
        <v>100</v>
      </c>
    </row>
    <row r="1461" spans="1:12" x14ac:dyDescent="0.25">
      <c r="A1461">
        <v>400579025</v>
      </c>
      <c r="B1461">
        <v>2015</v>
      </c>
      <c r="C1461" s="1">
        <v>42039</v>
      </c>
      <c r="D1461" t="s">
        <v>32</v>
      </c>
      <c r="E1461">
        <v>0</v>
      </c>
      <c r="F1461">
        <v>19</v>
      </c>
      <c r="G1461">
        <v>31</v>
      </c>
      <c r="H1461">
        <v>0</v>
      </c>
      <c r="I1461" t="s">
        <v>22</v>
      </c>
      <c r="J1461">
        <v>104</v>
      </c>
      <c r="K1461" t="s">
        <v>32</v>
      </c>
      <c r="L1461">
        <v>100</v>
      </c>
    </row>
    <row r="1462" spans="1:12" x14ac:dyDescent="0.25">
      <c r="A1462">
        <v>400579026</v>
      </c>
      <c r="B1462">
        <v>2015</v>
      </c>
      <c r="C1462" s="1">
        <v>42039</v>
      </c>
      <c r="D1462" t="s">
        <v>23</v>
      </c>
      <c r="E1462">
        <v>1</v>
      </c>
      <c r="F1462">
        <v>20</v>
      </c>
      <c r="G1462">
        <v>28</v>
      </c>
      <c r="H1462">
        <v>0</v>
      </c>
      <c r="I1462" t="s">
        <v>27</v>
      </c>
      <c r="J1462">
        <v>93</v>
      </c>
      <c r="K1462" t="s">
        <v>23</v>
      </c>
      <c r="L1462">
        <v>109</v>
      </c>
    </row>
    <row r="1463" spans="1:12" x14ac:dyDescent="0.25">
      <c r="A1463">
        <v>400579026</v>
      </c>
      <c r="B1463">
        <v>2015</v>
      </c>
      <c r="C1463" s="1">
        <v>42039</v>
      </c>
      <c r="D1463" t="s">
        <v>27</v>
      </c>
      <c r="E1463">
        <v>0</v>
      </c>
      <c r="F1463">
        <v>33</v>
      </c>
      <c r="G1463">
        <v>17</v>
      </c>
      <c r="H1463">
        <v>1</v>
      </c>
      <c r="I1463" t="s">
        <v>27</v>
      </c>
      <c r="J1463">
        <v>93</v>
      </c>
      <c r="K1463" t="s">
        <v>23</v>
      </c>
      <c r="L1463">
        <v>109</v>
      </c>
    </row>
    <row r="1464" spans="1:12" x14ac:dyDescent="0.25">
      <c r="A1464">
        <v>400579027</v>
      </c>
      <c r="B1464">
        <v>2015</v>
      </c>
      <c r="C1464" s="1">
        <v>42039</v>
      </c>
      <c r="D1464" t="s">
        <v>30</v>
      </c>
      <c r="E1464">
        <v>0</v>
      </c>
      <c r="F1464">
        <v>30</v>
      </c>
      <c r="G1464">
        <v>20</v>
      </c>
      <c r="H1464">
        <v>0</v>
      </c>
      <c r="I1464" t="s">
        <v>16</v>
      </c>
      <c r="J1464">
        <v>101</v>
      </c>
      <c r="K1464" t="s">
        <v>30</v>
      </c>
      <c r="L1464">
        <v>90</v>
      </c>
    </row>
    <row r="1465" spans="1:12" x14ac:dyDescent="0.25">
      <c r="A1465">
        <v>400579027</v>
      </c>
      <c r="B1465">
        <v>2015</v>
      </c>
      <c r="C1465" s="1">
        <v>42039</v>
      </c>
      <c r="D1465" t="s">
        <v>16</v>
      </c>
      <c r="E1465">
        <v>1</v>
      </c>
      <c r="F1465">
        <v>34</v>
      </c>
      <c r="G1465">
        <v>15</v>
      </c>
      <c r="H1465">
        <v>1</v>
      </c>
      <c r="I1465" t="s">
        <v>16</v>
      </c>
      <c r="J1465">
        <v>101</v>
      </c>
      <c r="K1465" t="s">
        <v>30</v>
      </c>
      <c r="L1465">
        <v>90</v>
      </c>
    </row>
    <row r="1466" spans="1:12" x14ac:dyDescent="0.25">
      <c r="A1466">
        <v>400579028</v>
      </c>
      <c r="B1466">
        <v>2015</v>
      </c>
      <c r="C1466" s="1">
        <v>42039</v>
      </c>
      <c r="D1466" t="s">
        <v>17</v>
      </c>
      <c r="E1466">
        <v>0</v>
      </c>
      <c r="F1466">
        <v>13</v>
      </c>
      <c r="G1466">
        <v>36</v>
      </c>
      <c r="H1466">
        <v>0</v>
      </c>
      <c r="I1466" t="s">
        <v>19</v>
      </c>
      <c r="J1466">
        <v>113</v>
      </c>
      <c r="K1466" t="s">
        <v>17</v>
      </c>
      <c r="L1466">
        <v>105</v>
      </c>
    </row>
    <row r="1467" spans="1:12" x14ac:dyDescent="0.25">
      <c r="A1467">
        <v>400579028</v>
      </c>
      <c r="B1467">
        <v>2015</v>
      </c>
      <c r="C1467" s="1">
        <v>42039</v>
      </c>
      <c r="D1467" t="s">
        <v>19</v>
      </c>
      <c r="E1467">
        <v>1</v>
      </c>
      <c r="F1467">
        <v>27</v>
      </c>
      <c r="G1467">
        <v>22</v>
      </c>
      <c r="H1467">
        <v>1</v>
      </c>
      <c r="I1467" t="s">
        <v>19</v>
      </c>
      <c r="J1467">
        <v>113</v>
      </c>
      <c r="K1467" t="s">
        <v>17</v>
      </c>
      <c r="L1467">
        <v>105</v>
      </c>
    </row>
    <row r="1468" spans="1:12" x14ac:dyDescent="0.25">
      <c r="A1468">
        <v>400579029</v>
      </c>
      <c r="B1468">
        <v>2015</v>
      </c>
      <c r="C1468" s="1">
        <v>42039</v>
      </c>
      <c r="D1468" t="s">
        <v>24</v>
      </c>
      <c r="E1468">
        <v>0</v>
      </c>
      <c r="F1468">
        <v>21</v>
      </c>
      <c r="G1468">
        <v>28</v>
      </c>
      <c r="H1468">
        <v>0</v>
      </c>
      <c r="I1468" t="s">
        <v>29</v>
      </c>
      <c r="J1468">
        <v>102</v>
      </c>
      <c r="K1468" t="s">
        <v>24</v>
      </c>
      <c r="L1468">
        <v>101</v>
      </c>
    </row>
    <row r="1469" spans="1:12" x14ac:dyDescent="0.25">
      <c r="A1469">
        <v>400579029</v>
      </c>
      <c r="B1469">
        <v>2015</v>
      </c>
      <c r="C1469" s="1">
        <v>42039</v>
      </c>
      <c r="D1469" t="s">
        <v>29</v>
      </c>
      <c r="E1469">
        <v>1</v>
      </c>
      <c r="F1469">
        <v>9</v>
      </c>
      <c r="G1469">
        <v>40</v>
      </c>
      <c r="H1469">
        <v>1</v>
      </c>
      <c r="I1469" t="s">
        <v>29</v>
      </c>
      <c r="J1469">
        <v>102</v>
      </c>
      <c r="K1469" t="s">
        <v>24</v>
      </c>
      <c r="L1469">
        <v>101</v>
      </c>
    </row>
    <row r="1470" spans="1:12" x14ac:dyDescent="0.25">
      <c r="A1470">
        <v>400579030</v>
      </c>
      <c r="B1470">
        <v>2015</v>
      </c>
      <c r="C1470" s="1">
        <v>42039</v>
      </c>
      <c r="D1470" t="s">
        <v>12</v>
      </c>
      <c r="E1470">
        <v>0</v>
      </c>
      <c r="F1470">
        <v>26</v>
      </c>
      <c r="G1470">
        <v>23</v>
      </c>
      <c r="H1470">
        <v>1</v>
      </c>
      <c r="I1470" t="s">
        <v>12</v>
      </c>
      <c r="J1470">
        <v>91</v>
      </c>
      <c r="K1470" t="s">
        <v>38</v>
      </c>
      <c r="L1470">
        <v>102</v>
      </c>
    </row>
    <row r="1471" spans="1:12" x14ac:dyDescent="0.25">
      <c r="A1471">
        <v>400579030</v>
      </c>
      <c r="B1471">
        <v>2015</v>
      </c>
      <c r="C1471" s="1">
        <v>42039</v>
      </c>
      <c r="D1471" t="s">
        <v>38</v>
      </c>
      <c r="E1471">
        <v>1</v>
      </c>
      <c r="F1471">
        <v>25</v>
      </c>
      <c r="G1471">
        <v>24</v>
      </c>
      <c r="H1471">
        <v>0</v>
      </c>
      <c r="I1471" t="s">
        <v>12</v>
      </c>
      <c r="J1471">
        <v>91</v>
      </c>
      <c r="K1471" t="s">
        <v>38</v>
      </c>
      <c r="L1471">
        <v>102</v>
      </c>
    </row>
    <row r="1472" spans="1:12" x14ac:dyDescent="0.25">
      <c r="A1472">
        <v>400579031</v>
      </c>
      <c r="B1472">
        <v>2015</v>
      </c>
      <c r="C1472" s="1">
        <v>42039</v>
      </c>
      <c r="D1472" t="s">
        <v>13</v>
      </c>
      <c r="E1472">
        <v>0</v>
      </c>
      <c r="F1472">
        <v>15</v>
      </c>
      <c r="G1472">
        <v>37</v>
      </c>
      <c r="H1472">
        <v>0</v>
      </c>
      <c r="I1472" t="s">
        <v>15</v>
      </c>
      <c r="J1472">
        <v>110</v>
      </c>
      <c r="K1472" t="s">
        <v>13</v>
      </c>
      <c r="L1472">
        <v>103</v>
      </c>
    </row>
    <row r="1473" spans="1:12" x14ac:dyDescent="0.25">
      <c r="A1473">
        <v>400579031</v>
      </c>
      <c r="B1473">
        <v>2015</v>
      </c>
      <c r="C1473" s="1">
        <v>42039</v>
      </c>
      <c r="D1473" t="s">
        <v>15</v>
      </c>
      <c r="E1473">
        <v>1</v>
      </c>
      <c r="F1473">
        <v>31</v>
      </c>
      <c r="G1473">
        <v>18</v>
      </c>
      <c r="H1473">
        <v>1</v>
      </c>
      <c r="I1473" t="s">
        <v>15</v>
      </c>
      <c r="J1473">
        <v>110</v>
      </c>
      <c r="K1473" t="s">
        <v>13</v>
      </c>
      <c r="L1473">
        <v>103</v>
      </c>
    </row>
    <row r="1474" spans="1:12" x14ac:dyDescent="0.25">
      <c r="A1474">
        <v>400579032</v>
      </c>
      <c r="B1474">
        <v>2015</v>
      </c>
      <c r="C1474" s="1">
        <v>42039</v>
      </c>
      <c r="D1474" t="s">
        <v>28</v>
      </c>
      <c r="E1474">
        <v>1</v>
      </c>
      <c r="F1474">
        <v>37</v>
      </c>
      <c r="G1474">
        <v>12</v>
      </c>
      <c r="H1474">
        <v>0</v>
      </c>
      <c r="I1474" t="s">
        <v>34</v>
      </c>
      <c r="J1474">
        <v>90</v>
      </c>
      <c r="K1474" t="s">
        <v>28</v>
      </c>
      <c r="L1474">
        <v>100</v>
      </c>
    </row>
    <row r="1475" spans="1:12" x14ac:dyDescent="0.25">
      <c r="A1475">
        <v>400579032</v>
      </c>
      <c r="B1475">
        <v>2015</v>
      </c>
      <c r="C1475" s="1">
        <v>42039</v>
      </c>
      <c r="D1475" t="s">
        <v>34</v>
      </c>
      <c r="E1475">
        <v>0</v>
      </c>
      <c r="F1475">
        <v>17</v>
      </c>
      <c r="G1475">
        <v>32</v>
      </c>
      <c r="H1475">
        <v>1</v>
      </c>
      <c r="I1475" t="s">
        <v>34</v>
      </c>
      <c r="J1475">
        <v>90</v>
      </c>
      <c r="K1475" t="s">
        <v>28</v>
      </c>
      <c r="L1475">
        <v>100</v>
      </c>
    </row>
    <row r="1476" spans="1:12" x14ac:dyDescent="0.25">
      <c r="A1476">
        <v>400579033</v>
      </c>
      <c r="B1476">
        <v>2015</v>
      </c>
      <c r="C1476" s="1">
        <v>42039</v>
      </c>
      <c r="D1476" t="s">
        <v>14</v>
      </c>
      <c r="E1476">
        <v>0</v>
      </c>
      <c r="F1476">
        <v>33</v>
      </c>
      <c r="G1476">
        <v>18</v>
      </c>
      <c r="H1476">
        <v>0</v>
      </c>
      <c r="I1476" t="s">
        <v>36</v>
      </c>
      <c r="J1476">
        <v>128</v>
      </c>
      <c r="K1476" t="s">
        <v>14</v>
      </c>
      <c r="L1476">
        <v>114</v>
      </c>
    </row>
    <row r="1477" spans="1:12" x14ac:dyDescent="0.25">
      <c r="A1477">
        <v>400579033</v>
      </c>
      <c r="B1477">
        <v>2015</v>
      </c>
      <c r="C1477" s="1">
        <v>42039</v>
      </c>
      <c r="D1477" t="s">
        <v>36</v>
      </c>
      <c r="E1477">
        <v>1</v>
      </c>
      <c r="F1477">
        <v>39</v>
      </c>
      <c r="G1477">
        <v>8</v>
      </c>
      <c r="H1477">
        <v>1</v>
      </c>
      <c r="I1477" t="s">
        <v>36</v>
      </c>
      <c r="J1477">
        <v>128</v>
      </c>
      <c r="K1477" t="s">
        <v>14</v>
      </c>
      <c r="L1477">
        <v>114</v>
      </c>
    </row>
    <row r="1478" spans="1:12" x14ac:dyDescent="0.25">
      <c r="A1478">
        <v>400579034</v>
      </c>
      <c r="B1478">
        <v>2015</v>
      </c>
      <c r="C1478" s="1">
        <v>42040</v>
      </c>
      <c r="D1478" t="s">
        <v>18</v>
      </c>
      <c r="E1478">
        <v>1</v>
      </c>
      <c r="F1478">
        <v>22</v>
      </c>
      <c r="G1478">
        <v>27</v>
      </c>
      <c r="H1478">
        <v>1</v>
      </c>
      <c r="I1478" t="s">
        <v>18</v>
      </c>
      <c r="J1478">
        <v>94</v>
      </c>
      <c r="K1478" t="s">
        <v>25</v>
      </c>
      <c r="L1478">
        <v>87</v>
      </c>
    </row>
    <row r="1479" spans="1:12" x14ac:dyDescent="0.25">
      <c r="A1479">
        <v>400579034</v>
      </c>
      <c r="B1479">
        <v>2015</v>
      </c>
      <c r="C1479" s="1">
        <v>42040</v>
      </c>
      <c r="D1479" t="s">
        <v>25</v>
      </c>
      <c r="E1479">
        <v>0</v>
      </c>
      <c r="F1479">
        <v>31</v>
      </c>
      <c r="G1479">
        <v>20</v>
      </c>
      <c r="H1479">
        <v>0</v>
      </c>
      <c r="I1479" t="s">
        <v>18</v>
      </c>
      <c r="J1479">
        <v>94</v>
      </c>
      <c r="K1479" t="s">
        <v>25</v>
      </c>
      <c r="L1479">
        <v>87</v>
      </c>
    </row>
    <row r="1480" spans="1:12" x14ac:dyDescent="0.25">
      <c r="A1480">
        <v>400579035</v>
      </c>
      <c r="B1480">
        <v>2015</v>
      </c>
      <c r="C1480" s="1">
        <v>42040</v>
      </c>
      <c r="D1480" t="s">
        <v>40</v>
      </c>
      <c r="E1480">
        <v>1</v>
      </c>
      <c r="F1480">
        <v>31</v>
      </c>
      <c r="G1480">
        <v>20</v>
      </c>
      <c r="H1480">
        <v>1</v>
      </c>
      <c r="I1480" t="s">
        <v>40</v>
      </c>
      <c r="J1480">
        <v>105</v>
      </c>
      <c r="K1480" t="s">
        <v>41</v>
      </c>
      <c r="L1480">
        <v>94</v>
      </c>
    </row>
    <row r="1481" spans="1:12" x14ac:dyDescent="0.25">
      <c r="A1481">
        <v>400579035</v>
      </c>
      <c r="B1481">
        <v>2015</v>
      </c>
      <c r="C1481" s="1">
        <v>42040</v>
      </c>
      <c r="D1481" t="s">
        <v>41</v>
      </c>
      <c r="E1481">
        <v>0</v>
      </c>
      <c r="F1481">
        <v>33</v>
      </c>
      <c r="G1481">
        <v>17</v>
      </c>
      <c r="H1481">
        <v>0</v>
      </c>
      <c r="I1481" t="s">
        <v>40</v>
      </c>
      <c r="J1481">
        <v>105</v>
      </c>
      <c r="K1481" t="s">
        <v>41</v>
      </c>
      <c r="L1481">
        <v>94</v>
      </c>
    </row>
    <row r="1482" spans="1:12" x14ac:dyDescent="0.25">
      <c r="A1482">
        <v>400579036</v>
      </c>
      <c r="B1482">
        <v>2015</v>
      </c>
      <c r="C1482" s="1">
        <v>42040</v>
      </c>
      <c r="D1482" t="s">
        <v>14</v>
      </c>
      <c r="E1482">
        <v>1</v>
      </c>
      <c r="F1482">
        <v>34</v>
      </c>
      <c r="G1482">
        <v>18</v>
      </c>
      <c r="H1482">
        <v>0</v>
      </c>
      <c r="I1482" t="s">
        <v>37</v>
      </c>
      <c r="J1482">
        <v>78</v>
      </c>
      <c r="K1482" t="s">
        <v>14</v>
      </c>
      <c r="L1482">
        <v>101</v>
      </c>
    </row>
    <row r="1483" spans="1:12" x14ac:dyDescent="0.25">
      <c r="A1483">
        <v>400579036</v>
      </c>
      <c r="B1483">
        <v>2015</v>
      </c>
      <c r="C1483" s="1">
        <v>42040</v>
      </c>
      <c r="D1483" t="s">
        <v>37</v>
      </c>
      <c r="E1483">
        <v>0</v>
      </c>
      <c r="F1483">
        <v>17</v>
      </c>
      <c r="G1483">
        <v>31</v>
      </c>
      <c r="H1483">
        <v>1</v>
      </c>
      <c r="I1483" t="s">
        <v>37</v>
      </c>
      <c r="J1483">
        <v>78</v>
      </c>
      <c r="K1483" t="s">
        <v>14</v>
      </c>
      <c r="L1483">
        <v>101</v>
      </c>
    </row>
    <row r="1484" spans="1:12" x14ac:dyDescent="0.25">
      <c r="A1484">
        <v>400579037</v>
      </c>
      <c r="B1484">
        <v>2015</v>
      </c>
      <c r="C1484" s="1">
        <v>42040</v>
      </c>
      <c r="D1484" t="s">
        <v>35</v>
      </c>
      <c r="E1484">
        <v>0</v>
      </c>
      <c r="F1484">
        <v>28</v>
      </c>
      <c r="G1484">
        <v>23</v>
      </c>
      <c r="H1484">
        <v>0</v>
      </c>
      <c r="I1484" t="s">
        <v>39</v>
      </c>
      <c r="J1484">
        <v>108</v>
      </c>
      <c r="K1484" t="s">
        <v>35</v>
      </c>
      <c r="L1484">
        <v>87</v>
      </c>
    </row>
    <row r="1485" spans="1:12" x14ac:dyDescent="0.25">
      <c r="A1485">
        <v>400579037</v>
      </c>
      <c r="B1485">
        <v>2015</v>
      </c>
      <c r="C1485" s="1">
        <v>42040</v>
      </c>
      <c r="D1485" t="s">
        <v>39</v>
      </c>
      <c r="E1485">
        <v>1</v>
      </c>
      <c r="F1485">
        <v>34</v>
      </c>
      <c r="G1485">
        <v>16</v>
      </c>
      <c r="H1485">
        <v>1</v>
      </c>
      <c r="I1485" t="s">
        <v>39</v>
      </c>
      <c r="J1485">
        <v>108</v>
      </c>
      <c r="K1485" t="s">
        <v>35</v>
      </c>
      <c r="L1485">
        <v>87</v>
      </c>
    </row>
    <row r="1486" spans="1:12" x14ac:dyDescent="0.25">
      <c r="A1486">
        <v>400579038</v>
      </c>
      <c r="B1486">
        <v>2015</v>
      </c>
      <c r="C1486" s="1">
        <v>42041</v>
      </c>
      <c r="D1486" t="s">
        <v>23</v>
      </c>
      <c r="E1486">
        <v>1</v>
      </c>
      <c r="F1486">
        <v>21</v>
      </c>
      <c r="G1486">
        <v>28</v>
      </c>
      <c r="H1486">
        <v>1</v>
      </c>
      <c r="I1486" t="s">
        <v>23</v>
      </c>
      <c r="J1486">
        <v>92</v>
      </c>
      <c r="K1486" t="s">
        <v>31</v>
      </c>
      <c r="L1486">
        <v>88</v>
      </c>
    </row>
    <row r="1487" spans="1:12" x14ac:dyDescent="0.25">
      <c r="A1487">
        <v>400579038</v>
      </c>
      <c r="B1487">
        <v>2015</v>
      </c>
      <c r="C1487" s="1">
        <v>42041</v>
      </c>
      <c r="D1487" t="s">
        <v>31</v>
      </c>
      <c r="E1487">
        <v>0</v>
      </c>
      <c r="F1487">
        <v>10</v>
      </c>
      <c r="G1487">
        <v>40</v>
      </c>
      <c r="H1487">
        <v>0</v>
      </c>
      <c r="I1487" t="s">
        <v>23</v>
      </c>
      <c r="J1487">
        <v>92</v>
      </c>
      <c r="K1487" t="s">
        <v>31</v>
      </c>
      <c r="L1487">
        <v>88</v>
      </c>
    </row>
    <row r="1488" spans="1:12" x14ac:dyDescent="0.25">
      <c r="A1488">
        <v>400579039</v>
      </c>
      <c r="B1488">
        <v>2015</v>
      </c>
      <c r="C1488" s="1">
        <v>42041</v>
      </c>
      <c r="D1488" t="s">
        <v>40</v>
      </c>
      <c r="E1488">
        <v>0</v>
      </c>
      <c r="F1488">
        <v>31</v>
      </c>
      <c r="G1488">
        <v>21</v>
      </c>
      <c r="H1488">
        <v>0</v>
      </c>
      <c r="I1488" t="s">
        <v>20</v>
      </c>
      <c r="J1488">
        <v>103</v>
      </c>
      <c r="K1488" t="s">
        <v>40</v>
      </c>
      <c r="L1488">
        <v>99</v>
      </c>
    </row>
    <row r="1489" spans="1:12" x14ac:dyDescent="0.25">
      <c r="A1489">
        <v>400579039</v>
      </c>
      <c r="B1489">
        <v>2015</v>
      </c>
      <c r="C1489" s="1">
        <v>42041</v>
      </c>
      <c r="D1489" t="s">
        <v>20</v>
      </c>
      <c r="E1489">
        <v>1</v>
      </c>
      <c r="F1489">
        <v>19</v>
      </c>
      <c r="G1489">
        <v>32</v>
      </c>
      <c r="H1489">
        <v>1</v>
      </c>
      <c r="I1489" t="s">
        <v>20</v>
      </c>
      <c r="J1489">
        <v>103</v>
      </c>
      <c r="K1489" t="s">
        <v>40</v>
      </c>
      <c r="L1489">
        <v>99</v>
      </c>
    </row>
    <row r="1490" spans="1:12" x14ac:dyDescent="0.25">
      <c r="A1490">
        <v>400579040</v>
      </c>
      <c r="B1490">
        <v>2015</v>
      </c>
      <c r="C1490" s="1">
        <v>42041</v>
      </c>
      <c r="D1490" t="s">
        <v>17</v>
      </c>
      <c r="E1490">
        <v>0</v>
      </c>
      <c r="F1490">
        <v>13</v>
      </c>
      <c r="G1490">
        <v>37</v>
      </c>
      <c r="H1490">
        <v>0</v>
      </c>
      <c r="I1490" t="s">
        <v>13</v>
      </c>
      <c r="J1490">
        <v>103</v>
      </c>
      <c r="K1490" t="s">
        <v>17</v>
      </c>
      <c r="L1490">
        <v>97</v>
      </c>
    </row>
    <row r="1491" spans="1:12" x14ac:dyDescent="0.25">
      <c r="A1491">
        <v>400579040</v>
      </c>
      <c r="B1491">
        <v>2015</v>
      </c>
      <c r="C1491" s="1">
        <v>42041</v>
      </c>
      <c r="D1491" t="s">
        <v>13</v>
      </c>
      <c r="E1491">
        <v>1</v>
      </c>
      <c r="F1491">
        <v>16</v>
      </c>
      <c r="G1491">
        <v>37</v>
      </c>
      <c r="H1491">
        <v>1</v>
      </c>
      <c r="I1491" t="s">
        <v>13</v>
      </c>
      <c r="J1491">
        <v>103</v>
      </c>
      <c r="K1491" t="s">
        <v>17</v>
      </c>
      <c r="L1491">
        <v>97</v>
      </c>
    </row>
    <row r="1492" spans="1:12" x14ac:dyDescent="0.25">
      <c r="A1492">
        <v>400579041</v>
      </c>
      <c r="B1492">
        <v>2015</v>
      </c>
      <c r="C1492" s="1">
        <v>42041</v>
      </c>
      <c r="D1492" t="s">
        <v>26</v>
      </c>
      <c r="E1492">
        <v>1</v>
      </c>
      <c r="F1492">
        <v>42</v>
      </c>
      <c r="G1492">
        <v>9</v>
      </c>
      <c r="H1492">
        <v>1</v>
      </c>
      <c r="I1492" t="s">
        <v>26</v>
      </c>
      <c r="J1492">
        <v>124</v>
      </c>
      <c r="K1492" t="s">
        <v>36</v>
      </c>
      <c r="L1492">
        <v>116</v>
      </c>
    </row>
    <row r="1493" spans="1:12" x14ac:dyDescent="0.25">
      <c r="A1493">
        <v>400579041</v>
      </c>
      <c r="B1493">
        <v>2015</v>
      </c>
      <c r="C1493" s="1">
        <v>42041</v>
      </c>
      <c r="D1493" t="s">
        <v>36</v>
      </c>
      <c r="E1493">
        <v>0</v>
      </c>
      <c r="F1493">
        <v>39</v>
      </c>
      <c r="G1493">
        <v>9</v>
      </c>
      <c r="H1493">
        <v>0</v>
      </c>
      <c r="I1493" t="s">
        <v>26</v>
      </c>
      <c r="J1493">
        <v>124</v>
      </c>
      <c r="K1493" t="s">
        <v>36</v>
      </c>
      <c r="L1493">
        <v>116</v>
      </c>
    </row>
    <row r="1494" spans="1:12" x14ac:dyDescent="0.25">
      <c r="A1494">
        <v>400579042</v>
      </c>
      <c r="B1494">
        <v>2015</v>
      </c>
      <c r="C1494" s="1">
        <v>42041</v>
      </c>
      <c r="D1494" t="s">
        <v>22</v>
      </c>
      <c r="E1494">
        <v>1</v>
      </c>
      <c r="F1494">
        <v>19</v>
      </c>
      <c r="G1494">
        <v>30</v>
      </c>
      <c r="H1494">
        <v>1</v>
      </c>
      <c r="I1494" t="s">
        <v>22</v>
      </c>
      <c r="J1494">
        <v>107</v>
      </c>
      <c r="K1494" t="s">
        <v>21</v>
      </c>
      <c r="L1494">
        <v>96</v>
      </c>
    </row>
    <row r="1495" spans="1:12" x14ac:dyDescent="0.25">
      <c r="A1495">
        <v>400579042</v>
      </c>
      <c r="B1495">
        <v>2015</v>
      </c>
      <c r="C1495" s="1">
        <v>42041</v>
      </c>
      <c r="D1495" t="s">
        <v>21</v>
      </c>
      <c r="E1495">
        <v>0</v>
      </c>
      <c r="F1495">
        <v>11</v>
      </c>
      <c r="G1495">
        <v>40</v>
      </c>
      <c r="H1495">
        <v>0</v>
      </c>
      <c r="I1495" t="s">
        <v>22</v>
      </c>
      <c r="J1495">
        <v>107</v>
      </c>
      <c r="K1495" t="s">
        <v>21</v>
      </c>
      <c r="L1495">
        <v>96</v>
      </c>
    </row>
    <row r="1496" spans="1:12" x14ac:dyDescent="0.25">
      <c r="A1496">
        <v>400579043</v>
      </c>
      <c r="B1496">
        <v>2015</v>
      </c>
      <c r="C1496" s="1">
        <v>42041</v>
      </c>
      <c r="D1496" t="s">
        <v>32</v>
      </c>
      <c r="E1496">
        <v>0</v>
      </c>
      <c r="F1496">
        <v>19</v>
      </c>
      <c r="G1496">
        <v>32</v>
      </c>
      <c r="H1496">
        <v>0</v>
      </c>
      <c r="I1496" t="s">
        <v>33</v>
      </c>
      <c r="J1496">
        <v>98</v>
      </c>
      <c r="K1496" t="s">
        <v>32</v>
      </c>
      <c r="L1496">
        <v>88</v>
      </c>
    </row>
    <row r="1497" spans="1:12" x14ac:dyDescent="0.25">
      <c r="A1497">
        <v>400579043</v>
      </c>
      <c r="B1497">
        <v>2015</v>
      </c>
      <c r="C1497" s="1">
        <v>42041</v>
      </c>
      <c r="D1497" t="s">
        <v>33</v>
      </c>
      <c r="E1497">
        <v>1</v>
      </c>
      <c r="F1497">
        <v>20</v>
      </c>
      <c r="G1497">
        <v>31</v>
      </c>
      <c r="H1497">
        <v>1</v>
      </c>
      <c r="I1497" t="s">
        <v>33</v>
      </c>
      <c r="J1497">
        <v>98</v>
      </c>
      <c r="K1497" t="s">
        <v>32</v>
      </c>
      <c r="L1497">
        <v>88</v>
      </c>
    </row>
    <row r="1498" spans="1:12" x14ac:dyDescent="0.25">
      <c r="A1498">
        <v>400579044</v>
      </c>
      <c r="B1498">
        <v>2015</v>
      </c>
      <c r="C1498" s="1">
        <v>42041</v>
      </c>
      <c r="D1498" t="s">
        <v>41</v>
      </c>
      <c r="E1498">
        <v>0</v>
      </c>
      <c r="F1498">
        <v>33</v>
      </c>
      <c r="G1498">
        <v>18</v>
      </c>
      <c r="H1498">
        <v>0</v>
      </c>
      <c r="I1498" t="s">
        <v>27</v>
      </c>
      <c r="J1498">
        <v>123</v>
      </c>
      <c r="K1498" t="s">
        <v>41</v>
      </c>
      <c r="L1498">
        <v>107</v>
      </c>
    </row>
    <row r="1499" spans="1:12" x14ac:dyDescent="0.25">
      <c r="A1499">
        <v>400579044</v>
      </c>
      <c r="B1499">
        <v>2015</v>
      </c>
      <c r="C1499" s="1">
        <v>42041</v>
      </c>
      <c r="D1499" t="s">
        <v>27</v>
      </c>
      <c r="E1499">
        <v>1</v>
      </c>
      <c r="F1499">
        <v>34</v>
      </c>
      <c r="G1499">
        <v>17</v>
      </c>
      <c r="H1499">
        <v>1</v>
      </c>
      <c r="I1499" t="s">
        <v>27</v>
      </c>
      <c r="J1499">
        <v>123</v>
      </c>
      <c r="K1499" t="s">
        <v>41</v>
      </c>
      <c r="L1499">
        <v>107</v>
      </c>
    </row>
    <row r="1500" spans="1:12" x14ac:dyDescent="0.25">
      <c r="A1500">
        <v>400579045</v>
      </c>
      <c r="B1500">
        <v>2015</v>
      </c>
      <c r="C1500" s="1">
        <v>42041</v>
      </c>
      <c r="D1500" t="s">
        <v>16</v>
      </c>
      <c r="E1500">
        <v>1</v>
      </c>
      <c r="F1500">
        <v>35</v>
      </c>
      <c r="G1500">
        <v>15</v>
      </c>
      <c r="H1500">
        <v>1</v>
      </c>
      <c r="I1500" t="s">
        <v>16</v>
      </c>
      <c r="J1500">
        <v>117</v>
      </c>
      <c r="K1500" t="s">
        <v>19</v>
      </c>
      <c r="L1500">
        <v>111</v>
      </c>
    </row>
    <row r="1501" spans="1:12" x14ac:dyDescent="0.25">
      <c r="A1501">
        <v>400579045</v>
      </c>
      <c r="B1501">
        <v>2015</v>
      </c>
      <c r="C1501" s="1">
        <v>42041</v>
      </c>
      <c r="D1501" t="s">
        <v>19</v>
      </c>
      <c r="E1501">
        <v>0</v>
      </c>
      <c r="F1501">
        <v>27</v>
      </c>
      <c r="G1501">
        <v>23</v>
      </c>
      <c r="H1501">
        <v>0</v>
      </c>
      <c r="I1501" t="s">
        <v>16</v>
      </c>
      <c r="J1501">
        <v>117</v>
      </c>
      <c r="K1501" t="s">
        <v>19</v>
      </c>
      <c r="L1501">
        <v>111</v>
      </c>
    </row>
    <row r="1502" spans="1:12" x14ac:dyDescent="0.25">
      <c r="A1502">
        <v>400579046</v>
      </c>
      <c r="B1502">
        <v>2015</v>
      </c>
      <c r="C1502" s="1">
        <v>42041</v>
      </c>
      <c r="D1502" t="s">
        <v>28</v>
      </c>
      <c r="E1502">
        <v>0</v>
      </c>
      <c r="F1502">
        <v>37</v>
      </c>
      <c r="G1502">
        <v>13</v>
      </c>
      <c r="H1502">
        <v>0</v>
      </c>
      <c r="I1502" t="s">
        <v>29</v>
      </c>
      <c r="J1502">
        <v>90</v>
      </c>
      <c r="K1502" t="s">
        <v>28</v>
      </c>
      <c r="L1502">
        <v>89</v>
      </c>
    </row>
    <row r="1503" spans="1:12" x14ac:dyDescent="0.25">
      <c r="A1503">
        <v>400579046</v>
      </c>
      <c r="B1503">
        <v>2015</v>
      </c>
      <c r="C1503" s="1">
        <v>42041</v>
      </c>
      <c r="D1503" t="s">
        <v>29</v>
      </c>
      <c r="E1503">
        <v>1</v>
      </c>
      <c r="F1503">
        <v>10</v>
      </c>
      <c r="G1503">
        <v>40</v>
      </c>
      <c r="H1503">
        <v>1</v>
      </c>
      <c r="I1503" t="s">
        <v>29</v>
      </c>
      <c r="J1503">
        <v>90</v>
      </c>
      <c r="K1503" t="s">
        <v>28</v>
      </c>
      <c r="L1503">
        <v>89</v>
      </c>
    </row>
    <row r="1504" spans="1:12" x14ac:dyDescent="0.25">
      <c r="A1504">
        <v>400579047</v>
      </c>
      <c r="B1504">
        <v>2015</v>
      </c>
      <c r="C1504" s="1">
        <v>42041</v>
      </c>
      <c r="D1504" t="s">
        <v>12</v>
      </c>
      <c r="E1504">
        <v>1</v>
      </c>
      <c r="F1504">
        <v>27</v>
      </c>
      <c r="G1504">
        <v>23</v>
      </c>
      <c r="H1504">
        <v>0</v>
      </c>
      <c r="I1504" t="s">
        <v>38</v>
      </c>
      <c r="J1504">
        <v>113</v>
      </c>
      <c r="K1504" t="s">
        <v>12</v>
      </c>
      <c r="L1504">
        <v>116</v>
      </c>
    </row>
    <row r="1505" spans="1:12" x14ac:dyDescent="0.25">
      <c r="A1505">
        <v>400579047</v>
      </c>
      <c r="B1505">
        <v>2015</v>
      </c>
      <c r="C1505" s="1">
        <v>42041</v>
      </c>
      <c r="D1505" t="s">
        <v>38</v>
      </c>
      <c r="E1505">
        <v>0</v>
      </c>
      <c r="F1505">
        <v>25</v>
      </c>
      <c r="G1505">
        <v>25</v>
      </c>
      <c r="H1505">
        <v>1</v>
      </c>
      <c r="I1505" t="s">
        <v>38</v>
      </c>
      <c r="J1505">
        <v>113</v>
      </c>
      <c r="K1505" t="s">
        <v>12</v>
      </c>
      <c r="L1505">
        <v>116</v>
      </c>
    </row>
    <row r="1506" spans="1:12" x14ac:dyDescent="0.25">
      <c r="A1506">
        <v>400579048</v>
      </c>
      <c r="B1506">
        <v>2015</v>
      </c>
      <c r="C1506" s="1">
        <v>42041</v>
      </c>
      <c r="D1506" t="s">
        <v>35</v>
      </c>
      <c r="E1506">
        <v>1</v>
      </c>
      <c r="F1506">
        <v>29</v>
      </c>
      <c r="G1506">
        <v>23</v>
      </c>
      <c r="H1506">
        <v>1</v>
      </c>
      <c r="I1506" t="s">
        <v>35</v>
      </c>
      <c r="J1506">
        <v>100</v>
      </c>
      <c r="K1506" t="s">
        <v>34</v>
      </c>
      <c r="L1506">
        <v>93</v>
      </c>
    </row>
    <row r="1507" spans="1:12" x14ac:dyDescent="0.25">
      <c r="A1507">
        <v>400579048</v>
      </c>
      <c r="B1507">
        <v>2015</v>
      </c>
      <c r="C1507" s="1">
        <v>42041</v>
      </c>
      <c r="D1507" t="s">
        <v>34</v>
      </c>
      <c r="E1507">
        <v>0</v>
      </c>
      <c r="F1507">
        <v>17</v>
      </c>
      <c r="G1507">
        <v>33</v>
      </c>
      <c r="H1507">
        <v>0</v>
      </c>
      <c r="I1507" t="s">
        <v>35</v>
      </c>
      <c r="J1507">
        <v>100</v>
      </c>
      <c r="K1507" t="s">
        <v>34</v>
      </c>
      <c r="L1507">
        <v>93</v>
      </c>
    </row>
    <row r="1508" spans="1:12" x14ac:dyDescent="0.25">
      <c r="A1508">
        <v>400579049</v>
      </c>
      <c r="B1508">
        <v>2015</v>
      </c>
      <c r="C1508" s="1">
        <v>42041</v>
      </c>
      <c r="D1508" t="s">
        <v>24</v>
      </c>
      <c r="E1508">
        <v>0</v>
      </c>
      <c r="F1508">
        <v>21</v>
      </c>
      <c r="G1508">
        <v>29</v>
      </c>
      <c r="H1508">
        <v>0</v>
      </c>
      <c r="I1508" t="s">
        <v>15</v>
      </c>
      <c r="J1508">
        <v>98</v>
      </c>
      <c r="K1508" t="s">
        <v>24</v>
      </c>
      <c r="L1508">
        <v>85</v>
      </c>
    </row>
    <row r="1509" spans="1:12" x14ac:dyDescent="0.25">
      <c r="A1509">
        <v>400579049</v>
      </c>
      <c r="B1509">
        <v>2015</v>
      </c>
      <c r="C1509" s="1">
        <v>42041</v>
      </c>
      <c r="D1509" t="s">
        <v>15</v>
      </c>
      <c r="E1509">
        <v>1</v>
      </c>
      <c r="F1509">
        <v>32</v>
      </c>
      <c r="G1509">
        <v>18</v>
      </c>
      <c r="H1509">
        <v>1</v>
      </c>
      <c r="I1509" t="s">
        <v>15</v>
      </c>
      <c r="J1509">
        <v>98</v>
      </c>
      <c r="K1509" t="s">
        <v>24</v>
      </c>
      <c r="L1509">
        <v>85</v>
      </c>
    </row>
    <row r="1510" spans="1:12" x14ac:dyDescent="0.25">
      <c r="A1510">
        <v>400579050</v>
      </c>
      <c r="B1510">
        <v>2015</v>
      </c>
      <c r="C1510" s="1">
        <v>42042</v>
      </c>
      <c r="D1510" t="s">
        <v>30</v>
      </c>
      <c r="E1510">
        <v>1</v>
      </c>
      <c r="F1510">
        <v>31</v>
      </c>
      <c r="G1510">
        <v>20</v>
      </c>
      <c r="H1510">
        <v>0</v>
      </c>
      <c r="I1510" t="s">
        <v>12</v>
      </c>
      <c r="J1510">
        <v>72</v>
      </c>
      <c r="K1510" t="s">
        <v>30</v>
      </c>
      <c r="L1510">
        <v>107</v>
      </c>
    </row>
    <row r="1511" spans="1:12" x14ac:dyDescent="0.25">
      <c r="A1511">
        <v>400579050</v>
      </c>
      <c r="B1511">
        <v>2015</v>
      </c>
      <c r="C1511" s="1">
        <v>42042</v>
      </c>
      <c r="D1511" t="s">
        <v>12</v>
      </c>
      <c r="E1511">
        <v>0</v>
      </c>
      <c r="F1511">
        <v>27</v>
      </c>
      <c r="G1511">
        <v>24</v>
      </c>
      <c r="H1511">
        <v>1</v>
      </c>
      <c r="I1511" t="s">
        <v>12</v>
      </c>
      <c r="J1511">
        <v>72</v>
      </c>
      <c r="K1511" t="s">
        <v>30</v>
      </c>
      <c r="L1511">
        <v>107</v>
      </c>
    </row>
    <row r="1512" spans="1:12" x14ac:dyDescent="0.25">
      <c r="A1512">
        <v>400579051</v>
      </c>
      <c r="B1512">
        <v>2015</v>
      </c>
      <c r="C1512" s="1">
        <v>42042</v>
      </c>
      <c r="D1512" t="s">
        <v>23</v>
      </c>
      <c r="E1512">
        <v>0</v>
      </c>
      <c r="F1512">
        <v>21</v>
      </c>
      <c r="G1512">
        <v>29</v>
      </c>
      <c r="H1512">
        <v>0</v>
      </c>
      <c r="I1512" t="s">
        <v>25</v>
      </c>
      <c r="J1512">
        <v>114</v>
      </c>
      <c r="K1512" t="s">
        <v>23</v>
      </c>
      <c r="L1512">
        <v>77</v>
      </c>
    </row>
    <row r="1513" spans="1:12" x14ac:dyDescent="0.25">
      <c r="A1513">
        <v>400579051</v>
      </c>
      <c r="B1513">
        <v>2015</v>
      </c>
      <c r="C1513" s="1">
        <v>42042</v>
      </c>
      <c r="D1513" t="s">
        <v>25</v>
      </c>
      <c r="E1513">
        <v>1</v>
      </c>
      <c r="F1513">
        <v>32</v>
      </c>
      <c r="G1513">
        <v>20</v>
      </c>
      <c r="H1513">
        <v>1</v>
      </c>
      <c r="I1513" t="s">
        <v>25</v>
      </c>
      <c r="J1513">
        <v>114</v>
      </c>
      <c r="K1513" t="s">
        <v>23</v>
      </c>
      <c r="L1513">
        <v>77</v>
      </c>
    </row>
    <row r="1514" spans="1:12" x14ac:dyDescent="0.25">
      <c r="A1514">
        <v>400579052</v>
      </c>
      <c r="B1514">
        <v>2015</v>
      </c>
      <c r="C1514" s="1">
        <v>42042</v>
      </c>
      <c r="D1514" t="s">
        <v>36</v>
      </c>
      <c r="E1514">
        <v>1</v>
      </c>
      <c r="F1514">
        <v>40</v>
      </c>
      <c r="G1514">
        <v>9</v>
      </c>
      <c r="H1514">
        <v>0</v>
      </c>
      <c r="I1514" t="s">
        <v>31</v>
      </c>
      <c r="J1514">
        <v>92</v>
      </c>
      <c r="K1514" t="s">
        <v>36</v>
      </c>
      <c r="L1514">
        <v>106</v>
      </c>
    </row>
    <row r="1515" spans="1:12" x14ac:dyDescent="0.25">
      <c r="A1515">
        <v>400579052</v>
      </c>
      <c r="B1515">
        <v>2015</v>
      </c>
      <c r="C1515" s="1">
        <v>42042</v>
      </c>
      <c r="D1515" t="s">
        <v>31</v>
      </c>
      <c r="E1515">
        <v>0</v>
      </c>
      <c r="F1515">
        <v>10</v>
      </c>
      <c r="G1515">
        <v>41</v>
      </c>
      <c r="H1515">
        <v>1</v>
      </c>
      <c r="I1515" t="s">
        <v>31</v>
      </c>
      <c r="J1515">
        <v>92</v>
      </c>
      <c r="K1515" t="s">
        <v>36</v>
      </c>
      <c r="L1515">
        <v>106</v>
      </c>
    </row>
    <row r="1516" spans="1:12" x14ac:dyDescent="0.25">
      <c r="A1516">
        <v>400579053</v>
      </c>
      <c r="B1516">
        <v>2015</v>
      </c>
      <c r="C1516" s="1">
        <v>42042</v>
      </c>
      <c r="D1516" t="s">
        <v>18</v>
      </c>
      <c r="E1516">
        <v>0</v>
      </c>
      <c r="F1516">
        <v>22</v>
      </c>
      <c r="G1516">
        <v>28</v>
      </c>
      <c r="H1516">
        <v>0</v>
      </c>
      <c r="I1516" t="s">
        <v>21</v>
      </c>
      <c r="J1516">
        <v>89</v>
      </c>
      <c r="K1516" t="s">
        <v>18</v>
      </c>
      <c r="L1516">
        <v>81</v>
      </c>
    </row>
    <row r="1517" spans="1:12" x14ac:dyDescent="0.25">
      <c r="A1517">
        <v>400579053</v>
      </c>
      <c r="B1517">
        <v>2015</v>
      </c>
      <c r="C1517" s="1">
        <v>42042</v>
      </c>
      <c r="D1517" t="s">
        <v>21</v>
      </c>
      <c r="E1517">
        <v>1</v>
      </c>
      <c r="F1517">
        <v>12</v>
      </c>
      <c r="G1517">
        <v>40</v>
      </c>
      <c r="H1517">
        <v>1</v>
      </c>
      <c r="I1517" t="s">
        <v>21</v>
      </c>
      <c r="J1517">
        <v>89</v>
      </c>
      <c r="K1517" t="s">
        <v>18</v>
      </c>
      <c r="L1517">
        <v>81</v>
      </c>
    </row>
    <row r="1518" spans="1:12" x14ac:dyDescent="0.25">
      <c r="A1518">
        <v>400579054</v>
      </c>
      <c r="B1518">
        <v>2015</v>
      </c>
      <c r="C1518" s="1">
        <v>42042</v>
      </c>
      <c r="D1518" t="s">
        <v>14</v>
      </c>
      <c r="E1518">
        <v>1</v>
      </c>
      <c r="F1518">
        <v>35</v>
      </c>
      <c r="G1518">
        <v>18</v>
      </c>
      <c r="H1518">
        <v>1</v>
      </c>
      <c r="I1518" t="s">
        <v>14</v>
      </c>
      <c r="J1518">
        <v>111</v>
      </c>
      <c r="K1518" t="s">
        <v>39</v>
      </c>
      <c r="L1518">
        <v>101</v>
      </c>
    </row>
    <row r="1519" spans="1:12" x14ac:dyDescent="0.25">
      <c r="A1519">
        <v>400579054</v>
      </c>
      <c r="B1519">
        <v>2015</v>
      </c>
      <c r="C1519" s="1">
        <v>42042</v>
      </c>
      <c r="D1519" t="s">
        <v>39</v>
      </c>
      <c r="E1519">
        <v>0</v>
      </c>
      <c r="F1519">
        <v>34</v>
      </c>
      <c r="G1519">
        <v>17</v>
      </c>
      <c r="H1519">
        <v>0</v>
      </c>
      <c r="I1519" t="s">
        <v>14</v>
      </c>
      <c r="J1519">
        <v>111</v>
      </c>
      <c r="K1519" t="s">
        <v>39</v>
      </c>
      <c r="L1519">
        <v>101</v>
      </c>
    </row>
    <row r="1520" spans="1:12" x14ac:dyDescent="0.25">
      <c r="A1520">
        <v>400579055</v>
      </c>
      <c r="B1520">
        <v>2015</v>
      </c>
      <c r="C1520" s="1">
        <v>42042</v>
      </c>
      <c r="D1520" t="s">
        <v>22</v>
      </c>
      <c r="E1520">
        <v>0</v>
      </c>
      <c r="F1520">
        <v>19</v>
      </c>
      <c r="G1520">
        <v>31</v>
      </c>
      <c r="H1520">
        <v>0</v>
      </c>
      <c r="I1520" t="s">
        <v>19</v>
      </c>
      <c r="J1520">
        <v>96</v>
      </c>
      <c r="K1520" t="s">
        <v>22</v>
      </c>
      <c r="L1520">
        <v>93</v>
      </c>
    </row>
    <row r="1521" spans="1:12" x14ac:dyDescent="0.25">
      <c r="A1521">
        <v>400579055</v>
      </c>
      <c r="B1521">
        <v>2015</v>
      </c>
      <c r="C1521" s="1">
        <v>42042</v>
      </c>
      <c r="D1521" t="s">
        <v>19</v>
      </c>
      <c r="E1521">
        <v>1</v>
      </c>
      <c r="F1521">
        <v>28</v>
      </c>
      <c r="G1521">
        <v>23</v>
      </c>
      <c r="H1521">
        <v>1</v>
      </c>
      <c r="I1521" t="s">
        <v>19</v>
      </c>
      <c r="J1521">
        <v>96</v>
      </c>
      <c r="K1521" t="s">
        <v>22</v>
      </c>
      <c r="L1521">
        <v>93</v>
      </c>
    </row>
    <row r="1522" spans="1:12" x14ac:dyDescent="0.25">
      <c r="A1522">
        <v>400579056</v>
      </c>
      <c r="B1522">
        <v>2015</v>
      </c>
      <c r="C1522" s="1">
        <v>42042</v>
      </c>
      <c r="D1522" t="s">
        <v>37</v>
      </c>
      <c r="E1522">
        <v>0</v>
      </c>
      <c r="F1522">
        <v>17</v>
      </c>
      <c r="G1522">
        <v>32</v>
      </c>
      <c r="H1522">
        <v>0</v>
      </c>
      <c r="I1522" t="s">
        <v>34</v>
      </c>
      <c r="J1522">
        <v>102</v>
      </c>
      <c r="K1522" t="s">
        <v>37</v>
      </c>
      <c r="L1522">
        <v>90</v>
      </c>
    </row>
    <row r="1523" spans="1:12" x14ac:dyDescent="0.25">
      <c r="A1523">
        <v>400579056</v>
      </c>
      <c r="B1523">
        <v>2015</v>
      </c>
      <c r="C1523" s="1">
        <v>42042</v>
      </c>
      <c r="D1523" t="s">
        <v>34</v>
      </c>
      <c r="E1523">
        <v>1</v>
      </c>
      <c r="F1523">
        <v>18</v>
      </c>
      <c r="G1523">
        <v>33</v>
      </c>
      <c r="H1523">
        <v>1</v>
      </c>
      <c r="I1523" t="s">
        <v>34</v>
      </c>
      <c r="J1523">
        <v>102</v>
      </c>
      <c r="K1523" t="s">
        <v>37</v>
      </c>
      <c r="L1523">
        <v>90</v>
      </c>
    </row>
    <row r="1524" spans="1:12" x14ac:dyDescent="0.25">
      <c r="A1524">
        <v>400579057</v>
      </c>
      <c r="B1524">
        <v>2015</v>
      </c>
      <c r="C1524" s="1">
        <v>42043</v>
      </c>
      <c r="D1524" t="s">
        <v>41</v>
      </c>
      <c r="E1524">
        <v>0</v>
      </c>
      <c r="F1524">
        <v>33</v>
      </c>
      <c r="G1524">
        <v>19</v>
      </c>
      <c r="H1524">
        <v>0</v>
      </c>
      <c r="I1524" t="s">
        <v>38</v>
      </c>
      <c r="J1524">
        <v>131</v>
      </c>
      <c r="K1524" t="s">
        <v>41</v>
      </c>
      <c r="L1524">
        <v>108</v>
      </c>
    </row>
    <row r="1525" spans="1:12" x14ac:dyDescent="0.25">
      <c r="A1525">
        <v>400579057</v>
      </c>
      <c r="B1525">
        <v>2015</v>
      </c>
      <c r="C1525" s="1">
        <v>42043</v>
      </c>
      <c r="D1525" t="s">
        <v>38</v>
      </c>
      <c r="E1525">
        <v>1</v>
      </c>
      <c r="F1525">
        <v>26</v>
      </c>
      <c r="G1525">
        <v>25</v>
      </c>
      <c r="H1525">
        <v>1</v>
      </c>
      <c r="I1525" t="s">
        <v>38</v>
      </c>
      <c r="J1525">
        <v>131</v>
      </c>
      <c r="K1525" t="s">
        <v>41</v>
      </c>
      <c r="L1525">
        <v>108</v>
      </c>
    </row>
    <row r="1526" spans="1:12" x14ac:dyDescent="0.25">
      <c r="A1526">
        <v>400579058</v>
      </c>
      <c r="B1526">
        <v>2015</v>
      </c>
      <c r="C1526" s="1">
        <v>42043</v>
      </c>
      <c r="D1526" t="s">
        <v>40</v>
      </c>
      <c r="E1526">
        <v>1</v>
      </c>
      <c r="F1526">
        <v>32</v>
      </c>
      <c r="G1526">
        <v>21</v>
      </c>
      <c r="H1526">
        <v>1</v>
      </c>
      <c r="I1526" t="s">
        <v>40</v>
      </c>
      <c r="J1526">
        <v>120</v>
      </c>
      <c r="K1526" t="s">
        <v>17</v>
      </c>
      <c r="L1526">
        <v>105</v>
      </c>
    </row>
    <row r="1527" spans="1:12" x14ac:dyDescent="0.25">
      <c r="A1527">
        <v>400579058</v>
      </c>
      <c r="B1527">
        <v>2015</v>
      </c>
      <c r="C1527" s="1">
        <v>42043</v>
      </c>
      <c r="D1527" t="s">
        <v>17</v>
      </c>
      <c r="E1527">
        <v>0</v>
      </c>
      <c r="F1527">
        <v>13</v>
      </c>
      <c r="G1527">
        <v>38</v>
      </c>
      <c r="H1527">
        <v>0</v>
      </c>
      <c r="I1527" t="s">
        <v>40</v>
      </c>
      <c r="J1527">
        <v>120</v>
      </c>
      <c r="K1527" t="s">
        <v>17</v>
      </c>
      <c r="L1527">
        <v>105</v>
      </c>
    </row>
    <row r="1528" spans="1:12" x14ac:dyDescent="0.25">
      <c r="A1528">
        <v>400579059</v>
      </c>
      <c r="B1528">
        <v>2015</v>
      </c>
      <c r="C1528" s="1">
        <v>42043</v>
      </c>
      <c r="D1528" t="s">
        <v>26</v>
      </c>
      <c r="E1528">
        <v>0</v>
      </c>
      <c r="F1528">
        <v>42</v>
      </c>
      <c r="G1528">
        <v>10</v>
      </c>
      <c r="H1528">
        <v>0</v>
      </c>
      <c r="I1528" t="s">
        <v>28</v>
      </c>
      <c r="J1528">
        <v>94</v>
      </c>
      <c r="K1528" t="s">
        <v>26</v>
      </c>
      <c r="L1528">
        <v>88</v>
      </c>
    </row>
    <row r="1529" spans="1:12" x14ac:dyDescent="0.25">
      <c r="A1529">
        <v>400579059</v>
      </c>
      <c r="B1529">
        <v>2015</v>
      </c>
      <c r="C1529" s="1">
        <v>42043</v>
      </c>
      <c r="D1529" t="s">
        <v>28</v>
      </c>
      <c r="E1529">
        <v>1</v>
      </c>
      <c r="F1529">
        <v>38</v>
      </c>
      <c r="G1529">
        <v>13</v>
      </c>
      <c r="H1529">
        <v>1</v>
      </c>
      <c r="I1529" t="s">
        <v>28</v>
      </c>
      <c r="J1529">
        <v>94</v>
      </c>
      <c r="K1529" t="s">
        <v>26</v>
      </c>
      <c r="L1529">
        <v>88</v>
      </c>
    </row>
    <row r="1530" spans="1:12" x14ac:dyDescent="0.25">
      <c r="A1530">
        <v>400579060</v>
      </c>
      <c r="B1530">
        <v>2015</v>
      </c>
      <c r="C1530" s="1">
        <v>42043</v>
      </c>
      <c r="D1530" t="s">
        <v>18</v>
      </c>
      <c r="E1530">
        <v>0</v>
      </c>
      <c r="F1530">
        <v>22</v>
      </c>
      <c r="G1530">
        <v>29</v>
      </c>
      <c r="H1530">
        <v>1</v>
      </c>
      <c r="I1530" t="s">
        <v>18</v>
      </c>
      <c r="J1530">
        <v>102</v>
      </c>
      <c r="K1530" t="s">
        <v>20</v>
      </c>
      <c r="L1530">
        <v>103</v>
      </c>
    </row>
    <row r="1531" spans="1:12" x14ac:dyDescent="0.25">
      <c r="A1531">
        <v>400579060</v>
      </c>
      <c r="B1531">
        <v>2015</v>
      </c>
      <c r="C1531" s="1">
        <v>42043</v>
      </c>
      <c r="D1531" t="s">
        <v>20</v>
      </c>
      <c r="E1531">
        <v>1</v>
      </c>
      <c r="F1531">
        <v>20</v>
      </c>
      <c r="G1531">
        <v>32</v>
      </c>
      <c r="H1531">
        <v>0</v>
      </c>
      <c r="I1531" t="s">
        <v>18</v>
      </c>
      <c r="J1531">
        <v>102</v>
      </c>
      <c r="K1531" t="s">
        <v>20</v>
      </c>
      <c r="L1531">
        <v>103</v>
      </c>
    </row>
    <row r="1532" spans="1:12" x14ac:dyDescent="0.25">
      <c r="A1532">
        <v>400579061</v>
      </c>
      <c r="B1532">
        <v>2015</v>
      </c>
      <c r="C1532" s="1">
        <v>42043</v>
      </c>
      <c r="D1532" t="s">
        <v>33</v>
      </c>
      <c r="E1532">
        <v>0</v>
      </c>
      <c r="F1532">
        <v>20</v>
      </c>
      <c r="G1532">
        <v>32</v>
      </c>
      <c r="H1532">
        <v>1</v>
      </c>
      <c r="I1532" t="s">
        <v>33</v>
      </c>
      <c r="J1532">
        <v>101</v>
      </c>
      <c r="K1532" t="s">
        <v>29</v>
      </c>
      <c r="L1532">
        <v>112</v>
      </c>
    </row>
    <row r="1533" spans="1:12" x14ac:dyDescent="0.25">
      <c r="A1533">
        <v>400579061</v>
      </c>
      <c r="B1533">
        <v>2015</v>
      </c>
      <c r="C1533" s="1">
        <v>42043</v>
      </c>
      <c r="D1533" t="s">
        <v>29</v>
      </c>
      <c r="E1533">
        <v>1</v>
      </c>
      <c r="F1533">
        <v>11</v>
      </c>
      <c r="G1533">
        <v>40</v>
      </c>
      <c r="H1533">
        <v>0</v>
      </c>
      <c r="I1533" t="s">
        <v>33</v>
      </c>
      <c r="J1533">
        <v>101</v>
      </c>
      <c r="K1533" t="s">
        <v>29</v>
      </c>
      <c r="L1533">
        <v>112</v>
      </c>
    </row>
    <row r="1534" spans="1:12" x14ac:dyDescent="0.25">
      <c r="A1534">
        <v>400579062</v>
      </c>
      <c r="B1534">
        <v>2015</v>
      </c>
      <c r="C1534" s="1">
        <v>42043</v>
      </c>
      <c r="D1534" t="s">
        <v>30</v>
      </c>
      <c r="E1534">
        <v>1</v>
      </c>
      <c r="F1534">
        <v>32</v>
      </c>
      <c r="G1534">
        <v>20</v>
      </c>
      <c r="H1534">
        <v>0</v>
      </c>
      <c r="I1534" t="s">
        <v>13</v>
      </c>
      <c r="J1534">
        <v>97</v>
      </c>
      <c r="K1534" t="s">
        <v>30</v>
      </c>
      <c r="L1534">
        <v>98</v>
      </c>
    </row>
    <row r="1535" spans="1:12" x14ac:dyDescent="0.25">
      <c r="A1535">
        <v>400579062</v>
      </c>
      <c r="B1535">
        <v>2015</v>
      </c>
      <c r="C1535" s="1">
        <v>42043</v>
      </c>
      <c r="D1535" t="s">
        <v>13</v>
      </c>
      <c r="E1535">
        <v>0</v>
      </c>
      <c r="F1535">
        <v>16</v>
      </c>
      <c r="G1535">
        <v>38</v>
      </c>
      <c r="H1535">
        <v>1</v>
      </c>
      <c r="I1535" t="s">
        <v>13</v>
      </c>
      <c r="J1535">
        <v>97</v>
      </c>
      <c r="K1535" t="s">
        <v>30</v>
      </c>
      <c r="L1535">
        <v>98</v>
      </c>
    </row>
    <row r="1536" spans="1:12" x14ac:dyDescent="0.25">
      <c r="A1536">
        <v>400579063</v>
      </c>
      <c r="B1536">
        <v>2015</v>
      </c>
      <c r="C1536" s="1">
        <v>42043</v>
      </c>
      <c r="D1536" t="s">
        <v>16</v>
      </c>
      <c r="E1536">
        <v>0</v>
      </c>
      <c r="F1536">
        <v>35</v>
      </c>
      <c r="G1536">
        <v>16</v>
      </c>
      <c r="H1536">
        <v>1</v>
      </c>
      <c r="I1536" t="s">
        <v>16</v>
      </c>
      <c r="J1536">
        <v>98</v>
      </c>
      <c r="K1536" t="s">
        <v>39</v>
      </c>
      <c r="L1536">
        <v>109</v>
      </c>
    </row>
    <row r="1537" spans="1:12" x14ac:dyDescent="0.25">
      <c r="A1537">
        <v>400579063</v>
      </c>
      <c r="B1537">
        <v>2015</v>
      </c>
      <c r="C1537" s="1">
        <v>42043</v>
      </c>
      <c r="D1537" t="s">
        <v>39</v>
      </c>
      <c r="E1537">
        <v>1</v>
      </c>
      <c r="F1537">
        <v>35</v>
      </c>
      <c r="G1537">
        <v>17</v>
      </c>
      <c r="H1537">
        <v>0</v>
      </c>
      <c r="I1537" t="s">
        <v>16</v>
      </c>
      <c r="J1537">
        <v>98</v>
      </c>
      <c r="K1537" t="s">
        <v>39</v>
      </c>
      <c r="L1537">
        <v>109</v>
      </c>
    </row>
    <row r="1538" spans="1:12" x14ac:dyDescent="0.25">
      <c r="A1538">
        <v>400579064</v>
      </c>
      <c r="B1538">
        <v>2015</v>
      </c>
      <c r="C1538" s="1">
        <v>42043</v>
      </c>
      <c r="D1538" t="s">
        <v>15</v>
      </c>
      <c r="E1538">
        <v>0</v>
      </c>
      <c r="F1538">
        <v>32</v>
      </c>
      <c r="G1538">
        <v>19</v>
      </c>
      <c r="H1538">
        <v>0</v>
      </c>
      <c r="I1538" t="s">
        <v>27</v>
      </c>
      <c r="J1538">
        <v>87</v>
      </c>
      <c r="K1538" t="s">
        <v>15</v>
      </c>
      <c r="L1538">
        <v>82</v>
      </c>
    </row>
    <row r="1539" spans="1:12" x14ac:dyDescent="0.25">
      <c r="A1539">
        <v>400579064</v>
      </c>
      <c r="B1539">
        <v>2015</v>
      </c>
      <c r="C1539" s="1">
        <v>42043</v>
      </c>
      <c r="D1539" t="s">
        <v>27</v>
      </c>
      <c r="E1539">
        <v>1</v>
      </c>
      <c r="F1539">
        <v>35</v>
      </c>
      <c r="G1539">
        <v>17</v>
      </c>
      <c r="H1539">
        <v>1</v>
      </c>
      <c r="I1539" t="s">
        <v>27</v>
      </c>
      <c r="J1539">
        <v>87</v>
      </c>
      <c r="K1539" t="s">
        <v>15</v>
      </c>
      <c r="L1539">
        <v>82</v>
      </c>
    </row>
    <row r="1540" spans="1:12" x14ac:dyDescent="0.25">
      <c r="A1540">
        <v>400579065</v>
      </c>
      <c r="B1540">
        <v>2015</v>
      </c>
      <c r="C1540" s="1">
        <v>42043</v>
      </c>
      <c r="D1540" t="s">
        <v>35</v>
      </c>
      <c r="E1540">
        <v>0</v>
      </c>
      <c r="F1540">
        <v>29</v>
      </c>
      <c r="G1540">
        <v>24</v>
      </c>
      <c r="H1540">
        <v>0</v>
      </c>
      <c r="I1540" t="s">
        <v>37</v>
      </c>
      <c r="J1540">
        <v>85</v>
      </c>
      <c r="K1540" t="s">
        <v>35</v>
      </c>
      <c r="L1540">
        <v>83</v>
      </c>
    </row>
    <row r="1541" spans="1:12" x14ac:dyDescent="0.25">
      <c r="A1541">
        <v>400579065</v>
      </c>
      <c r="B1541">
        <v>2015</v>
      </c>
      <c r="C1541" s="1">
        <v>42043</v>
      </c>
      <c r="D1541" t="s">
        <v>37</v>
      </c>
      <c r="E1541">
        <v>1</v>
      </c>
      <c r="F1541">
        <v>18</v>
      </c>
      <c r="G1541">
        <v>32</v>
      </c>
      <c r="H1541">
        <v>1</v>
      </c>
      <c r="I1541" t="s">
        <v>37</v>
      </c>
      <c r="J1541">
        <v>85</v>
      </c>
      <c r="K1541" t="s">
        <v>35</v>
      </c>
      <c r="L1541">
        <v>83</v>
      </c>
    </row>
    <row r="1542" spans="1:12" x14ac:dyDescent="0.25">
      <c r="A1542">
        <v>400579066</v>
      </c>
      <c r="B1542">
        <v>2015</v>
      </c>
      <c r="C1542" s="1">
        <v>42044</v>
      </c>
      <c r="D1542" t="s">
        <v>20</v>
      </c>
      <c r="E1542">
        <v>0</v>
      </c>
      <c r="F1542">
        <v>20</v>
      </c>
      <c r="G1542">
        <v>33</v>
      </c>
      <c r="H1542">
        <v>1</v>
      </c>
      <c r="I1542" t="s">
        <v>20</v>
      </c>
      <c r="J1542">
        <v>93</v>
      </c>
      <c r="K1542" t="s">
        <v>15</v>
      </c>
      <c r="L1542">
        <v>95</v>
      </c>
    </row>
    <row r="1543" spans="1:12" x14ac:dyDescent="0.25">
      <c r="A1543">
        <v>400579066</v>
      </c>
      <c r="B1543">
        <v>2015</v>
      </c>
      <c r="C1543" s="1">
        <v>42044</v>
      </c>
      <c r="D1543" t="s">
        <v>15</v>
      </c>
      <c r="E1543">
        <v>1</v>
      </c>
      <c r="F1543">
        <v>33</v>
      </c>
      <c r="G1543">
        <v>19</v>
      </c>
      <c r="H1543">
        <v>0</v>
      </c>
      <c r="I1543" t="s">
        <v>20</v>
      </c>
      <c r="J1543">
        <v>93</v>
      </c>
      <c r="K1543" t="s">
        <v>15</v>
      </c>
      <c r="L1543">
        <v>95</v>
      </c>
    </row>
    <row r="1544" spans="1:12" x14ac:dyDescent="0.25">
      <c r="A1544">
        <v>400579067</v>
      </c>
      <c r="B1544">
        <v>2015</v>
      </c>
      <c r="C1544" s="1">
        <v>42044</v>
      </c>
      <c r="D1544" t="s">
        <v>36</v>
      </c>
      <c r="E1544">
        <v>1</v>
      </c>
      <c r="F1544">
        <v>41</v>
      </c>
      <c r="G1544">
        <v>9</v>
      </c>
      <c r="H1544">
        <v>0</v>
      </c>
      <c r="I1544" t="s">
        <v>21</v>
      </c>
      <c r="J1544">
        <v>84</v>
      </c>
      <c r="K1544" t="s">
        <v>36</v>
      </c>
      <c r="L1544">
        <v>89</v>
      </c>
    </row>
    <row r="1545" spans="1:12" x14ac:dyDescent="0.25">
      <c r="A1545">
        <v>400579067</v>
      </c>
      <c r="B1545">
        <v>2015</v>
      </c>
      <c r="C1545" s="1">
        <v>42044</v>
      </c>
      <c r="D1545" t="s">
        <v>21</v>
      </c>
      <c r="E1545">
        <v>0</v>
      </c>
      <c r="F1545">
        <v>12</v>
      </c>
      <c r="G1545">
        <v>41</v>
      </c>
      <c r="H1545">
        <v>1</v>
      </c>
      <c r="I1545" t="s">
        <v>21</v>
      </c>
      <c r="J1545">
        <v>84</v>
      </c>
      <c r="K1545" t="s">
        <v>36</v>
      </c>
      <c r="L1545">
        <v>89</v>
      </c>
    </row>
    <row r="1546" spans="1:12" x14ac:dyDescent="0.25">
      <c r="A1546">
        <v>400579068</v>
      </c>
      <c r="B1546">
        <v>2015</v>
      </c>
      <c r="C1546" s="1">
        <v>42044</v>
      </c>
      <c r="D1546" t="s">
        <v>13</v>
      </c>
      <c r="E1546">
        <v>0</v>
      </c>
      <c r="F1546">
        <v>16</v>
      </c>
      <c r="G1546">
        <v>39</v>
      </c>
      <c r="H1546">
        <v>0</v>
      </c>
      <c r="I1546" t="s">
        <v>25</v>
      </c>
      <c r="J1546">
        <v>96</v>
      </c>
      <c r="K1546" t="s">
        <v>13</v>
      </c>
      <c r="L1546">
        <v>80</v>
      </c>
    </row>
    <row r="1547" spans="1:12" x14ac:dyDescent="0.25">
      <c r="A1547">
        <v>400579068</v>
      </c>
      <c r="B1547">
        <v>2015</v>
      </c>
      <c r="C1547" s="1">
        <v>42044</v>
      </c>
      <c r="D1547" t="s">
        <v>25</v>
      </c>
      <c r="E1547">
        <v>1</v>
      </c>
      <c r="F1547">
        <v>33</v>
      </c>
      <c r="G1547">
        <v>20</v>
      </c>
      <c r="H1547">
        <v>1</v>
      </c>
      <c r="I1547" t="s">
        <v>25</v>
      </c>
      <c r="J1547">
        <v>96</v>
      </c>
      <c r="K1547" t="s">
        <v>13</v>
      </c>
      <c r="L1547">
        <v>80</v>
      </c>
    </row>
    <row r="1548" spans="1:12" x14ac:dyDescent="0.25">
      <c r="A1548">
        <v>400579069</v>
      </c>
      <c r="B1548">
        <v>2015</v>
      </c>
      <c r="C1548" s="1">
        <v>42044</v>
      </c>
      <c r="D1548" t="s">
        <v>24</v>
      </c>
      <c r="E1548">
        <v>1</v>
      </c>
      <c r="F1548">
        <v>22</v>
      </c>
      <c r="G1548">
        <v>29</v>
      </c>
      <c r="H1548">
        <v>1</v>
      </c>
      <c r="I1548" t="s">
        <v>24</v>
      </c>
      <c r="J1548">
        <v>109</v>
      </c>
      <c r="K1548" t="s">
        <v>31</v>
      </c>
      <c r="L1548">
        <v>95</v>
      </c>
    </row>
    <row r="1549" spans="1:12" x14ac:dyDescent="0.25">
      <c r="A1549">
        <v>400579069</v>
      </c>
      <c r="B1549">
        <v>2015</v>
      </c>
      <c r="C1549" s="1">
        <v>42044</v>
      </c>
      <c r="D1549" t="s">
        <v>31</v>
      </c>
      <c r="E1549">
        <v>0</v>
      </c>
      <c r="F1549">
        <v>10</v>
      </c>
      <c r="G1549">
        <v>42</v>
      </c>
      <c r="H1549">
        <v>0</v>
      </c>
      <c r="I1549" t="s">
        <v>24</v>
      </c>
      <c r="J1549">
        <v>109</v>
      </c>
      <c r="K1549" t="s">
        <v>31</v>
      </c>
      <c r="L1549">
        <v>95</v>
      </c>
    </row>
    <row r="1550" spans="1:12" x14ac:dyDescent="0.25">
      <c r="A1550">
        <v>400579070</v>
      </c>
      <c r="B1550">
        <v>2015</v>
      </c>
      <c r="C1550" s="1">
        <v>42044</v>
      </c>
      <c r="D1550" t="s">
        <v>23</v>
      </c>
      <c r="E1550">
        <v>0</v>
      </c>
      <c r="F1550">
        <v>21</v>
      </c>
      <c r="G1550">
        <v>30</v>
      </c>
      <c r="H1550">
        <v>0</v>
      </c>
      <c r="I1550" t="s">
        <v>19</v>
      </c>
      <c r="J1550">
        <v>103</v>
      </c>
      <c r="K1550" t="s">
        <v>23</v>
      </c>
      <c r="L1550">
        <v>97</v>
      </c>
    </row>
    <row r="1551" spans="1:12" x14ac:dyDescent="0.25">
      <c r="A1551">
        <v>400579070</v>
      </c>
      <c r="B1551">
        <v>2015</v>
      </c>
      <c r="C1551" s="1">
        <v>42044</v>
      </c>
      <c r="D1551" t="s">
        <v>19</v>
      </c>
      <c r="E1551">
        <v>1</v>
      </c>
      <c r="F1551">
        <v>29</v>
      </c>
      <c r="G1551">
        <v>23</v>
      </c>
      <c r="H1551">
        <v>1</v>
      </c>
      <c r="I1551" t="s">
        <v>19</v>
      </c>
      <c r="J1551">
        <v>103</v>
      </c>
      <c r="K1551" t="s">
        <v>23</v>
      </c>
      <c r="L1551">
        <v>97</v>
      </c>
    </row>
    <row r="1552" spans="1:12" x14ac:dyDescent="0.25">
      <c r="A1552">
        <v>400579071</v>
      </c>
      <c r="B1552">
        <v>2015</v>
      </c>
      <c r="C1552" s="1">
        <v>42044</v>
      </c>
      <c r="D1552" t="s">
        <v>26</v>
      </c>
      <c r="E1552">
        <v>1</v>
      </c>
      <c r="F1552">
        <v>43</v>
      </c>
      <c r="G1552">
        <v>10</v>
      </c>
      <c r="H1552">
        <v>0</v>
      </c>
      <c r="I1552" t="s">
        <v>29</v>
      </c>
      <c r="J1552">
        <v>105</v>
      </c>
      <c r="K1552" t="s">
        <v>26</v>
      </c>
      <c r="L1552">
        <v>117</v>
      </c>
    </row>
    <row r="1553" spans="1:12" x14ac:dyDescent="0.25">
      <c r="A1553">
        <v>400579071</v>
      </c>
      <c r="B1553">
        <v>2015</v>
      </c>
      <c r="C1553" s="1">
        <v>42044</v>
      </c>
      <c r="D1553" t="s">
        <v>29</v>
      </c>
      <c r="E1553">
        <v>0</v>
      </c>
      <c r="F1553">
        <v>11</v>
      </c>
      <c r="G1553">
        <v>41</v>
      </c>
      <c r="H1553">
        <v>1</v>
      </c>
      <c r="I1553" t="s">
        <v>29</v>
      </c>
      <c r="J1553">
        <v>105</v>
      </c>
      <c r="K1553" t="s">
        <v>26</v>
      </c>
      <c r="L1553">
        <v>117</v>
      </c>
    </row>
    <row r="1554" spans="1:12" x14ac:dyDescent="0.25">
      <c r="A1554">
        <v>400579072</v>
      </c>
      <c r="B1554">
        <v>2015</v>
      </c>
      <c r="C1554" s="1">
        <v>42044</v>
      </c>
      <c r="D1554" t="s">
        <v>12</v>
      </c>
      <c r="E1554">
        <v>0</v>
      </c>
      <c r="F1554">
        <v>27</v>
      </c>
      <c r="G1554">
        <v>25</v>
      </c>
      <c r="H1554">
        <v>1</v>
      </c>
      <c r="I1554" t="s">
        <v>12</v>
      </c>
      <c r="J1554">
        <v>96</v>
      </c>
      <c r="K1554" t="s">
        <v>34</v>
      </c>
      <c r="L1554">
        <v>100</v>
      </c>
    </row>
    <row r="1555" spans="1:12" x14ac:dyDescent="0.25">
      <c r="A1555">
        <v>400579072</v>
      </c>
      <c r="B1555">
        <v>2015</v>
      </c>
      <c r="C1555" s="1">
        <v>42044</v>
      </c>
      <c r="D1555" t="s">
        <v>34</v>
      </c>
      <c r="E1555">
        <v>1</v>
      </c>
      <c r="F1555">
        <v>19</v>
      </c>
      <c r="G1555">
        <v>33</v>
      </c>
      <c r="H1555">
        <v>0</v>
      </c>
      <c r="I1555" t="s">
        <v>12</v>
      </c>
      <c r="J1555">
        <v>96</v>
      </c>
      <c r="K1555" t="s">
        <v>34</v>
      </c>
      <c r="L1555">
        <v>100</v>
      </c>
    </row>
    <row r="1556" spans="1:12" x14ac:dyDescent="0.25">
      <c r="A1556">
        <v>400579073</v>
      </c>
      <c r="B1556">
        <v>2015</v>
      </c>
      <c r="C1556" s="1">
        <v>42044</v>
      </c>
      <c r="D1556" t="s">
        <v>14</v>
      </c>
      <c r="E1556">
        <v>0</v>
      </c>
      <c r="F1556">
        <v>35</v>
      </c>
      <c r="G1556">
        <v>19</v>
      </c>
      <c r="H1556">
        <v>1</v>
      </c>
      <c r="I1556" t="s">
        <v>14</v>
      </c>
      <c r="J1556">
        <v>98</v>
      </c>
      <c r="K1556" t="s">
        <v>41</v>
      </c>
      <c r="L1556">
        <v>115</v>
      </c>
    </row>
    <row r="1557" spans="1:12" x14ac:dyDescent="0.25">
      <c r="A1557">
        <v>400579073</v>
      </c>
      <c r="B1557">
        <v>2015</v>
      </c>
      <c r="C1557" s="1">
        <v>42044</v>
      </c>
      <c r="D1557" t="s">
        <v>41</v>
      </c>
      <c r="E1557">
        <v>1</v>
      </c>
      <c r="F1557">
        <v>34</v>
      </c>
      <c r="G1557">
        <v>19</v>
      </c>
      <c r="H1557">
        <v>0</v>
      </c>
      <c r="I1557" t="s">
        <v>14</v>
      </c>
      <c r="J1557">
        <v>98</v>
      </c>
      <c r="K1557" t="s">
        <v>41</v>
      </c>
      <c r="L1557">
        <v>115</v>
      </c>
    </row>
    <row r="1558" spans="1:12" x14ac:dyDescent="0.25">
      <c r="A1558">
        <v>400579074</v>
      </c>
      <c r="B1558">
        <v>2015</v>
      </c>
      <c r="C1558" s="1">
        <v>42044</v>
      </c>
      <c r="D1558" t="s">
        <v>32</v>
      </c>
      <c r="E1558">
        <v>0</v>
      </c>
      <c r="F1558">
        <v>19</v>
      </c>
      <c r="G1558">
        <v>33</v>
      </c>
      <c r="H1558">
        <v>1</v>
      </c>
      <c r="I1558" t="s">
        <v>32</v>
      </c>
      <c r="J1558">
        <v>114</v>
      </c>
      <c r="K1558" t="s">
        <v>38</v>
      </c>
      <c r="L1558">
        <v>124</v>
      </c>
    </row>
    <row r="1559" spans="1:12" x14ac:dyDescent="0.25">
      <c r="A1559">
        <v>400579074</v>
      </c>
      <c r="B1559">
        <v>2015</v>
      </c>
      <c r="C1559" s="1">
        <v>42044</v>
      </c>
      <c r="D1559" t="s">
        <v>38</v>
      </c>
      <c r="E1559">
        <v>1</v>
      </c>
      <c r="F1559">
        <v>27</v>
      </c>
      <c r="G1559">
        <v>25</v>
      </c>
      <c r="H1559">
        <v>0</v>
      </c>
      <c r="I1559" t="s">
        <v>32</v>
      </c>
      <c r="J1559">
        <v>114</v>
      </c>
      <c r="K1559" t="s">
        <v>38</v>
      </c>
      <c r="L1559">
        <v>124</v>
      </c>
    </row>
    <row r="1560" spans="1:12" x14ac:dyDescent="0.25">
      <c r="A1560">
        <v>400579075</v>
      </c>
      <c r="B1560">
        <v>2015</v>
      </c>
      <c r="C1560" s="1">
        <v>42045</v>
      </c>
      <c r="D1560" t="s">
        <v>18</v>
      </c>
      <c r="E1560">
        <v>0</v>
      </c>
      <c r="F1560">
        <v>22</v>
      </c>
      <c r="G1560">
        <v>30</v>
      </c>
      <c r="H1560">
        <v>1</v>
      </c>
      <c r="I1560" t="s">
        <v>18</v>
      </c>
      <c r="J1560">
        <v>78</v>
      </c>
      <c r="K1560" t="s">
        <v>33</v>
      </c>
      <c r="L1560">
        <v>106</v>
      </c>
    </row>
    <row r="1561" spans="1:12" x14ac:dyDescent="0.25">
      <c r="A1561">
        <v>400579075</v>
      </c>
      <c r="B1561">
        <v>2015</v>
      </c>
      <c r="C1561" s="1">
        <v>42045</v>
      </c>
      <c r="D1561" t="s">
        <v>33</v>
      </c>
      <c r="E1561">
        <v>1</v>
      </c>
      <c r="F1561">
        <v>21</v>
      </c>
      <c r="G1561">
        <v>32</v>
      </c>
      <c r="H1561">
        <v>0</v>
      </c>
      <c r="I1561" t="s">
        <v>18</v>
      </c>
      <c r="J1561">
        <v>78</v>
      </c>
      <c r="K1561" t="s">
        <v>33</v>
      </c>
      <c r="L1561">
        <v>106</v>
      </c>
    </row>
    <row r="1562" spans="1:12" x14ac:dyDescent="0.25">
      <c r="A1562">
        <v>400579076</v>
      </c>
      <c r="B1562">
        <v>2015</v>
      </c>
      <c r="C1562" s="1">
        <v>42045</v>
      </c>
      <c r="D1562" t="s">
        <v>16</v>
      </c>
      <c r="E1562">
        <v>1</v>
      </c>
      <c r="F1562">
        <v>36</v>
      </c>
      <c r="G1562">
        <v>16</v>
      </c>
      <c r="H1562">
        <v>0</v>
      </c>
      <c r="I1562" t="s">
        <v>35</v>
      </c>
      <c r="J1562">
        <v>118</v>
      </c>
      <c r="K1562" t="s">
        <v>16</v>
      </c>
      <c r="L1562">
        <v>127</v>
      </c>
    </row>
    <row r="1563" spans="1:12" x14ac:dyDescent="0.25">
      <c r="A1563">
        <v>400579076</v>
      </c>
      <c r="B1563">
        <v>2015</v>
      </c>
      <c r="C1563" s="1">
        <v>42045</v>
      </c>
      <c r="D1563" t="s">
        <v>35</v>
      </c>
      <c r="E1563">
        <v>0</v>
      </c>
      <c r="F1563">
        <v>29</v>
      </c>
      <c r="G1563">
        <v>25</v>
      </c>
      <c r="H1563">
        <v>1</v>
      </c>
      <c r="I1563" t="s">
        <v>35</v>
      </c>
      <c r="J1563">
        <v>118</v>
      </c>
      <c r="K1563" t="s">
        <v>16</v>
      </c>
      <c r="L1563">
        <v>127</v>
      </c>
    </row>
    <row r="1564" spans="1:12" x14ac:dyDescent="0.25">
      <c r="A1564">
        <v>400579077</v>
      </c>
      <c r="B1564">
        <v>2015</v>
      </c>
      <c r="C1564" s="1">
        <v>42045</v>
      </c>
      <c r="D1564" t="s">
        <v>30</v>
      </c>
      <c r="E1564">
        <v>1</v>
      </c>
      <c r="F1564">
        <v>33</v>
      </c>
      <c r="G1564">
        <v>20</v>
      </c>
      <c r="H1564">
        <v>1</v>
      </c>
      <c r="I1564" t="s">
        <v>30</v>
      </c>
      <c r="J1564">
        <v>104</v>
      </c>
      <c r="K1564" t="s">
        <v>37</v>
      </c>
      <c r="L1564">
        <v>86</v>
      </c>
    </row>
    <row r="1565" spans="1:12" x14ac:dyDescent="0.25">
      <c r="A1565">
        <v>400579077</v>
      </c>
      <c r="B1565">
        <v>2015</v>
      </c>
      <c r="C1565" s="1">
        <v>42045</v>
      </c>
      <c r="D1565" t="s">
        <v>37</v>
      </c>
      <c r="E1565">
        <v>0</v>
      </c>
      <c r="F1565">
        <v>18</v>
      </c>
      <c r="G1565">
        <v>33</v>
      </c>
      <c r="H1565">
        <v>0</v>
      </c>
      <c r="I1565" t="s">
        <v>30</v>
      </c>
      <c r="J1565">
        <v>104</v>
      </c>
      <c r="K1565" t="s">
        <v>37</v>
      </c>
      <c r="L1565">
        <v>86</v>
      </c>
    </row>
    <row r="1566" spans="1:12" x14ac:dyDescent="0.25">
      <c r="A1566">
        <v>400579078</v>
      </c>
      <c r="B1566">
        <v>2015</v>
      </c>
      <c r="C1566" s="1">
        <v>42045</v>
      </c>
      <c r="D1566" t="s">
        <v>23</v>
      </c>
      <c r="E1566">
        <v>0</v>
      </c>
      <c r="F1566">
        <v>21</v>
      </c>
      <c r="G1566">
        <v>31</v>
      </c>
      <c r="H1566">
        <v>0</v>
      </c>
      <c r="I1566" t="s">
        <v>28</v>
      </c>
      <c r="J1566">
        <v>95</v>
      </c>
      <c r="K1566" t="s">
        <v>23</v>
      </c>
      <c r="L1566">
        <v>86</v>
      </c>
    </row>
    <row r="1567" spans="1:12" x14ac:dyDescent="0.25">
      <c r="A1567">
        <v>400579078</v>
      </c>
      <c r="B1567">
        <v>2015</v>
      </c>
      <c r="C1567" s="1">
        <v>42045</v>
      </c>
      <c r="D1567" t="s">
        <v>28</v>
      </c>
      <c r="E1567">
        <v>1</v>
      </c>
      <c r="F1567">
        <v>39</v>
      </c>
      <c r="G1567">
        <v>13</v>
      </c>
      <c r="H1567">
        <v>1</v>
      </c>
      <c r="I1567" t="s">
        <v>28</v>
      </c>
      <c r="J1567">
        <v>95</v>
      </c>
      <c r="K1567" t="s">
        <v>23</v>
      </c>
      <c r="L1567">
        <v>86</v>
      </c>
    </row>
    <row r="1568" spans="1:12" x14ac:dyDescent="0.25">
      <c r="A1568">
        <v>400579079</v>
      </c>
      <c r="B1568">
        <v>2015</v>
      </c>
      <c r="C1568" s="1">
        <v>42045</v>
      </c>
      <c r="D1568" t="s">
        <v>32</v>
      </c>
      <c r="E1568">
        <v>1</v>
      </c>
      <c r="F1568">
        <v>20</v>
      </c>
      <c r="G1568">
        <v>33</v>
      </c>
      <c r="H1568">
        <v>0</v>
      </c>
      <c r="I1568" t="s">
        <v>17</v>
      </c>
      <c r="J1568">
        <v>96</v>
      </c>
      <c r="K1568" t="s">
        <v>32</v>
      </c>
      <c r="L1568">
        <v>106</v>
      </c>
    </row>
    <row r="1569" spans="1:12" x14ac:dyDescent="0.25">
      <c r="A1569">
        <v>400579079</v>
      </c>
      <c r="B1569">
        <v>2015</v>
      </c>
      <c r="C1569" s="1">
        <v>42045</v>
      </c>
      <c r="D1569" t="s">
        <v>17</v>
      </c>
      <c r="E1569">
        <v>0</v>
      </c>
      <c r="F1569">
        <v>13</v>
      </c>
      <c r="G1569">
        <v>39</v>
      </c>
      <c r="H1569">
        <v>1</v>
      </c>
      <c r="I1569" t="s">
        <v>17</v>
      </c>
      <c r="J1569">
        <v>96</v>
      </c>
      <c r="K1569" t="s">
        <v>32</v>
      </c>
      <c r="L1569">
        <v>106</v>
      </c>
    </row>
    <row r="1570" spans="1:12" x14ac:dyDescent="0.25">
      <c r="A1570">
        <v>400579080</v>
      </c>
      <c r="B1570">
        <v>2015</v>
      </c>
      <c r="C1570" s="1">
        <v>42046</v>
      </c>
      <c r="D1570" t="s">
        <v>31</v>
      </c>
      <c r="E1570">
        <v>0</v>
      </c>
      <c r="F1570">
        <v>10</v>
      </c>
      <c r="G1570">
        <v>43</v>
      </c>
      <c r="H1570">
        <v>0</v>
      </c>
      <c r="I1570" t="s">
        <v>13</v>
      </c>
      <c r="J1570">
        <v>89</v>
      </c>
      <c r="K1570" t="s">
        <v>31</v>
      </c>
      <c r="L1570">
        <v>83</v>
      </c>
    </row>
    <row r="1571" spans="1:12" x14ac:dyDescent="0.25">
      <c r="A1571">
        <v>400579080</v>
      </c>
      <c r="B1571">
        <v>2015</v>
      </c>
      <c r="C1571" s="1">
        <v>42046</v>
      </c>
      <c r="D1571" t="s">
        <v>13</v>
      </c>
      <c r="E1571">
        <v>1</v>
      </c>
      <c r="F1571">
        <v>17</v>
      </c>
      <c r="G1571">
        <v>39</v>
      </c>
      <c r="H1571">
        <v>1</v>
      </c>
      <c r="I1571" t="s">
        <v>13</v>
      </c>
      <c r="J1571">
        <v>89</v>
      </c>
      <c r="K1571" t="s">
        <v>31</v>
      </c>
      <c r="L1571">
        <v>83</v>
      </c>
    </row>
    <row r="1572" spans="1:12" x14ac:dyDescent="0.25">
      <c r="A1572">
        <v>400579081</v>
      </c>
      <c r="B1572">
        <v>2015</v>
      </c>
      <c r="C1572" s="1">
        <v>42046</v>
      </c>
      <c r="D1572" t="s">
        <v>26</v>
      </c>
      <c r="E1572">
        <v>0</v>
      </c>
      <c r="F1572">
        <v>43</v>
      </c>
      <c r="G1572">
        <v>11</v>
      </c>
      <c r="H1572">
        <v>0</v>
      </c>
      <c r="I1572" t="s">
        <v>22</v>
      </c>
      <c r="J1572">
        <v>89</v>
      </c>
      <c r="K1572" t="s">
        <v>26</v>
      </c>
      <c r="L1572">
        <v>88</v>
      </c>
    </row>
    <row r="1573" spans="1:12" x14ac:dyDescent="0.25">
      <c r="A1573">
        <v>400579081</v>
      </c>
      <c r="B1573">
        <v>2015</v>
      </c>
      <c r="C1573" s="1">
        <v>42046</v>
      </c>
      <c r="D1573" t="s">
        <v>22</v>
      </c>
      <c r="E1573">
        <v>1</v>
      </c>
      <c r="F1573">
        <v>20</v>
      </c>
      <c r="G1573">
        <v>31</v>
      </c>
      <c r="H1573">
        <v>1</v>
      </c>
      <c r="I1573" t="s">
        <v>22</v>
      </c>
      <c r="J1573">
        <v>89</v>
      </c>
      <c r="K1573" t="s">
        <v>26</v>
      </c>
      <c r="L1573">
        <v>88</v>
      </c>
    </row>
    <row r="1574" spans="1:12" x14ac:dyDescent="0.25">
      <c r="A1574">
        <v>400579082</v>
      </c>
      <c r="B1574">
        <v>2015</v>
      </c>
      <c r="C1574" s="1">
        <v>42046</v>
      </c>
      <c r="D1574" t="s">
        <v>33</v>
      </c>
      <c r="E1574">
        <v>0</v>
      </c>
      <c r="F1574">
        <v>21</v>
      </c>
      <c r="G1574">
        <v>33</v>
      </c>
      <c r="H1574">
        <v>1</v>
      </c>
      <c r="I1574" t="s">
        <v>33</v>
      </c>
      <c r="J1574">
        <v>87</v>
      </c>
      <c r="K1574" t="s">
        <v>15</v>
      </c>
      <c r="L1574">
        <v>104</v>
      </c>
    </row>
    <row r="1575" spans="1:12" x14ac:dyDescent="0.25">
      <c r="A1575">
        <v>400579082</v>
      </c>
      <c r="B1575">
        <v>2015</v>
      </c>
      <c r="C1575" s="1">
        <v>42046</v>
      </c>
      <c r="D1575" t="s">
        <v>15</v>
      </c>
      <c r="E1575">
        <v>1</v>
      </c>
      <c r="F1575">
        <v>34</v>
      </c>
      <c r="G1575">
        <v>19</v>
      </c>
      <c r="H1575">
        <v>0</v>
      </c>
      <c r="I1575" t="s">
        <v>33</v>
      </c>
      <c r="J1575">
        <v>87</v>
      </c>
      <c r="K1575" t="s">
        <v>15</v>
      </c>
      <c r="L1575">
        <v>104</v>
      </c>
    </row>
    <row r="1576" spans="1:12" x14ac:dyDescent="0.25">
      <c r="A1576">
        <v>400579083</v>
      </c>
      <c r="B1576">
        <v>2015</v>
      </c>
      <c r="C1576" s="1">
        <v>42046</v>
      </c>
      <c r="D1576" t="s">
        <v>27</v>
      </c>
      <c r="E1576">
        <v>1</v>
      </c>
      <c r="F1576">
        <v>36</v>
      </c>
      <c r="G1576">
        <v>17</v>
      </c>
      <c r="H1576">
        <v>1</v>
      </c>
      <c r="I1576" t="s">
        <v>27</v>
      </c>
      <c r="J1576">
        <v>95</v>
      </c>
      <c r="K1576" t="s">
        <v>25</v>
      </c>
      <c r="L1576">
        <v>93</v>
      </c>
    </row>
    <row r="1577" spans="1:12" x14ac:dyDescent="0.25">
      <c r="A1577">
        <v>400579083</v>
      </c>
      <c r="B1577">
        <v>2015</v>
      </c>
      <c r="C1577" s="1">
        <v>42046</v>
      </c>
      <c r="D1577" t="s">
        <v>25</v>
      </c>
      <c r="E1577">
        <v>0</v>
      </c>
      <c r="F1577">
        <v>33</v>
      </c>
      <c r="G1577">
        <v>21</v>
      </c>
      <c r="H1577">
        <v>0</v>
      </c>
      <c r="I1577" t="s">
        <v>27</v>
      </c>
      <c r="J1577">
        <v>95</v>
      </c>
      <c r="K1577" t="s">
        <v>25</v>
      </c>
      <c r="L1577">
        <v>93</v>
      </c>
    </row>
    <row r="1578" spans="1:12" x14ac:dyDescent="0.25">
      <c r="A1578">
        <v>400579084</v>
      </c>
      <c r="B1578">
        <v>2015</v>
      </c>
      <c r="C1578" s="1">
        <v>42046</v>
      </c>
      <c r="D1578" t="s">
        <v>19</v>
      </c>
      <c r="E1578">
        <v>1</v>
      </c>
      <c r="F1578">
        <v>30</v>
      </c>
      <c r="G1578">
        <v>23</v>
      </c>
      <c r="H1578">
        <v>1</v>
      </c>
      <c r="I1578" t="s">
        <v>19</v>
      </c>
      <c r="J1578">
        <v>111</v>
      </c>
      <c r="K1578" t="s">
        <v>37</v>
      </c>
      <c r="L1578">
        <v>103</v>
      </c>
    </row>
    <row r="1579" spans="1:12" x14ac:dyDescent="0.25">
      <c r="A1579">
        <v>400579084</v>
      </c>
      <c r="B1579">
        <v>2015</v>
      </c>
      <c r="C1579" s="1">
        <v>42046</v>
      </c>
      <c r="D1579" t="s">
        <v>37</v>
      </c>
      <c r="E1579">
        <v>0</v>
      </c>
      <c r="F1579">
        <v>18</v>
      </c>
      <c r="G1579">
        <v>34</v>
      </c>
      <c r="H1579">
        <v>0</v>
      </c>
      <c r="I1579" t="s">
        <v>19</v>
      </c>
      <c r="J1579">
        <v>111</v>
      </c>
      <c r="K1579" t="s">
        <v>37</v>
      </c>
      <c r="L1579">
        <v>103</v>
      </c>
    </row>
    <row r="1580" spans="1:12" x14ac:dyDescent="0.25">
      <c r="A1580">
        <v>400579085</v>
      </c>
      <c r="B1580">
        <v>2015</v>
      </c>
      <c r="C1580" s="1">
        <v>42046</v>
      </c>
      <c r="D1580" t="s">
        <v>36</v>
      </c>
      <c r="E1580">
        <v>1</v>
      </c>
      <c r="F1580">
        <v>42</v>
      </c>
      <c r="G1580">
        <v>9</v>
      </c>
      <c r="H1580">
        <v>0</v>
      </c>
      <c r="I1580" t="s">
        <v>29</v>
      </c>
      <c r="J1580">
        <v>91</v>
      </c>
      <c r="K1580" t="s">
        <v>36</v>
      </c>
      <c r="L1580">
        <v>94</v>
      </c>
    </row>
    <row r="1581" spans="1:12" x14ac:dyDescent="0.25">
      <c r="A1581">
        <v>400579085</v>
      </c>
      <c r="B1581">
        <v>2015</v>
      </c>
      <c r="C1581" s="1">
        <v>42046</v>
      </c>
      <c r="D1581" t="s">
        <v>29</v>
      </c>
      <c r="E1581">
        <v>0</v>
      </c>
      <c r="F1581">
        <v>11</v>
      </c>
      <c r="G1581">
        <v>42</v>
      </c>
      <c r="H1581">
        <v>1</v>
      </c>
      <c r="I1581" t="s">
        <v>29</v>
      </c>
      <c r="J1581">
        <v>91</v>
      </c>
      <c r="K1581" t="s">
        <v>36</v>
      </c>
      <c r="L1581">
        <v>94</v>
      </c>
    </row>
    <row r="1582" spans="1:12" x14ac:dyDescent="0.25">
      <c r="A1582">
        <v>400579086</v>
      </c>
      <c r="B1582">
        <v>2015</v>
      </c>
      <c r="C1582" s="1">
        <v>42046</v>
      </c>
      <c r="D1582" t="s">
        <v>20</v>
      </c>
      <c r="E1582">
        <v>1</v>
      </c>
      <c r="F1582">
        <v>21</v>
      </c>
      <c r="G1582">
        <v>33</v>
      </c>
      <c r="H1582">
        <v>0</v>
      </c>
      <c r="I1582" t="s">
        <v>12</v>
      </c>
      <c r="J1582">
        <v>93</v>
      </c>
      <c r="K1582" t="s">
        <v>20</v>
      </c>
      <c r="L1582">
        <v>106</v>
      </c>
    </row>
    <row r="1583" spans="1:12" x14ac:dyDescent="0.25">
      <c r="A1583">
        <v>400579086</v>
      </c>
      <c r="B1583">
        <v>2015</v>
      </c>
      <c r="C1583" s="1">
        <v>42046</v>
      </c>
      <c r="D1583" t="s">
        <v>12</v>
      </c>
      <c r="E1583">
        <v>0</v>
      </c>
      <c r="F1583">
        <v>27</v>
      </c>
      <c r="G1583">
        <v>26</v>
      </c>
      <c r="H1583">
        <v>1</v>
      </c>
      <c r="I1583" t="s">
        <v>12</v>
      </c>
      <c r="J1583">
        <v>93</v>
      </c>
      <c r="K1583" t="s">
        <v>20</v>
      </c>
      <c r="L1583">
        <v>106</v>
      </c>
    </row>
    <row r="1584" spans="1:12" x14ac:dyDescent="0.25">
      <c r="A1584">
        <v>400579087</v>
      </c>
      <c r="B1584">
        <v>2015</v>
      </c>
      <c r="C1584" s="1">
        <v>42046</v>
      </c>
      <c r="D1584" t="s">
        <v>28</v>
      </c>
      <c r="E1584">
        <v>0</v>
      </c>
      <c r="F1584">
        <v>39</v>
      </c>
      <c r="G1584">
        <v>14</v>
      </c>
      <c r="H1584">
        <v>0</v>
      </c>
      <c r="I1584" t="s">
        <v>38</v>
      </c>
      <c r="J1584">
        <v>105</v>
      </c>
      <c r="K1584" t="s">
        <v>28</v>
      </c>
      <c r="L1584">
        <v>89</v>
      </c>
    </row>
    <row r="1585" spans="1:12" x14ac:dyDescent="0.25">
      <c r="A1585">
        <v>400579087</v>
      </c>
      <c r="B1585">
        <v>2015</v>
      </c>
      <c r="C1585" s="1">
        <v>42046</v>
      </c>
      <c r="D1585" t="s">
        <v>38</v>
      </c>
      <c r="E1585">
        <v>1</v>
      </c>
      <c r="F1585">
        <v>28</v>
      </c>
      <c r="G1585">
        <v>25</v>
      </c>
      <c r="H1585">
        <v>1</v>
      </c>
      <c r="I1585" t="s">
        <v>38</v>
      </c>
      <c r="J1585">
        <v>105</v>
      </c>
      <c r="K1585" t="s">
        <v>28</v>
      </c>
      <c r="L1585">
        <v>89</v>
      </c>
    </row>
    <row r="1586" spans="1:12" x14ac:dyDescent="0.25">
      <c r="A1586">
        <v>400579088</v>
      </c>
      <c r="B1586">
        <v>2015</v>
      </c>
      <c r="C1586" s="1">
        <v>42046</v>
      </c>
      <c r="D1586" t="s">
        <v>40</v>
      </c>
      <c r="E1586">
        <v>1</v>
      </c>
      <c r="F1586">
        <v>33</v>
      </c>
      <c r="G1586">
        <v>21</v>
      </c>
      <c r="H1586">
        <v>1</v>
      </c>
      <c r="I1586" t="s">
        <v>40</v>
      </c>
      <c r="J1586">
        <v>113</v>
      </c>
      <c r="K1586" t="s">
        <v>24</v>
      </c>
      <c r="L1586">
        <v>93</v>
      </c>
    </row>
    <row r="1587" spans="1:12" x14ac:dyDescent="0.25">
      <c r="A1587">
        <v>400579088</v>
      </c>
      <c r="B1587">
        <v>2015</v>
      </c>
      <c r="C1587" s="1">
        <v>42046</v>
      </c>
      <c r="D1587" t="s">
        <v>24</v>
      </c>
      <c r="E1587">
        <v>0</v>
      </c>
      <c r="F1587">
        <v>22</v>
      </c>
      <c r="G1587">
        <v>30</v>
      </c>
      <c r="H1587">
        <v>0</v>
      </c>
      <c r="I1587" t="s">
        <v>40</v>
      </c>
      <c r="J1587">
        <v>113</v>
      </c>
      <c r="K1587" t="s">
        <v>24</v>
      </c>
      <c r="L1587">
        <v>93</v>
      </c>
    </row>
    <row r="1588" spans="1:12" x14ac:dyDescent="0.25">
      <c r="A1588">
        <v>400579089</v>
      </c>
      <c r="B1588">
        <v>2015</v>
      </c>
      <c r="C1588" s="1">
        <v>42046</v>
      </c>
      <c r="D1588" t="s">
        <v>14</v>
      </c>
      <c r="E1588">
        <v>1</v>
      </c>
      <c r="F1588">
        <v>36</v>
      </c>
      <c r="G1588">
        <v>19</v>
      </c>
      <c r="H1588">
        <v>1</v>
      </c>
      <c r="I1588" t="s">
        <v>14</v>
      </c>
      <c r="J1588">
        <v>87</v>
      </c>
      <c r="K1588" t="s">
        <v>34</v>
      </c>
      <c r="L1588">
        <v>82</v>
      </c>
    </row>
    <row r="1589" spans="1:12" x14ac:dyDescent="0.25">
      <c r="A1589">
        <v>400579089</v>
      </c>
      <c r="B1589">
        <v>2015</v>
      </c>
      <c r="C1589" s="1">
        <v>42046</v>
      </c>
      <c r="D1589" t="s">
        <v>34</v>
      </c>
      <c r="E1589">
        <v>0</v>
      </c>
      <c r="F1589">
        <v>19</v>
      </c>
      <c r="G1589">
        <v>34</v>
      </c>
      <c r="H1589">
        <v>0</v>
      </c>
      <c r="I1589" t="s">
        <v>14</v>
      </c>
      <c r="J1589">
        <v>87</v>
      </c>
      <c r="K1589" t="s">
        <v>34</v>
      </c>
      <c r="L1589">
        <v>82</v>
      </c>
    </row>
    <row r="1590" spans="1:12" x14ac:dyDescent="0.25">
      <c r="A1590">
        <v>400579090</v>
      </c>
      <c r="B1590">
        <v>2015</v>
      </c>
      <c r="C1590" s="1">
        <v>42046</v>
      </c>
      <c r="D1590" t="s">
        <v>17</v>
      </c>
      <c r="E1590">
        <v>0</v>
      </c>
      <c r="F1590">
        <v>13</v>
      </c>
      <c r="G1590">
        <v>40</v>
      </c>
      <c r="H1590">
        <v>0</v>
      </c>
      <c r="I1590" t="s">
        <v>39</v>
      </c>
      <c r="J1590">
        <v>102</v>
      </c>
      <c r="K1590" t="s">
        <v>17</v>
      </c>
      <c r="L1590">
        <v>86</v>
      </c>
    </row>
    <row r="1591" spans="1:12" x14ac:dyDescent="0.25">
      <c r="A1591">
        <v>400579090</v>
      </c>
      <c r="B1591">
        <v>2015</v>
      </c>
      <c r="C1591" s="1">
        <v>42046</v>
      </c>
      <c r="D1591" t="s">
        <v>39</v>
      </c>
      <c r="E1591">
        <v>1</v>
      </c>
      <c r="F1591">
        <v>36</v>
      </c>
      <c r="G1591">
        <v>17</v>
      </c>
      <c r="H1591">
        <v>1</v>
      </c>
      <c r="I1591" t="s">
        <v>39</v>
      </c>
      <c r="J1591">
        <v>102</v>
      </c>
      <c r="K1591" t="s">
        <v>17</v>
      </c>
      <c r="L1591">
        <v>86</v>
      </c>
    </row>
    <row r="1592" spans="1:12" x14ac:dyDescent="0.25">
      <c r="A1592">
        <v>400579091</v>
      </c>
      <c r="B1592">
        <v>2015</v>
      </c>
      <c r="C1592" s="1">
        <v>42046</v>
      </c>
      <c r="D1592" t="s">
        <v>16</v>
      </c>
      <c r="E1592">
        <v>0</v>
      </c>
      <c r="F1592">
        <v>36</v>
      </c>
      <c r="G1592">
        <v>17</v>
      </c>
      <c r="H1592">
        <v>0</v>
      </c>
      <c r="I1592" t="s">
        <v>41</v>
      </c>
      <c r="J1592">
        <v>110</v>
      </c>
      <c r="K1592" t="s">
        <v>16</v>
      </c>
      <c r="L1592">
        <v>95</v>
      </c>
    </row>
    <row r="1593" spans="1:12" x14ac:dyDescent="0.25">
      <c r="A1593">
        <v>400579091</v>
      </c>
      <c r="B1593">
        <v>2015</v>
      </c>
      <c r="C1593" s="1">
        <v>42046</v>
      </c>
      <c r="D1593" t="s">
        <v>41</v>
      </c>
      <c r="E1593">
        <v>1</v>
      </c>
      <c r="F1593">
        <v>35</v>
      </c>
      <c r="G1593">
        <v>19</v>
      </c>
      <c r="H1593">
        <v>1</v>
      </c>
      <c r="I1593" t="s">
        <v>41</v>
      </c>
      <c r="J1593">
        <v>110</v>
      </c>
      <c r="K1593" t="s">
        <v>16</v>
      </c>
      <c r="L1593">
        <v>95</v>
      </c>
    </row>
    <row r="1594" spans="1:12" x14ac:dyDescent="0.25">
      <c r="A1594">
        <v>400579092</v>
      </c>
      <c r="B1594">
        <v>2015</v>
      </c>
      <c r="C1594" s="1">
        <v>42047</v>
      </c>
      <c r="D1594" t="s">
        <v>30</v>
      </c>
      <c r="E1594">
        <v>1</v>
      </c>
      <c r="F1594">
        <v>34</v>
      </c>
      <c r="G1594">
        <v>20</v>
      </c>
      <c r="H1594">
        <v>1</v>
      </c>
      <c r="I1594" t="s">
        <v>30</v>
      </c>
      <c r="J1594">
        <v>113</v>
      </c>
      <c r="K1594" t="s">
        <v>40</v>
      </c>
      <c r="L1594">
        <v>98</v>
      </c>
    </row>
    <row r="1595" spans="1:12" x14ac:dyDescent="0.25">
      <c r="A1595">
        <v>400579092</v>
      </c>
      <c r="B1595">
        <v>2015</v>
      </c>
      <c r="C1595" s="1">
        <v>42047</v>
      </c>
      <c r="D1595" t="s">
        <v>40</v>
      </c>
      <c r="E1595">
        <v>0</v>
      </c>
      <c r="F1595">
        <v>33</v>
      </c>
      <c r="G1595">
        <v>22</v>
      </c>
      <c r="H1595">
        <v>0</v>
      </c>
      <c r="I1595" t="s">
        <v>30</v>
      </c>
      <c r="J1595">
        <v>113</v>
      </c>
      <c r="K1595" t="s">
        <v>40</v>
      </c>
      <c r="L1595">
        <v>98</v>
      </c>
    </row>
    <row r="1596" spans="1:12" x14ac:dyDescent="0.25">
      <c r="A1596">
        <v>400579093</v>
      </c>
      <c r="B1596">
        <v>2015</v>
      </c>
      <c r="C1596" s="1">
        <v>42054</v>
      </c>
      <c r="D1596" t="s">
        <v>14</v>
      </c>
      <c r="E1596">
        <v>0</v>
      </c>
      <c r="F1596">
        <v>36</v>
      </c>
      <c r="G1596">
        <v>20</v>
      </c>
      <c r="H1596">
        <v>0</v>
      </c>
      <c r="I1596" t="s">
        <v>38</v>
      </c>
      <c r="J1596">
        <v>104</v>
      </c>
      <c r="K1596" t="s">
        <v>14</v>
      </c>
      <c r="L1596">
        <v>89</v>
      </c>
    </row>
    <row r="1597" spans="1:12" x14ac:dyDescent="0.25">
      <c r="A1597">
        <v>400579093</v>
      </c>
      <c r="B1597">
        <v>2015</v>
      </c>
      <c r="C1597" s="1">
        <v>42054</v>
      </c>
      <c r="D1597" t="s">
        <v>38</v>
      </c>
      <c r="E1597">
        <v>1</v>
      </c>
      <c r="F1597">
        <v>29</v>
      </c>
      <c r="G1597">
        <v>25</v>
      </c>
      <c r="H1597">
        <v>1</v>
      </c>
      <c r="I1597" t="s">
        <v>38</v>
      </c>
      <c r="J1597">
        <v>104</v>
      </c>
      <c r="K1597" t="s">
        <v>14</v>
      </c>
      <c r="L1597">
        <v>89</v>
      </c>
    </row>
    <row r="1598" spans="1:12" x14ac:dyDescent="0.25">
      <c r="A1598">
        <v>400579094</v>
      </c>
      <c r="B1598">
        <v>2015</v>
      </c>
      <c r="C1598" s="1">
        <v>42054</v>
      </c>
      <c r="D1598" t="s">
        <v>41</v>
      </c>
      <c r="E1598">
        <v>1</v>
      </c>
      <c r="F1598">
        <v>36</v>
      </c>
      <c r="G1598">
        <v>19</v>
      </c>
      <c r="H1598">
        <v>1</v>
      </c>
      <c r="I1598" t="s">
        <v>41</v>
      </c>
      <c r="J1598">
        <v>119</v>
      </c>
      <c r="K1598" t="s">
        <v>15</v>
      </c>
      <c r="L1598">
        <v>115</v>
      </c>
    </row>
    <row r="1599" spans="1:12" x14ac:dyDescent="0.25">
      <c r="A1599">
        <v>400579094</v>
      </c>
      <c r="B1599">
        <v>2015</v>
      </c>
      <c r="C1599" s="1">
        <v>42054</v>
      </c>
      <c r="D1599" t="s">
        <v>15</v>
      </c>
      <c r="E1599">
        <v>0</v>
      </c>
      <c r="F1599">
        <v>34</v>
      </c>
      <c r="G1599">
        <v>20</v>
      </c>
      <c r="H1599">
        <v>0</v>
      </c>
      <c r="I1599" t="s">
        <v>41</v>
      </c>
      <c r="J1599">
        <v>119</v>
      </c>
      <c r="K1599" t="s">
        <v>15</v>
      </c>
      <c r="L1599">
        <v>115</v>
      </c>
    </row>
    <row r="1600" spans="1:12" x14ac:dyDescent="0.25">
      <c r="A1600">
        <v>400579095</v>
      </c>
      <c r="B1600">
        <v>2015</v>
      </c>
      <c r="C1600" s="1">
        <v>42055</v>
      </c>
      <c r="D1600" t="s">
        <v>12</v>
      </c>
      <c r="E1600">
        <v>0</v>
      </c>
      <c r="F1600">
        <v>27</v>
      </c>
      <c r="G1600">
        <v>27</v>
      </c>
      <c r="H1600">
        <v>0</v>
      </c>
      <c r="I1600" t="s">
        <v>13</v>
      </c>
      <c r="J1600">
        <v>95</v>
      </c>
      <c r="K1600" t="s">
        <v>12</v>
      </c>
      <c r="L1600">
        <v>84</v>
      </c>
    </row>
    <row r="1601" spans="1:12" x14ac:dyDescent="0.25">
      <c r="A1601">
        <v>400579095</v>
      </c>
      <c r="B1601">
        <v>2015</v>
      </c>
      <c r="C1601" s="1">
        <v>42055</v>
      </c>
      <c r="D1601" t="s">
        <v>13</v>
      </c>
      <c r="E1601">
        <v>1</v>
      </c>
      <c r="F1601">
        <v>18</v>
      </c>
      <c r="G1601">
        <v>39</v>
      </c>
      <c r="H1601">
        <v>1</v>
      </c>
      <c r="I1601" t="s">
        <v>13</v>
      </c>
      <c r="J1601">
        <v>95</v>
      </c>
      <c r="K1601" t="s">
        <v>12</v>
      </c>
      <c r="L1601">
        <v>84</v>
      </c>
    </row>
    <row r="1602" spans="1:12" x14ac:dyDescent="0.25">
      <c r="A1602">
        <v>400579096</v>
      </c>
      <c r="B1602">
        <v>2015</v>
      </c>
      <c r="C1602" s="1">
        <v>42055</v>
      </c>
      <c r="D1602" t="s">
        <v>20</v>
      </c>
      <c r="E1602">
        <v>1</v>
      </c>
      <c r="F1602">
        <v>22</v>
      </c>
      <c r="G1602">
        <v>33</v>
      </c>
      <c r="H1602">
        <v>0</v>
      </c>
      <c r="I1602" t="s">
        <v>21</v>
      </c>
      <c r="J1602">
        <v>95</v>
      </c>
      <c r="K1602" t="s">
        <v>20</v>
      </c>
      <c r="L1602">
        <v>106</v>
      </c>
    </row>
    <row r="1603" spans="1:12" x14ac:dyDescent="0.25">
      <c r="A1603">
        <v>400579096</v>
      </c>
      <c r="B1603">
        <v>2015</v>
      </c>
      <c r="C1603" s="1">
        <v>42055</v>
      </c>
      <c r="D1603" t="s">
        <v>21</v>
      </c>
      <c r="E1603">
        <v>0</v>
      </c>
      <c r="F1603">
        <v>12</v>
      </c>
      <c r="G1603">
        <v>42</v>
      </c>
      <c r="H1603">
        <v>1</v>
      </c>
      <c r="I1603" t="s">
        <v>21</v>
      </c>
      <c r="J1603">
        <v>95</v>
      </c>
      <c r="K1603" t="s">
        <v>20</v>
      </c>
      <c r="L1603">
        <v>106</v>
      </c>
    </row>
    <row r="1604" spans="1:12" x14ac:dyDescent="0.25">
      <c r="A1604">
        <v>400579097</v>
      </c>
      <c r="B1604">
        <v>2015</v>
      </c>
      <c r="C1604" s="1">
        <v>42055</v>
      </c>
      <c r="D1604" t="s">
        <v>26</v>
      </c>
      <c r="E1604">
        <v>0</v>
      </c>
      <c r="F1604">
        <v>43</v>
      </c>
      <c r="G1604">
        <v>12</v>
      </c>
      <c r="H1604">
        <v>1</v>
      </c>
      <c r="I1604" t="s">
        <v>26</v>
      </c>
      <c r="J1604">
        <v>80</v>
      </c>
      <c r="K1604" t="s">
        <v>27</v>
      </c>
      <c r="L1604">
        <v>105</v>
      </c>
    </row>
    <row r="1605" spans="1:12" x14ac:dyDescent="0.25">
      <c r="A1605">
        <v>400579097</v>
      </c>
      <c r="B1605">
        <v>2015</v>
      </c>
      <c r="C1605" s="1">
        <v>42055</v>
      </c>
      <c r="D1605" t="s">
        <v>27</v>
      </c>
      <c r="E1605">
        <v>1</v>
      </c>
      <c r="F1605">
        <v>37</v>
      </c>
      <c r="G1605">
        <v>17</v>
      </c>
      <c r="H1605">
        <v>0</v>
      </c>
      <c r="I1605" t="s">
        <v>26</v>
      </c>
      <c r="J1605">
        <v>80</v>
      </c>
      <c r="K1605" t="s">
        <v>27</v>
      </c>
      <c r="L1605">
        <v>105</v>
      </c>
    </row>
    <row r="1606" spans="1:12" x14ac:dyDescent="0.25">
      <c r="A1606">
        <v>400579098</v>
      </c>
      <c r="B1606">
        <v>2015</v>
      </c>
      <c r="C1606" s="1">
        <v>42055</v>
      </c>
      <c r="D1606" t="s">
        <v>30</v>
      </c>
      <c r="E1606">
        <v>0</v>
      </c>
      <c r="F1606">
        <v>34</v>
      </c>
      <c r="G1606">
        <v>21</v>
      </c>
      <c r="H1606">
        <v>0</v>
      </c>
      <c r="I1606" t="s">
        <v>33</v>
      </c>
      <c r="J1606">
        <v>100</v>
      </c>
      <c r="K1606" t="s">
        <v>30</v>
      </c>
      <c r="L1606">
        <v>91</v>
      </c>
    </row>
    <row r="1607" spans="1:12" x14ac:dyDescent="0.25">
      <c r="A1607">
        <v>400579098</v>
      </c>
      <c r="B1607">
        <v>2015</v>
      </c>
      <c r="C1607" s="1">
        <v>42055</v>
      </c>
      <c r="D1607" t="s">
        <v>33</v>
      </c>
      <c r="E1607">
        <v>1</v>
      </c>
      <c r="F1607">
        <v>22</v>
      </c>
      <c r="G1607">
        <v>33</v>
      </c>
      <c r="H1607">
        <v>1</v>
      </c>
      <c r="I1607" t="s">
        <v>33</v>
      </c>
      <c r="J1607">
        <v>100</v>
      </c>
      <c r="K1607" t="s">
        <v>30</v>
      </c>
      <c r="L1607">
        <v>91</v>
      </c>
    </row>
    <row r="1608" spans="1:12" x14ac:dyDescent="0.25">
      <c r="A1608">
        <v>400579099</v>
      </c>
      <c r="B1608">
        <v>2015</v>
      </c>
      <c r="C1608" s="1">
        <v>42055</v>
      </c>
      <c r="D1608" t="s">
        <v>24</v>
      </c>
      <c r="E1608">
        <v>1</v>
      </c>
      <c r="F1608">
        <v>23</v>
      </c>
      <c r="G1608">
        <v>30</v>
      </c>
      <c r="H1608">
        <v>0</v>
      </c>
      <c r="I1608" t="s">
        <v>31</v>
      </c>
      <c r="J1608">
        <v>87</v>
      </c>
      <c r="K1608" t="s">
        <v>24</v>
      </c>
      <c r="L1608">
        <v>111</v>
      </c>
    </row>
    <row r="1609" spans="1:12" x14ac:dyDescent="0.25">
      <c r="A1609">
        <v>400579099</v>
      </c>
      <c r="B1609">
        <v>2015</v>
      </c>
      <c r="C1609" s="1">
        <v>42055</v>
      </c>
      <c r="D1609" t="s">
        <v>31</v>
      </c>
      <c r="E1609">
        <v>0</v>
      </c>
      <c r="F1609">
        <v>10</v>
      </c>
      <c r="G1609">
        <v>44</v>
      </c>
      <c r="H1609">
        <v>1</v>
      </c>
      <c r="I1609" t="s">
        <v>31</v>
      </c>
      <c r="J1609">
        <v>87</v>
      </c>
      <c r="K1609" t="s">
        <v>24</v>
      </c>
      <c r="L1609">
        <v>111</v>
      </c>
    </row>
    <row r="1610" spans="1:12" x14ac:dyDescent="0.25">
      <c r="A1610">
        <v>400579100</v>
      </c>
      <c r="B1610">
        <v>2015</v>
      </c>
      <c r="C1610" s="1">
        <v>42055</v>
      </c>
      <c r="D1610" t="s">
        <v>29</v>
      </c>
      <c r="E1610">
        <v>1</v>
      </c>
      <c r="F1610">
        <v>12</v>
      </c>
      <c r="G1610">
        <v>42</v>
      </c>
      <c r="H1610">
        <v>1</v>
      </c>
      <c r="I1610" t="s">
        <v>29</v>
      </c>
      <c r="J1610">
        <v>111</v>
      </c>
      <c r="K1610" t="s">
        <v>35</v>
      </c>
      <c r="L1610">
        <v>109</v>
      </c>
    </row>
    <row r="1611" spans="1:12" x14ac:dyDescent="0.25">
      <c r="A1611">
        <v>400579100</v>
      </c>
      <c r="B1611">
        <v>2015</v>
      </c>
      <c r="C1611" s="1">
        <v>42055</v>
      </c>
      <c r="D1611" t="s">
        <v>35</v>
      </c>
      <c r="E1611">
        <v>0</v>
      </c>
      <c r="F1611">
        <v>29</v>
      </c>
      <c r="G1611">
        <v>26</v>
      </c>
      <c r="H1611">
        <v>0</v>
      </c>
      <c r="I1611" t="s">
        <v>29</v>
      </c>
      <c r="J1611">
        <v>111</v>
      </c>
      <c r="K1611" t="s">
        <v>35</v>
      </c>
      <c r="L1611">
        <v>109</v>
      </c>
    </row>
    <row r="1612" spans="1:12" x14ac:dyDescent="0.25">
      <c r="A1612">
        <v>400579101</v>
      </c>
      <c r="B1612">
        <v>2015</v>
      </c>
      <c r="C1612" s="1">
        <v>42055</v>
      </c>
      <c r="D1612" t="s">
        <v>40</v>
      </c>
      <c r="E1612">
        <v>1</v>
      </c>
      <c r="F1612">
        <v>34</v>
      </c>
      <c r="G1612">
        <v>22</v>
      </c>
      <c r="H1612">
        <v>0</v>
      </c>
      <c r="I1612" t="s">
        <v>25</v>
      </c>
      <c r="J1612">
        <v>89</v>
      </c>
      <c r="K1612" t="s">
        <v>40</v>
      </c>
      <c r="L1612">
        <v>127</v>
      </c>
    </row>
    <row r="1613" spans="1:12" x14ac:dyDescent="0.25">
      <c r="A1613">
        <v>400579101</v>
      </c>
      <c r="B1613">
        <v>2015</v>
      </c>
      <c r="C1613" s="1">
        <v>42055</v>
      </c>
      <c r="D1613" t="s">
        <v>25</v>
      </c>
      <c r="E1613">
        <v>0</v>
      </c>
      <c r="F1613">
        <v>33</v>
      </c>
      <c r="G1613">
        <v>22</v>
      </c>
      <c r="H1613">
        <v>1</v>
      </c>
      <c r="I1613" t="s">
        <v>25</v>
      </c>
      <c r="J1613">
        <v>89</v>
      </c>
      <c r="K1613" t="s">
        <v>40</v>
      </c>
      <c r="L1613">
        <v>127</v>
      </c>
    </row>
    <row r="1614" spans="1:12" x14ac:dyDescent="0.25">
      <c r="A1614">
        <v>400579102</v>
      </c>
      <c r="B1614">
        <v>2015</v>
      </c>
      <c r="C1614" s="1">
        <v>42055</v>
      </c>
      <c r="D1614" t="s">
        <v>14</v>
      </c>
      <c r="E1614">
        <v>1</v>
      </c>
      <c r="F1614">
        <v>37</v>
      </c>
      <c r="G1614">
        <v>20</v>
      </c>
      <c r="H1614">
        <v>1</v>
      </c>
      <c r="I1614" t="s">
        <v>14</v>
      </c>
      <c r="J1614">
        <v>111</v>
      </c>
      <c r="K1614" t="s">
        <v>16</v>
      </c>
      <c r="L1614">
        <v>100</v>
      </c>
    </row>
    <row r="1615" spans="1:12" x14ac:dyDescent="0.25">
      <c r="A1615">
        <v>400579102</v>
      </c>
      <c r="B1615">
        <v>2015</v>
      </c>
      <c r="C1615" s="1">
        <v>42055</v>
      </c>
      <c r="D1615" t="s">
        <v>16</v>
      </c>
      <c r="E1615">
        <v>0</v>
      </c>
      <c r="F1615">
        <v>36</v>
      </c>
      <c r="G1615">
        <v>18</v>
      </c>
      <c r="H1615">
        <v>0</v>
      </c>
      <c r="I1615" t="s">
        <v>14</v>
      </c>
      <c r="J1615">
        <v>111</v>
      </c>
      <c r="K1615" t="s">
        <v>16</v>
      </c>
      <c r="L1615">
        <v>100</v>
      </c>
    </row>
    <row r="1616" spans="1:12" x14ac:dyDescent="0.25">
      <c r="A1616">
        <v>400579103</v>
      </c>
      <c r="B1616">
        <v>2015</v>
      </c>
      <c r="C1616" s="1">
        <v>42055</v>
      </c>
      <c r="D1616" t="s">
        <v>32</v>
      </c>
      <c r="E1616">
        <v>0</v>
      </c>
      <c r="F1616">
        <v>20</v>
      </c>
      <c r="G1616">
        <v>34</v>
      </c>
      <c r="H1616">
        <v>0</v>
      </c>
      <c r="I1616" t="s">
        <v>19</v>
      </c>
      <c r="J1616">
        <v>89</v>
      </c>
      <c r="K1616" t="s">
        <v>32</v>
      </c>
      <c r="L1616">
        <v>81</v>
      </c>
    </row>
    <row r="1617" spans="1:12" x14ac:dyDescent="0.25">
      <c r="A1617">
        <v>400579103</v>
      </c>
      <c r="B1617">
        <v>2015</v>
      </c>
      <c r="C1617" s="1">
        <v>42055</v>
      </c>
      <c r="D1617" t="s">
        <v>19</v>
      </c>
      <c r="E1617">
        <v>1</v>
      </c>
      <c r="F1617">
        <v>31</v>
      </c>
      <c r="G1617">
        <v>23</v>
      </c>
      <c r="H1617">
        <v>1</v>
      </c>
      <c r="I1617" t="s">
        <v>19</v>
      </c>
      <c r="J1617">
        <v>89</v>
      </c>
      <c r="K1617" t="s">
        <v>32</v>
      </c>
      <c r="L1617">
        <v>81</v>
      </c>
    </row>
    <row r="1618" spans="1:12" x14ac:dyDescent="0.25">
      <c r="A1618">
        <v>400579104</v>
      </c>
      <c r="B1618">
        <v>2015</v>
      </c>
      <c r="C1618" s="1">
        <v>42055</v>
      </c>
      <c r="D1618" t="s">
        <v>39</v>
      </c>
      <c r="E1618">
        <v>0</v>
      </c>
      <c r="F1618">
        <v>36</v>
      </c>
      <c r="G1618">
        <v>18</v>
      </c>
      <c r="H1618">
        <v>0</v>
      </c>
      <c r="I1618" t="s">
        <v>34</v>
      </c>
      <c r="J1618">
        <v>92</v>
      </c>
      <c r="K1618" t="s">
        <v>39</v>
      </c>
      <c r="L1618">
        <v>76</v>
      </c>
    </row>
    <row r="1619" spans="1:12" x14ac:dyDescent="0.25">
      <c r="A1619">
        <v>400579104</v>
      </c>
      <c r="B1619">
        <v>2015</v>
      </c>
      <c r="C1619" s="1">
        <v>42055</v>
      </c>
      <c r="D1619" t="s">
        <v>34</v>
      </c>
      <c r="E1619">
        <v>1</v>
      </c>
      <c r="F1619">
        <v>20</v>
      </c>
      <c r="G1619">
        <v>34</v>
      </c>
      <c r="H1619">
        <v>1</v>
      </c>
      <c r="I1619" t="s">
        <v>34</v>
      </c>
      <c r="J1619">
        <v>92</v>
      </c>
      <c r="K1619" t="s">
        <v>39</v>
      </c>
      <c r="L1619">
        <v>76</v>
      </c>
    </row>
    <row r="1620" spans="1:12" x14ac:dyDescent="0.25">
      <c r="A1620">
        <v>400579105</v>
      </c>
      <c r="B1620">
        <v>2015</v>
      </c>
      <c r="C1620" s="1">
        <v>42055</v>
      </c>
      <c r="D1620" t="s">
        <v>22</v>
      </c>
      <c r="E1620">
        <v>0</v>
      </c>
      <c r="F1620">
        <v>20</v>
      </c>
      <c r="G1620">
        <v>32</v>
      </c>
      <c r="H1620">
        <v>0</v>
      </c>
      <c r="I1620" t="s">
        <v>37</v>
      </c>
      <c r="J1620">
        <v>109</v>
      </c>
      <c r="K1620" t="s">
        <v>22</v>
      </c>
      <c r="L1620">
        <v>101</v>
      </c>
    </row>
    <row r="1621" spans="1:12" x14ac:dyDescent="0.25">
      <c r="A1621">
        <v>400579105</v>
      </c>
      <c r="B1621">
        <v>2015</v>
      </c>
      <c r="C1621" s="1">
        <v>42055</v>
      </c>
      <c r="D1621" t="s">
        <v>37</v>
      </c>
      <c r="E1621">
        <v>1</v>
      </c>
      <c r="F1621">
        <v>19</v>
      </c>
      <c r="G1621">
        <v>34</v>
      </c>
      <c r="H1621">
        <v>1</v>
      </c>
      <c r="I1621" t="s">
        <v>37</v>
      </c>
      <c r="J1621">
        <v>109</v>
      </c>
      <c r="K1621" t="s">
        <v>22</v>
      </c>
      <c r="L1621">
        <v>101</v>
      </c>
    </row>
    <row r="1622" spans="1:12" x14ac:dyDescent="0.25">
      <c r="A1622">
        <v>400579106</v>
      </c>
      <c r="B1622">
        <v>2015</v>
      </c>
      <c r="C1622" s="1">
        <v>42055</v>
      </c>
      <c r="D1622" t="s">
        <v>36</v>
      </c>
      <c r="E1622">
        <v>1</v>
      </c>
      <c r="F1622">
        <v>43</v>
      </c>
      <c r="G1622">
        <v>9</v>
      </c>
      <c r="H1622">
        <v>1</v>
      </c>
      <c r="I1622" t="s">
        <v>36</v>
      </c>
      <c r="J1622">
        <v>110</v>
      </c>
      <c r="K1622" t="s">
        <v>15</v>
      </c>
      <c r="L1622">
        <v>99</v>
      </c>
    </row>
    <row r="1623" spans="1:12" x14ac:dyDescent="0.25">
      <c r="A1623">
        <v>400579106</v>
      </c>
      <c r="B1623">
        <v>2015</v>
      </c>
      <c r="C1623" s="1">
        <v>42055</v>
      </c>
      <c r="D1623" t="s">
        <v>15</v>
      </c>
      <c r="E1623">
        <v>0</v>
      </c>
      <c r="F1623">
        <v>34</v>
      </c>
      <c r="G1623">
        <v>21</v>
      </c>
      <c r="H1623">
        <v>0</v>
      </c>
      <c r="I1623" t="s">
        <v>36</v>
      </c>
      <c r="J1623">
        <v>110</v>
      </c>
      <c r="K1623" t="s">
        <v>15</v>
      </c>
      <c r="L1623">
        <v>99</v>
      </c>
    </row>
    <row r="1624" spans="1:12" x14ac:dyDescent="0.25">
      <c r="A1624">
        <v>400579107</v>
      </c>
      <c r="B1624">
        <v>2015</v>
      </c>
      <c r="C1624" s="1">
        <v>42055</v>
      </c>
      <c r="D1624" t="s">
        <v>23</v>
      </c>
      <c r="E1624">
        <v>1</v>
      </c>
      <c r="F1624">
        <v>22</v>
      </c>
      <c r="G1624">
        <v>31</v>
      </c>
      <c r="H1624">
        <v>0</v>
      </c>
      <c r="I1624" t="s">
        <v>17</v>
      </c>
      <c r="J1624">
        <v>105</v>
      </c>
      <c r="K1624" t="s">
        <v>23</v>
      </c>
      <c r="L1624">
        <v>114</v>
      </c>
    </row>
    <row r="1625" spans="1:12" x14ac:dyDescent="0.25">
      <c r="A1625">
        <v>400579107</v>
      </c>
      <c r="B1625">
        <v>2015</v>
      </c>
      <c r="C1625" s="1">
        <v>42055</v>
      </c>
      <c r="D1625" t="s">
        <v>17</v>
      </c>
      <c r="E1625">
        <v>0</v>
      </c>
      <c r="F1625">
        <v>13</v>
      </c>
      <c r="G1625">
        <v>41</v>
      </c>
      <c r="H1625">
        <v>1</v>
      </c>
      <c r="I1625" t="s">
        <v>17</v>
      </c>
      <c r="J1625">
        <v>105</v>
      </c>
      <c r="K1625" t="s">
        <v>23</v>
      </c>
      <c r="L1625">
        <v>114</v>
      </c>
    </row>
    <row r="1626" spans="1:12" x14ac:dyDescent="0.25">
      <c r="A1626">
        <v>400579108</v>
      </c>
      <c r="B1626">
        <v>2015</v>
      </c>
      <c r="C1626" s="1">
        <v>42056</v>
      </c>
      <c r="D1626" t="s">
        <v>18</v>
      </c>
      <c r="E1626">
        <v>0</v>
      </c>
      <c r="F1626">
        <v>22</v>
      </c>
      <c r="G1626">
        <v>31</v>
      </c>
      <c r="H1626">
        <v>1</v>
      </c>
      <c r="I1626" t="s">
        <v>18</v>
      </c>
      <c r="J1626">
        <v>103</v>
      </c>
      <c r="K1626" t="s">
        <v>38</v>
      </c>
      <c r="L1626">
        <v>110</v>
      </c>
    </row>
    <row r="1627" spans="1:12" x14ac:dyDescent="0.25">
      <c r="A1627">
        <v>400579108</v>
      </c>
      <c r="B1627">
        <v>2015</v>
      </c>
      <c r="C1627" s="1">
        <v>42056</v>
      </c>
      <c r="D1627" t="s">
        <v>38</v>
      </c>
      <c r="E1627">
        <v>1</v>
      </c>
      <c r="F1627">
        <v>30</v>
      </c>
      <c r="G1627">
        <v>25</v>
      </c>
      <c r="H1627">
        <v>0</v>
      </c>
      <c r="I1627" t="s">
        <v>18</v>
      </c>
      <c r="J1627">
        <v>103</v>
      </c>
      <c r="K1627" t="s">
        <v>38</v>
      </c>
      <c r="L1627">
        <v>110</v>
      </c>
    </row>
    <row r="1628" spans="1:12" x14ac:dyDescent="0.25">
      <c r="A1628">
        <v>400579109</v>
      </c>
      <c r="B1628">
        <v>2015</v>
      </c>
      <c r="C1628" s="1">
        <v>42056</v>
      </c>
      <c r="D1628" t="s">
        <v>24</v>
      </c>
      <c r="E1628">
        <v>0</v>
      </c>
      <c r="F1628">
        <v>23</v>
      </c>
      <c r="G1628">
        <v>31</v>
      </c>
      <c r="H1628">
        <v>1</v>
      </c>
      <c r="I1628" t="s">
        <v>24</v>
      </c>
      <c r="J1628">
        <v>91</v>
      </c>
      <c r="K1628" t="s">
        <v>12</v>
      </c>
      <c r="L1628">
        <v>105</v>
      </c>
    </row>
    <row r="1629" spans="1:12" x14ac:dyDescent="0.25">
      <c r="A1629">
        <v>400579109</v>
      </c>
      <c r="B1629">
        <v>2015</v>
      </c>
      <c r="C1629" s="1">
        <v>42056</v>
      </c>
      <c r="D1629" t="s">
        <v>12</v>
      </c>
      <c r="E1629">
        <v>1</v>
      </c>
      <c r="F1629">
        <v>28</v>
      </c>
      <c r="G1629">
        <v>27</v>
      </c>
      <c r="H1629">
        <v>0</v>
      </c>
      <c r="I1629" t="s">
        <v>24</v>
      </c>
      <c r="J1629">
        <v>91</v>
      </c>
      <c r="K1629" t="s">
        <v>12</v>
      </c>
      <c r="L1629">
        <v>105</v>
      </c>
    </row>
    <row r="1630" spans="1:12" x14ac:dyDescent="0.25">
      <c r="A1630">
        <v>400579110</v>
      </c>
      <c r="B1630">
        <v>2015</v>
      </c>
      <c r="C1630" s="1">
        <v>42056</v>
      </c>
      <c r="D1630" t="s">
        <v>30</v>
      </c>
      <c r="E1630">
        <v>1</v>
      </c>
      <c r="F1630">
        <v>35</v>
      </c>
      <c r="G1630">
        <v>21</v>
      </c>
      <c r="H1630">
        <v>1</v>
      </c>
      <c r="I1630" t="s">
        <v>30</v>
      </c>
      <c r="J1630">
        <v>112</v>
      </c>
      <c r="K1630" t="s">
        <v>35</v>
      </c>
      <c r="L1630">
        <v>107</v>
      </c>
    </row>
    <row r="1631" spans="1:12" x14ac:dyDescent="0.25">
      <c r="A1631">
        <v>400579110</v>
      </c>
      <c r="B1631">
        <v>2015</v>
      </c>
      <c r="C1631" s="1">
        <v>42056</v>
      </c>
      <c r="D1631" t="s">
        <v>35</v>
      </c>
      <c r="E1631">
        <v>0</v>
      </c>
      <c r="F1631">
        <v>29</v>
      </c>
      <c r="G1631">
        <v>27</v>
      </c>
      <c r="H1631">
        <v>0</v>
      </c>
      <c r="I1631" t="s">
        <v>30</v>
      </c>
      <c r="J1631">
        <v>112</v>
      </c>
      <c r="K1631" t="s">
        <v>35</v>
      </c>
      <c r="L1631">
        <v>107</v>
      </c>
    </row>
    <row r="1632" spans="1:12" x14ac:dyDescent="0.25">
      <c r="A1632">
        <v>400579111</v>
      </c>
      <c r="B1632">
        <v>2015</v>
      </c>
      <c r="C1632" s="1">
        <v>42056</v>
      </c>
      <c r="D1632" t="s">
        <v>16</v>
      </c>
      <c r="E1632">
        <v>1</v>
      </c>
      <c r="F1632">
        <v>37</v>
      </c>
      <c r="G1632">
        <v>18</v>
      </c>
      <c r="H1632">
        <v>1</v>
      </c>
      <c r="I1632" t="s">
        <v>16</v>
      </c>
      <c r="J1632">
        <v>98</v>
      </c>
      <c r="K1632" t="s">
        <v>27</v>
      </c>
      <c r="L1632">
        <v>76</v>
      </c>
    </row>
    <row r="1633" spans="1:12" x14ac:dyDescent="0.25">
      <c r="A1633">
        <v>400579111</v>
      </c>
      <c r="B1633">
        <v>2015</v>
      </c>
      <c r="C1633" s="1">
        <v>42056</v>
      </c>
      <c r="D1633" t="s">
        <v>27</v>
      </c>
      <c r="E1633">
        <v>0</v>
      </c>
      <c r="F1633">
        <v>37</v>
      </c>
      <c r="G1633">
        <v>18</v>
      </c>
      <c r="H1633">
        <v>0</v>
      </c>
      <c r="I1633" t="s">
        <v>16</v>
      </c>
      <c r="J1633">
        <v>98</v>
      </c>
      <c r="K1633" t="s">
        <v>27</v>
      </c>
      <c r="L1633">
        <v>76</v>
      </c>
    </row>
    <row r="1634" spans="1:12" x14ac:dyDescent="0.25">
      <c r="A1634">
        <v>400579112</v>
      </c>
      <c r="B1634">
        <v>2015</v>
      </c>
      <c r="C1634" s="1">
        <v>42056</v>
      </c>
      <c r="D1634" t="s">
        <v>41</v>
      </c>
      <c r="E1634">
        <v>1</v>
      </c>
      <c r="F1634">
        <v>37</v>
      </c>
      <c r="G1634">
        <v>19</v>
      </c>
      <c r="H1634">
        <v>1</v>
      </c>
      <c r="I1634" t="s">
        <v>41</v>
      </c>
      <c r="J1634">
        <v>126</v>
      </c>
      <c r="K1634" t="s">
        <v>37</v>
      </c>
      <c r="L1634">
        <v>99</v>
      </c>
    </row>
    <row r="1635" spans="1:12" x14ac:dyDescent="0.25">
      <c r="A1635">
        <v>400579112</v>
      </c>
      <c r="B1635">
        <v>2015</v>
      </c>
      <c r="C1635" s="1">
        <v>42056</v>
      </c>
      <c r="D1635" t="s">
        <v>37</v>
      </c>
      <c r="E1635">
        <v>0</v>
      </c>
      <c r="F1635">
        <v>19</v>
      </c>
      <c r="G1635">
        <v>35</v>
      </c>
      <c r="H1635">
        <v>0</v>
      </c>
      <c r="I1635" t="s">
        <v>41</v>
      </c>
      <c r="J1635">
        <v>126</v>
      </c>
      <c r="K1635" t="s">
        <v>37</v>
      </c>
      <c r="L1635">
        <v>99</v>
      </c>
    </row>
    <row r="1636" spans="1:12" x14ac:dyDescent="0.25">
      <c r="A1636">
        <v>400579113</v>
      </c>
      <c r="B1636">
        <v>2015</v>
      </c>
      <c r="C1636" s="1">
        <v>42057</v>
      </c>
      <c r="D1636" t="s">
        <v>40</v>
      </c>
      <c r="E1636">
        <v>1</v>
      </c>
      <c r="F1636">
        <v>35</v>
      </c>
      <c r="G1636">
        <v>22</v>
      </c>
      <c r="H1636">
        <v>0</v>
      </c>
      <c r="I1636" t="s">
        <v>31</v>
      </c>
      <c r="J1636">
        <v>83</v>
      </c>
      <c r="K1636" t="s">
        <v>40</v>
      </c>
      <c r="L1636">
        <v>101</v>
      </c>
    </row>
    <row r="1637" spans="1:12" x14ac:dyDescent="0.25">
      <c r="A1637">
        <v>400579113</v>
      </c>
      <c r="B1637">
        <v>2015</v>
      </c>
      <c r="C1637" s="1">
        <v>42057</v>
      </c>
      <c r="D1637" t="s">
        <v>31</v>
      </c>
      <c r="E1637">
        <v>0</v>
      </c>
      <c r="F1637">
        <v>10</v>
      </c>
      <c r="G1637">
        <v>45</v>
      </c>
      <c r="H1637">
        <v>1</v>
      </c>
      <c r="I1637" t="s">
        <v>31</v>
      </c>
      <c r="J1637">
        <v>83</v>
      </c>
      <c r="K1637" t="s">
        <v>40</v>
      </c>
      <c r="L1637">
        <v>101</v>
      </c>
    </row>
    <row r="1638" spans="1:12" x14ac:dyDescent="0.25">
      <c r="A1638">
        <v>400579114</v>
      </c>
      <c r="B1638">
        <v>2015</v>
      </c>
      <c r="C1638" s="1">
        <v>42057</v>
      </c>
      <c r="D1638" t="s">
        <v>26</v>
      </c>
      <c r="E1638">
        <v>1</v>
      </c>
      <c r="F1638">
        <v>44</v>
      </c>
      <c r="G1638">
        <v>12</v>
      </c>
      <c r="H1638">
        <v>0</v>
      </c>
      <c r="I1638" t="s">
        <v>19</v>
      </c>
      <c r="J1638">
        <v>86</v>
      </c>
      <c r="K1638" t="s">
        <v>26</v>
      </c>
      <c r="L1638">
        <v>97</v>
      </c>
    </row>
    <row r="1639" spans="1:12" x14ac:dyDescent="0.25">
      <c r="A1639">
        <v>400579114</v>
      </c>
      <c r="B1639">
        <v>2015</v>
      </c>
      <c r="C1639" s="1">
        <v>42057</v>
      </c>
      <c r="D1639" t="s">
        <v>19</v>
      </c>
      <c r="E1639">
        <v>0</v>
      </c>
      <c r="F1639">
        <v>31</v>
      </c>
      <c r="G1639">
        <v>24</v>
      </c>
      <c r="H1639">
        <v>1</v>
      </c>
      <c r="I1639" t="s">
        <v>19</v>
      </c>
      <c r="J1639">
        <v>86</v>
      </c>
      <c r="K1639" t="s">
        <v>26</v>
      </c>
      <c r="L1639">
        <v>97</v>
      </c>
    </row>
    <row r="1640" spans="1:12" x14ac:dyDescent="0.25">
      <c r="A1640">
        <v>400579115</v>
      </c>
      <c r="B1640">
        <v>2015</v>
      </c>
      <c r="C1640" s="1">
        <v>42057</v>
      </c>
      <c r="D1640" t="s">
        <v>33</v>
      </c>
      <c r="E1640">
        <v>1</v>
      </c>
      <c r="F1640">
        <v>23</v>
      </c>
      <c r="G1640">
        <v>33</v>
      </c>
      <c r="H1640">
        <v>1</v>
      </c>
      <c r="I1640" t="s">
        <v>33</v>
      </c>
      <c r="J1640">
        <v>106</v>
      </c>
      <c r="K1640" t="s">
        <v>25</v>
      </c>
      <c r="L1640">
        <v>89</v>
      </c>
    </row>
    <row r="1641" spans="1:12" x14ac:dyDescent="0.25">
      <c r="A1641">
        <v>400579115</v>
      </c>
      <c r="B1641">
        <v>2015</v>
      </c>
      <c r="C1641" s="1">
        <v>42057</v>
      </c>
      <c r="D1641" t="s">
        <v>25</v>
      </c>
      <c r="E1641">
        <v>0</v>
      </c>
      <c r="F1641">
        <v>33</v>
      </c>
      <c r="G1641">
        <v>23</v>
      </c>
      <c r="H1641">
        <v>0</v>
      </c>
      <c r="I1641" t="s">
        <v>33</v>
      </c>
      <c r="J1641">
        <v>106</v>
      </c>
      <c r="K1641" t="s">
        <v>25</v>
      </c>
      <c r="L1641">
        <v>89</v>
      </c>
    </row>
    <row r="1642" spans="1:12" x14ac:dyDescent="0.25">
      <c r="A1642">
        <v>400579116</v>
      </c>
      <c r="B1642">
        <v>2015</v>
      </c>
      <c r="C1642" s="1">
        <v>42057</v>
      </c>
      <c r="D1642" t="s">
        <v>36</v>
      </c>
      <c r="E1642">
        <v>0</v>
      </c>
      <c r="F1642">
        <v>43</v>
      </c>
      <c r="G1642">
        <v>10</v>
      </c>
      <c r="H1642">
        <v>0</v>
      </c>
      <c r="I1642" t="s">
        <v>20</v>
      </c>
      <c r="J1642">
        <v>104</v>
      </c>
      <c r="K1642" t="s">
        <v>36</v>
      </c>
      <c r="L1642">
        <v>98</v>
      </c>
    </row>
    <row r="1643" spans="1:12" x14ac:dyDescent="0.25">
      <c r="A1643">
        <v>400579116</v>
      </c>
      <c r="B1643">
        <v>2015</v>
      </c>
      <c r="C1643" s="1">
        <v>42057</v>
      </c>
      <c r="D1643" t="s">
        <v>20</v>
      </c>
      <c r="E1643">
        <v>1</v>
      </c>
      <c r="F1643">
        <v>23</v>
      </c>
      <c r="G1643">
        <v>33</v>
      </c>
      <c r="H1643">
        <v>1</v>
      </c>
      <c r="I1643" t="s">
        <v>20</v>
      </c>
      <c r="J1643">
        <v>104</v>
      </c>
      <c r="K1643" t="s">
        <v>36</v>
      </c>
      <c r="L1643">
        <v>98</v>
      </c>
    </row>
    <row r="1644" spans="1:12" x14ac:dyDescent="0.25">
      <c r="A1644">
        <v>400579117</v>
      </c>
      <c r="B1644">
        <v>2015</v>
      </c>
      <c r="C1644" s="1">
        <v>42057</v>
      </c>
      <c r="D1644" t="s">
        <v>13</v>
      </c>
      <c r="E1644">
        <v>1</v>
      </c>
      <c r="F1644">
        <v>19</v>
      </c>
      <c r="G1644">
        <v>39</v>
      </c>
      <c r="H1644">
        <v>1</v>
      </c>
      <c r="I1644" t="s">
        <v>13</v>
      </c>
      <c r="J1644">
        <v>103</v>
      </c>
      <c r="K1644" t="s">
        <v>21</v>
      </c>
      <c r="L1644">
        <v>98</v>
      </c>
    </row>
    <row r="1645" spans="1:12" x14ac:dyDescent="0.25">
      <c r="A1645">
        <v>400579117</v>
      </c>
      <c r="B1645">
        <v>2015</v>
      </c>
      <c r="C1645" s="1">
        <v>42057</v>
      </c>
      <c r="D1645" t="s">
        <v>21</v>
      </c>
      <c r="E1645">
        <v>0</v>
      </c>
      <c r="F1645">
        <v>12</v>
      </c>
      <c r="G1645">
        <v>43</v>
      </c>
      <c r="H1645">
        <v>0</v>
      </c>
      <c r="I1645" t="s">
        <v>13</v>
      </c>
      <c r="J1645">
        <v>103</v>
      </c>
      <c r="K1645" t="s">
        <v>21</v>
      </c>
      <c r="L1645">
        <v>98</v>
      </c>
    </row>
    <row r="1646" spans="1:12" x14ac:dyDescent="0.25">
      <c r="A1646">
        <v>400579118</v>
      </c>
      <c r="B1646">
        <v>2015</v>
      </c>
      <c r="C1646" s="1">
        <v>42057</v>
      </c>
      <c r="D1646" t="s">
        <v>32</v>
      </c>
      <c r="E1646">
        <v>0</v>
      </c>
      <c r="F1646">
        <v>20</v>
      </c>
      <c r="G1646">
        <v>35</v>
      </c>
      <c r="H1646">
        <v>0</v>
      </c>
      <c r="I1646" t="s">
        <v>38</v>
      </c>
      <c r="J1646">
        <v>119</v>
      </c>
      <c r="K1646" t="s">
        <v>32</v>
      </c>
      <c r="L1646">
        <v>94</v>
      </c>
    </row>
    <row r="1647" spans="1:12" x14ac:dyDescent="0.25">
      <c r="A1647">
        <v>400579118</v>
      </c>
      <c r="B1647">
        <v>2015</v>
      </c>
      <c r="C1647" s="1">
        <v>42057</v>
      </c>
      <c r="D1647" t="s">
        <v>38</v>
      </c>
      <c r="E1647">
        <v>1</v>
      </c>
      <c r="F1647">
        <v>31</v>
      </c>
      <c r="G1647">
        <v>25</v>
      </c>
      <c r="H1647">
        <v>1</v>
      </c>
      <c r="I1647" t="s">
        <v>38</v>
      </c>
      <c r="J1647">
        <v>119</v>
      </c>
      <c r="K1647" t="s">
        <v>32</v>
      </c>
      <c r="L1647">
        <v>94</v>
      </c>
    </row>
    <row r="1648" spans="1:12" x14ac:dyDescent="0.25">
      <c r="A1648">
        <v>400579119</v>
      </c>
      <c r="B1648">
        <v>2015</v>
      </c>
      <c r="C1648" s="1">
        <v>42057</v>
      </c>
      <c r="D1648" t="s">
        <v>18</v>
      </c>
      <c r="E1648">
        <v>0</v>
      </c>
      <c r="F1648">
        <v>22</v>
      </c>
      <c r="G1648">
        <v>32</v>
      </c>
      <c r="H1648">
        <v>0</v>
      </c>
      <c r="I1648" t="s">
        <v>14</v>
      </c>
      <c r="J1648">
        <v>92</v>
      </c>
      <c r="K1648" t="s">
        <v>18</v>
      </c>
      <c r="L1648">
        <v>81</v>
      </c>
    </row>
    <row r="1649" spans="1:12" x14ac:dyDescent="0.25">
      <c r="A1649">
        <v>400579119</v>
      </c>
      <c r="B1649">
        <v>2015</v>
      </c>
      <c r="C1649" s="1">
        <v>42057</v>
      </c>
      <c r="D1649" t="s">
        <v>14</v>
      </c>
      <c r="E1649">
        <v>1</v>
      </c>
      <c r="F1649">
        <v>38</v>
      </c>
      <c r="G1649">
        <v>20</v>
      </c>
      <c r="H1649">
        <v>1</v>
      </c>
      <c r="I1649" t="s">
        <v>14</v>
      </c>
      <c r="J1649">
        <v>92</v>
      </c>
      <c r="K1649" t="s">
        <v>18</v>
      </c>
      <c r="L1649">
        <v>81</v>
      </c>
    </row>
    <row r="1650" spans="1:12" x14ac:dyDescent="0.25">
      <c r="A1650">
        <v>400579120</v>
      </c>
      <c r="B1650">
        <v>2015</v>
      </c>
      <c r="C1650" s="1">
        <v>42057</v>
      </c>
      <c r="D1650" t="s">
        <v>28</v>
      </c>
      <c r="E1650">
        <v>1</v>
      </c>
      <c r="F1650">
        <v>40</v>
      </c>
      <c r="G1650">
        <v>14</v>
      </c>
      <c r="H1650">
        <v>0</v>
      </c>
      <c r="I1650" t="s">
        <v>39</v>
      </c>
      <c r="J1650">
        <v>92</v>
      </c>
      <c r="K1650" t="s">
        <v>28</v>
      </c>
      <c r="L1650">
        <v>98</v>
      </c>
    </row>
    <row r="1651" spans="1:12" x14ac:dyDescent="0.25">
      <c r="A1651">
        <v>400579120</v>
      </c>
      <c r="B1651">
        <v>2015</v>
      </c>
      <c r="C1651" s="1">
        <v>42057</v>
      </c>
      <c r="D1651" t="s">
        <v>39</v>
      </c>
      <c r="E1651">
        <v>0</v>
      </c>
      <c r="F1651">
        <v>36</v>
      </c>
      <c r="G1651">
        <v>19</v>
      </c>
      <c r="H1651">
        <v>1</v>
      </c>
      <c r="I1651" t="s">
        <v>39</v>
      </c>
      <c r="J1651">
        <v>92</v>
      </c>
      <c r="K1651" t="s">
        <v>28</v>
      </c>
      <c r="L1651">
        <v>98</v>
      </c>
    </row>
    <row r="1652" spans="1:12" x14ac:dyDescent="0.25">
      <c r="A1652">
        <v>400579121</v>
      </c>
      <c r="B1652">
        <v>2015</v>
      </c>
      <c r="C1652" s="1">
        <v>42057</v>
      </c>
      <c r="D1652" t="s">
        <v>22</v>
      </c>
      <c r="E1652">
        <v>0</v>
      </c>
      <c r="F1652">
        <v>20</v>
      </c>
      <c r="G1652">
        <v>33</v>
      </c>
      <c r="H1652">
        <v>0</v>
      </c>
      <c r="I1652" t="s">
        <v>17</v>
      </c>
      <c r="J1652">
        <v>118</v>
      </c>
      <c r="K1652" t="s">
        <v>22</v>
      </c>
      <c r="L1652">
        <v>111</v>
      </c>
    </row>
    <row r="1653" spans="1:12" x14ac:dyDescent="0.25">
      <c r="A1653">
        <v>400579121</v>
      </c>
      <c r="B1653">
        <v>2015</v>
      </c>
      <c r="C1653" s="1">
        <v>42057</v>
      </c>
      <c r="D1653" t="s">
        <v>17</v>
      </c>
      <c r="E1653">
        <v>1</v>
      </c>
      <c r="F1653">
        <v>14</v>
      </c>
      <c r="G1653">
        <v>41</v>
      </c>
      <c r="H1653">
        <v>1</v>
      </c>
      <c r="I1653" t="s">
        <v>17</v>
      </c>
      <c r="J1653">
        <v>118</v>
      </c>
      <c r="K1653" t="s">
        <v>22</v>
      </c>
      <c r="L1653">
        <v>111</v>
      </c>
    </row>
    <row r="1654" spans="1:12" x14ac:dyDescent="0.25">
      <c r="A1654">
        <v>400579122</v>
      </c>
      <c r="B1654">
        <v>2015</v>
      </c>
      <c r="C1654" s="1">
        <v>42058</v>
      </c>
      <c r="D1654" t="s">
        <v>24</v>
      </c>
      <c r="E1654">
        <v>1</v>
      </c>
      <c r="F1654">
        <v>24</v>
      </c>
      <c r="G1654">
        <v>31</v>
      </c>
      <c r="H1654">
        <v>1</v>
      </c>
      <c r="I1654" t="s">
        <v>24</v>
      </c>
      <c r="J1654">
        <v>119</v>
      </c>
      <c r="K1654" t="s">
        <v>21</v>
      </c>
      <c r="L1654">
        <v>108</v>
      </c>
    </row>
    <row r="1655" spans="1:12" x14ac:dyDescent="0.25">
      <c r="A1655">
        <v>400579122</v>
      </c>
      <c r="B1655">
        <v>2015</v>
      </c>
      <c r="C1655" s="1">
        <v>42058</v>
      </c>
      <c r="D1655" t="s">
        <v>21</v>
      </c>
      <c r="E1655">
        <v>0</v>
      </c>
      <c r="F1655">
        <v>12</v>
      </c>
      <c r="G1655">
        <v>44</v>
      </c>
      <c r="H1655">
        <v>0</v>
      </c>
      <c r="I1655" t="s">
        <v>24</v>
      </c>
      <c r="J1655">
        <v>119</v>
      </c>
      <c r="K1655" t="s">
        <v>21</v>
      </c>
      <c r="L1655">
        <v>108</v>
      </c>
    </row>
    <row r="1656" spans="1:12" x14ac:dyDescent="0.25">
      <c r="A1656">
        <v>400579123</v>
      </c>
      <c r="B1656">
        <v>2015</v>
      </c>
      <c r="C1656" s="1">
        <v>42058</v>
      </c>
      <c r="D1656" t="s">
        <v>30</v>
      </c>
      <c r="E1656">
        <v>1</v>
      </c>
      <c r="F1656">
        <v>36</v>
      </c>
      <c r="G1656">
        <v>21</v>
      </c>
      <c r="H1656">
        <v>1</v>
      </c>
      <c r="I1656" t="s">
        <v>30</v>
      </c>
      <c r="J1656">
        <v>87</v>
      </c>
      <c r="K1656" t="s">
        <v>19</v>
      </c>
      <c r="L1656">
        <v>71</v>
      </c>
    </row>
    <row r="1657" spans="1:12" x14ac:dyDescent="0.25">
      <c r="A1657">
        <v>400579123</v>
      </c>
      <c r="B1657">
        <v>2015</v>
      </c>
      <c r="C1657" s="1">
        <v>42058</v>
      </c>
      <c r="D1657" t="s">
        <v>19</v>
      </c>
      <c r="E1657">
        <v>0</v>
      </c>
      <c r="F1657">
        <v>31</v>
      </c>
      <c r="G1657">
        <v>25</v>
      </c>
      <c r="H1657">
        <v>0</v>
      </c>
      <c r="I1657" t="s">
        <v>30</v>
      </c>
      <c r="J1657">
        <v>87</v>
      </c>
      <c r="K1657" t="s">
        <v>19</v>
      </c>
      <c r="L1657">
        <v>71</v>
      </c>
    </row>
    <row r="1658" spans="1:12" x14ac:dyDescent="0.25">
      <c r="A1658">
        <v>400579124</v>
      </c>
      <c r="B1658">
        <v>2015</v>
      </c>
      <c r="C1658" s="1">
        <v>42058</v>
      </c>
      <c r="D1658" t="s">
        <v>16</v>
      </c>
      <c r="E1658">
        <v>1</v>
      </c>
      <c r="F1658">
        <v>38</v>
      </c>
      <c r="G1658">
        <v>18</v>
      </c>
      <c r="H1658">
        <v>1</v>
      </c>
      <c r="I1658" t="s">
        <v>16</v>
      </c>
      <c r="J1658">
        <v>113</v>
      </c>
      <c r="K1658" t="s">
        <v>29</v>
      </c>
      <c r="L1658">
        <v>102</v>
      </c>
    </row>
    <row r="1659" spans="1:12" x14ac:dyDescent="0.25">
      <c r="A1659">
        <v>400579124</v>
      </c>
      <c r="B1659">
        <v>2015</v>
      </c>
      <c r="C1659" s="1">
        <v>42058</v>
      </c>
      <c r="D1659" t="s">
        <v>29</v>
      </c>
      <c r="E1659">
        <v>0</v>
      </c>
      <c r="F1659">
        <v>12</v>
      </c>
      <c r="G1659">
        <v>43</v>
      </c>
      <c r="H1659">
        <v>0</v>
      </c>
      <c r="I1659" t="s">
        <v>16</v>
      </c>
      <c r="J1659">
        <v>113</v>
      </c>
      <c r="K1659" t="s">
        <v>29</v>
      </c>
      <c r="L1659">
        <v>102</v>
      </c>
    </row>
    <row r="1660" spans="1:12" x14ac:dyDescent="0.25">
      <c r="A1660">
        <v>400579125</v>
      </c>
      <c r="B1660">
        <v>2015</v>
      </c>
      <c r="C1660" s="1">
        <v>42058</v>
      </c>
      <c r="D1660" t="s">
        <v>12</v>
      </c>
      <c r="E1660">
        <v>1</v>
      </c>
      <c r="F1660">
        <v>29</v>
      </c>
      <c r="G1660">
        <v>27</v>
      </c>
      <c r="H1660">
        <v>1</v>
      </c>
      <c r="I1660" t="s">
        <v>12</v>
      </c>
      <c r="J1660">
        <v>100</v>
      </c>
      <c r="K1660" t="s">
        <v>27</v>
      </c>
      <c r="L1660">
        <v>97</v>
      </c>
    </row>
    <row r="1661" spans="1:12" x14ac:dyDescent="0.25">
      <c r="A1661">
        <v>400579125</v>
      </c>
      <c r="B1661">
        <v>2015</v>
      </c>
      <c r="C1661" s="1">
        <v>42058</v>
      </c>
      <c r="D1661" t="s">
        <v>27</v>
      </c>
      <c r="E1661">
        <v>0</v>
      </c>
      <c r="F1661">
        <v>37</v>
      </c>
      <c r="G1661">
        <v>19</v>
      </c>
      <c r="H1661">
        <v>0</v>
      </c>
      <c r="I1661" t="s">
        <v>12</v>
      </c>
      <c r="J1661">
        <v>100</v>
      </c>
      <c r="K1661" t="s">
        <v>27</v>
      </c>
      <c r="L1661">
        <v>97</v>
      </c>
    </row>
    <row r="1662" spans="1:12" x14ac:dyDescent="0.25">
      <c r="A1662">
        <v>400579126</v>
      </c>
      <c r="B1662">
        <v>2015</v>
      </c>
      <c r="C1662" s="1">
        <v>42058</v>
      </c>
      <c r="D1662" t="s">
        <v>23</v>
      </c>
      <c r="E1662">
        <v>1</v>
      </c>
      <c r="F1662">
        <v>23</v>
      </c>
      <c r="G1662">
        <v>31</v>
      </c>
      <c r="H1662">
        <v>0</v>
      </c>
      <c r="I1662" t="s">
        <v>32</v>
      </c>
      <c r="J1662">
        <v>82</v>
      </c>
      <c r="K1662" t="s">
        <v>23</v>
      </c>
      <c r="L1662">
        <v>110</v>
      </c>
    </row>
    <row r="1663" spans="1:12" x14ac:dyDescent="0.25">
      <c r="A1663">
        <v>400579126</v>
      </c>
      <c r="B1663">
        <v>2015</v>
      </c>
      <c r="C1663" s="1">
        <v>42058</v>
      </c>
      <c r="D1663" t="s">
        <v>32</v>
      </c>
      <c r="E1663">
        <v>0</v>
      </c>
      <c r="F1663">
        <v>20</v>
      </c>
      <c r="G1663">
        <v>36</v>
      </c>
      <c r="H1663">
        <v>1</v>
      </c>
      <c r="I1663" t="s">
        <v>32</v>
      </c>
      <c r="J1663">
        <v>82</v>
      </c>
      <c r="K1663" t="s">
        <v>23</v>
      </c>
      <c r="L1663">
        <v>110</v>
      </c>
    </row>
    <row r="1664" spans="1:12" x14ac:dyDescent="0.25">
      <c r="A1664">
        <v>400579127</v>
      </c>
      <c r="B1664">
        <v>2015</v>
      </c>
      <c r="C1664" s="1">
        <v>42058</v>
      </c>
      <c r="D1664" t="s">
        <v>22</v>
      </c>
      <c r="E1664">
        <v>1</v>
      </c>
      <c r="F1664">
        <v>21</v>
      </c>
      <c r="G1664">
        <v>33</v>
      </c>
      <c r="H1664">
        <v>0</v>
      </c>
      <c r="I1664" t="s">
        <v>35</v>
      </c>
      <c r="J1664">
        <v>110</v>
      </c>
      <c r="K1664" t="s">
        <v>22</v>
      </c>
      <c r="L1664">
        <v>115</v>
      </c>
    </row>
    <row r="1665" spans="1:12" x14ac:dyDescent="0.25">
      <c r="A1665">
        <v>400579127</v>
      </c>
      <c r="B1665">
        <v>2015</v>
      </c>
      <c r="C1665" s="1">
        <v>42058</v>
      </c>
      <c r="D1665" t="s">
        <v>35</v>
      </c>
      <c r="E1665">
        <v>0</v>
      </c>
      <c r="F1665">
        <v>29</v>
      </c>
      <c r="G1665">
        <v>28</v>
      </c>
      <c r="H1665">
        <v>1</v>
      </c>
      <c r="I1665" t="s">
        <v>35</v>
      </c>
      <c r="J1665">
        <v>110</v>
      </c>
      <c r="K1665" t="s">
        <v>22</v>
      </c>
      <c r="L1665">
        <v>115</v>
      </c>
    </row>
    <row r="1666" spans="1:12" x14ac:dyDescent="0.25">
      <c r="A1666">
        <v>400579128</v>
      </c>
      <c r="B1666">
        <v>2015</v>
      </c>
      <c r="C1666" s="1">
        <v>42058</v>
      </c>
      <c r="D1666" t="s">
        <v>15</v>
      </c>
      <c r="E1666">
        <v>0</v>
      </c>
      <c r="F1666">
        <v>34</v>
      </c>
      <c r="G1666">
        <v>22</v>
      </c>
      <c r="H1666">
        <v>0</v>
      </c>
      <c r="I1666" t="s">
        <v>34</v>
      </c>
      <c r="J1666">
        <v>90</v>
      </c>
      <c r="K1666" t="s">
        <v>15</v>
      </c>
      <c r="L1666">
        <v>81</v>
      </c>
    </row>
    <row r="1667" spans="1:12" x14ac:dyDescent="0.25">
      <c r="A1667">
        <v>400579128</v>
      </c>
      <c r="B1667">
        <v>2015</v>
      </c>
      <c r="C1667" s="1">
        <v>42058</v>
      </c>
      <c r="D1667" t="s">
        <v>34</v>
      </c>
      <c r="E1667">
        <v>1</v>
      </c>
      <c r="F1667">
        <v>21</v>
      </c>
      <c r="G1667">
        <v>34</v>
      </c>
      <c r="H1667">
        <v>1</v>
      </c>
      <c r="I1667" t="s">
        <v>34</v>
      </c>
      <c r="J1667">
        <v>90</v>
      </c>
      <c r="K1667" t="s">
        <v>15</v>
      </c>
      <c r="L1667">
        <v>81</v>
      </c>
    </row>
    <row r="1668" spans="1:12" x14ac:dyDescent="0.25">
      <c r="A1668">
        <v>400579129</v>
      </c>
      <c r="B1668">
        <v>2015</v>
      </c>
      <c r="C1668" s="1">
        <v>42058</v>
      </c>
      <c r="D1668" t="s">
        <v>41</v>
      </c>
      <c r="E1668">
        <v>0</v>
      </c>
      <c r="F1668">
        <v>37</v>
      </c>
      <c r="G1668">
        <v>20</v>
      </c>
      <c r="H1668">
        <v>1</v>
      </c>
      <c r="I1668" t="s">
        <v>41</v>
      </c>
      <c r="J1668">
        <v>87</v>
      </c>
      <c r="K1668" t="s">
        <v>28</v>
      </c>
      <c r="L1668">
        <v>90</v>
      </c>
    </row>
    <row r="1669" spans="1:12" x14ac:dyDescent="0.25">
      <c r="A1669">
        <v>400579129</v>
      </c>
      <c r="B1669">
        <v>2015</v>
      </c>
      <c r="C1669" s="1">
        <v>42058</v>
      </c>
      <c r="D1669" t="s">
        <v>28</v>
      </c>
      <c r="E1669">
        <v>1</v>
      </c>
      <c r="F1669">
        <v>41</v>
      </c>
      <c r="G1669">
        <v>14</v>
      </c>
      <c r="H1669">
        <v>0</v>
      </c>
      <c r="I1669" t="s">
        <v>41</v>
      </c>
      <c r="J1669">
        <v>87</v>
      </c>
      <c r="K1669" t="s">
        <v>28</v>
      </c>
      <c r="L1669">
        <v>90</v>
      </c>
    </row>
    <row r="1670" spans="1:12" x14ac:dyDescent="0.25">
      <c r="A1670">
        <v>400579130</v>
      </c>
      <c r="B1670">
        <v>2015</v>
      </c>
      <c r="C1670" s="1">
        <v>42059</v>
      </c>
      <c r="D1670" t="s">
        <v>36</v>
      </c>
      <c r="E1670">
        <v>1</v>
      </c>
      <c r="F1670">
        <v>44</v>
      </c>
      <c r="G1670">
        <v>10</v>
      </c>
      <c r="H1670">
        <v>0</v>
      </c>
      <c r="I1670" t="s">
        <v>25</v>
      </c>
      <c r="J1670">
        <v>107</v>
      </c>
      <c r="K1670" t="s">
        <v>36</v>
      </c>
      <c r="L1670">
        <v>114</v>
      </c>
    </row>
    <row r="1671" spans="1:12" x14ac:dyDescent="0.25">
      <c r="A1671">
        <v>400579130</v>
      </c>
      <c r="B1671">
        <v>2015</v>
      </c>
      <c r="C1671" s="1">
        <v>42059</v>
      </c>
      <c r="D1671" t="s">
        <v>25</v>
      </c>
      <c r="E1671">
        <v>0</v>
      </c>
      <c r="F1671">
        <v>33</v>
      </c>
      <c r="G1671">
        <v>24</v>
      </c>
      <c r="H1671">
        <v>1</v>
      </c>
      <c r="I1671" t="s">
        <v>25</v>
      </c>
      <c r="J1671">
        <v>107</v>
      </c>
      <c r="K1671" t="s">
        <v>36</v>
      </c>
      <c r="L1671">
        <v>114</v>
      </c>
    </row>
    <row r="1672" spans="1:12" x14ac:dyDescent="0.25">
      <c r="A1672">
        <v>400579131</v>
      </c>
      <c r="B1672">
        <v>2015</v>
      </c>
      <c r="C1672" s="1">
        <v>42059</v>
      </c>
      <c r="D1672" t="s">
        <v>40</v>
      </c>
      <c r="E1672">
        <v>1</v>
      </c>
      <c r="F1672">
        <v>36</v>
      </c>
      <c r="G1672">
        <v>22</v>
      </c>
      <c r="H1672">
        <v>0</v>
      </c>
      <c r="I1672" t="s">
        <v>33</v>
      </c>
      <c r="J1672">
        <v>93</v>
      </c>
      <c r="K1672" t="s">
        <v>40</v>
      </c>
      <c r="L1672">
        <v>102</v>
      </c>
    </row>
    <row r="1673" spans="1:12" x14ac:dyDescent="0.25">
      <c r="A1673">
        <v>400579131</v>
      </c>
      <c r="B1673">
        <v>2015</v>
      </c>
      <c r="C1673" s="1">
        <v>42059</v>
      </c>
      <c r="D1673" t="s">
        <v>33</v>
      </c>
      <c r="E1673">
        <v>0</v>
      </c>
      <c r="F1673">
        <v>23</v>
      </c>
      <c r="G1673">
        <v>34</v>
      </c>
      <c r="H1673">
        <v>1</v>
      </c>
      <c r="I1673" t="s">
        <v>33</v>
      </c>
      <c r="J1673">
        <v>93</v>
      </c>
      <c r="K1673" t="s">
        <v>40</v>
      </c>
      <c r="L1673">
        <v>102</v>
      </c>
    </row>
    <row r="1674" spans="1:12" x14ac:dyDescent="0.25">
      <c r="A1674">
        <v>400579132</v>
      </c>
      <c r="B1674">
        <v>2015</v>
      </c>
      <c r="C1674" s="1">
        <v>42059</v>
      </c>
      <c r="D1674" t="s">
        <v>20</v>
      </c>
      <c r="E1674">
        <v>0</v>
      </c>
      <c r="F1674">
        <v>23</v>
      </c>
      <c r="G1674">
        <v>34</v>
      </c>
      <c r="H1674">
        <v>0</v>
      </c>
      <c r="I1674" t="s">
        <v>38</v>
      </c>
      <c r="J1674">
        <v>105</v>
      </c>
      <c r="K1674" t="s">
        <v>20</v>
      </c>
      <c r="L1674">
        <v>92</v>
      </c>
    </row>
    <row r="1675" spans="1:12" x14ac:dyDescent="0.25">
      <c r="A1675">
        <v>400579132</v>
      </c>
      <c r="B1675">
        <v>2015</v>
      </c>
      <c r="C1675" s="1">
        <v>42059</v>
      </c>
      <c r="D1675" t="s">
        <v>38</v>
      </c>
      <c r="E1675">
        <v>1</v>
      </c>
      <c r="F1675">
        <v>32</v>
      </c>
      <c r="G1675">
        <v>25</v>
      </c>
      <c r="H1675">
        <v>1</v>
      </c>
      <c r="I1675" t="s">
        <v>38</v>
      </c>
      <c r="J1675">
        <v>105</v>
      </c>
      <c r="K1675" t="s">
        <v>20</v>
      </c>
      <c r="L1675">
        <v>92</v>
      </c>
    </row>
    <row r="1676" spans="1:12" x14ac:dyDescent="0.25">
      <c r="A1676">
        <v>400579133</v>
      </c>
      <c r="B1676">
        <v>2015</v>
      </c>
      <c r="C1676" s="1">
        <v>42059</v>
      </c>
      <c r="D1676" t="s">
        <v>14</v>
      </c>
      <c r="E1676">
        <v>1</v>
      </c>
      <c r="F1676">
        <v>39</v>
      </c>
      <c r="G1676">
        <v>20</v>
      </c>
      <c r="H1676">
        <v>1</v>
      </c>
      <c r="I1676" t="s">
        <v>14</v>
      </c>
      <c r="J1676">
        <v>99</v>
      </c>
      <c r="K1676" t="s">
        <v>27</v>
      </c>
      <c r="L1676">
        <v>92</v>
      </c>
    </row>
    <row r="1677" spans="1:12" x14ac:dyDescent="0.25">
      <c r="A1677">
        <v>400579133</v>
      </c>
      <c r="B1677">
        <v>2015</v>
      </c>
      <c r="C1677" s="1">
        <v>42059</v>
      </c>
      <c r="D1677" t="s">
        <v>27</v>
      </c>
      <c r="E1677">
        <v>0</v>
      </c>
      <c r="F1677">
        <v>37</v>
      </c>
      <c r="G1677">
        <v>20</v>
      </c>
      <c r="H1677">
        <v>0</v>
      </c>
      <c r="I1677" t="s">
        <v>14</v>
      </c>
      <c r="J1677">
        <v>99</v>
      </c>
      <c r="K1677" t="s">
        <v>27</v>
      </c>
      <c r="L1677">
        <v>92</v>
      </c>
    </row>
    <row r="1678" spans="1:12" x14ac:dyDescent="0.25">
      <c r="A1678">
        <v>400579134</v>
      </c>
      <c r="B1678">
        <v>2015</v>
      </c>
      <c r="C1678" s="1">
        <v>42060</v>
      </c>
      <c r="D1678" t="s">
        <v>24</v>
      </c>
      <c r="E1678">
        <v>1</v>
      </c>
      <c r="F1678">
        <v>25</v>
      </c>
      <c r="G1678">
        <v>31</v>
      </c>
      <c r="H1678">
        <v>0</v>
      </c>
      <c r="I1678" t="s">
        <v>13</v>
      </c>
      <c r="J1678">
        <v>90</v>
      </c>
      <c r="K1678" t="s">
        <v>24</v>
      </c>
      <c r="L1678">
        <v>93</v>
      </c>
    </row>
    <row r="1679" spans="1:12" x14ac:dyDescent="0.25">
      <c r="A1679">
        <v>400579134</v>
      </c>
      <c r="B1679">
        <v>2015</v>
      </c>
      <c r="C1679" s="1">
        <v>42060</v>
      </c>
      <c r="D1679" t="s">
        <v>13</v>
      </c>
      <c r="E1679">
        <v>0</v>
      </c>
      <c r="F1679">
        <v>19</v>
      </c>
      <c r="G1679">
        <v>40</v>
      </c>
      <c r="H1679">
        <v>1</v>
      </c>
      <c r="I1679" t="s">
        <v>13</v>
      </c>
      <c r="J1679">
        <v>90</v>
      </c>
      <c r="K1679" t="s">
        <v>24</v>
      </c>
      <c r="L1679">
        <v>93</v>
      </c>
    </row>
    <row r="1680" spans="1:12" x14ac:dyDescent="0.25">
      <c r="A1680">
        <v>400579135</v>
      </c>
      <c r="B1680">
        <v>2015</v>
      </c>
      <c r="C1680" s="1">
        <v>42060</v>
      </c>
      <c r="D1680" t="s">
        <v>26</v>
      </c>
      <c r="E1680">
        <v>1</v>
      </c>
      <c r="F1680">
        <v>45</v>
      </c>
      <c r="G1680">
        <v>12</v>
      </c>
      <c r="H1680">
        <v>1</v>
      </c>
      <c r="I1680" t="s">
        <v>26</v>
      </c>
      <c r="J1680">
        <v>104</v>
      </c>
      <c r="K1680" t="s">
        <v>14</v>
      </c>
      <c r="L1680">
        <v>87</v>
      </c>
    </row>
    <row r="1681" spans="1:12" x14ac:dyDescent="0.25">
      <c r="A1681">
        <v>400579135</v>
      </c>
      <c r="B1681">
        <v>2015</v>
      </c>
      <c r="C1681" s="1">
        <v>42060</v>
      </c>
      <c r="D1681" t="s">
        <v>14</v>
      </c>
      <c r="E1681">
        <v>0</v>
      </c>
      <c r="F1681">
        <v>39</v>
      </c>
      <c r="G1681">
        <v>21</v>
      </c>
      <c r="H1681">
        <v>0</v>
      </c>
      <c r="I1681" t="s">
        <v>26</v>
      </c>
      <c r="J1681">
        <v>104</v>
      </c>
      <c r="K1681" t="s">
        <v>14</v>
      </c>
      <c r="L1681">
        <v>87</v>
      </c>
    </row>
    <row r="1682" spans="1:12" x14ac:dyDescent="0.25">
      <c r="A1682">
        <v>400579136</v>
      </c>
      <c r="B1682">
        <v>2015</v>
      </c>
      <c r="C1682" s="1">
        <v>42060</v>
      </c>
      <c r="D1682" t="s">
        <v>22</v>
      </c>
      <c r="E1682">
        <v>1</v>
      </c>
      <c r="F1682">
        <v>22</v>
      </c>
      <c r="G1682">
        <v>33</v>
      </c>
      <c r="H1682">
        <v>1</v>
      </c>
      <c r="I1682" t="s">
        <v>22</v>
      </c>
      <c r="J1682">
        <v>115</v>
      </c>
      <c r="K1682" t="s">
        <v>31</v>
      </c>
      <c r="L1682">
        <v>94</v>
      </c>
    </row>
    <row r="1683" spans="1:12" x14ac:dyDescent="0.25">
      <c r="A1683">
        <v>400579136</v>
      </c>
      <c r="B1683">
        <v>2015</v>
      </c>
      <c r="C1683" s="1">
        <v>42060</v>
      </c>
      <c r="D1683" t="s">
        <v>31</v>
      </c>
      <c r="E1683">
        <v>0</v>
      </c>
      <c r="F1683">
        <v>10</v>
      </c>
      <c r="G1683">
        <v>46</v>
      </c>
      <c r="H1683">
        <v>0</v>
      </c>
      <c r="I1683" t="s">
        <v>22</v>
      </c>
      <c r="J1683">
        <v>115</v>
      </c>
      <c r="K1683" t="s">
        <v>31</v>
      </c>
      <c r="L1683">
        <v>94</v>
      </c>
    </row>
    <row r="1684" spans="1:12" x14ac:dyDescent="0.25">
      <c r="A1684">
        <v>400579137</v>
      </c>
      <c r="B1684">
        <v>2015</v>
      </c>
      <c r="C1684" s="1">
        <v>42060</v>
      </c>
      <c r="D1684" t="s">
        <v>18</v>
      </c>
      <c r="E1684">
        <v>1</v>
      </c>
      <c r="F1684">
        <v>23</v>
      </c>
      <c r="G1684">
        <v>32</v>
      </c>
      <c r="H1684">
        <v>0</v>
      </c>
      <c r="I1684" t="s">
        <v>30</v>
      </c>
      <c r="J1684">
        <v>86</v>
      </c>
      <c r="K1684" t="s">
        <v>18</v>
      </c>
      <c r="L1684">
        <v>98</v>
      </c>
    </row>
    <row r="1685" spans="1:12" x14ac:dyDescent="0.25">
      <c r="A1685">
        <v>400579137</v>
      </c>
      <c r="B1685">
        <v>2015</v>
      </c>
      <c r="C1685" s="1">
        <v>42060</v>
      </c>
      <c r="D1685" t="s">
        <v>30</v>
      </c>
      <c r="E1685">
        <v>0</v>
      </c>
      <c r="F1685">
        <v>36</v>
      </c>
      <c r="G1685">
        <v>22</v>
      </c>
      <c r="H1685">
        <v>1</v>
      </c>
      <c r="I1685" t="s">
        <v>30</v>
      </c>
      <c r="J1685">
        <v>86</v>
      </c>
      <c r="K1685" t="s">
        <v>18</v>
      </c>
      <c r="L1685">
        <v>98</v>
      </c>
    </row>
    <row r="1686" spans="1:12" x14ac:dyDescent="0.25">
      <c r="A1686">
        <v>400579138</v>
      </c>
      <c r="B1686">
        <v>2015</v>
      </c>
      <c r="C1686" s="1">
        <v>42060</v>
      </c>
      <c r="D1686" t="s">
        <v>16</v>
      </c>
      <c r="E1686">
        <v>1</v>
      </c>
      <c r="F1686">
        <v>39</v>
      </c>
      <c r="G1686">
        <v>18</v>
      </c>
      <c r="H1686">
        <v>1</v>
      </c>
      <c r="I1686" t="s">
        <v>16</v>
      </c>
      <c r="J1686">
        <v>110</v>
      </c>
      <c r="K1686" t="s">
        <v>41</v>
      </c>
      <c r="L1686">
        <v>105</v>
      </c>
    </row>
    <row r="1687" spans="1:12" x14ac:dyDescent="0.25">
      <c r="A1687">
        <v>400579138</v>
      </c>
      <c r="B1687">
        <v>2015</v>
      </c>
      <c r="C1687" s="1">
        <v>42060</v>
      </c>
      <c r="D1687" t="s">
        <v>41</v>
      </c>
      <c r="E1687">
        <v>0</v>
      </c>
      <c r="F1687">
        <v>37</v>
      </c>
      <c r="G1687">
        <v>21</v>
      </c>
      <c r="H1687">
        <v>0</v>
      </c>
      <c r="I1687" t="s">
        <v>16</v>
      </c>
      <c r="J1687">
        <v>110</v>
      </c>
      <c r="K1687" t="s">
        <v>41</v>
      </c>
      <c r="L1687">
        <v>105</v>
      </c>
    </row>
    <row r="1688" spans="1:12" x14ac:dyDescent="0.25">
      <c r="A1688">
        <v>400579139</v>
      </c>
      <c r="B1688">
        <v>2015</v>
      </c>
      <c r="C1688" s="1">
        <v>42060</v>
      </c>
      <c r="D1688" t="s">
        <v>19</v>
      </c>
      <c r="E1688">
        <v>1</v>
      </c>
      <c r="F1688">
        <v>32</v>
      </c>
      <c r="G1688">
        <v>25</v>
      </c>
      <c r="H1688">
        <v>1</v>
      </c>
      <c r="I1688" t="s">
        <v>19</v>
      </c>
      <c r="J1688">
        <v>104</v>
      </c>
      <c r="K1688" t="s">
        <v>21</v>
      </c>
      <c r="L1688">
        <v>88</v>
      </c>
    </row>
    <row r="1689" spans="1:12" x14ac:dyDescent="0.25">
      <c r="A1689">
        <v>400579139</v>
      </c>
      <c r="B1689">
        <v>2015</v>
      </c>
      <c r="C1689" s="1">
        <v>42060</v>
      </c>
      <c r="D1689" t="s">
        <v>21</v>
      </c>
      <c r="E1689">
        <v>0</v>
      </c>
      <c r="F1689">
        <v>12</v>
      </c>
      <c r="G1689">
        <v>45</v>
      </c>
      <c r="H1689">
        <v>0</v>
      </c>
      <c r="I1689" t="s">
        <v>19</v>
      </c>
      <c r="J1689">
        <v>104</v>
      </c>
      <c r="K1689" t="s">
        <v>21</v>
      </c>
      <c r="L1689">
        <v>88</v>
      </c>
    </row>
    <row r="1690" spans="1:12" x14ac:dyDescent="0.25">
      <c r="A1690">
        <v>400579140</v>
      </c>
      <c r="B1690">
        <v>2015</v>
      </c>
      <c r="C1690" s="1">
        <v>42060</v>
      </c>
      <c r="D1690" t="s">
        <v>29</v>
      </c>
      <c r="E1690">
        <v>1</v>
      </c>
      <c r="F1690">
        <v>13</v>
      </c>
      <c r="G1690">
        <v>43</v>
      </c>
      <c r="H1690">
        <v>1</v>
      </c>
      <c r="I1690" t="s">
        <v>29</v>
      </c>
      <c r="J1690">
        <v>97</v>
      </c>
      <c r="K1690" t="s">
        <v>25</v>
      </c>
      <c r="L1690">
        <v>77</v>
      </c>
    </row>
    <row r="1691" spans="1:12" x14ac:dyDescent="0.25">
      <c r="A1691">
        <v>400579140</v>
      </c>
      <c r="B1691">
        <v>2015</v>
      </c>
      <c r="C1691" s="1">
        <v>42060</v>
      </c>
      <c r="D1691" t="s">
        <v>25</v>
      </c>
      <c r="E1691">
        <v>0</v>
      </c>
      <c r="F1691">
        <v>33</v>
      </c>
      <c r="G1691">
        <v>25</v>
      </c>
      <c r="H1691">
        <v>0</v>
      </c>
      <c r="I1691" t="s">
        <v>29</v>
      </c>
      <c r="J1691">
        <v>97</v>
      </c>
      <c r="K1691" t="s">
        <v>25</v>
      </c>
      <c r="L1691">
        <v>77</v>
      </c>
    </row>
    <row r="1692" spans="1:12" x14ac:dyDescent="0.25">
      <c r="A1692">
        <v>400579141</v>
      </c>
      <c r="B1692">
        <v>2015</v>
      </c>
      <c r="C1692" s="1">
        <v>42060</v>
      </c>
      <c r="D1692" t="s">
        <v>23</v>
      </c>
      <c r="E1692">
        <v>0</v>
      </c>
      <c r="F1692">
        <v>23</v>
      </c>
      <c r="G1692">
        <v>32</v>
      </c>
      <c r="H1692">
        <v>0</v>
      </c>
      <c r="I1692" t="s">
        <v>12</v>
      </c>
      <c r="J1692">
        <v>102</v>
      </c>
      <c r="K1692" t="s">
        <v>23</v>
      </c>
      <c r="L1692">
        <v>96</v>
      </c>
    </row>
    <row r="1693" spans="1:12" x14ac:dyDescent="0.25">
      <c r="A1693">
        <v>400579141</v>
      </c>
      <c r="B1693">
        <v>2015</v>
      </c>
      <c r="C1693" s="1">
        <v>42060</v>
      </c>
      <c r="D1693" t="s">
        <v>12</v>
      </c>
      <c r="E1693">
        <v>1</v>
      </c>
      <c r="F1693">
        <v>30</v>
      </c>
      <c r="G1693">
        <v>27</v>
      </c>
      <c r="H1693">
        <v>1</v>
      </c>
      <c r="I1693" t="s">
        <v>12</v>
      </c>
      <c r="J1693">
        <v>102</v>
      </c>
      <c r="K1693" t="s">
        <v>23</v>
      </c>
      <c r="L1693">
        <v>96</v>
      </c>
    </row>
    <row r="1694" spans="1:12" x14ac:dyDescent="0.25">
      <c r="A1694">
        <v>400579142</v>
      </c>
      <c r="B1694">
        <v>2015</v>
      </c>
      <c r="C1694" s="1">
        <v>42060</v>
      </c>
      <c r="D1694" t="s">
        <v>32</v>
      </c>
      <c r="E1694">
        <v>0</v>
      </c>
      <c r="F1694">
        <v>20</v>
      </c>
      <c r="G1694">
        <v>37</v>
      </c>
      <c r="H1694">
        <v>1</v>
      </c>
      <c r="I1694" t="s">
        <v>32</v>
      </c>
      <c r="J1694">
        <v>96</v>
      </c>
      <c r="K1694" t="s">
        <v>35</v>
      </c>
      <c r="L1694">
        <v>110</v>
      </c>
    </row>
    <row r="1695" spans="1:12" x14ac:dyDescent="0.25">
      <c r="A1695">
        <v>400579142</v>
      </c>
      <c r="B1695">
        <v>2015</v>
      </c>
      <c r="C1695" s="1">
        <v>42060</v>
      </c>
      <c r="D1695" t="s">
        <v>35</v>
      </c>
      <c r="E1695">
        <v>1</v>
      </c>
      <c r="F1695">
        <v>30</v>
      </c>
      <c r="G1695">
        <v>28</v>
      </c>
      <c r="H1695">
        <v>0</v>
      </c>
      <c r="I1695" t="s">
        <v>32</v>
      </c>
      <c r="J1695">
        <v>96</v>
      </c>
      <c r="K1695" t="s">
        <v>35</v>
      </c>
      <c r="L1695">
        <v>110</v>
      </c>
    </row>
    <row r="1696" spans="1:12" x14ac:dyDescent="0.25">
      <c r="A1696">
        <v>400579143</v>
      </c>
      <c r="B1696">
        <v>2015</v>
      </c>
      <c r="C1696" s="1">
        <v>42060</v>
      </c>
      <c r="D1696" t="s">
        <v>17</v>
      </c>
      <c r="E1696">
        <v>1</v>
      </c>
      <c r="F1696">
        <v>15</v>
      </c>
      <c r="G1696">
        <v>41</v>
      </c>
      <c r="H1696">
        <v>0</v>
      </c>
      <c r="I1696" t="s">
        <v>34</v>
      </c>
      <c r="J1696">
        <v>97</v>
      </c>
      <c r="K1696" t="s">
        <v>17</v>
      </c>
      <c r="L1696">
        <v>100</v>
      </c>
    </row>
    <row r="1697" spans="1:12" x14ac:dyDescent="0.25">
      <c r="A1697">
        <v>400579143</v>
      </c>
      <c r="B1697">
        <v>2015</v>
      </c>
      <c r="C1697" s="1">
        <v>42060</v>
      </c>
      <c r="D1697" t="s">
        <v>34</v>
      </c>
      <c r="E1697">
        <v>0</v>
      </c>
      <c r="F1697">
        <v>21</v>
      </c>
      <c r="G1697">
        <v>35</v>
      </c>
      <c r="H1697">
        <v>1</v>
      </c>
      <c r="I1697" t="s">
        <v>34</v>
      </c>
      <c r="J1697">
        <v>97</v>
      </c>
      <c r="K1697" t="s">
        <v>17</v>
      </c>
      <c r="L1697">
        <v>100</v>
      </c>
    </row>
    <row r="1698" spans="1:12" x14ac:dyDescent="0.25">
      <c r="A1698">
        <v>400579144</v>
      </c>
      <c r="B1698">
        <v>2015</v>
      </c>
      <c r="C1698" s="1">
        <v>42060</v>
      </c>
      <c r="D1698" t="s">
        <v>28</v>
      </c>
      <c r="E1698">
        <v>0</v>
      </c>
      <c r="F1698">
        <v>41</v>
      </c>
      <c r="G1698">
        <v>15</v>
      </c>
      <c r="H1698">
        <v>0</v>
      </c>
      <c r="I1698" t="s">
        <v>37</v>
      </c>
      <c r="J1698">
        <v>102</v>
      </c>
      <c r="K1698" t="s">
        <v>28</v>
      </c>
      <c r="L1698">
        <v>90</v>
      </c>
    </row>
    <row r="1699" spans="1:12" x14ac:dyDescent="0.25">
      <c r="A1699">
        <v>400579144</v>
      </c>
      <c r="B1699">
        <v>2015</v>
      </c>
      <c r="C1699" s="1">
        <v>42060</v>
      </c>
      <c r="D1699" t="s">
        <v>37</v>
      </c>
      <c r="E1699">
        <v>1</v>
      </c>
      <c r="F1699">
        <v>20</v>
      </c>
      <c r="G1699">
        <v>35</v>
      </c>
      <c r="H1699">
        <v>1</v>
      </c>
      <c r="I1699" t="s">
        <v>37</v>
      </c>
      <c r="J1699">
        <v>102</v>
      </c>
      <c r="K1699" t="s">
        <v>28</v>
      </c>
      <c r="L1699">
        <v>90</v>
      </c>
    </row>
    <row r="1700" spans="1:12" x14ac:dyDescent="0.25">
      <c r="A1700">
        <v>400579145</v>
      </c>
      <c r="B1700">
        <v>2015</v>
      </c>
      <c r="C1700" s="1">
        <v>42060</v>
      </c>
      <c r="D1700" t="s">
        <v>39</v>
      </c>
      <c r="E1700">
        <v>1</v>
      </c>
      <c r="F1700">
        <v>37</v>
      </c>
      <c r="G1700">
        <v>19</v>
      </c>
      <c r="H1700">
        <v>1</v>
      </c>
      <c r="I1700" t="s">
        <v>39</v>
      </c>
      <c r="J1700">
        <v>111</v>
      </c>
      <c r="K1700" t="s">
        <v>15</v>
      </c>
      <c r="L1700">
        <v>95</v>
      </c>
    </row>
    <row r="1701" spans="1:12" x14ac:dyDescent="0.25">
      <c r="A1701">
        <v>400579145</v>
      </c>
      <c r="B1701">
        <v>2015</v>
      </c>
      <c r="C1701" s="1">
        <v>42060</v>
      </c>
      <c r="D1701" t="s">
        <v>15</v>
      </c>
      <c r="E1701">
        <v>0</v>
      </c>
      <c r="F1701">
        <v>34</v>
      </c>
      <c r="G1701">
        <v>23</v>
      </c>
      <c r="H1701">
        <v>0</v>
      </c>
      <c r="I1701" t="s">
        <v>39</v>
      </c>
      <c r="J1701">
        <v>111</v>
      </c>
      <c r="K1701" t="s">
        <v>15</v>
      </c>
      <c r="L1701">
        <v>95</v>
      </c>
    </row>
    <row r="1702" spans="1:12" x14ac:dyDescent="0.25">
      <c r="A1702">
        <v>400579146</v>
      </c>
      <c r="B1702">
        <v>2015</v>
      </c>
      <c r="C1702" s="1">
        <v>42061</v>
      </c>
      <c r="D1702" t="s">
        <v>40</v>
      </c>
      <c r="E1702">
        <v>1</v>
      </c>
      <c r="F1702">
        <v>37</v>
      </c>
      <c r="G1702">
        <v>22</v>
      </c>
      <c r="H1702">
        <v>1</v>
      </c>
      <c r="I1702" t="s">
        <v>40</v>
      </c>
      <c r="J1702">
        <v>110</v>
      </c>
      <c r="K1702" t="s">
        <v>36</v>
      </c>
      <c r="L1702">
        <v>99</v>
      </c>
    </row>
    <row r="1703" spans="1:12" x14ac:dyDescent="0.25">
      <c r="A1703">
        <v>400579146</v>
      </c>
      <c r="B1703">
        <v>2015</v>
      </c>
      <c r="C1703" s="1">
        <v>42061</v>
      </c>
      <c r="D1703" t="s">
        <v>36</v>
      </c>
      <c r="E1703">
        <v>0</v>
      </c>
      <c r="F1703">
        <v>44</v>
      </c>
      <c r="G1703">
        <v>11</v>
      </c>
      <c r="H1703">
        <v>0</v>
      </c>
      <c r="I1703" t="s">
        <v>40</v>
      </c>
      <c r="J1703">
        <v>110</v>
      </c>
      <c r="K1703" t="s">
        <v>36</v>
      </c>
      <c r="L1703">
        <v>99</v>
      </c>
    </row>
    <row r="1704" spans="1:12" x14ac:dyDescent="0.25">
      <c r="A1704">
        <v>400579147</v>
      </c>
      <c r="B1704">
        <v>2015</v>
      </c>
      <c r="C1704" s="1">
        <v>42061</v>
      </c>
      <c r="D1704" t="s">
        <v>38</v>
      </c>
      <c r="E1704">
        <v>0</v>
      </c>
      <c r="F1704">
        <v>32</v>
      </c>
      <c r="G1704">
        <v>26</v>
      </c>
      <c r="H1704">
        <v>0</v>
      </c>
      <c r="I1704" t="s">
        <v>35</v>
      </c>
      <c r="J1704">
        <v>117</v>
      </c>
      <c r="K1704" t="s">
        <v>38</v>
      </c>
      <c r="L1704">
        <v>113</v>
      </c>
    </row>
    <row r="1705" spans="1:12" x14ac:dyDescent="0.25">
      <c r="A1705">
        <v>400579147</v>
      </c>
      <c r="B1705">
        <v>2015</v>
      </c>
      <c r="C1705" s="1">
        <v>42061</v>
      </c>
      <c r="D1705" t="s">
        <v>35</v>
      </c>
      <c r="E1705">
        <v>1</v>
      </c>
      <c r="F1705">
        <v>31</v>
      </c>
      <c r="G1705">
        <v>28</v>
      </c>
      <c r="H1705">
        <v>1</v>
      </c>
      <c r="I1705" t="s">
        <v>35</v>
      </c>
      <c r="J1705">
        <v>117</v>
      </c>
      <c r="K1705" t="s">
        <v>38</v>
      </c>
      <c r="L1705">
        <v>113</v>
      </c>
    </row>
    <row r="1706" spans="1:12" x14ac:dyDescent="0.25">
      <c r="A1706">
        <v>400579148</v>
      </c>
      <c r="B1706">
        <v>2015</v>
      </c>
      <c r="C1706" s="1">
        <v>42062</v>
      </c>
      <c r="D1706" t="s">
        <v>40</v>
      </c>
      <c r="E1706">
        <v>0</v>
      </c>
      <c r="F1706">
        <v>37</v>
      </c>
      <c r="G1706">
        <v>23</v>
      </c>
      <c r="H1706">
        <v>0</v>
      </c>
      <c r="I1706" t="s">
        <v>20</v>
      </c>
      <c r="J1706">
        <v>93</v>
      </c>
      <c r="K1706" t="s">
        <v>40</v>
      </c>
      <c r="L1706">
        <v>86</v>
      </c>
    </row>
    <row r="1707" spans="1:12" x14ac:dyDescent="0.25">
      <c r="A1707">
        <v>400579148</v>
      </c>
      <c r="B1707">
        <v>2015</v>
      </c>
      <c r="C1707" s="1">
        <v>42062</v>
      </c>
      <c r="D1707" t="s">
        <v>20</v>
      </c>
      <c r="E1707">
        <v>1</v>
      </c>
      <c r="F1707">
        <v>24</v>
      </c>
      <c r="G1707">
        <v>34</v>
      </c>
      <c r="H1707">
        <v>1</v>
      </c>
      <c r="I1707" t="s">
        <v>20</v>
      </c>
      <c r="J1707">
        <v>93</v>
      </c>
      <c r="K1707" t="s">
        <v>40</v>
      </c>
      <c r="L1707">
        <v>86</v>
      </c>
    </row>
    <row r="1708" spans="1:12" x14ac:dyDescent="0.25">
      <c r="A1708">
        <v>400579149</v>
      </c>
      <c r="B1708">
        <v>2015</v>
      </c>
      <c r="C1708" s="1">
        <v>42062</v>
      </c>
      <c r="D1708" t="s">
        <v>21</v>
      </c>
      <c r="E1708">
        <v>1</v>
      </c>
      <c r="F1708">
        <v>13</v>
      </c>
      <c r="G1708">
        <v>45</v>
      </c>
      <c r="H1708">
        <v>1</v>
      </c>
      <c r="I1708" t="s">
        <v>21</v>
      </c>
      <c r="J1708">
        <v>89</v>
      </c>
      <c r="K1708" t="s">
        <v>25</v>
      </c>
      <c r="L1708">
        <v>81</v>
      </c>
    </row>
    <row r="1709" spans="1:12" x14ac:dyDescent="0.25">
      <c r="A1709">
        <v>400579149</v>
      </c>
      <c r="B1709">
        <v>2015</v>
      </c>
      <c r="C1709" s="1">
        <v>42062</v>
      </c>
      <c r="D1709" t="s">
        <v>25</v>
      </c>
      <c r="E1709">
        <v>0</v>
      </c>
      <c r="F1709">
        <v>33</v>
      </c>
      <c r="G1709">
        <v>26</v>
      </c>
      <c r="H1709">
        <v>0</v>
      </c>
      <c r="I1709" t="s">
        <v>21</v>
      </c>
      <c r="J1709">
        <v>89</v>
      </c>
      <c r="K1709" t="s">
        <v>25</v>
      </c>
      <c r="L1709">
        <v>81</v>
      </c>
    </row>
    <row r="1710" spans="1:12" x14ac:dyDescent="0.25">
      <c r="A1710">
        <v>400579150</v>
      </c>
      <c r="B1710">
        <v>2015</v>
      </c>
      <c r="C1710" s="1">
        <v>42062</v>
      </c>
      <c r="D1710" t="s">
        <v>26</v>
      </c>
      <c r="E1710">
        <v>1</v>
      </c>
      <c r="F1710">
        <v>46</v>
      </c>
      <c r="G1710">
        <v>12</v>
      </c>
      <c r="H1710">
        <v>1</v>
      </c>
      <c r="I1710" t="s">
        <v>26</v>
      </c>
      <c r="J1710">
        <v>95</v>
      </c>
      <c r="K1710" t="s">
        <v>13</v>
      </c>
      <c r="L1710">
        <v>88</v>
      </c>
    </row>
    <row r="1711" spans="1:12" x14ac:dyDescent="0.25">
      <c r="A1711">
        <v>400579150</v>
      </c>
      <c r="B1711">
        <v>2015</v>
      </c>
      <c r="C1711" s="1">
        <v>42062</v>
      </c>
      <c r="D1711" t="s">
        <v>13</v>
      </c>
      <c r="E1711">
        <v>0</v>
      </c>
      <c r="F1711">
        <v>19</v>
      </c>
      <c r="G1711">
        <v>41</v>
      </c>
      <c r="H1711">
        <v>0</v>
      </c>
      <c r="I1711" t="s">
        <v>26</v>
      </c>
      <c r="J1711">
        <v>95</v>
      </c>
      <c r="K1711" t="s">
        <v>13</v>
      </c>
      <c r="L1711">
        <v>88</v>
      </c>
    </row>
    <row r="1712" spans="1:12" x14ac:dyDescent="0.25">
      <c r="A1712">
        <v>400579151</v>
      </c>
      <c r="B1712">
        <v>2015</v>
      </c>
      <c r="C1712" s="1">
        <v>42062</v>
      </c>
      <c r="D1712" t="s">
        <v>22</v>
      </c>
      <c r="E1712">
        <v>1</v>
      </c>
      <c r="F1712">
        <v>23</v>
      </c>
      <c r="G1712">
        <v>33</v>
      </c>
      <c r="H1712">
        <v>1</v>
      </c>
      <c r="I1712" t="s">
        <v>22</v>
      </c>
      <c r="J1712">
        <v>106</v>
      </c>
      <c r="K1712" t="s">
        <v>18</v>
      </c>
      <c r="L1712">
        <v>98</v>
      </c>
    </row>
    <row r="1713" spans="1:12" x14ac:dyDescent="0.25">
      <c r="A1713">
        <v>400579151</v>
      </c>
      <c r="B1713">
        <v>2015</v>
      </c>
      <c r="C1713" s="1">
        <v>42062</v>
      </c>
      <c r="D1713" t="s">
        <v>18</v>
      </c>
      <c r="E1713">
        <v>0</v>
      </c>
      <c r="F1713">
        <v>23</v>
      </c>
      <c r="G1713">
        <v>33</v>
      </c>
      <c r="H1713">
        <v>0</v>
      </c>
      <c r="I1713" t="s">
        <v>22</v>
      </c>
      <c r="J1713">
        <v>106</v>
      </c>
      <c r="K1713" t="s">
        <v>18</v>
      </c>
      <c r="L1713">
        <v>98</v>
      </c>
    </row>
    <row r="1714" spans="1:12" x14ac:dyDescent="0.25">
      <c r="A1714">
        <v>400579152</v>
      </c>
      <c r="B1714">
        <v>2015</v>
      </c>
      <c r="C1714" s="1">
        <v>42062</v>
      </c>
      <c r="D1714" t="s">
        <v>33</v>
      </c>
      <c r="E1714">
        <v>0</v>
      </c>
      <c r="F1714">
        <v>23</v>
      </c>
      <c r="G1714">
        <v>35</v>
      </c>
      <c r="H1714">
        <v>1</v>
      </c>
      <c r="I1714" t="s">
        <v>33</v>
      </c>
      <c r="J1714">
        <v>115</v>
      </c>
      <c r="K1714" t="s">
        <v>31</v>
      </c>
      <c r="L1714">
        <v>121</v>
      </c>
    </row>
    <row r="1715" spans="1:12" x14ac:dyDescent="0.25">
      <c r="A1715">
        <v>400579152</v>
      </c>
      <c r="B1715">
        <v>2015</v>
      </c>
      <c r="C1715" s="1">
        <v>42062</v>
      </c>
      <c r="D1715" t="s">
        <v>31</v>
      </c>
      <c r="E1715">
        <v>1</v>
      </c>
      <c r="F1715">
        <v>11</v>
      </c>
      <c r="G1715">
        <v>46</v>
      </c>
      <c r="H1715">
        <v>0</v>
      </c>
      <c r="I1715" t="s">
        <v>33</v>
      </c>
      <c r="J1715">
        <v>115</v>
      </c>
      <c r="K1715" t="s">
        <v>31</v>
      </c>
      <c r="L1715">
        <v>121</v>
      </c>
    </row>
    <row r="1716" spans="1:12" x14ac:dyDescent="0.25">
      <c r="A1716">
        <v>400579153</v>
      </c>
      <c r="B1716">
        <v>2015</v>
      </c>
      <c r="C1716" s="1">
        <v>42062</v>
      </c>
      <c r="D1716" t="s">
        <v>36</v>
      </c>
      <c r="E1716">
        <v>1</v>
      </c>
      <c r="F1716">
        <v>45</v>
      </c>
      <c r="G1716">
        <v>11</v>
      </c>
      <c r="H1716">
        <v>0</v>
      </c>
      <c r="I1716" t="s">
        <v>27</v>
      </c>
      <c r="J1716">
        <v>89</v>
      </c>
      <c r="K1716" t="s">
        <v>36</v>
      </c>
      <c r="L1716">
        <v>113</v>
      </c>
    </row>
    <row r="1717" spans="1:12" x14ac:dyDescent="0.25">
      <c r="A1717">
        <v>400579153</v>
      </c>
      <c r="B1717">
        <v>2015</v>
      </c>
      <c r="C1717" s="1">
        <v>42062</v>
      </c>
      <c r="D1717" t="s">
        <v>27</v>
      </c>
      <c r="E1717">
        <v>0</v>
      </c>
      <c r="F1717">
        <v>37</v>
      </c>
      <c r="G1717">
        <v>21</v>
      </c>
      <c r="H1717">
        <v>1</v>
      </c>
      <c r="I1717" t="s">
        <v>27</v>
      </c>
      <c r="J1717">
        <v>89</v>
      </c>
      <c r="K1717" t="s">
        <v>36</v>
      </c>
      <c r="L1717">
        <v>113</v>
      </c>
    </row>
    <row r="1718" spans="1:12" x14ac:dyDescent="0.25">
      <c r="A1718">
        <v>400579154</v>
      </c>
      <c r="B1718">
        <v>2015</v>
      </c>
      <c r="C1718" s="1">
        <v>42062</v>
      </c>
      <c r="D1718" t="s">
        <v>30</v>
      </c>
      <c r="E1718">
        <v>1</v>
      </c>
      <c r="F1718">
        <v>37</v>
      </c>
      <c r="G1718">
        <v>22</v>
      </c>
      <c r="H1718">
        <v>1</v>
      </c>
      <c r="I1718" t="s">
        <v>30</v>
      </c>
      <c r="J1718">
        <v>96</v>
      </c>
      <c r="K1718" t="s">
        <v>29</v>
      </c>
      <c r="L1718">
        <v>89</v>
      </c>
    </row>
    <row r="1719" spans="1:12" x14ac:dyDescent="0.25">
      <c r="A1719">
        <v>400579154</v>
      </c>
      <c r="B1719">
        <v>2015</v>
      </c>
      <c r="C1719" s="1">
        <v>42062</v>
      </c>
      <c r="D1719" t="s">
        <v>29</v>
      </c>
      <c r="E1719">
        <v>0</v>
      </c>
      <c r="F1719">
        <v>13</v>
      </c>
      <c r="G1719">
        <v>44</v>
      </c>
      <c r="H1719">
        <v>0</v>
      </c>
      <c r="I1719" t="s">
        <v>30</v>
      </c>
      <c r="J1719">
        <v>96</v>
      </c>
      <c r="K1719" t="s">
        <v>29</v>
      </c>
      <c r="L1719">
        <v>89</v>
      </c>
    </row>
    <row r="1720" spans="1:12" x14ac:dyDescent="0.25">
      <c r="A1720">
        <v>400579155</v>
      </c>
      <c r="B1720">
        <v>2015</v>
      </c>
      <c r="C1720" s="1">
        <v>42062</v>
      </c>
      <c r="D1720" t="s">
        <v>23</v>
      </c>
      <c r="E1720">
        <v>0</v>
      </c>
      <c r="F1720">
        <v>23</v>
      </c>
      <c r="G1720">
        <v>33</v>
      </c>
      <c r="H1720">
        <v>0</v>
      </c>
      <c r="I1720" t="s">
        <v>16</v>
      </c>
      <c r="J1720">
        <v>102</v>
      </c>
      <c r="K1720" t="s">
        <v>23</v>
      </c>
      <c r="L1720">
        <v>98</v>
      </c>
    </row>
    <row r="1721" spans="1:12" x14ac:dyDescent="0.25">
      <c r="A1721">
        <v>400579155</v>
      </c>
      <c r="B1721">
        <v>2015</v>
      </c>
      <c r="C1721" s="1">
        <v>42062</v>
      </c>
      <c r="D1721" t="s">
        <v>16</v>
      </c>
      <c r="E1721">
        <v>1</v>
      </c>
      <c r="F1721">
        <v>40</v>
      </c>
      <c r="G1721">
        <v>18</v>
      </c>
      <c r="H1721">
        <v>1</v>
      </c>
      <c r="I1721" t="s">
        <v>16</v>
      </c>
      <c r="J1721">
        <v>102</v>
      </c>
      <c r="K1721" t="s">
        <v>23</v>
      </c>
      <c r="L1721">
        <v>98</v>
      </c>
    </row>
    <row r="1722" spans="1:12" x14ac:dyDescent="0.25">
      <c r="A1722">
        <v>400579156</v>
      </c>
      <c r="B1722">
        <v>2015</v>
      </c>
      <c r="C1722" s="1">
        <v>42062</v>
      </c>
      <c r="D1722" t="s">
        <v>41</v>
      </c>
      <c r="E1722">
        <v>1</v>
      </c>
      <c r="F1722">
        <v>38</v>
      </c>
      <c r="G1722">
        <v>21</v>
      </c>
      <c r="H1722">
        <v>0</v>
      </c>
      <c r="I1722" t="s">
        <v>28</v>
      </c>
      <c r="J1722">
        <v>79</v>
      </c>
      <c r="K1722" t="s">
        <v>41</v>
      </c>
      <c r="L1722">
        <v>97</v>
      </c>
    </row>
    <row r="1723" spans="1:12" x14ac:dyDescent="0.25">
      <c r="A1723">
        <v>400579156</v>
      </c>
      <c r="B1723">
        <v>2015</v>
      </c>
      <c r="C1723" s="1">
        <v>42062</v>
      </c>
      <c r="D1723" t="s">
        <v>28</v>
      </c>
      <c r="E1723">
        <v>0</v>
      </c>
      <c r="F1723">
        <v>41</v>
      </c>
      <c r="G1723">
        <v>16</v>
      </c>
      <c r="H1723">
        <v>1</v>
      </c>
      <c r="I1723" t="s">
        <v>28</v>
      </c>
      <c r="J1723">
        <v>79</v>
      </c>
      <c r="K1723" t="s">
        <v>41</v>
      </c>
      <c r="L1723">
        <v>97</v>
      </c>
    </row>
    <row r="1724" spans="1:12" x14ac:dyDescent="0.25">
      <c r="A1724">
        <v>400579157</v>
      </c>
      <c r="B1724">
        <v>2015</v>
      </c>
      <c r="C1724" s="1">
        <v>42062</v>
      </c>
      <c r="D1724" t="s">
        <v>24</v>
      </c>
      <c r="E1724">
        <v>0</v>
      </c>
      <c r="F1724">
        <v>25</v>
      </c>
      <c r="G1724">
        <v>32</v>
      </c>
      <c r="H1724">
        <v>0</v>
      </c>
      <c r="I1724" t="s">
        <v>12</v>
      </c>
      <c r="J1724">
        <v>104</v>
      </c>
      <c r="K1724" t="s">
        <v>24</v>
      </c>
      <c r="L1724">
        <v>102</v>
      </c>
    </row>
    <row r="1725" spans="1:12" x14ac:dyDescent="0.25">
      <c r="A1725">
        <v>400579157</v>
      </c>
      <c r="B1725">
        <v>2015</v>
      </c>
      <c r="C1725" s="1">
        <v>42062</v>
      </c>
      <c r="D1725" t="s">
        <v>12</v>
      </c>
      <c r="E1725">
        <v>1</v>
      </c>
      <c r="F1725">
        <v>31</v>
      </c>
      <c r="G1725">
        <v>27</v>
      </c>
      <c r="H1725">
        <v>1</v>
      </c>
      <c r="I1725" t="s">
        <v>12</v>
      </c>
      <c r="J1725">
        <v>104</v>
      </c>
      <c r="K1725" t="s">
        <v>24</v>
      </c>
      <c r="L1725">
        <v>102</v>
      </c>
    </row>
    <row r="1726" spans="1:12" x14ac:dyDescent="0.25">
      <c r="A1726">
        <v>400579158</v>
      </c>
      <c r="B1726">
        <v>2015</v>
      </c>
      <c r="C1726" s="1">
        <v>42062</v>
      </c>
      <c r="D1726" t="s">
        <v>32</v>
      </c>
      <c r="E1726">
        <v>0</v>
      </c>
      <c r="F1726">
        <v>20</v>
      </c>
      <c r="G1726">
        <v>38</v>
      </c>
      <c r="H1726">
        <v>1</v>
      </c>
      <c r="I1726" t="s">
        <v>32</v>
      </c>
      <c r="J1726">
        <v>82</v>
      </c>
      <c r="K1726" t="s">
        <v>34</v>
      </c>
      <c r="L1726">
        <v>104</v>
      </c>
    </row>
    <row r="1727" spans="1:12" x14ac:dyDescent="0.25">
      <c r="A1727">
        <v>400579158</v>
      </c>
      <c r="B1727">
        <v>2015</v>
      </c>
      <c r="C1727" s="1">
        <v>42062</v>
      </c>
      <c r="D1727" t="s">
        <v>34</v>
      </c>
      <c r="E1727">
        <v>1</v>
      </c>
      <c r="F1727">
        <v>22</v>
      </c>
      <c r="G1727">
        <v>35</v>
      </c>
      <c r="H1727">
        <v>0</v>
      </c>
      <c r="I1727" t="s">
        <v>32</v>
      </c>
      <c r="J1727">
        <v>82</v>
      </c>
      <c r="K1727" t="s">
        <v>34</v>
      </c>
      <c r="L1727">
        <v>104</v>
      </c>
    </row>
    <row r="1728" spans="1:12" x14ac:dyDescent="0.25">
      <c r="A1728">
        <v>400579159</v>
      </c>
      <c r="B1728">
        <v>2015</v>
      </c>
      <c r="C1728" s="1">
        <v>42062</v>
      </c>
      <c r="D1728" t="s">
        <v>37</v>
      </c>
      <c r="E1728">
        <v>0</v>
      </c>
      <c r="F1728">
        <v>20</v>
      </c>
      <c r="G1728">
        <v>36</v>
      </c>
      <c r="H1728">
        <v>1</v>
      </c>
      <c r="I1728" t="s">
        <v>37</v>
      </c>
      <c r="J1728">
        <v>96</v>
      </c>
      <c r="K1728" t="s">
        <v>15</v>
      </c>
      <c r="L1728">
        <v>107</v>
      </c>
    </row>
    <row r="1729" spans="1:12" x14ac:dyDescent="0.25">
      <c r="A1729">
        <v>400579159</v>
      </c>
      <c r="B1729">
        <v>2015</v>
      </c>
      <c r="C1729" s="1">
        <v>42062</v>
      </c>
      <c r="D1729" t="s">
        <v>15</v>
      </c>
      <c r="E1729">
        <v>1</v>
      </c>
      <c r="F1729">
        <v>35</v>
      </c>
      <c r="G1729">
        <v>23</v>
      </c>
      <c r="H1729">
        <v>0</v>
      </c>
      <c r="I1729" t="s">
        <v>37</v>
      </c>
      <c r="J1729">
        <v>96</v>
      </c>
      <c r="K1729" t="s">
        <v>15</v>
      </c>
      <c r="L1729">
        <v>107</v>
      </c>
    </row>
    <row r="1730" spans="1:12" x14ac:dyDescent="0.25">
      <c r="A1730">
        <v>400579160</v>
      </c>
      <c r="B1730">
        <v>2015</v>
      </c>
      <c r="C1730" s="1">
        <v>42062</v>
      </c>
      <c r="D1730" t="s">
        <v>17</v>
      </c>
      <c r="E1730">
        <v>1</v>
      </c>
      <c r="F1730">
        <v>16</v>
      </c>
      <c r="G1730">
        <v>41</v>
      </c>
      <c r="H1730">
        <v>1</v>
      </c>
      <c r="I1730" t="s">
        <v>17</v>
      </c>
      <c r="J1730">
        <v>101</v>
      </c>
      <c r="K1730" t="s">
        <v>19</v>
      </c>
      <c r="L1730">
        <v>93</v>
      </c>
    </row>
    <row r="1731" spans="1:12" x14ac:dyDescent="0.25">
      <c r="A1731">
        <v>400579160</v>
      </c>
      <c r="B1731">
        <v>2015</v>
      </c>
      <c r="C1731" s="1">
        <v>42062</v>
      </c>
      <c r="D1731" t="s">
        <v>19</v>
      </c>
      <c r="E1731">
        <v>0</v>
      </c>
      <c r="F1731">
        <v>32</v>
      </c>
      <c r="G1731">
        <v>26</v>
      </c>
      <c r="H1731">
        <v>0</v>
      </c>
      <c r="I1731" t="s">
        <v>17</v>
      </c>
      <c r="J1731">
        <v>101</v>
      </c>
      <c r="K1731" t="s">
        <v>19</v>
      </c>
      <c r="L1731">
        <v>93</v>
      </c>
    </row>
    <row r="1732" spans="1:12" x14ac:dyDescent="0.25">
      <c r="A1732">
        <v>400579161</v>
      </c>
      <c r="B1732">
        <v>2015</v>
      </c>
      <c r="C1732" s="1">
        <v>42062</v>
      </c>
      <c r="D1732" t="s">
        <v>38</v>
      </c>
      <c r="E1732">
        <v>0</v>
      </c>
      <c r="F1732">
        <v>32</v>
      </c>
      <c r="G1732">
        <v>27</v>
      </c>
      <c r="H1732">
        <v>0</v>
      </c>
      <c r="I1732" t="s">
        <v>39</v>
      </c>
      <c r="J1732">
        <v>115</v>
      </c>
      <c r="K1732" t="s">
        <v>38</v>
      </c>
      <c r="L1732">
        <v>112</v>
      </c>
    </row>
    <row r="1733" spans="1:12" x14ac:dyDescent="0.25">
      <c r="A1733">
        <v>400579161</v>
      </c>
      <c r="B1733">
        <v>2015</v>
      </c>
      <c r="C1733" s="1">
        <v>42062</v>
      </c>
      <c r="D1733" t="s">
        <v>39</v>
      </c>
      <c r="E1733">
        <v>1</v>
      </c>
      <c r="F1733">
        <v>38</v>
      </c>
      <c r="G1733">
        <v>19</v>
      </c>
      <c r="H1733">
        <v>1</v>
      </c>
      <c r="I1733" t="s">
        <v>39</v>
      </c>
      <c r="J1733">
        <v>115</v>
      </c>
      <c r="K1733" t="s">
        <v>38</v>
      </c>
      <c r="L1733">
        <v>112</v>
      </c>
    </row>
    <row r="1734" spans="1:12" x14ac:dyDescent="0.25">
      <c r="A1734">
        <v>400579162</v>
      </c>
      <c r="B1734">
        <v>2015</v>
      </c>
      <c r="C1734" s="1">
        <v>42063</v>
      </c>
      <c r="D1734" t="s">
        <v>33</v>
      </c>
      <c r="E1734">
        <v>0</v>
      </c>
      <c r="F1734">
        <v>23</v>
      </c>
      <c r="G1734">
        <v>36</v>
      </c>
      <c r="H1734">
        <v>0</v>
      </c>
      <c r="I1734" t="s">
        <v>25</v>
      </c>
      <c r="J1734">
        <v>99</v>
      </c>
      <c r="K1734" t="s">
        <v>33</v>
      </c>
      <c r="L1734">
        <v>95</v>
      </c>
    </row>
    <row r="1735" spans="1:12" x14ac:dyDescent="0.25">
      <c r="A1735">
        <v>400579162</v>
      </c>
      <c r="B1735">
        <v>2015</v>
      </c>
      <c r="C1735" s="1">
        <v>42063</v>
      </c>
      <c r="D1735" t="s">
        <v>25</v>
      </c>
      <c r="E1735">
        <v>1</v>
      </c>
      <c r="F1735">
        <v>34</v>
      </c>
      <c r="G1735">
        <v>26</v>
      </c>
      <c r="H1735">
        <v>1</v>
      </c>
      <c r="I1735" t="s">
        <v>25</v>
      </c>
      <c r="J1735">
        <v>99</v>
      </c>
      <c r="K1735" t="s">
        <v>33</v>
      </c>
      <c r="L1735">
        <v>95</v>
      </c>
    </row>
    <row r="1736" spans="1:12" x14ac:dyDescent="0.25">
      <c r="A1736">
        <v>400579163</v>
      </c>
      <c r="B1736">
        <v>2015</v>
      </c>
      <c r="C1736" s="1">
        <v>42063</v>
      </c>
      <c r="D1736" t="s">
        <v>26</v>
      </c>
      <c r="E1736">
        <v>1</v>
      </c>
      <c r="F1736">
        <v>47</v>
      </c>
      <c r="G1736">
        <v>12</v>
      </c>
      <c r="H1736">
        <v>0</v>
      </c>
      <c r="I1736" t="s">
        <v>24</v>
      </c>
      <c r="J1736">
        <v>91</v>
      </c>
      <c r="K1736" t="s">
        <v>26</v>
      </c>
      <c r="L1736">
        <v>93</v>
      </c>
    </row>
    <row r="1737" spans="1:12" x14ac:dyDescent="0.25">
      <c r="A1737">
        <v>400579163</v>
      </c>
      <c r="B1737">
        <v>2015</v>
      </c>
      <c r="C1737" s="1">
        <v>42063</v>
      </c>
      <c r="D1737" t="s">
        <v>24</v>
      </c>
      <c r="E1737">
        <v>0</v>
      </c>
      <c r="F1737">
        <v>25</v>
      </c>
      <c r="G1737">
        <v>33</v>
      </c>
      <c r="H1737">
        <v>1</v>
      </c>
      <c r="I1737" t="s">
        <v>24</v>
      </c>
      <c r="J1737">
        <v>91</v>
      </c>
      <c r="K1737" t="s">
        <v>26</v>
      </c>
      <c r="L1737">
        <v>93</v>
      </c>
    </row>
    <row r="1738" spans="1:12" x14ac:dyDescent="0.25">
      <c r="A1738">
        <v>400579164</v>
      </c>
      <c r="B1738">
        <v>2015</v>
      </c>
      <c r="C1738" s="1">
        <v>42063</v>
      </c>
      <c r="D1738" t="s">
        <v>31</v>
      </c>
      <c r="E1738">
        <v>1</v>
      </c>
      <c r="F1738">
        <v>12</v>
      </c>
      <c r="G1738">
        <v>46</v>
      </c>
      <c r="H1738">
        <v>1</v>
      </c>
      <c r="I1738" t="s">
        <v>31</v>
      </c>
      <c r="J1738">
        <v>103</v>
      </c>
      <c r="K1738" t="s">
        <v>27</v>
      </c>
      <c r="L1738">
        <v>98</v>
      </c>
    </row>
    <row r="1739" spans="1:12" x14ac:dyDescent="0.25">
      <c r="A1739">
        <v>400579164</v>
      </c>
      <c r="B1739">
        <v>2015</v>
      </c>
      <c r="C1739" s="1">
        <v>42063</v>
      </c>
      <c r="D1739" t="s">
        <v>27</v>
      </c>
      <c r="E1739">
        <v>0</v>
      </c>
      <c r="F1739">
        <v>37</v>
      </c>
      <c r="G1739">
        <v>22</v>
      </c>
      <c r="H1739">
        <v>0</v>
      </c>
      <c r="I1739" t="s">
        <v>31</v>
      </c>
      <c r="J1739">
        <v>103</v>
      </c>
      <c r="K1739" t="s">
        <v>27</v>
      </c>
      <c r="L1739">
        <v>98</v>
      </c>
    </row>
    <row r="1740" spans="1:12" x14ac:dyDescent="0.25">
      <c r="A1740">
        <v>400579165</v>
      </c>
      <c r="B1740">
        <v>2015</v>
      </c>
      <c r="C1740" s="1">
        <v>42063</v>
      </c>
      <c r="D1740" t="s">
        <v>28</v>
      </c>
      <c r="E1740">
        <v>1</v>
      </c>
      <c r="F1740">
        <v>42</v>
      </c>
      <c r="G1740">
        <v>16</v>
      </c>
      <c r="H1740">
        <v>0</v>
      </c>
      <c r="I1740" t="s">
        <v>29</v>
      </c>
      <c r="J1740">
        <v>97</v>
      </c>
      <c r="K1740" t="s">
        <v>28</v>
      </c>
      <c r="L1740">
        <v>101</v>
      </c>
    </row>
    <row r="1741" spans="1:12" x14ac:dyDescent="0.25">
      <c r="A1741">
        <v>400579165</v>
      </c>
      <c r="B1741">
        <v>2015</v>
      </c>
      <c r="C1741" s="1">
        <v>42063</v>
      </c>
      <c r="D1741" t="s">
        <v>29</v>
      </c>
      <c r="E1741">
        <v>0</v>
      </c>
      <c r="F1741">
        <v>13</v>
      </c>
      <c r="G1741">
        <v>45</v>
      </c>
      <c r="H1741">
        <v>1</v>
      </c>
      <c r="I1741" t="s">
        <v>29</v>
      </c>
      <c r="J1741">
        <v>97</v>
      </c>
      <c r="K1741" t="s">
        <v>28</v>
      </c>
      <c r="L1741">
        <v>101</v>
      </c>
    </row>
    <row r="1742" spans="1:12" x14ac:dyDescent="0.25">
      <c r="A1742">
        <v>400579166</v>
      </c>
      <c r="B1742">
        <v>2015</v>
      </c>
      <c r="C1742" s="1">
        <v>42063</v>
      </c>
      <c r="D1742" t="s">
        <v>23</v>
      </c>
      <c r="E1742">
        <v>1</v>
      </c>
      <c r="F1742">
        <v>24</v>
      </c>
      <c r="G1742">
        <v>33</v>
      </c>
      <c r="H1742">
        <v>0</v>
      </c>
      <c r="I1742" t="s">
        <v>14</v>
      </c>
      <c r="J1742">
        <v>94</v>
      </c>
      <c r="K1742" t="s">
        <v>23</v>
      </c>
      <c r="L1742">
        <v>104</v>
      </c>
    </row>
    <row r="1743" spans="1:12" x14ac:dyDescent="0.25">
      <c r="A1743">
        <v>400579166</v>
      </c>
      <c r="B1743">
        <v>2015</v>
      </c>
      <c r="C1743" s="1">
        <v>42063</v>
      </c>
      <c r="D1743" t="s">
        <v>14</v>
      </c>
      <c r="E1743">
        <v>0</v>
      </c>
      <c r="F1743">
        <v>39</v>
      </c>
      <c r="G1743">
        <v>22</v>
      </c>
      <c r="H1743">
        <v>1</v>
      </c>
      <c r="I1743" t="s">
        <v>14</v>
      </c>
      <c r="J1743">
        <v>94</v>
      </c>
      <c r="K1743" t="s">
        <v>23</v>
      </c>
      <c r="L1743">
        <v>104</v>
      </c>
    </row>
    <row r="1744" spans="1:12" x14ac:dyDescent="0.25">
      <c r="A1744">
        <v>400579167</v>
      </c>
      <c r="B1744">
        <v>2015</v>
      </c>
      <c r="C1744" s="1">
        <v>42063</v>
      </c>
      <c r="D1744" t="s">
        <v>35</v>
      </c>
      <c r="E1744">
        <v>0</v>
      </c>
      <c r="F1744">
        <v>31</v>
      </c>
      <c r="G1744">
        <v>29</v>
      </c>
      <c r="H1744">
        <v>1</v>
      </c>
      <c r="I1744" t="s">
        <v>35</v>
      </c>
      <c r="J1744">
        <v>74</v>
      </c>
      <c r="K1744" t="s">
        <v>15</v>
      </c>
      <c r="L1744">
        <v>101</v>
      </c>
    </row>
    <row r="1745" spans="1:12" x14ac:dyDescent="0.25">
      <c r="A1745">
        <v>400579167</v>
      </c>
      <c r="B1745">
        <v>2015</v>
      </c>
      <c r="C1745" s="1">
        <v>42063</v>
      </c>
      <c r="D1745" t="s">
        <v>15</v>
      </c>
      <c r="E1745">
        <v>1</v>
      </c>
      <c r="F1745">
        <v>36</v>
      </c>
      <c r="G1745">
        <v>23</v>
      </c>
      <c r="H1745">
        <v>0</v>
      </c>
      <c r="I1745" t="s">
        <v>35</v>
      </c>
      <c r="J1745">
        <v>74</v>
      </c>
      <c r="K1745" t="s">
        <v>15</v>
      </c>
      <c r="L1745">
        <v>101</v>
      </c>
    </row>
    <row r="1746" spans="1:12" x14ac:dyDescent="0.25">
      <c r="A1746">
        <v>400579168</v>
      </c>
      <c r="B1746">
        <v>2015</v>
      </c>
      <c r="C1746" s="1">
        <v>42063</v>
      </c>
      <c r="D1746" t="s">
        <v>19</v>
      </c>
      <c r="E1746">
        <v>0</v>
      </c>
      <c r="F1746">
        <v>32</v>
      </c>
      <c r="G1746">
        <v>27</v>
      </c>
      <c r="H1746">
        <v>0</v>
      </c>
      <c r="I1746" t="s">
        <v>34</v>
      </c>
      <c r="J1746">
        <v>82</v>
      </c>
      <c r="K1746" t="s">
        <v>19</v>
      </c>
      <c r="L1746">
        <v>75</v>
      </c>
    </row>
    <row r="1747" spans="1:12" x14ac:dyDescent="0.25">
      <c r="A1747">
        <v>400579168</v>
      </c>
      <c r="B1747">
        <v>2015</v>
      </c>
      <c r="C1747" s="1">
        <v>42063</v>
      </c>
      <c r="D1747" t="s">
        <v>34</v>
      </c>
      <c r="E1747">
        <v>1</v>
      </c>
      <c r="F1747">
        <v>23</v>
      </c>
      <c r="G1747">
        <v>35</v>
      </c>
      <c r="H1747">
        <v>1</v>
      </c>
      <c r="I1747" t="s">
        <v>34</v>
      </c>
      <c r="J1747">
        <v>82</v>
      </c>
      <c r="K1747" t="s">
        <v>19</v>
      </c>
      <c r="L1747">
        <v>75</v>
      </c>
    </row>
    <row r="1748" spans="1:12" x14ac:dyDescent="0.25">
      <c r="A1748">
        <v>400579169</v>
      </c>
      <c r="B1748">
        <v>2015</v>
      </c>
      <c r="C1748" s="1">
        <v>42064</v>
      </c>
      <c r="D1748" t="s">
        <v>30</v>
      </c>
      <c r="E1748">
        <v>0</v>
      </c>
      <c r="F1748">
        <v>37</v>
      </c>
      <c r="G1748">
        <v>23</v>
      </c>
      <c r="H1748">
        <v>1</v>
      </c>
      <c r="I1748" t="s">
        <v>30</v>
      </c>
      <c r="J1748">
        <v>86</v>
      </c>
      <c r="K1748" t="s">
        <v>41</v>
      </c>
      <c r="L1748">
        <v>96</v>
      </c>
    </row>
    <row r="1749" spans="1:12" x14ac:dyDescent="0.25">
      <c r="A1749">
        <v>400579169</v>
      </c>
      <c r="B1749">
        <v>2015</v>
      </c>
      <c r="C1749" s="1">
        <v>42064</v>
      </c>
      <c r="D1749" t="s">
        <v>41</v>
      </c>
      <c r="E1749">
        <v>1</v>
      </c>
      <c r="F1749">
        <v>39</v>
      </c>
      <c r="G1749">
        <v>21</v>
      </c>
      <c r="H1749">
        <v>0</v>
      </c>
      <c r="I1749" t="s">
        <v>30</v>
      </c>
      <c r="J1749">
        <v>86</v>
      </c>
      <c r="K1749" t="s">
        <v>41</v>
      </c>
      <c r="L1749">
        <v>96</v>
      </c>
    </row>
    <row r="1750" spans="1:12" x14ac:dyDescent="0.25">
      <c r="A1750">
        <v>400579170</v>
      </c>
      <c r="B1750">
        <v>2015</v>
      </c>
      <c r="C1750" s="1">
        <v>42064</v>
      </c>
      <c r="D1750" t="s">
        <v>17</v>
      </c>
      <c r="E1750">
        <v>0</v>
      </c>
      <c r="F1750">
        <v>16</v>
      </c>
      <c r="G1750">
        <v>42</v>
      </c>
      <c r="H1750">
        <v>1</v>
      </c>
      <c r="I1750" t="s">
        <v>17</v>
      </c>
      <c r="J1750">
        <v>101</v>
      </c>
      <c r="K1750" t="s">
        <v>38</v>
      </c>
      <c r="L1750">
        <v>108</v>
      </c>
    </row>
    <row r="1751" spans="1:12" x14ac:dyDescent="0.25">
      <c r="A1751">
        <v>400579170</v>
      </c>
      <c r="B1751">
        <v>2015</v>
      </c>
      <c r="C1751" s="1">
        <v>42064</v>
      </c>
      <c r="D1751" t="s">
        <v>38</v>
      </c>
      <c r="E1751">
        <v>1</v>
      </c>
      <c r="F1751">
        <v>33</v>
      </c>
      <c r="G1751">
        <v>27</v>
      </c>
      <c r="H1751">
        <v>0</v>
      </c>
      <c r="I1751" t="s">
        <v>17</v>
      </c>
      <c r="J1751">
        <v>101</v>
      </c>
      <c r="K1751" t="s">
        <v>38</v>
      </c>
      <c r="L1751">
        <v>108</v>
      </c>
    </row>
    <row r="1752" spans="1:12" x14ac:dyDescent="0.25">
      <c r="A1752">
        <v>400579171</v>
      </c>
      <c r="B1752">
        <v>2015</v>
      </c>
      <c r="C1752" s="1">
        <v>42064</v>
      </c>
      <c r="D1752" t="s">
        <v>39</v>
      </c>
      <c r="E1752">
        <v>1</v>
      </c>
      <c r="F1752">
        <v>39</v>
      </c>
      <c r="G1752">
        <v>19</v>
      </c>
      <c r="H1752">
        <v>0</v>
      </c>
      <c r="I1752" t="s">
        <v>37</v>
      </c>
      <c r="J1752">
        <v>99</v>
      </c>
      <c r="K1752" t="s">
        <v>39</v>
      </c>
      <c r="L1752">
        <v>110</v>
      </c>
    </row>
    <row r="1753" spans="1:12" x14ac:dyDescent="0.25">
      <c r="A1753">
        <v>400579171</v>
      </c>
      <c r="B1753">
        <v>2015</v>
      </c>
      <c r="C1753" s="1">
        <v>42064</v>
      </c>
      <c r="D1753" t="s">
        <v>37</v>
      </c>
      <c r="E1753">
        <v>0</v>
      </c>
      <c r="F1753">
        <v>20</v>
      </c>
      <c r="G1753">
        <v>37</v>
      </c>
      <c r="H1753">
        <v>1</v>
      </c>
      <c r="I1753" t="s">
        <v>37</v>
      </c>
      <c r="J1753">
        <v>99</v>
      </c>
      <c r="K1753" t="s">
        <v>39</v>
      </c>
      <c r="L1753">
        <v>110</v>
      </c>
    </row>
    <row r="1754" spans="1:12" x14ac:dyDescent="0.25">
      <c r="A1754">
        <v>400579172</v>
      </c>
      <c r="B1754">
        <v>2015</v>
      </c>
      <c r="C1754" s="1">
        <v>42064</v>
      </c>
      <c r="D1754" t="s">
        <v>22</v>
      </c>
      <c r="E1754">
        <v>0</v>
      </c>
      <c r="F1754">
        <v>23</v>
      </c>
      <c r="G1754">
        <v>34</v>
      </c>
      <c r="H1754">
        <v>1</v>
      </c>
      <c r="I1754" t="s">
        <v>22</v>
      </c>
      <c r="J1754">
        <v>101</v>
      </c>
      <c r="K1754" t="s">
        <v>36</v>
      </c>
      <c r="L1754">
        <v>106</v>
      </c>
    </row>
    <row r="1755" spans="1:12" x14ac:dyDescent="0.25">
      <c r="A1755">
        <v>400579172</v>
      </c>
      <c r="B1755">
        <v>2015</v>
      </c>
      <c r="C1755" s="1">
        <v>42064</v>
      </c>
      <c r="D1755" t="s">
        <v>36</v>
      </c>
      <c r="E1755">
        <v>1</v>
      </c>
      <c r="F1755">
        <v>46</v>
      </c>
      <c r="G1755">
        <v>11</v>
      </c>
      <c r="H1755">
        <v>0</v>
      </c>
      <c r="I1755" t="s">
        <v>22</v>
      </c>
      <c r="J1755">
        <v>101</v>
      </c>
      <c r="K1755" t="s">
        <v>36</v>
      </c>
      <c r="L1755">
        <v>106</v>
      </c>
    </row>
    <row r="1756" spans="1:12" x14ac:dyDescent="0.25">
      <c r="A1756">
        <v>400579173</v>
      </c>
      <c r="B1756">
        <v>2015</v>
      </c>
      <c r="C1756" s="1">
        <v>42064</v>
      </c>
      <c r="D1756" t="s">
        <v>20</v>
      </c>
      <c r="E1756">
        <v>1</v>
      </c>
      <c r="F1756">
        <v>25</v>
      </c>
      <c r="G1756">
        <v>34</v>
      </c>
      <c r="H1756">
        <v>1</v>
      </c>
      <c r="I1756" t="s">
        <v>20</v>
      </c>
      <c r="J1756">
        <v>94</v>
      </c>
      <c r="K1756" t="s">
        <v>21</v>
      </c>
      <c r="L1756">
        <v>74</v>
      </c>
    </row>
    <row r="1757" spans="1:12" x14ac:dyDescent="0.25">
      <c r="A1757">
        <v>400579173</v>
      </c>
      <c r="B1757">
        <v>2015</v>
      </c>
      <c r="C1757" s="1">
        <v>42064</v>
      </c>
      <c r="D1757" t="s">
        <v>21</v>
      </c>
      <c r="E1757">
        <v>0</v>
      </c>
      <c r="F1757">
        <v>13</v>
      </c>
      <c r="G1757">
        <v>46</v>
      </c>
      <c r="H1757">
        <v>0</v>
      </c>
      <c r="I1757" t="s">
        <v>20</v>
      </c>
      <c r="J1757">
        <v>94</v>
      </c>
      <c r="K1757" t="s">
        <v>21</v>
      </c>
      <c r="L1757">
        <v>74</v>
      </c>
    </row>
    <row r="1758" spans="1:12" x14ac:dyDescent="0.25">
      <c r="A1758">
        <v>400579174</v>
      </c>
      <c r="B1758">
        <v>2015</v>
      </c>
      <c r="C1758" s="1">
        <v>42064</v>
      </c>
      <c r="D1758" t="s">
        <v>18</v>
      </c>
      <c r="E1758">
        <v>1</v>
      </c>
      <c r="F1758">
        <v>24</v>
      </c>
      <c r="G1758">
        <v>33</v>
      </c>
      <c r="H1758">
        <v>0</v>
      </c>
      <c r="I1758" t="s">
        <v>13</v>
      </c>
      <c r="J1758">
        <v>83</v>
      </c>
      <c r="K1758" t="s">
        <v>18</v>
      </c>
      <c r="L1758">
        <v>98</v>
      </c>
    </row>
    <row r="1759" spans="1:12" x14ac:dyDescent="0.25">
      <c r="A1759">
        <v>400579174</v>
      </c>
      <c r="B1759">
        <v>2015</v>
      </c>
      <c r="C1759" s="1">
        <v>42064</v>
      </c>
      <c r="D1759" t="s">
        <v>13</v>
      </c>
      <c r="E1759">
        <v>0</v>
      </c>
      <c r="F1759">
        <v>19</v>
      </c>
      <c r="G1759">
        <v>42</v>
      </c>
      <c r="H1759">
        <v>1</v>
      </c>
      <c r="I1759" t="s">
        <v>13</v>
      </c>
      <c r="J1759">
        <v>83</v>
      </c>
      <c r="K1759" t="s">
        <v>18</v>
      </c>
      <c r="L1759">
        <v>98</v>
      </c>
    </row>
    <row r="1760" spans="1:12" x14ac:dyDescent="0.25">
      <c r="A1760">
        <v>400579175</v>
      </c>
      <c r="B1760">
        <v>2015</v>
      </c>
      <c r="C1760" s="1">
        <v>42064</v>
      </c>
      <c r="D1760" t="s">
        <v>40</v>
      </c>
      <c r="E1760">
        <v>0</v>
      </c>
      <c r="F1760">
        <v>37</v>
      </c>
      <c r="G1760">
        <v>24</v>
      </c>
      <c r="H1760">
        <v>0</v>
      </c>
      <c r="I1760" t="s">
        <v>16</v>
      </c>
      <c r="J1760">
        <v>105</v>
      </c>
      <c r="K1760" t="s">
        <v>40</v>
      </c>
      <c r="L1760">
        <v>103</v>
      </c>
    </row>
    <row r="1761" spans="1:12" x14ac:dyDescent="0.25">
      <c r="A1761">
        <v>400579175</v>
      </c>
      <c r="B1761">
        <v>2015</v>
      </c>
      <c r="C1761" s="1">
        <v>42064</v>
      </c>
      <c r="D1761" t="s">
        <v>16</v>
      </c>
      <c r="E1761">
        <v>1</v>
      </c>
      <c r="F1761">
        <v>41</v>
      </c>
      <c r="G1761">
        <v>18</v>
      </c>
      <c r="H1761">
        <v>1</v>
      </c>
      <c r="I1761" t="s">
        <v>16</v>
      </c>
      <c r="J1761">
        <v>105</v>
      </c>
      <c r="K1761" t="s">
        <v>40</v>
      </c>
      <c r="L1761">
        <v>103</v>
      </c>
    </row>
    <row r="1762" spans="1:12" x14ac:dyDescent="0.25">
      <c r="A1762">
        <v>400579176</v>
      </c>
      <c r="B1762">
        <v>2015</v>
      </c>
      <c r="C1762" s="1">
        <v>42064</v>
      </c>
      <c r="D1762" t="s">
        <v>32</v>
      </c>
      <c r="E1762">
        <v>0</v>
      </c>
      <c r="F1762">
        <v>20</v>
      </c>
      <c r="G1762">
        <v>39</v>
      </c>
      <c r="H1762">
        <v>1</v>
      </c>
      <c r="I1762" t="s">
        <v>32</v>
      </c>
      <c r="J1762">
        <v>92</v>
      </c>
      <c r="K1762" t="s">
        <v>12</v>
      </c>
      <c r="L1762">
        <v>99</v>
      </c>
    </row>
    <row r="1763" spans="1:12" x14ac:dyDescent="0.25">
      <c r="A1763">
        <v>400579176</v>
      </c>
      <c r="B1763">
        <v>2015</v>
      </c>
      <c r="C1763" s="1">
        <v>42064</v>
      </c>
      <c r="D1763" t="s">
        <v>12</v>
      </c>
      <c r="E1763">
        <v>1</v>
      </c>
      <c r="F1763">
        <v>32</v>
      </c>
      <c r="G1763">
        <v>27</v>
      </c>
      <c r="H1763">
        <v>0</v>
      </c>
      <c r="I1763" t="s">
        <v>32</v>
      </c>
      <c r="J1763">
        <v>92</v>
      </c>
      <c r="K1763" t="s">
        <v>12</v>
      </c>
      <c r="L1763">
        <v>99</v>
      </c>
    </row>
    <row r="1764" spans="1:12" x14ac:dyDescent="0.25">
      <c r="A1764">
        <v>400579177</v>
      </c>
      <c r="B1764">
        <v>2015</v>
      </c>
      <c r="C1764" s="1">
        <v>42065</v>
      </c>
      <c r="D1764" t="s">
        <v>21</v>
      </c>
      <c r="E1764">
        <v>0</v>
      </c>
      <c r="F1764">
        <v>13</v>
      </c>
      <c r="G1764">
        <v>47</v>
      </c>
      <c r="H1764">
        <v>1</v>
      </c>
      <c r="I1764" t="s">
        <v>21</v>
      </c>
      <c r="J1764">
        <v>103</v>
      </c>
      <c r="K1764" t="s">
        <v>27</v>
      </c>
      <c r="L1764">
        <v>114</v>
      </c>
    </row>
    <row r="1765" spans="1:12" x14ac:dyDescent="0.25">
      <c r="A1765">
        <v>400579177</v>
      </c>
      <c r="B1765">
        <v>2015</v>
      </c>
      <c r="C1765" s="1">
        <v>42065</v>
      </c>
      <c r="D1765" t="s">
        <v>27</v>
      </c>
      <c r="E1765">
        <v>1</v>
      </c>
      <c r="F1765">
        <v>38</v>
      </c>
      <c r="G1765">
        <v>22</v>
      </c>
      <c r="H1765">
        <v>0</v>
      </c>
      <c r="I1765" t="s">
        <v>21</v>
      </c>
      <c r="J1765">
        <v>103</v>
      </c>
      <c r="K1765" t="s">
        <v>27</v>
      </c>
      <c r="L1765">
        <v>114</v>
      </c>
    </row>
    <row r="1766" spans="1:12" x14ac:dyDescent="0.25">
      <c r="A1766">
        <v>400579178</v>
      </c>
      <c r="B1766">
        <v>2015</v>
      </c>
      <c r="C1766" s="1">
        <v>42065</v>
      </c>
      <c r="D1766" t="s">
        <v>23</v>
      </c>
      <c r="E1766">
        <v>1</v>
      </c>
      <c r="F1766">
        <v>25</v>
      </c>
      <c r="G1766">
        <v>33</v>
      </c>
      <c r="H1766">
        <v>1</v>
      </c>
      <c r="I1766" t="s">
        <v>23</v>
      </c>
      <c r="J1766">
        <v>110</v>
      </c>
      <c r="K1766" t="s">
        <v>36</v>
      </c>
      <c r="L1766">
        <v>108</v>
      </c>
    </row>
    <row r="1767" spans="1:12" x14ac:dyDescent="0.25">
      <c r="A1767">
        <v>400579178</v>
      </c>
      <c r="B1767">
        <v>2015</v>
      </c>
      <c r="C1767" s="1">
        <v>42065</v>
      </c>
      <c r="D1767" t="s">
        <v>36</v>
      </c>
      <c r="E1767">
        <v>0</v>
      </c>
      <c r="F1767">
        <v>46</v>
      </c>
      <c r="G1767">
        <v>12</v>
      </c>
      <c r="H1767">
        <v>0</v>
      </c>
      <c r="I1767" t="s">
        <v>23</v>
      </c>
      <c r="J1767">
        <v>110</v>
      </c>
      <c r="K1767" t="s">
        <v>36</v>
      </c>
      <c r="L1767">
        <v>108</v>
      </c>
    </row>
    <row r="1768" spans="1:12" x14ac:dyDescent="0.25">
      <c r="A1768">
        <v>400579179</v>
      </c>
      <c r="B1768">
        <v>2015</v>
      </c>
      <c r="C1768" s="1">
        <v>42065</v>
      </c>
      <c r="D1768" t="s">
        <v>24</v>
      </c>
      <c r="E1768">
        <v>1</v>
      </c>
      <c r="F1768">
        <v>26</v>
      </c>
      <c r="G1768">
        <v>33</v>
      </c>
      <c r="H1768">
        <v>1</v>
      </c>
      <c r="I1768" t="s">
        <v>24</v>
      </c>
      <c r="J1768">
        <v>115</v>
      </c>
      <c r="K1768" t="s">
        <v>35</v>
      </c>
      <c r="L1768">
        <v>98</v>
      </c>
    </row>
    <row r="1769" spans="1:12" x14ac:dyDescent="0.25">
      <c r="A1769">
        <v>400579179</v>
      </c>
      <c r="B1769">
        <v>2015</v>
      </c>
      <c r="C1769" s="1">
        <v>42065</v>
      </c>
      <c r="D1769" t="s">
        <v>35</v>
      </c>
      <c r="E1769">
        <v>0</v>
      </c>
      <c r="F1769">
        <v>31</v>
      </c>
      <c r="G1769">
        <v>30</v>
      </c>
      <c r="H1769">
        <v>0</v>
      </c>
      <c r="I1769" t="s">
        <v>24</v>
      </c>
      <c r="J1769">
        <v>115</v>
      </c>
      <c r="K1769" t="s">
        <v>35</v>
      </c>
      <c r="L1769">
        <v>98</v>
      </c>
    </row>
    <row r="1770" spans="1:12" x14ac:dyDescent="0.25">
      <c r="A1770">
        <v>400579180</v>
      </c>
      <c r="B1770">
        <v>2015</v>
      </c>
      <c r="C1770" s="1">
        <v>42065</v>
      </c>
      <c r="D1770" t="s">
        <v>41</v>
      </c>
      <c r="E1770">
        <v>1</v>
      </c>
      <c r="F1770">
        <v>40</v>
      </c>
      <c r="G1770">
        <v>21</v>
      </c>
      <c r="H1770">
        <v>0</v>
      </c>
      <c r="I1770" t="s">
        <v>29</v>
      </c>
      <c r="J1770">
        <v>105</v>
      </c>
      <c r="K1770" t="s">
        <v>41</v>
      </c>
      <c r="L1770">
        <v>110</v>
      </c>
    </row>
    <row r="1771" spans="1:12" x14ac:dyDescent="0.25">
      <c r="A1771">
        <v>400579180</v>
      </c>
      <c r="B1771">
        <v>2015</v>
      </c>
      <c r="C1771" s="1">
        <v>42065</v>
      </c>
      <c r="D1771" t="s">
        <v>29</v>
      </c>
      <c r="E1771">
        <v>0</v>
      </c>
      <c r="F1771">
        <v>13</v>
      </c>
      <c r="G1771">
        <v>46</v>
      </c>
      <c r="H1771">
        <v>1</v>
      </c>
      <c r="I1771" t="s">
        <v>29</v>
      </c>
      <c r="J1771">
        <v>105</v>
      </c>
      <c r="K1771" t="s">
        <v>41</v>
      </c>
      <c r="L1771">
        <v>110</v>
      </c>
    </row>
    <row r="1772" spans="1:12" x14ac:dyDescent="0.25">
      <c r="A1772">
        <v>400579181</v>
      </c>
      <c r="B1772">
        <v>2015</v>
      </c>
      <c r="C1772" s="1">
        <v>42065</v>
      </c>
      <c r="D1772" t="s">
        <v>14</v>
      </c>
      <c r="E1772">
        <v>1</v>
      </c>
      <c r="F1772">
        <v>40</v>
      </c>
      <c r="G1772">
        <v>22</v>
      </c>
      <c r="H1772">
        <v>1</v>
      </c>
      <c r="I1772" t="s">
        <v>14</v>
      </c>
      <c r="J1772">
        <v>102</v>
      </c>
      <c r="K1772" t="s">
        <v>12</v>
      </c>
      <c r="L1772">
        <v>93</v>
      </c>
    </row>
    <row r="1773" spans="1:12" x14ac:dyDescent="0.25">
      <c r="A1773">
        <v>400579181</v>
      </c>
      <c r="B1773">
        <v>2015</v>
      </c>
      <c r="C1773" s="1">
        <v>42065</v>
      </c>
      <c r="D1773" t="s">
        <v>12</v>
      </c>
      <c r="E1773">
        <v>0</v>
      </c>
      <c r="F1773">
        <v>32</v>
      </c>
      <c r="G1773">
        <v>28</v>
      </c>
      <c r="H1773">
        <v>0</v>
      </c>
      <c r="I1773" t="s">
        <v>14</v>
      </c>
      <c r="J1773">
        <v>102</v>
      </c>
      <c r="K1773" t="s">
        <v>12</v>
      </c>
      <c r="L1773">
        <v>93</v>
      </c>
    </row>
    <row r="1774" spans="1:12" x14ac:dyDescent="0.25">
      <c r="A1774">
        <v>400579182</v>
      </c>
      <c r="B1774">
        <v>2015</v>
      </c>
      <c r="C1774" s="1">
        <v>42066</v>
      </c>
      <c r="D1774" t="s">
        <v>18</v>
      </c>
      <c r="E1774">
        <v>1</v>
      </c>
      <c r="F1774">
        <v>25</v>
      </c>
      <c r="G1774">
        <v>33</v>
      </c>
      <c r="H1774">
        <v>1</v>
      </c>
      <c r="I1774" t="s">
        <v>18</v>
      </c>
      <c r="J1774">
        <v>104</v>
      </c>
      <c r="K1774" t="s">
        <v>17</v>
      </c>
      <c r="L1774">
        <v>103</v>
      </c>
    </row>
    <row r="1775" spans="1:12" x14ac:dyDescent="0.25">
      <c r="A1775">
        <v>400579182</v>
      </c>
      <c r="B1775">
        <v>2015</v>
      </c>
      <c r="C1775" s="1">
        <v>42066</v>
      </c>
      <c r="D1775" t="s">
        <v>17</v>
      </c>
      <c r="E1775">
        <v>0</v>
      </c>
      <c r="F1775">
        <v>16</v>
      </c>
      <c r="G1775">
        <v>43</v>
      </c>
      <c r="H1775">
        <v>0</v>
      </c>
      <c r="I1775" t="s">
        <v>18</v>
      </c>
      <c r="J1775">
        <v>104</v>
      </c>
      <c r="K1775" t="s">
        <v>17</v>
      </c>
      <c r="L1775">
        <v>103</v>
      </c>
    </row>
    <row r="1776" spans="1:12" x14ac:dyDescent="0.25">
      <c r="A1776">
        <v>400579183</v>
      </c>
      <c r="B1776">
        <v>2015</v>
      </c>
      <c r="C1776" s="1">
        <v>42066</v>
      </c>
      <c r="D1776" t="s">
        <v>22</v>
      </c>
      <c r="E1776">
        <v>0</v>
      </c>
      <c r="F1776">
        <v>23</v>
      </c>
      <c r="G1776">
        <v>35</v>
      </c>
      <c r="H1776">
        <v>0</v>
      </c>
      <c r="I1776" t="s">
        <v>40</v>
      </c>
      <c r="J1776">
        <v>110</v>
      </c>
      <c r="K1776" t="s">
        <v>22</v>
      </c>
      <c r="L1776">
        <v>79</v>
      </c>
    </row>
    <row r="1777" spans="1:12" x14ac:dyDescent="0.25">
      <c r="A1777">
        <v>400579183</v>
      </c>
      <c r="B1777">
        <v>2015</v>
      </c>
      <c r="C1777" s="1">
        <v>42066</v>
      </c>
      <c r="D1777" t="s">
        <v>40</v>
      </c>
      <c r="E1777">
        <v>1</v>
      </c>
      <c r="F1777">
        <v>38</v>
      </c>
      <c r="G1777">
        <v>24</v>
      </c>
      <c r="H1777">
        <v>1</v>
      </c>
      <c r="I1777" t="s">
        <v>40</v>
      </c>
      <c r="J1777">
        <v>110</v>
      </c>
      <c r="K1777" t="s">
        <v>22</v>
      </c>
      <c r="L1777">
        <v>79</v>
      </c>
    </row>
    <row r="1778" spans="1:12" x14ac:dyDescent="0.25">
      <c r="A1778">
        <v>400579184</v>
      </c>
      <c r="B1778">
        <v>2015</v>
      </c>
      <c r="C1778" s="1">
        <v>42066</v>
      </c>
      <c r="D1778" t="s">
        <v>26</v>
      </c>
      <c r="E1778">
        <v>1</v>
      </c>
      <c r="F1778">
        <v>48</v>
      </c>
      <c r="G1778">
        <v>12</v>
      </c>
      <c r="H1778">
        <v>1</v>
      </c>
      <c r="I1778" t="s">
        <v>26</v>
      </c>
      <c r="J1778">
        <v>104</v>
      </c>
      <c r="K1778" t="s">
        <v>16</v>
      </c>
      <c r="L1778">
        <v>96</v>
      </c>
    </row>
    <row r="1779" spans="1:12" x14ac:dyDescent="0.25">
      <c r="A1779">
        <v>400579184</v>
      </c>
      <c r="B1779">
        <v>2015</v>
      </c>
      <c r="C1779" s="1">
        <v>42066</v>
      </c>
      <c r="D1779" t="s">
        <v>16</v>
      </c>
      <c r="E1779">
        <v>0</v>
      </c>
      <c r="F1779">
        <v>41</v>
      </c>
      <c r="G1779">
        <v>19</v>
      </c>
      <c r="H1779">
        <v>0</v>
      </c>
      <c r="I1779" t="s">
        <v>26</v>
      </c>
      <c r="J1779">
        <v>104</v>
      </c>
      <c r="K1779" t="s">
        <v>16</v>
      </c>
      <c r="L1779">
        <v>96</v>
      </c>
    </row>
    <row r="1780" spans="1:12" x14ac:dyDescent="0.25">
      <c r="A1780">
        <v>400579185</v>
      </c>
      <c r="B1780">
        <v>2015</v>
      </c>
      <c r="C1780" s="1">
        <v>42066</v>
      </c>
      <c r="D1780" t="s">
        <v>30</v>
      </c>
      <c r="E1780">
        <v>1</v>
      </c>
      <c r="F1780">
        <v>38</v>
      </c>
      <c r="G1780">
        <v>23</v>
      </c>
      <c r="H1780">
        <v>1</v>
      </c>
      <c r="I1780" t="s">
        <v>30</v>
      </c>
      <c r="J1780">
        <v>97</v>
      </c>
      <c r="K1780" t="s">
        <v>25</v>
      </c>
      <c r="L1780">
        <v>92</v>
      </c>
    </row>
    <row r="1781" spans="1:12" x14ac:dyDescent="0.25">
      <c r="A1781">
        <v>400579185</v>
      </c>
      <c r="B1781">
        <v>2015</v>
      </c>
      <c r="C1781" s="1">
        <v>42066</v>
      </c>
      <c r="D1781" t="s">
        <v>25</v>
      </c>
      <c r="E1781">
        <v>0</v>
      </c>
      <c r="F1781">
        <v>34</v>
      </c>
      <c r="G1781">
        <v>27</v>
      </c>
      <c r="H1781">
        <v>0</v>
      </c>
      <c r="I1781" t="s">
        <v>30</v>
      </c>
      <c r="J1781">
        <v>97</v>
      </c>
      <c r="K1781" t="s">
        <v>25</v>
      </c>
      <c r="L1781">
        <v>92</v>
      </c>
    </row>
    <row r="1782" spans="1:12" x14ac:dyDescent="0.25">
      <c r="A1782">
        <v>400579186</v>
      </c>
      <c r="B1782">
        <v>2015</v>
      </c>
      <c r="C1782" s="1">
        <v>42066</v>
      </c>
      <c r="D1782" t="s">
        <v>28</v>
      </c>
      <c r="E1782">
        <v>0</v>
      </c>
      <c r="F1782">
        <v>42</v>
      </c>
      <c r="G1782">
        <v>17</v>
      </c>
      <c r="H1782">
        <v>1</v>
      </c>
      <c r="I1782" t="s">
        <v>28</v>
      </c>
      <c r="J1782">
        <v>82</v>
      </c>
      <c r="K1782" t="s">
        <v>34</v>
      </c>
      <c r="L1782">
        <v>93</v>
      </c>
    </row>
    <row r="1783" spans="1:12" x14ac:dyDescent="0.25">
      <c r="A1783">
        <v>400579186</v>
      </c>
      <c r="B1783">
        <v>2015</v>
      </c>
      <c r="C1783" s="1">
        <v>42066</v>
      </c>
      <c r="D1783" t="s">
        <v>34</v>
      </c>
      <c r="E1783">
        <v>1</v>
      </c>
      <c r="F1783">
        <v>24</v>
      </c>
      <c r="G1783">
        <v>35</v>
      </c>
      <c r="H1783">
        <v>0</v>
      </c>
      <c r="I1783" t="s">
        <v>28</v>
      </c>
      <c r="J1783">
        <v>82</v>
      </c>
      <c r="K1783" t="s">
        <v>34</v>
      </c>
      <c r="L1783">
        <v>93</v>
      </c>
    </row>
    <row r="1784" spans="1:12" x14ac:dyDescent="0.25">
      <c r="A1784">
        <v>400579187</v>
      </c>
      <c r="B1784">
        <v>2015</v>
      </c>
      <c r="C1784" s="1">
        <v>42066</v>
      </c>
      <c r="D1784" t="s">
        <v>32</v>
      </c>
      <c r="E1784">
        <v>1</v>
      </c>
      <c r="F1784">
        <v>21</v>
      </c>
      <c r="G1784">
        <v>39</v>
      </c>
      <c r="H1784">
        <v>1</v>
      </c>
      <c r="I1784" t="s">
        <v>32</v>
      </c>
      <c r="J1784">
        <v>106</v>
      </c>
      <c r="K1784" t="s">
        <v>19</v>
      </c>
      <c r="L1784">
        <v>95</v>
      </c>
    </row>
    <row r="1785" spans="1:12" x14ac:dyDescent="0.25">
      <c r="A1785">
        <v>400579187</v>
      </c>
      <c r="B1785">
        <v>2015</v>
      </c>
      <c r="C1785" s="1">
        <v>42066</v>
      </c>
      <c r="D1785" t="s">
        <v>19</v>
      </c>
      <c r="E1785">
        <v>0</v>
      </c>
      <c r="F1785">
        <v>32</v>
      </c>
      <c r="G1785">
        <v>28</v>
      </c>
      <c r="H1785">
        <v>0</v>
      </c>
      <c r="I1785" t="s">
        <v>32</v>
      </c>
      <c r="J1785">
        <v>106</v>
      </c>
      <c r="K1785" t="s">
        <v>19</v>
      </c>
      <c r="L1785">
        <v>95</v>
      </c>
    </row>
    <row r="1786" spans="1:12" x14ac:dyDescent="0.25">
      <c r="A1786">
        <v>400579188</v>
      </c>
      <c r="B1786">
        <v>2015</v>
      </c>
      <c r="C1786" s="1">
        <v>42067</v>
      </c>
      <c r="D1786" t="s">
        <v>20</v>
      </c>
      <c r="E1786">
        <v>1</v>
      </c>
      <c r="F1786">
        <v>26</v>
      </c>
      <c r="G1786">
        <v>34</v>
      </c>
      <c r="H1786">
        <v>1</v>
      </c>
      <c r="I1786" t="s">
        <v>20</v>
      </c>
      <c r="J1786">
        <v>105</v>
      </c>
      <c r="K1786" t="s">
        <v>31</v>
      </c>
      <c r="L1786">
        <v>82</v>
      </c>
    </row>
    <row r="1787" spans="1:12" x14ac:dyDescent="0.25">
      <c r="A1787">
        <v>400579188</v>
      </c>
      <c r="B1787">
        <v>2015</v>
      </c>
      <c r="C1787" s="1">
        <v>42067</v>
      </c>
      <c r="D1787" t="s">
        <v>31</v>
      </c>
      <c r="E1787">
        <v>0</v>
      </c>
      <c r="F1787">
        <v>12</v>
      </c>
      <c r="G1787">
        <v>48</v>
      </c>
      <c r="H1787">
        <v>0</v>
      </c>
      <c r="I1787" t="s">
        <v>20</v>
      </c>
      <c r="J1787">
        <v>105</v>
      </c>
      <c r="K1787" t="s">
        <v>31</v>
      </c>
      <c r="L1787">
        <v>82</v>
      </c>
    </row>
    <row r="1788" spans="1:12" x14ac:dyDescent="0.25">
      <c r="A1788">
        <v>400579189</v>
      </c>
      <c r="B1788">
        <v>2015</v>
      </c>
      <c r="C1788" s="1">
        <v>42067</v>
      </c>
      <c r="D1788" t="s">
        <v>13</v>
      </c>
      <c r="E1788">
        <v>0</v>
      </c>
      <c r="F1788">
        <v>19</v>
      </c>
      <c r="G1788">
        <v>43</v>
      </c>
      <c r="H1788">
        <v>1</v>
      </c>
      <c r="I1788" t="s">
        <v>13</v>
      </c>
      <c r="J1788">
        <v>100</v>
      </c>
      <c r="K1788" t="s">
        <v>35</v>
      </c>
      <c r="L1788">
        <v>105</v>
      </c>
    </row>
    <row r="1789" spans="1:12" x14ac:dyDescent="0.25">
      <c r="A1789">
        <v>400579189</v>
      </c>
      <c r="B1789">
        <v>2015</v>
      </c>
      <c r="C1789" s="1">
        <v>42067</v>
      </c>
      <c r="D1789" t="s">
        <v>35</v>
      </c>
      <c r="E1789">
        <v>1</v>
      </c>
      <c r="F1789">
        <v>32</v>
      </c>
      <c r="G1789">
        <v>30</v>
      </c>
      <c r="H1789">
        <v>0</v>
      </c>
      <c r="I1789" t="s">
        <v>13</v>
      </c>
      <c r="J1789">
        <v>100</v>
      </c>
      <c r="K1789" t="s">
        <v>35</v>
      </c>
      <c r="L1789">
        <v>105</v>
      </c>
    </row>
    <row r="1790" spans="1:12" x14ac:dyDescent="0.25">
      <c r="A1790">
        <v>400579190</v>
      </c>
      <c r="B1790">
        <v>2015</v>
      </c>
      <c r="C1790" s="1">
        <v>42067</v>
      </c>
      <c r="D1790" t="s">
        <v>22</v>
      </c>
      <c r="E1790">
        <v>1</v>
      </c>
      <c r="F1790">
        <v>24</v>
      </c>
      <c r="G1790">
        <v>35</v>
      </c>
      <c r="H1790">
        <v>1</v>
      </c>
      <c r="I1790" t="s">
        <v>22</v>
      </c>
      <c r="J1790">
        <v>85</v>
      </c>
      <c r="K1790" t="s">
        <v>34</v>
      </c>
      <c r="L1790">
        <v>84</v>
      </c>
    </row>
    <row r="1791" spans="1:12" x14ac:dyDescent="0.25">
      <c r="A1791">
        <v>400579190</v>
      </c>
      <c r="B1791">
        <v>2015</v>
      </c>
      <c r="C1791" s="1">
        <v>42067</v>
      </c>
      <c r="D1791" t="s">
        <v>34</v>
      </c>
      <c r="E1791">
        <v>0</v>
      </c>
      <c r="F1791">
        <v>24</v>
      </c>
      <c r="G1791">
        <v>36</v>
      </c>
      <c r="H1791">
        <v>0</v>
      </c>
      <c r="I1791" t="s">
        <v>22</v>
      </c>
      <c r="J1791">
        <v>85</v>
      </c>
      <c r="K1791" t="s">
        <v>34</v>
      </c>
      <c r="L1791">
        <v>84</v>
      </c>
    </row>
    <row r="1792" spans="1:12" x14ac:dyDescent="0.25">
      <c r="A1792">
        <v>400579191</v>
      </c>
      <c r="B1792">
        <v>2015</v>
      </c>
      <c r="C1792" s="1">
        <v>42067</v>
      </c>
      <c r="D1792" t="s">
        <v>23</v>
      </c>
      <c r="E1792">
        <v>0</v>
      </c>
      <c r="F1792">
        <v>25</v>
      </c>
      <c r="G1792">
        <v>34</v>
      </c>
      <c r="H1792">
        <v>1</v>
      </c>
      <c r="I1792" t="s">
        <v>23</v>
      </c>
      <c r="J1792">
        <v>91</v>
      </c>
      <c r="K1792" t="s">
        <v>18</v>
      </c>
      <c r="L1792">
        <v>115</v>
      </c>
    </row>
    <row r="1793" spans="1:12" x14ac:dyDescent="0.25">
      <c r="A1793">
        <v>400579191</v>
      </c>
      <c r="B1793">
        <v>2015</v>
      </c>
      <c r="C1793" s="1">
        <v>42067</v>
      </c>
      <c r="D1793" t="s">
        <v>18</v>
      </c>
      <c r="E1793">
        <v>1</v>
      </c>
      <c r="F1793">
        <v>26</v>
      </c>
      <c r="G1793">
        <v>33</v>
      </c>
      <c r="H1793">
        <v>0</v>
      </c>
      <c r="I1793" t="s">
        <v>23</v>
      </c>
      <c r="J1793">
        <v>91</v>
      </c>
      <c r="K1793" t="s">
        <v>18</v>
      </c>
      <c r="L1793">
        <v>115</v>
      </c>
    </row>
    <row r="1794" spans="1:12" x14ac:dyDescent="0.25">
      <c r="A1794">
        <v>400579192</v>
      </c>
      <c r="B1794">
        <v>2015</v>
      </c>
      <c r="C1794" s="1">
        <v>42067</v>
      </c>
      <c r="D1794" t="s">
        <v>40</v>
      </c>
      <c r="E1794">
        <v>1</v>
      </c>
      <c r="F1794">
        <v>39</v>
      </c>
      <c r="G1794">
        <v>24</v>
      </c>
      <c r="H1794">
        <v>0</v>
      </c>
      <c r="I1794" t="s">
        <v>27</v>
      </c>
      <c r="J1794">
        <v>112</v>
      </c>
      <c r="K1794" t="s">
        <v>40</v>
      </c>
      <c r="L1794">
        <v>120</v>
      </c>
    </row>
    <row r="1795" spans="1:12" x14ac:dyDescent="0.25">
      <c r="A1795">
        <v>400579192</v>
      </c>
      <c r="B1795">
        <v>2015</v>
      </c>
      <c r="C1795" s="1">
        <v>42067</v>
      </c>
      <c r="D1795" t="s">
        <v>27</v>
      </c>
      <c r="E1795">
        <v>0</v>
      </c>
      <c r="F1795">
        <v>38</v>
      </c>
      <c r="G1795">
        <v>23</v>
      </c>
      <c r="H1795">
        <v>1</v>
      </c>
      <c r="I1795" t="s">
        <v>27</v>
      </c>
      <c r="J1795">
        <v>112</v>
      </c>
      <c r="K1795" t="s">
        <v>40</v>
      </c>
      <c r="L1795">
        <v>120</v>
      </c>
    </row>
    <row r="1796" spans="1:12" x14ac:dyDescent="0.25">
      <c r="A1796">
        <v>400579193</v>
      </c>
      <c r="B1796">
        <v>2015</v>
      </c>
      <c r="C1796" s="1">
        <v>42067</v>
      </c>
      <c r="D1796" t="s">
        <v>16</v>
      </c>
      <c r="E1796">
        <v>0</v>
      </c>
      <c r="F1796">
        <v>41</v>
      </c>
      <c r="G1796">
        <v>20</v>
      </c>
      <c r="H1796">
        <v>1</v>
      </c>
      <c r="I1796" t="s">
        <v>16</v>
      </c>
      <c r="J1796">
        <v>100</v>
      </c>
      <c r="K1796" t="s">
        <v>28</v>
      </c>
      <c r="L1796">
        <v>102</v>
      </c>
    </row>
    <row r="1797" spans="1:12" x14ac:dyDescent="0.25">
      <c r="A1797">
        <v>400579193</v>
      </c>
      <c r="B1797">
        <v>2015</v>
      </c>
      <c r="C1797" s="1">
        <v>42067</v>
      </c>
      <c r="D1797" t="s">
        <v>28</v>
      </c>
      <c r="E1797">
        <v>1</v>
      </c>
      <c r="F1797">
        <v>43</v>
      </c>
      <c r="G1797">
        <v>17</v>
      </c>
      <c r="H1797">
        <v>0</v>
      </c>
      <c r="I1797" t="s">
        <v>16</v>
      </c>
      <c r="J1797">
        <v>100</v>
      </c>
      <c r="K1797" t="s">
        <v>28</v>
      </c>
      <c r="L1797">
        <v>102</v>
      </c>
    </row>
    <row r="1798" spans="1:12" x14ac:dyDescent="0.25">
      <c r="A1798">
        <v>400579194</v>
      </c>
      <c r="B1798">
        <v>2015</v>
      </c>
      <c r="C1798" s="1">
        <v>42067</v>
      </c>
      <c r="D1798" t="s">
        <v>32</v>
      </c>
      <c r="E1798">
        <v>1</v>
      </c>
      <c r="F1798">
        <v>22</v>
      </c>
      <c r="G1798">
        <v>39</v>
      </c>
      <c r="H1798">
        <v>0</v>
      </c>
      <c r="I1798" t="s">
        <v>29</v>
      </c>
      <c r="J1798">
        <v>85</v>
      </c>
      <c r="K1798" t="s">
        <v>32</v>
      </c>
      <c r="L1798">
        <v>100</v>
      </c>
    </row>
    <row r="1799" spans="1:12" x14ac:dyDescent="0.25">
      <c r="A1799">
        <v>400579194</v>
      </c>
      <c r="B1799">
        <v>2015</v>
      </c>
      <c r="C1799" s="1">
        <v>42067</v>
      </c>
      <c r="D1799" t="s">
        <v>29</v>
      </c>
      <c r="E1799">
        <v>0</v>
      </c>
      <c r="F1799">
        <v>13</v>
      </c>
      <c r="G1799">
        <v>47</v>
      </c>
      <c r="H1799">
        <v>1</v>
      </c>
      <c r="I1799" t="s">
        <v>29</v>
      </c>
      <c r="J1799">
        <v>85</v>
      </c>
      <c r="K1799" t="s">
        <v>32</v>
      </c>
      <c r="L1799">
        <v>100</v>
      </c>
    </row>
    <row r="1800" spans="1:12" x14ac:dyDescent="0.25">
      <c r="A1800">
        <v>400579195</v>
      </c>
      <c r="B1800">
        <v>2015</v>
      </c>
      <c r="C1800" s="1">
        <v>42067</v>
      </c>
      <c r="D1800" t="s">
        <v>33</v>
      </c>
      <c r="E1800">
        <v>0</v>
      </c>
      <c r="F1800">
        <v>23</v>
      </c>
      <c r="G1800">
        <v>37</v>
      </c>
      <c r="H1800">
        <v>0</v>
      </c>
      <c r="I1800" t="s">
        <v>12</v>
      </c>
      <c r="J1800">
        <v>88</v>
      </c>
      <c r="K1800" t="s">
        <v>33</v>
      </c>
      <c r="L1800">
        <v>85</v>
      </c>
    </row>
    <row r="1801" spans="1:12" x14ac:dyDescent="0.25">
      <c r="A1801">
        <v>400579195</v>
      </c>
      <c r="B1801">
        <v>2015</v>
      </c>
      <c r="C1801" s="1">
        <v>42067</v>
      </c>
      <c r="D1801" t="s">
        <v>12</v>
      </c>
      <c r="E1801">
        <v>1</v>
      </c>
      <c r="F1801">
        <v>33</v>
      </c>
      <c r="G1801">
        <v>28</v>
      </c>
      <c r="H1801">
        <v>1</v>
      </c>
      <c r="I1801" t="s">
        <v>12</v>
      </c>
      <c r="J1801">
        <v>88</v>
      </c>
      <c r="K1801" t="s">
        <v>33</v>
      </c>
      <c r="L1801">
        <v>85</v>
      </c>
    </row>
    <row r="1802" spans="1:12" x14ac:dyDescent="0.25">
      <c r="A1802">
        <v>400579196</v>
      </c>
      <c r="B1802">
        <v>2015</v>
      </c>
      <c r="C1802" s="1">
        <v>42067</v>
      </c>
      <c r="D1802" t="s">
        <v>38</v>
      </c>
      <c r="E1802">
        <v>1</v>
      </c>
      <c r="F1802">
        <v>34</v>
      </c>
      <c r="G1802">
        <v>27</v>
      </c>
      <c r="H1802">
        <v>1</v>
      </c>
      <c r="I1802" t="s">
        <v>38</v>
      </c>
      <c r="J1802">
        <v>123</v>
      </c>
      <c r="K1802" t="s">
        <v>21</v>
      </c>
      <c r="L1802">
        <v>118</v>
      </c>
    </row>
    <row r="1803" spans="1:12" x14ac:dyDescent="0.25">
      <c r="A1803">
        <v>400579196</v>
      </c>
      <c r="B1803">
        <v>2015</v>
      </c>
      <c r="C1803" s="1">
        <v>42067</v>
      </c>
      <c r="D1803" t="s">
        <v>21</v>
      </c>
      <c r="E1803">
        <v>0</v>
      </c>
      <c r="F1803">
        <v>13</v>
      </c>
      <c r="G1803">
        <v>48</v>
      </c>
      <c r="H1803">
        <v>0</v>
      </c>
      <c r="I1803" t="s">
        <v>38</v>
      </c>
      <c r="J1803">
        <v>123</v>
      </c>
      <c r="K1803" t="s">
        <v>21</v>
      </c>
      <c r="L1803">
        <v>118</v>
      </c>
    </row>
    <row r="1804" spans="1:12" x14ac:dyDescent="0.25">
      <c r="A1804">
        <v>400579197</v>
      </c>
      <c r="B1804">
        <v>2015</v>
      </c>
      <c r="C1804" s="1">
        <v>42067</v>
      </c>
      <c r="D1804" t="s">
        <v>17</v>
      </c>
      <c r="E1804">
        <v>0</v>
      </c>
      <c r="F1804">
        <v>16</v>
      </c>
      <c r="G1804">
        <v>44</v>
      </c>
      <c r="H1804">
        <v>0</v>
      </c>
      <c r="I1804" t="s">
        <v>24</v>
      </c>
      <c r="J1804">
        <v>100</v>
      </c>
      <c r="K1804" t="s">
        <v>17</v>
      </c>
      <c r="L1804">
        <v>94</v>
      </c>
    </row>
    <row r="1805" spans="1:12" x14ac:dyDescent="0.25">
      <c r="A1805">
        <v>400579197</v>
      </c>
      <c r="B1805">
        <v>2015</v>
      </c>
      <c r="C1805" s="1">
        <v>42067</v>
      </c>
      <c r="D1805" t="s">
        <v>24</v>
      </c>
      <c r="E1805">
        <v>1</v>
      </c>
      <c r="F1805">
        <v>27</v>
      </c>
      <c r="G1805">
        <v>33</v>
      </c>
      <c r="H1805">
        <v>1</v>
      </c>
      <c r="I1805" t="s">
        <v>24</v>
      </c>
      <c r="J1805">
        <v>100</v>
      </c>
      <c r="K1805" t="s">
        <v>17</v>
      </c>
      <c r="L1805">
        <v>94</v>
      </c>
    </row>
    <row r="1806" spans="1:12" x14ac:dyDescent="0.25">
      <c r="A1806">
        <v>400579198</v>
      </c>
      <c r="B1806">
        <v>2015</v>
      </c>
      <c r="C1806" s="1">
        <v>42067</v>
      </c>
      <c r="D1806" t="s">
        <v>37</v>
      </c>
      <c r="E1806">
        <v>0</v>
      </c>
      <c r="F1806">
        <v>21</v>
      </c>
      <c r="G1806">
        <v>38</v>
      </c>
      <c r="H1806">
        <v>0</v>
      </c>
      <c r="I1806" t="s">
        <v>15</v>
      </c>
      <c r="J1806">
        <v>112</v>
      </c>
      <c r="K1806" t="s">
        <v>37</v>
      </c>
      <c r="L1806">
        <v>85</v>
      </c>
    </row>
    <row r="1807" spans="1:12" x14ac:dyDescent="0.25">
      <c r="A1807">
        <v>400579198</v>
      </c>
      <c r="B1807">
        <v>2015</v>
      </c>
      <c r="C1807" s="1">
        <v>42067</v>
      </c>
      <c r="D1807" t="s">
        <v>15</v>
      </c>
      <c r="E1807">
        <v>1</v>
      </c>
      <c r="F1807">
        <v>37</v>
      </c>
      <c r="G1807">
        <v>23</v>
      </c>
      <c r="H1807">
        <v>1</v>
      </c>
      <c r="I1807" t="s">
        <v>15</v>
      </c>
      <c r="J1807">
        <v>112</v>
      </c>
      <c r="K1807" t="s">
        <v>37</v>
      </c>
      <c r="L1807">
        <v>85</v>
      </c>
    </row>
    <row r="1808" spans="1:12" x14ac:dyDescent="0.25">
      <c r="A1808">
        <v>400579199</v>
      </c>
      <c r="B1808">
        <v>2015</v>
      </c>
      <c r="C1808" s="1">
        <v>42067</v>
      </c>
      <c r="D1808" t="s">
        <v>36</v>
      </c>
      <c r="E1808">
        <v>1</v>
      </c>
      <c r="F1808">
        <v>47</v>
      </c>
      <c r="G1808">
        <v>12</v>
      </c>
      <c r="H1808">
        <v>1</v>
      </c>
      <c r="I1808" t="s">
        <v>36</v>
      </c>
      <c r="J1808">
        <v>102</v>
      </c>
      <c r="K1808" t="s">
        <v>19</v>
      </c>
      <c r="L1808">
        <v>93</v>
      </c>
    </row>
    <row r="1809" spans="1:12" x14ac:dyDescent="0.25">
      <c r="A1809">
        <v>400579199</v>
      </c>
      <c r="B1809">
        <v>2015</v>
      </c>
      <c r="C1809" s="1">
        <v>42067</v>
      </c>
      <c r="D1809" t="s">
        <v>19</v>
      </c>
      <c r="E1809">
        <v>0</v>
      </c>
      <c r="F1809">
        <v>32</v>
      </c>
      <c r="G1809">
        <v>29</v>
      </c>
      <c r="H1809">
        <v>0</v>
      </c>
      <c r="I1809" t="s">
        <v>36</v>
      </c>
      <c r="J1809">
        <v>102</v>
      </c>
      <c r="K1809" t="s">
        <v>19</v>
      </c>
      <c r="L1809">
        <v>93</v>
      </c>
    </row>
    <row r="1810" spans="1:12" x14ac:dyDescent="0.25">
      <c r="A1810">
        <v>400579200</v>
      </c>
      <c r="B1810">
        <v>2015</v>
      </c>
      <c r="C1810" s="1">
        <v>42067</v>
      </c>
      <c r="D1810" t="s">
        <v>41</v>
      </c>
      <c r="E1810">
        <v>0</v>
      </c>
      <c r="F1810">
        <v>40</v>
      </c>
      <c r="G1810">
        <v>22</v>
      </c>
      <c r="H1810">
        <v>1</v>
      </c>
      <c r="I1810" t="s">
        <v>41</v>
      </c>
      <c r="J1810">
        <v>93</v>
      </c>
      <c r="K1810" t="s">
        <v>39</v>
      </c>
      <c r="L1810">
        <v>98</v>
      </c>
    </row>
    <row r="1811" spans="1:12" x14ac:dyDescent="0.25">
      <c r="A1811">
        <v>400579200</v>
      </c>
      <c r="B1811">
        <v>2015</v>
      </c>
      <c r="C1811" s="1">
        <v>42067</v>
      </c>
      <c r="D1811" t="s">
        <v>39</v>
      </c>
      <c r="E1811">
        <v>1</v>
      </c>
      <c r="F1811">
        <v>40</v>
      </c>
      <c r="G1811">
        <v>19</v>
      </c>
      <c r="H1811">
        <v>0</v>
      </c>
      <c r="I1811" t="s">
        <v>41</v>
      </c>
      <c r="J1811">
        <v>93</v>
      </c>
      <c r="K1811" t="s">
        <v>39</v>
      </c>
      <c r="L1811">
        <v>98</v>
      </c>
    </row>
    <row r="1812" spans="1:12" x14ac:dyDescent="0.25">
      <c r="A1812">
        <v>400579201</v>
      </c>
      <c r="B1812">
        <v>2015</v>
      </c>
      <c r="C1812" s="1">
        <v>42068</v>
      </c>
      <c r="D1812" t="s">
        <v>30</v>
      </c>
      <c r="E1812">
        <v>1</v>
      </c>
      <c r="F1812">
        <v>39</v>
      </c>
      <c r="G1812">
        <v>23</v>
      </c>
      <c r="H1812">
        <v>1</v>
      </c>
      <c r="I1812" t="s">
        <v>30</v>
      </c>
      <c r="J1812">
        <v>108</v>
      </c>
      <c r="K1812" t="s">
        <v>38</v>
      </c>
      <c r="L1812">
        <v>105</v>
      </c>
    </row>
    <row r="1813" spans="1:12" x14ac:dyDescent="0.25">
      <c r="A1813">
        <v>400579201</v>
      </c>
      <c r="B1813">
        <v>2015</v>
      </c>
      <c r="C1813" s="1">
        <v>42068</v>
      </c>
      <c r="D1813" t="s">
        <v>38</v>
      </c>
      <c r="E1813">
        <v>0</v>
      </c>
      <c r="F1813">
        <v>34</v>
      </c>
      <c r="G1813">
        <v>28</v>
      </c>
      <c r="H1813">
        <v>0</v>
      </c>
      <c r="I1813" t="s">
        <v>30</v>
      </c>
      <c r="J1813">
        <v>108</v>
      </c>
      <c r="K1813" t="s">
        <v>38</v>
      </c>
      <c r="L1813">
        <v>105</v>
      </c>
    </row>
    <row r="1814" spans="1:12" x14ac:dyDescent="0.25">
      <c r="A1814">
        <v>400579202</v>
      </c>
      <c r="B1814">
        <v>2015</v>
      </c>
      <c r="C1814" s="1">
        <v>42068</v>
      </c>
      <c r="D1814" t="s">
        <v>14</v>
      </c>
      <c r="E1814">
        <v>0</v>
      </c>
      <c r="F1814">
        <v>40</v>
      </c>
      <c r="G1814">
        <v>23</v>
      </c>
      <c r="H1814">
        <v>0</v>
      </c>
      <c r="I1814" t="s">
        <v>39</v>
      </c>
      <c r="J1814">
        <v>94</v>
      </c>
      <c r="K1814" t="s">
        <v>14</v>
      </c>
      <c r="L1814">
        <v>75</v>
      </c>
    </row>
    <row r="1815" spans="1:12" x14ac:dyDescent="0.25">
      <c r="A1815">
        <v>400579202</v>
      </c>
      <c r="B1815">
        <v>2015</v>
      </c>
      <c r="C1815" s="1">
        <v>42068</v>
      </c>
      <c r="D1815" t="s">
        <v>39</v>
      </c>
      <c r="E1815">
        <v>1</v>
      </c>
      <c r="F1815">
        <v>41</v>
      </c>
      <c r="G1815">
        <v>19</v>
      </c>
      <c r="H1815">
        <v>1</v>
      </c>
      <c r="I1815" t="s">
        <v>39</v>
      </c>
      <c r="J1815">
        <v>94</v>
      </c>
      <c r="K1815" t="s">
        <v>14</v>
      </c>
      <c r="L1815">
        <v>75</v>
      </c>
    </row>
    <row r="1816" spans="1:12" x14ac:dyDescent="0.25">
      <c r="A1816">
        <v>400579203</v>
      </c>
      <c r="B1816">
        <v>2015</v>
      </c>
      <c r="C1816" s="1">
        <v>42069</v>
      </c>
      <c r="D1816" t="s">
        <v>18</v>
      </c>
      <c r="E1816">
        <v>1</v>
      </c>
      <c r="F1816">
        <v>27</v>
      </c>
      <c r="G1816">
        <v>33</v>
      </c>
      <c r="H1816">
        <v>1</v>
      </c>
      <c r="I1816" t="s">
        <v>18</v>
      </c>
      <c r="J1816">
        <v>103</v>
      </c>
      <c r="K1816" t="s">
        <v>27</v>
      </c>
      <c r="L1816">
        <v>94</v>
      </c>
    </row>
    <row r="1817" spans="1:12" x14ac:dyDescent="0.25">
      <c r="A1817">
        <v>400579203</v>
      </c>
      <c r="B1817">
        <v>2015</v>
      </c>
      <c r="C1817" s="1">
        <v>42069</v>
      </c>
      <c r="D1817" t="s">
        <v>27</v>
      </c>
      <c r="E1817">
        <v>0</v>
      </c>
      <c r="F1817">
        <v>38</v>
      </c>
      <c r="G1817">
        <v>24</v>
      </c>
      <c r="H1817">
        <v>0</v>
      </c>
      <c r="I1817" t="s">
        <v>18</v>
      </c>
      <c r="J1817">
        <v>103</v>
      </c>
      <c r="K1817" t="s">
        <v>27</v>
      </c>
      <c r="L1817">
        <v>94</v>
      </c>
    </row>
    <row r="1818" spans="1:12" x14ac:dyDescent="0.25">
      <c r="A1818">
        <v>400579204</v>
      </c>
      <c r="B1818">
        <v>2015</v>
      </c>
      <c r="C1818" s="1">
        <v>42069</v>
      </c>
      <c r="D1818" t="s">
        <v>30</v>
      </c>
      <c r="E1818">
        <v>0</v>
      </c>
      <c r="F1818">
        <v>39</v>
      </c>
      <c r="G1818">
        <v>24</v>
      </c>
      <c r="H1818">
        <v>0</v>
      </c>
      <c r="I1818" t="s">
        <v>20</v>
      </c>
      <c r="J1818">
        <v>98</v>
      </c>
      <c r="K1818" t="s">
        <v>30</v>
      </c>
      <c r="L1818">
        <v>84</v>
      </c>
    </row>
    <row r="1819" spans="1:12" x14ac:dyDescent="0.25">
      <c r="A1819">
        <v>400579204</v>
      </c>
      <c r="B1819">
        <v>2015</v>
      </c>
      <c r="C1819" s="1">
        <v>42069</v>
      </c>
      <c r="D1819" t="s">
        <v>20</v>
      </c>
      <c r="E1819">
        <v>1</v>
      </c>
      <c r="F1819">
        <v>27</v>
      </c>
      <c r="G1819">
        <v>34</v>
      </c>
      <c r="H1819">
        <v>1</v>
      </c>
      <c r="I1819" t="s">
        <v>20</v>
      </c>
      <c r="J1819">
        <v>98</v>
      </c>
      <c r="K1819" t="s">
        <v>30</v>
      </c>
      <c r="L1819">
        <v>84</v>
      </c>
    </row>
    <row r="1820" spans="1:12" x14ac:dyDescent="0.25">
      <c r="A1820">
        <v>400579205</v>
      </c>
      <c r="B1820">
        <v>2015</v>
      </c>
      <c r="C1820" s="1">
        <v>42069</v>
      </c>
      <c r="D1820" t="s">
        <v>13</v>
      </c>
      <c r="E1820">
        <v>1</v>
      </c>
      <c r="F1820">
        <v>20</v>
      </c>
      <c r="G1820">
        <v>43</v>
      </c>
      <c r="H1820">
        <v>1</v>
      </c>
      <c r="I1820" t="s">
        <v>13</v>
      </c>
      <c r="J1820">
        <v>119</v>
      </c>
      <c r="K1820" t="s">
        <v>37</v>
      </c>
      <c r="L1820">
        <v>114</v>
      </c>
    </row>
    <row r="1821" spans="1:12" x14ac:dyDescent="0.25">
      <c r="A1821">
        <v>400579205</v>
      </c>
      <c r="B1821">
        <v>2015</v>
      </c>
      <c r="C1821" s="1">
        <v>42069</v>
      </c>
      <c r="D1821" t="s">
        <v>37</v>
      </c>
      <c r="E1821">
        <v>0</v>
      </c>
      <c r="F1821">
        <v>21</v>
      </c>
      <c r="G1821">
        <v>39</v>
      </c>
      <c r="H1821">
        <v>0</v>
      </c>
      <c r="I1821" t="s">
        <v>13</v>
      </c>
      <c r="J1821">
        <v>119</v>
      </c>
      <c r="K1821" t="s">
        <v>37</v>
      </c>
      <c r="L1821">
        <v>114</v>
      </c>
    </row>
    <row r="1822" spans="1:12" x14ac:dyDescent="0.25">
      <c r="A1822">
        <v>400579206</v>
      </c>
      <c r="B1822">
        <v>2015</v>
      </c>
      <c r="C1822" s="1">
        <v>42069</v>
      </c>
      <c r="D1822" t="s">
        <v>21</v>
      </c>
      <c r="E1822">
        <v>0</v>
      </c>
      <c r="F1822">
        <v>13</v>
      </c>
      <c r="G1822">
        <v>49</v>
      </c>
      <c r="H1822">
        <v>1</v>
      </c>
      <c r="I1822" t="s">
        <v>21</v>
      </c>
      <c r="J1822">
        <v>83</v>
      </c>
      <c r="K1822" t="s">
        <v>34</v>
      </c>
      <c r="L1822">
        <v>89</v>
      </c>
    </row>
    <row r="1823" spans="1:12" x14ac:dyDescent="0.25">
      <c r="A1823">
        <v>400579206</v>
      </c>
      <c r="B1823">
        <v>2015</v>
      </c>
      <c r="C1823" s="1">
        <v>42069</v>
      </c>
      <c r="D1823" t="s">
        <v>34</v>
      </c>
      <c r="E1823">
        <v>1</v>
      </c>
      <c r="F1823">
        <v>25</v>
      </c>
      <c r="G1823">
        <v>36</v>
      </c>
      <c r="H1823">
        <v>0</v>
      </c>
      <c r="I1823" t="s">
        <v>21</v>
      </c>
      <c r="J1823">
        <v>83</v>
      </c>
      <c r="K1823" t="s">
        <v>34</v>
      </c>
      <c r="L1823">
        <v>89</v>
      </c>
    </row>
    <row r="1824" spans="1:12" x14ac:dyDescent="0.25">
      <c r="A1824">
        <v>400579207</v>
      </c>
      <c r="B1824">
        <v>2015</v>
      </c>
      <c r="C1824" s="1">
        <v>42069</v>
      </c>
      <c r="D1824" t="s">
        <v>26</v>
      </c>
      <c r="E1824">
        <v>1</v>
      </c>
      <c r="F1824">
        <v>49</v>
      </c>
      <c r="G1824">
        <v>12</v>
      </c>
      <c r="H1824">
        <v>1</v>
      </c>
      <c r="I1824" t="s">
        <v>26</v>
      </c>
      <c r="J1824">
        <v>106</v>
      </c>
      <c r="K1824" t="s">
        <v>40</v>
      </c>
      <c r="L1824">
        <v>97</v>
      </c>
    </row>
    <row r="1825" spans="1:12" x14ac:dyDescent="0.25">
      <c r="A1825">
        <v>400579207</v>
      </c>
      <c r="B1825">
        <v>2015</v>
      </c>
      <c r="C1825" s="1">
        <v>42069</v>
      </c>
      <c r="D1825" t="s">
        <v>40</v>
      </c>
      <c r="E1825">
        <v>0</v>
      </c>
      <c r="F1825">
        <v>39</v>
      </c>
      <c r="G1825">
        <v>25</v>
      </c>
      <c r="H1825">
        <v>0</v>
      </c>
      <c r="I1825" t="s">
        <v>26</v>
      </c>
      <c r="J1825">
        <v>106</v>
      </c>
      <c r="K1825" t="s">
        <v>40</v>
      </c>
      <c r="L1825">
        <v>97</v>
      </c>
    </row>
    <row r="1826" spans="1:12" x14ac:dyDescent="0.25">
      <c r="A1826">
        <v>400579208</v>
      </c>
      <c r="B1826">
        <v>2015</v>
      </c>
      <c r="C1826" s="1">
        <v>42069</v>
      </c>
      <c r="D1826" t="s">
        <v>23</v>
      </c>
      <c r="E1826">
        <v>0</v>
      </c>
      <c r="F1826">
        <v>25</v>
      </c>
      <c r="G1826">
        <v>35</v>
      </c>
      <c r="H1826">
        <v>1</v>
      </c>
      <c r="I1826" t="s">
        <v>23</v>
      </c>
      <c r="J1826">
        <v>100</v>
      </c>
      <c r="K1826" t="s">
        <v>35</v>
      </c>
      <c r="L1826">
        <v>108</v>
      </c>
    </row>
    <row r="1827" spans="1:12" x14ac:dyDescent="0.25">
      <c r="A1827">
        <v>400579208</v>
      </c>
      <c r="B1827">
        <v>2015</v>
      </c>
      <c r="C1827" s="1">
        <v>42069</v>
      </c>
      <c r="D1827" t="s">
        <v>35</v>
      </c>
      <c r="E1827">
        <v>1</v>
      </c>
      <c r="F1827">
        <v>33</v>
      </c>
      <c r="G1827">
        <v>30</v>
      </c>
      <c r="H1827">
        <v>0</v>
      </c>
      <c r="I1827" t="s">
        <v>23</v>
      </c>
      <c r="J1827">
        <v>100</v>
      </c>
      <c r="K1827" t="s">
        <v>35</v>
      </c>
      <c r="L1827">
        <v>108</v>
      </c>
    </row>
    <row r="1828" spans="1:12" x14ac:dyDescent="0.25">
      <c r="A1828">
        <v>400579209</v>
      </c>
      <c r="B1828">
        <v>2015</v>
      </c>
      <c r="C1828" s="1">
        <v>42069</v>
      </c>
      <c r="D1828" t="s">
        <v>33</v>
      </c>
      <c r="E1828">
        <v>0</v>
      </c>
      <c r="F1828">
        <v>23</v>
      </c>
      <c r="G1828">
        <v>38</v>
      </c>
      <c r="H1828">
        <v>0</v>
      </c>
      <c r="I1828" t="s">
        <v>16</v>
      </c>
      <c r="J1828">
        <v>103</v>
      </c>
      <c r="K1828" t="s">
        <v>33</v>
      </c>
      <c r="L1828">
        <v>93</v>
      </c>
    </row>
    <row r="1829" spans="1:12" x14ac:dyDescent="0.25">
      <c r="A1829">
        <v>400579209</v>
      </c>
      <c r="B1829">
        <v>2015</v>
      </c>
      <c r="C1829" s="1">
        <v>42069</v>
      </c>
      <c r="D1829" t="s">
        <v>16</v>
      </c>
      <c r="E1829">
        <v>1</v>
      </c>
      <c r="F1829">
        <v>42</v>
      </c>
      <c r="G1829">
        <v>20</v>
      </c>
      <c r="H1829">
        <v>1</v>
      </c>
      <c r="I1829" t="s">
        <v>16</v>
      </c>
      <c r="J1829">
        <v>103</v>
      </c>
      <c r="K1829" t="s">
        <v>33</v>
      </c>
      <c r="L1829">
        <v>93</v>
      </c>
    </row>
    <row r="1830" spans="1:12" x14ac:dyDescent="0.25">
      <c r="A1830">
        <v>400579210</v>
      </c>
      <c r="B1830">
        <v>2015</v>
      </c>
      <c r="C1830" s="1">
        <v>42069</v>
      </c>
      <c r="D1830" t="s">
        <v>17</v>
      </c>
      <c r="E1830">
        <v>0</v>
      </c>
      <c r="F1830">
        <v>16</v>
      </c>
      <c r="G1830">
        <v>45</v>
      </c>
      <c r="H1830">
        <v>0</v>
      </c>
      <c r="I1830" t="s">
        <v>28</v>
      </c>
      <c r="J1830">
        <v>97</v>
      </c>
      <c r="K1830" t="s">
        <v>17</v>
      </c>
      <c r="L1830">
        <v>90</v>
      </c>
    </row>
    <row r="1831" spans="1:12" x14ac:dyDescent="0.25">
      <c r="A1831">
        <v>400579210</v>
      </c>
      <c r="B1831">
        <v>2015</v>
      </c>
      <c r="C1831" s="1">
        <v>42069</v>
      </c>
      <c r="D1831" t="s">
        <v>28</v>
      </c>
      <c r="E1831">
        <v>1</v>
      </c>
      <c r="F1831">
        <v>44</v>
      </c>
      <c r="G1831">
        <v>17</v>
      </c>
      <c r="H1831">
        <v>1</v>
      </c>
      <c r="I1831" t="s">
        <v>28</v>
      </c>
      <c r="J1831">
        <v>97</v>
      </c>
      <c r="K1831" t="s">
        <v>17</v>
      </c>
      <c r="L1831">
        <v>90</v>
      </c>
    </row>
    <row r="1832" spans="1:12" x14ac:dyDescent="0.25">
      <c r="A1832">
        <v>400579211</v>
      </c>
      <c r="B1832">
        <v>2015</v>
      </c>
      <c r="C1832" s="1">
        <v>42069</v>
      </c>
      <c r="D1832" t="s">
        <v>22</v>
      </c>
      <c r="E1832">
        <v>1</v>
      </c>
      <c r="F1832">
        <v>25</v>
      </c>
      <c r="G1832">
        <v>35</v>
      </c>
      <c r="H1832">
        <v>0</v>
      </c>
      <c r="I1832" t="s">
        <v>12</v>
      </c>
      <c r="J1832">
        <v>98</v>
      </c>
      <c r="K1832" t="s">
        <v>22</v>
      </c>
      <c r="L1832">
        <v>104</v>
      </c>
    </row>
    <row r="1833" spans="1:12" x14ac:dyDescent="0.25">
      <c r="A1833">
        <v>400579211</v>
      </c>
      <c r="B1833">
        <v>2015</v>
      </c>
      <c r="C1833" s="1">
        <v>42069</v>
      </c>
      <c r="D1833" t="s">
        <v>12</v>
      </c>
      <c r="E1833">
        <v>0</v>
      </c>
      <c r="F1833">
        <v>33</v>
      </c>
      <c r="G1833">
        <v>29</v>
      </c>
      <c r="H1833">
        <v>1</v>
      </c>
      <c r="I1833" t="s">
        <v>12</v>
      </c>
      <c r="J1833">
        <v>98</v>
      </c>
      <c r="K1833" t="s">
        <v>22</v>
      </c>
      <c r="L1833">
        <v>104</v>
      </c>
    </row>
    <row r="1834" spans="1:12" x14ac:dyDescent="0.25">
      <c r="A1834">
        <v>400579212</v>
      </c>
      <c r="B1834">
        <v>2015</v>
      </c>
      <c r="C1834" s="1">
        <v>42069</v>
      </c>
      <c r="D1834" t="s">
        <v>24</v>
      </c>
      <c r="E1834">
        <v>0</v>
      </c>
      <c r="F1834">
        <v>27</v>
      </c>
      <c r="G1834">
        <v>34</v>
      </c>
      <c r="H1834">
        <v>0</v>
      </c>
      <c r="I1834" t="s">
        <v>25</v>
      </c>
      <c r="J1834">
        <v>99</v>
      </c>
      <c r="K1834" t="s">
        <v>24</v>
      </c>
      <c r="L1834">
        <v>97</v>
      </c>
    </row>
    <row r="1835" spans="1:12" x14ac:dyDescent="0.25">
      <c r="A1835">
        <v>400579212</v>
      </c>
      <c r="B1835">
        <v>2015</v>
      </c>
      <c r="C1835" s="1">
        <v>42069</v>
      </c>
      <c r="D1835" t="s">
        <v>25</v>
      </c>
      <c r="E1835">
        <v>1</v>
      </c>
      <c r="F1835">
        <v>35</v>
      </c>
      <c r="G1835">
        <v>27</v>
      </c>
      <c r="H1835">
        <v>1</v>
      </c>
      <c r="I1835" t="s">
        <v>25</v>
      </c>
      <c r="J1835">
        <v>99</v>
      </c>
      <c r="K1835" t="s">
        <v>24</v>
      </c>
      <c r="L1835">
        <v>97</v>
      </c>
    </row>
    <row r="1836" spans="1:12" x14ac:dyDescent="0.25">
      <c r="A1836">
        <v>400579213</v>
      </c>
      <c r="B1836">
        <v>2015</v>
      </c>
      <c r="C1836" s="1">
        <v>42069</v>
      </c>
      <c r="D1836" t="s">
        <v>32</v>
      </c>
      <c r="E1836">
        <v>0</v>
      </c>
      <c r="F1836">
        <v>22</v>
      </c>
      <c r="G1836">
        <v>40</v>
      </c>
      <c r="H1836">
        <v>0</v>
      </c>
      <c r="I1836" t="s">
        <v>15</v>
      </c>
      <c r="J1836">
        <v>120</v>
      </c>
      <c r="K1836" t="s">
        <v>32</v>
      </c>
      <c r="L1836">
        <v>111</v>
      </c>
    </row>
    <row r="1837" spans="1:12" x14ac:dyDescent="0.25">
      <c r="A1837">
        <v>400579213</v>
      </c>
      <c r="B1837">
        <v>2015</v>
      </c>
      <c r="C1837" s="1">
        <v>42069</v>
      </c>
      <c r="D1837" t="s">
        <v>15</v>
      </c>
      <c r="E1837">
        <v>1</v>
      </c>
      <c r="F1837">
        <v>38</v>
      </c>
      <c r="G1837">
        <v>23</v>
      </c>
      <c r="H1837">
        <v>1</v>
      </c>
      <c r="I1837" t="s">
        <v>15</v>
      </c>
      <c r="J1837">
        <v>120</v>
      </c>
      <c r="K1837" t="s">
        <v>32</v>
      </c>
      <c r="L1837">
        <v>111</v>
      </c>
    </row>
    <row r="1838" spans="1:12" x14ac:dyDescent="0.25">
      <c r="A1838">
        <v>400579214</v>
      </c>
      <c r="B1838">
        <v>2015</v>
      </c>
      <c r="C1838" s="1">
        <v>42069</v>
      </c>
      <c r="D1838" t="s">
        <v>14</v>
      </c>
      <c r="E1838">
        <v>0</v>
      </c>
      <c r="F1838">
        <v>40</v>
      </c>
      <c r="G1838">
        <v>24</v>
      </c>
      <c r="H1838">
        <v>0</v>
      </c>
      <c r="I1838" t="s">
        <v>36</v>
      </c>
      <c r="J1838">
        <v>104</v>
      </c>
      <c r="K1838" t="s">
        <v>14</v>
      </c>
      <c r="L1838">
        <v>89</v>
      </c>
    </row>
    <row r="1839" spans="1:12" x14ac:dyDescent="0.25">
      <c r="A1839">
        <v>400579214</v>
      </c>
      <c r="B1839">
        <v>2015</v>
      </c>
      <c r="C1839" s="1">
        <v>42069</v>
      </c>
      <c r="D1839" t="s">
        <v>36</v>
      </c>
      <c r="E1839">
        <v>1</v>
      </c>
      <c r="F1839">
        <v>48</v>
      </c>
      <c r="G1839">
        <v>12</v>
      </c>
      <c r="H1839">
        <v>1</v>
      </c>
      <c r="I1839" t="s">
        <v>36</v>
      </c>
      <c r="J1839">
        <v>104</v>
      </c>
      <c r="K1839" t="s">
        <v>14</v>
      </c>
      <c r="L1839">
        <v>89</v>
      </c>
    </row>
    <row r="1840" spans="1:12" x14ac:dyDescent="0.25">
      <c r="A1840">
        <v>400579215</v>
      </c>
      <c r="B1840">
        <v>2015</v>
      </c>
      <c r="C1840" s="1">
        <v>42070</v>
      </c>
      <c r="D1840" t="s">
        <v>28</v>
      </c>
      <c r="E1840">
        <v>0</v>
      </c>
      <c r="F1840">
        <v>44</v>
      </c>
      <c r="G1840">
        <v>18</v>
      </c>
      <c r="H1840">
        <v>0</v>
      </c>
      <c r="I1840" t="s">
        <v>12</v>
      </c>
      <c r="J1840">
        <v>95</v>
      </c>
      <c r="K1840" t="s">
        <v>28</v>
      </c>
      <c r="L1840">
        <v>89</v>
      </c>
    </row>
    <row r="1841" spans="1:12" x14ac:dyDescent="0.25">
      <c r="A1841">
        <v>400579215</v>
      </c>
      <c r="B1841">
        <v>2015</v>
      </c>
      <c r="C1841" s="1">
        <v>42070</v>
      </c>
      <c r="D1841" t="s">
        <v>12</v>
      </c>
      <c r="E1841">
        <v>1</v>
      </c>
      <c r="F1841">
        <v>34</v>
      </c>
      <c r="G1841">
        <v>29</v>
      </c>
      <c r="H1841">
        <v>1</v>
      </c>
      <c r="I1841" t="s">
        <v>12</v>
      </c>
      <c r="J1841">
        <v>95</v>
      </c>
      <c r="K1841" t="s">
        <v>28</v>
      </c>
      <c r="L1841">
        <v>89</v>
      </c>
    </row>
    <row r="1842" spans="1:12" x14ac:dyDescent="0.25">
      <c r="A1842">
        <v>400579216</v>
      </c>
      <c r="B1842">
        <v>2015</v>
      </c>
      <c r="C1842" s="1">
        <v>42070</v>
      </c>
      <c r="D1842" t="s">
        <v>40</v>
      </c>
      <c r="E1842">
        <v>1</v>
      </c>
      <c r="F1842">
        <v>40</v>
      </c>
      <c r="G1842">
        <v>25</v>
      </c>
      <c r="H1842">
        <v>1</v>
      </c>
      <c r="I1842" t="s">
        <v>40</v>
      </c>
      <c r="J1842">
        <v>89</v>
      </c>
      <c r="K1842" t="s">
        <v>35</v>
      </c>
      <c r="L1842">
        <v>79</v>
      </c>
    </row>
    <row r="1843" spans="1:12" x14ac:dyDescent="0.25">
      <c r="A1843">
        <v>400579216</v>
      </c>
      <c r="B1843">
        <v>2015</v>
      </c>
      <c r="C1843" s="1">
        <v>42070</v>
      </c>
      <c r="D1843" t="s">
        <v>35</v>
      </c>
      <c r="E1843">
        <v>0</v>
      </c>
      <c r="F1843">
        <v>33</v>
      </c>
      <c r="G1843">
        <v>31</v>
      </c>
      <c r="H1843">
        <v>0</v>
      </c>
      <c r="I1843" t="s">
        <v>40</v>
      </c>
      <c r="J1843">
        <v>89</v>
      </c>
      <c r="K1843" t="s">
        <v>35</v>
      </c>
      <c r="L1843">
        <v>79</v>
      </c>
    </row>
    <row r="1844" spans="1:12" x14ac:dyDescent="0.25">
      <c r="A1844">
        <v>400579217</v>
      </c>
      <c r="B1844">
        <v>2015</v>
      </c>
      <c r="C1844" s="1">
        <v>42070</v>
      </c>
      <c r="D1844" t="s">
        <v>24</v>
      </c>
      <c r="E1844">
        <v>1</v>
      </c>
      <c r="F1844">
        <v>28</v>
      </c>
      <c r="G1844">
        <v>34</v>
      </c>
      <c r="H1844">
        <v>1</v>
      </c>
      <c r="I1844" t="s">
        <v>24</v>
      </c>
      <c r="J1844">
        <v>114</v>
      </c>
      <c r="K1844" t="s">
        <v>37</v>
      </c>
      <c r="L1844">
        <v>109</v>
      </c>
    </row>
    <row r="1845" spans="1:12" x14ac:dyDescent="0.25">
      <c r="A1845">
        <v>400579217</v>
      </c>
      <c r="B1845">
        <v>2015</v>
      </c>
      <c r="C1845" s="1">
        <v>42070</v>
      </c>
      <c r="D1845" t="s">
        <v>37</v>
      </c>
      <c r="E1845">
        <v>0</v>
      </c>
      <c r="F1845">
        <v>21</v>
      </c>
      <c r="G1845">
        <v>40</v>
      </c>
      <c r="H1845">
        <v>0</v>
      </c>
      <c r="I1845" t="s">
        <v>24</v>
      </c>
      <c r="J1845">
        <v>114</v>
      </c>
      <c r="K1845" t="s">
        <v>37</v>
      </c>
      <c r="L1845">
        <v>109</v>
      </c>
    </row>
    <row r="1846" spans="1:12" x14ac:dyDescent="0.25">
      <c r="A1846">
        <v>400579218</v>
      </c>
      <c r="B1846">
        <v>2015</v>
      </c>
      <c r="C1846" s="1">
        <v>42070</v>
      </c>
      <c r="D1846" t="s">
        <v>20</v>
      </c>
      <c r="E1846">
        <v>1</v>
      </c>
      <c r="F1846">
        <v>28</v>
      </c>
      <c r="G1846">
        <v>34</v>
      </c>
      <c r="H1846">
        <v>0</v>
      </c>
      <c r="I1846" t="s">
        <v>31</v>
      </c>
      <c r="J1846">
        <v>86</v>
      </c>
      <c r="K1846" t="s">
        <v>20</v>
      </c>
      <c r="L1846">
        <v>92</v>
      </c>
    </row>
    <row r="1847" spans="1:12" x14ac:dyDescent="0.25">
      <c r="A1847">
        <v>400579218</v>
      </c>
      <c r="B1847">
        <v>2015</v>
      </c>
      <c r="C1847" s="1">
        <v>42070</v>
      </c>
      <c r="D1847" t="s">
        <v>31</v>
      </c>
      <c r="E1847">
        <v>0</v>
      </c>
      <c r="F1847">
        <v>12</v>
      </c>
      <c r="G1847">
        <v>49</v>
      </c>
      <c r="H1847">
        <v>1</v>
      </c>
      <c r="I1847" t="s">
        <v>31</v>
      </c>
      <c r="J1847">
        <v>86</v>
      </c>
      <c r="K1847" t="s">
        <v>20</v>
      </c>
      <c r="L1847">
        <v>92</v>
      </c>
    </row>
    <row r="1848" spans="1:12" x14ac:dyDescent="0.25">
      <c r="A1848">
        <v>400579219</v>
      </c>
      <c r="B1848">
        <v>2015</v>
      </c>
      <c r="C1848" s="1">
        <v>42070</v>
      </c>
      <c r="D1848" t="s">
        <v>26</v>
      </c>
      <c r="E1848">
        <v>0</v>
      </c>
      <c r="F1848">
        <v>49</v>
      </c>
      <c r="G1848">
        <v>13</v>
      </c>
      <c r="H1848">
        <v>0</v>
      </c>
      <c r="I1848" t="s">
        <v>21</v>
      </c>
      <c r="J1848">
        <v>92</v>
      </c>
      <c r="K1848" t="s">
        <v>26</v>
      </c>
      <c r="L1848">
        <v>84</v>
      </c>
    </row>
    <row r="1849" spans="1:12" x14ac:dyDescent="0.25">
      <c r="A1849">
        <v>400579219</v>
      </c>
      <c r="B1849">
        <v>2015</v>
      </c>
      <c r="C1849" s="1">
        <v>42070</v>
      </c>
      <c r="D1849" t="s">
        <v>21</v>
      </c>
      <c r="E1849">
        <v>1</v>
      </c>
      <c r="F1849">
        <v>14</v>
      </c>
      <c r="G1849">
        <v>49</v>
      </c>
      <c r="H1849">
        <v>1</v>
      </c>
      <c r="I1849" t="s">
        <v>21</v>
      </c>
      <c r="J1849">
        <v>92</v>
      </c>
      <c r="K1849" t="s">
        <v>26</v>
      </c>
      <c r="L1849">
        <v>84</v>
      </c>
    </row>
    <row r="1850" spans="1:12" x14ac:dyDescent="0.25">
      <c r="A1850">
        <v>400579220</v>
      </c>
      <c r="B1850">
        <v>2015</v>
      </c>
      <c r="C1850" s="1">
        <v>42070</v>
      </c>
      <c r="D1850" t="s">
        <v>29</v>
      </c>
      <c r="E1850">
        <v>1</v>
      </c>
      <c r="F1850">
        <v>14</v>
      </c>
      <c r="G1850">
        <v>47</v>
      </c>
      <c r="H1850">
        <v>1</v>
      </c>
      <c r="I1850" t="s">
        <v>29</v>
      </c>
      <c r="J1850">
        <v>121</v>
      </c>
      <c r="K1850" t="s">
        <v>39</v>
      </c>
      <c r="L1850">
        <v>113</v>
      </c>
    </row>
    <row r="1851" spans="1:12" x14ac:dyDescent="0.25">
      <c r="A1851">
        <v>400579220</v>
      </c>
      <c r="B1851">
        <v>2015</v>
      </c>
      <c r="C1851" s="1">
        <v>42070</v>
      </c>
      <c r="D1851" t="s">
        <v>39</v>
      </c>
      <c r="E1851">
        <v>0</v>
      </c>
      <c r="F1851">
        <v>41</v>
      </c>
      <c r="G1851">
        <v>20</v>
      </c>
      <c r="H1851">
        <v>0</v>
      </c>
      <c r="I1851" t="s">
        <v>29</v>
      </c>
      <c r="J1851">
        <v>121</v>
      </c>
      <c r="K1851" t="s">
        <v>39</v>
      </c>
      <c r="L1851">
        <v>113</v>
      </c>
    </row>
    <row r="1852" spans="1:12" x14ac:dyDescent="0.25">
      <c r="A1852">
        <v>400579221</v>
      </c>
      <c r="B1852">
        <v>2015</v>
      </c>
      <c r="C1852" s="1">
        <v>42070</v>
      </c>
      <c r="D1852" t="s">
        <v>19</v>
      </c>
      <c r="E1852">
        <v>1</v>
      </c>
      <c r="F1852">
        <v>33</v>
      </c>
      <c r="G1852">
        <v>29</v>
      </c>
      <c r="H1852">
        <v>1</v>
      </c>
      <c r="I1852" t="s">
        <v>19</v>
      </c>
      <c r="J1852">
        <v>91</v>
      </c>
      <c r="K1852" t="s">
        <v>25</v>
      </c>
      <c r="L1852">
        <v>85</v>
      </c>
    </row>
    <row r="1853" spans="1:12" x14ac:dyDescent="0.25">
      <c r="A1853">
        <v>400579221</v>
      </c>
      <c r="B1853">
        <v>2015</v>
      </c>
      <c r="C1853" s="1">
        <v>42070</v>
      </c>
      <c r="D1853" t="s">
        <v>25</v>
      </c>
      <c r="E1853">
        <v>0</v>
      </c>
      <c r="F1853">
        <v>35</v>
      </c>
      <c r="G1853">
        <v>28</v>
      </c>
      <c r="H1853">
        <v>0</v>
      </c>
      <c r="I1853" t="s">
        <v>19</v>
      </c>
      <c r="J1853">
        <v>91</v>
      </c>
      <c r="K1853" t="s">
        <v>25</v>
      </c>
      <c r="L1853">
        <v>85</v>
      </c>
    </row>
    <row r="1854" spans="1:12" x14ac:dyDescent="0.25">
      <c r="A1854">
        <v>400579222</v>
      </c>
      <c r="B1854">
        <v>2015</v>
      </c>
      <c r="C1854" s="1">
        <v>42070</v>
      </c>
      <c r="D1854" t="s">
        <v>32</v>
      </c>
      <c r="E1854">
        <v>0</v>
      </c>
      <c r="F1854">
        <v>22</v>
      </c>
      <c r="G1854">
        <v>41</v>
      </c>
      <c r="H1854">
        <v>1</v>
      </c>
      <c r="I1854" t="s">
        <v>32</v>
      </c>
      <c r="J1854">
        <v>100</v>
      </c>
      <c r="K1854" t="s">
        <v>16</v>
      </c>
      <c r="L1854">
        <v>114</v>
      </c>
    </row>
    <row r="1855" spans="1:12" x14ac:dyDescent="0.25">
      <c r="A1855">
        <v>400579222</v>
      </c>
      <c r="B1855">
        <v>2015</v>
      </c>
      <c r="C1855" s="1">
        <v>42070</v>
      </c>
      <c r="D1855" t="s">
        <v>16</v>
      </c>
      <c r="E1855">
        <v>1</v>
      </c>
      <c r="F1855">
        <v>43</v>
      </c>
      <c r="G1855">
        <v>20</v>
      </c>
      <c r="H1855">
        <v>0</v>
      </c>
      <c r="I1855" t="s">
        <v>32</v>
      </c>
      <c r="J1855">
        <v>100</v>
      </c>
      <c r="K1855" t="s">
        <v>16</v>
      </c>
      <c r="L1855">
        <v>114</v>
      </c>
    </row>
    <row r="1856" spans="1:12" x14ac:dyDescent="0.25">
      <c r="A1856">
        <v>400579223</v>
      </c>
      <c r="B1856">
        <v>2015</v>
      </c>
      <c r="C1856" s="1">
        <v>42071</v>
      </c>
      <c r="D1856" t="s">
        <v>30</v>
      </c>
      <c r="E1856">
        <v>0</v>
      </c>
      <c r="F1856">
        <v>39</v>
      </c>
      <c r="G1856">
        <v>25</v>
      </c>
      <c r="H1856">
        <v>0</v>
      </c>
      <c r="I1856" t="s">
        <v>15</v>
      </c>
      <c r="J1856">
        <v>116</v>
      </c>
      <c r="K1856" t="s">
        <v>30</v>
      </c>
      <c r="L1856">
        <v>105</v>
      </c>
    </row>
    <row r="1857" spans="1:12" x14ac:dyDescent="0.25">
      <c r="A1857">
        <v>400579223</v>
      </c>
      <c r="B1857">
        <v>2015</v>
      </c>
      <c r="C1857" s="1">
        <v>42071</v>
      </c>
      <c r="D1857" t="s">
        <v>15</v>
      </c>
      <c r="E1857">
        <v>1</v>
      </c>
      <c r="F1857">
        <v>39</v>
      </c>
      <c r="G1857">
        <v>23</v>
      </c>
      <c r="H1857">
        <v>1</v>
      </c>
      <c r="I1857" t="s">
        <v>15</v>
      </c>
      <c r="J1857">
        <v>116</v>
      </c>
      <c r="K1857" t="s">
        <v>30</v>
      </c>
      <c r="L1857">
        <v>105</v>
      </c>
    </row>
    <row r="1858" spans="1:12" x14ac:dyDescent="0.25">
      <c r="A1858">
        <v>400579224</v>
      </c>
      <c r="B1858">
        <v>2015</v>
      </c>
      <c r="C1858" s="1">
        <v>42071</v>
      </c>
      <c r="D1858" t="s">
        <v>36</v>
      </c>
      <c r="E1858">
        <v>1</v>
      </c>
      <c r="F1858">
        <v>49</v>
      </c>
      <c r="G1858">
        <v>12</v>
      </c>
      <c r="H1858">
        <v>1</v>
      </c>
      <c r="I1858" t="s">
        <v>36</v>
      </c>
      <c r="J1858">
        <v>106</v>
      </c>
      <c r="K1858" t="s">
        <v>41</v>
      </c>
      <c r="L1858">
        <v>98</v>
      </c>
    </row>
    <row r="1859" spans="1:12" x14ac:dyDescent="0.25">
      <c r="A1859">
        <v>400579224</v>
      </c>
      <c r="B1859">
        <v>2015</v>
      </c>
      <c r="C1859" s="1">
        <v>42071</v>
      </c>
      <c r="D1859" t="s">
        <v>41</v>
      </c>
      <c r="E1859">
        <v>0</v>
      </c>
      <c r="F1859">
        <v>40</v>
      </c>
      <c r="G1859">
        <v>23</v>
      </c>
      <c r="H1859">
        <v>0</v>
      </c>
      <c r="I1859" t="s">
        <v>36</v>
      </c>
      <c r="J1859">
        <v>106</v>
      </c>
      <c r="K1859" t="s">
        <v>41</v>
      </c>
      <c r="L1859">
        <v>98</v>
      </c>
    </row>
    <row r="1860" spans="1:12" x14ac:dyDescent="0.25">
      <c r="A1860">
        <v>400579225</v>
      </c>
      <c r="B1860">
        <v>2015</v>
      </c>
      <c r="C1860" s="1">
        <v>42071</v>
      </c>
      <c r="D1860" t="s">
        <v>23</v>
      </c>
      <c r="E1860">
        <v>0</v>
      </c>
      <c r="F1860">
        <v>25</v>
      </c>
      <c r="G1860">
        <v>36</v>
      </c>
      <c r="H1860">
        <v>1</v>
      </c>
      <c r="I1860" t="s">
        <v>23</v>
      </c>
      <c r="J1860">
        <v>88</v>
      </c>
      <c r="K1860" t="s">
        <v>34</v>
      </c>
      <c r="L1860">
        <v>95</v>
      </c>
    </row>
    <row r="1861" spans="1:12" x14ac:dyDescent="0.25">
      <c r="A1861">
        <v>400579225</v>
      </c>
      <c r="B1861">
        <v>2015</v>
      </c>
      <c r="C1861" s="1">
        <v>42071</v>
      </c>
      <c r="D1861" t="s">
        <v>34</v>
      </c>
      <c r="E1861">
        <v>1</v>
      </c>
      <c r="F1861">
        <v>26</v>
      </c>
      <c r="G1861">
        <v>36</v>
      </c>
      <c r="H1861">
        <v>0</v>
      </c>
      <c r="I1861" t="s">
        <v>23</v>
      </c>
      <c r="J1861">
        <v>88</v>
      </c>
      <c r="K1861" t="s">
        <v>34</v>
      </c>
      <c r="L1861">
        <v>95</v>
      </c>
    </row>
    <row r="1862" spans="1:12" x14ac:dyDescent="0.25">
      <c r="A1862">
        <v>400579226</v>
      </c>
      <c r="B1862">
        <v>2015</v>
      </c>
      <c r="C1862" s="1">
        <v>42071</v>
      </c>
      <c r="D1862" t="s">
        <v>18</v>
      </c>
      <c r="E1862">
        <v>1</v>
      </c>
      <c r="F1862">
        <v>28</v>
      </c>
      <c r="G1862">
        <v>33</v>
      </c>
      <c r="H1862">
        <v>0</v>
      </c>
      <c r="I1862" t="s">
        <v>33</v>
      </c>
      <c r="J1862">
        <v>101</v>
      </c>
      <c r="K1862" t="s">
        <v>18</v>
      </c>
      <c r="L1862">
        <v>108</v>
      </c>
    </row>
    <row r="1863" spans="1:12" x14ac:dyDescent="0.25">
      <c r="A1863">
        <v>400579226</v>
      </c>
      <c r="B1863">
        <v>2015</v>
      </c>
      <c r="C1863" s="1">
        <v>42071</v>
      </c>
      <c r="D1863" t="s">
        <v>33</v>
      </c>
      <c r="E1863">
        <v>0</v>
      </c>
      <c r="F1863">
        <v>23</v>
      </c>
      <c r="G1863">
        <v>39</v>
      </c>
      <c r="H1863">
        <v>1</v>
      </c>
      <c r="I1863" t="s">
        <v>33</v>
      </c>
      <c r="J1863">
        <v>101</v>
      </c>
      <c r="K1863" t="s">
        <v>18</v>
      </c>
      <c r="L1863">
        <v>108</v>
      </c>
    </row>
    <row r="1864" spans="1:12" x14ac:dyDescent="0.25">
      <c r="A1864">
        <v>400579227</v>
      </c>
      <c r="B1864">
        <v>2015</v>
      </c>
      <c r="C1864" s="1">
        <v>42071</v>
      </c>
      <c r="D1864" t="s">
        <v>22</v>
      </c>
      <c r="E1864">
        <v>0</v>
      </c>
      <c r="F1864">
        <v>25</v>
      </c>
      <c r="G1864">
        <v>36</v>
      </c>
      <c r="H1864">
        <v>0</v>
      </c>
      <c r="I1864" t="s">
        <v>13</v>
      </c>
      <c r="J1864">
        <v>103</v>
      </c>
      <c r="K1864" t="s">
        <v>22</v>
      </c>
      <c r="L1864">
        <v>98</v>
      </c>
    </row>
    <row r="1865" spans="1:12" x14ac:dyDescent="0.25">
      <c r="A1865">
        <v>400579227</v>
      </c>
      <c r="B1865">
        <v>2015</v>
      </c>
      <c r="C1865" s="1">
        <v>42071</v>
      </c>
      <c r="D1865" t="s">
        <v>13</v>
      </c>
      <c r="E1865">
        <v>1</v>
      </c>
      <c r="F1865">
        <v>21</v>
      </c>
      <c r="G1865">
        <v>43</v>
      </c>
      <c r="H1865">
        <v>1</v>
      </c>
      <c r="I1865" t="s">
        <v>13</v>
      </c>
      <c r="J1865">
        <v>103</v>
      </c>
      <c r="K1865" t="s">
        <v>22</v>
      </c>
      <c r="L1865">
        <v>98</v>
      </c>
    </row>
    <row r="1866" spans="1:12" x14ac:dyDescent="0.25">
      <c r="A1866">
        <v>400579228</v>
      </c>
      <c r="B1866">
        <v>2015</v>
      </c>
      <c r="C1866" s="1">
        <v>42071</v>
      </c>
      <c r="D1866" t="s">
        <v>38</v>
      </c>
      <c r="E1866">
        <v>1</v>
      </c>
      <c r="F1866">
        <v>35</v>
      </c>
      <c r="G1866">
        <v>28</v>
      </c>
      <c r="H1866">
        <v>1</v>
      </c>
      <c r="I1866" t="s">
        <v>38</v>
      </c>
      <c r="J1866">
        <v>108</v>
      </c>
      <c r="K1866" t="s">
        <v>27</v>
      </c>
      <c r="L1866">
        <v>104</v>
      </c>
    </row>
    <row r="1867" spans="1:12" x14ac:dyDescent="0.25">
      <c r="A1867">
        <v>400579228</v>
      </c>
      <c r="B1867">
        <v>2015</v>
      </c>
      <c r="C1867" s="1">
        <v>42071</v>
      </c>
      <c r="D1867" t="s">
        <v>27</v>
      </c>
      <c r="E1867">
        <v>0</v>
      </c>
      <c r="F1867">
        <v>38</v>
      </c>
      <c r="G1867">
        <v>25</v>
      </c>
      <c r="H1867">
        <v>0</v>
      </c>
      <c r="I1867" t="s">
        <v>38</v>
      </c>
      <c r="J1867">
        <v>108</v>
      </c>
      <c r="K1867" t="s">
        <v>27</v>
      </c>
      <c r="L1867">
        <v>104</v>
      </c>
    </row>
    <row r="1868" spans="1:12" x14ac:dyDescent="0.25">
      <c r="A1868">
        <v>400579229</v>
      </c>
      <c r="B1868">
        <v>2015</v>
      </c>
      <c r="C1868" s="1">
        <v>42071</v>
      </c>
      <c r="D1868" t="s">
        <v>14</v>
      </c>
      <c r="E1868">
        <v>1</v>
      </c>
      <c r="F1868">
        <v>41</v>
      </c>
      <c r="G1868">
        <v>24</v>
      </c>
      <c r="H1868">
        <v>0</v>
      </c>
      <c r="I1868" t="s">
        <v>17</v>
      </c>
      <c r="J1868">
        <v>93</v>
      </c>
      <c r="K1868" t="s">
        <v>14</v>
      </c>
      <c r="L1868">
        <v>100</v>
      </c>
    </row>
    <row r="1869" spans="1:12" x14ac:dyDescent="0.25">
      <c r="A1869">
        <v>400579229</v>
      </c>
      <c r="B1869">
        <v>2015</v>
      </c>
      <c r="C1869" s="1">
        <v>42071</v>
      </c>
      <c r="D1869" t="s">
        <v>17</v>
      </c>
      <c r="E1869">
        <v>0</v>
      </c>
      <c r="F1869">
        <v>16</v>
      </c>
      <c r="G1869">
        <v>46</v>
      </c>
      <c r="H1869">
        <v>1</v>
      </c>
      <c r="I1869" t="s">
        <v>17</v>
      </c>
      <c r="J1869">
        <v>93</v>
      </c>
      <c r="K1869" t="s">
        <v>14</v>
      </c>
      <c r="L1869">
        <v>100</v>
      </c>
    </row>
    <row r="1870" spans="1:12" x14ac:dyDescent="0.25">
      <c r="A1870">
        <v>400579230</v>
      </c>
      <c r="B1870">
        <v>2015</v>
      </c>
      <c r="C1870" s="1">
        <v>42072</v>
      </c>
      <c r="D1870" t="s">
        <v>18</v>
      </c>
      <c r="E1870">
        <v>0</v>
      </c>
      <c r="F1870">
        <v>28</v>
      </c>
      <c r="G1870">
        <v>34</v>
      </c>
      <c r="H1870">
        <v>1</v>
      </c>
      <c r="I1870" t="s">
        <v>18</v>
      </c>
      <c r="J1870">
        <v>69</v>
      </c>
      <c r="K1870" t="s">
        <v>25</v>
      </c>
      <c r="L1870">
        <v>95</v>
      </c>
    </row>
    <row r="1871" spans="1:12" x14ac:dyDescent="0.25">
      <c r="A1871">
        <v>400579230</v>
      </c>
      <c r="B1871">
        <v>2015</v>
      </c>
      <c r="C1871" s="1">
        <v>42072</v>
      </c>
      <c r="D1871" t="s">
        <v>25</v>
      </c>
      <c r="E1871">
        <v>1</v>
      </c>
      <c r="F1871">
        <v>36</v>
      </c>
      <c r="G1871">
        <v>28</v>
      </c>
      <c r="H1871">
        <v>0</v>
      </c>
      <c r="I1871" t="s">
        <v>18</v>
      </c>
      <c r="J1871">
        <v>69</v>
      </c>
      <c r="K1871" t="s">
        <v>25</v>
      </c>
      <c r="L1871">
        <v>95</v>
      </c>
    </row>
    <row r="1872" spans="1:12" x14ac:dyDescent="0.25">
      <c r="A1872">
        <v>400579231</v>
      </c>
      <c r="B1872">
        <v>2015</v>
      </c>
      <c r="C1872" s="1">
        <v>42072</v>
      </c>
      <c r="D1872" t="s">
        <v>26</v>
      </c>
      <c r="E1872">
        <v>1</v>
      </c>
      <c r="F1872">
        <v>50</v>
      </c>
      <c r="G1872">
        <v>13</v>
      </c>
      <c r="H1872">
        <v>1</v>
      </c>
      <c r="I1872" t="s">
        <v>26</v>
      </c>
      <c r="J1872">
        <v>130</v>
      </c>
      <c r="K1872" t="s">
        <v>37</v>
      </c>
      <c r="L1872">
        <v>105</v>
      </c>
    </row>
    <row r="1873" spans="1:12" x14ac:dyDescent="0.25">
      <c r="A1873">
        <v>400579231</v>
      </c>
      <c r="B1873">
        <v>2015</v>
      </c>
      <c r="C1873" s="1">
        <v>42072</v>
      </c>
      <c r="D1873" t="s">
        <v>37</v>
      </c>
      <c r="E1873">
        <v>0</v>
      </c>
      <c r="F1873">
        <v>21</v>
      </c>
      <c r="G1873">
        <v>41</v>
      </c>
      <c r="H1873">
        <v>0</v>
      </c>
      <c r="I1873" t="s">
        <v>26</v>
      </c>
      <c r="J1873">
        <v>130</v>
      </c>
      <c r="K1873" t="s">
        <v>37</v>
      </c>
      <c r="L1873">
        <v>105</v>
      </c>
    </row>
    <row r="1874" spans="1:12" x14ac:dyDescent="0.25">
      <c r="A1874">
        <v>400579232</v>
      </c>
      <c r="B1874">
        <v>2015</v>
      </c>
      <c r="C1874" s="1">
        <v>42072</v>
      </c>
      <c r="D1874" t="s">
        <v>22</v>
      </c>
      <c r="E1874">
        <v>1</v>
      </c>
      <c r="F1874">
        <v>26</v>
      </c>
      <c r="G1874">
        <v>36</v>
      </c>
      <c r="H1874">
        <v>0</v>
      </c>
      <c r="I1874" t="s">
        <v>24</v>
      </c>
      <c r="J1874">
        <v>90</v>
      </c>
      <c r="K1874" t="s">
        <v>22</v>
      </c>
      <c r="L1874">
        <v>100</v>
      </c>
    </row>
    <row r="1875" spans="1:12" x14ac:dyDescent="0.25">
      <c r="A1875">
        <v>400579232</v>
      </c>
      <c r="B1875">
        <v>2015</v>
      </c>
      <c r="C1875" s="1">
        <v>42072</v>
      </c>
      <c r="D1875" t="s">
        <v>24</v>
      </c>
      <c r="E1875">
        <v>0</v>
      </c>
      <c r="F1875">
        <v>28</v>
      </c>
      <c r="G1875">
        <v>35</v>
      </c>
      <c r="H1875">
        <v>1</v>
      </c>
      <c r="I1875" t="s">
        <v>24</v>
      </c>
      <c r="J1875">
        <v>90</v>
      </c>
      <c r="K1875" t="s">
        <v>22</v>
      </c>
      <c r="L1875">
        <v>100</v>
      </c>
    </row>
    <row r="1876" spans="1:12" x14ac:dyDescent="0.25">
      <c r="A1876">
        <v>400579233</v>
      </c>
      <c r="B1876">
        <v>2015</v>
      </c>
      <c r="C1876" s="1">
        <v>42072</v>
      </c>
      <c r="D1876" t="s">
        <v>30</v>
      </c>
      <c r="E1876">
        <v>0</v>
      </c>
      <c r="F1876">
        <v>39</v>
      </c>
      <c r="G1876">
        <v>26</v>
      </c>
      <c r="H1876">
        <v>1</v>
      </c>
      <c r="I1876" t="s">
        <v>30</v>
      </c>
      <c r="J1876">
        <v>91</v>
      </c>
      <c r="K1876" t="s">
        <v>28</v>
      </c>
      <c r="L1876">
        <v>101</v>
      </c>
    </row>
    <row r="1877" spans="1:12" x14ac:dyDescent="0.25">
      <c r="A1877">
        <v>400579233</v>
      </c>
      <c r="B1877">
        <v>2015</v>
      </c>
      <c r="C1877" s="1">
        <v>42072</v>
      </c>
      <c r="D1877" t="s">
        <v>28</v>
      </c>
      <c r="E1877">
        <v>1</v>
      </c>
      <c r="F1877">
        <v>45</v>
      </c>
      <c r="G1877">
        <v>18</v>
      </c>
      <c r="H1877">
        <v>0</v>
      </c>
      <c r="I1877" t="s">
        <v>30</v>
      </c>
      <c r="J1877">
        <v>91</v>
      </c>
      <c r="K1877" t="s">
        <v>28</v>
      </c>
      <c r="L1877">
        <v>101</v>
      </c>
    </row>
    <row r="1878" spans="1:12" x14ac:dyDescent="0.25">
      <c r="A1878">
        <v>400579234</v>
      </c>
      <c r="B1878">
        <v>2015</v>
      </c>
      <c r="C1878" s="1">
        <v>42072</v>
      </c>
      <c r="D1878" t="s">
        <v>19</v>
      </c>
      <c r="E1878">
        <v>0</v>
      </c>
      <c r="F1878">
        <v>33</v>
      </c>
      <c r="G1878">
        <v>30</v>
      </c>
      <c r="H1878">
        <v>1</v>
      </c>
      <c r="I1878" t="s">
        <v>19</v>
      </c>
      <c r="J1878">
        <v>103</v>
      </c>
      <c r="K1878" t="s">
        <v>12</v>
      </c>
      <c r="L1878">
        <v>114</v>
      </c>
    </row>
    <row r="1879" spans="1:12" x14ac:dyDescent="0.25">
      <c r="A1879">
        <v>400579234</v>
      </c>
      <c r="B1879">
        <v>2015</v>
      </c>
      <c r="C1879" s="1">
        <v>42072</v>
      </c>
      <c r="D1879" t="s">
        <v>12</v>
      </c>
      <c r="E1879">
        <v>1</v>
      </c>
      <c r="F1879">
        <v>35</v>
      </c>
      <c r="G1879">
        <v>29</v>
      </c>
      <c r="H1879">
        <v>0</v>
      </c>
      <c r="I1879" t="s">
        <v>19</v>
      </c>
      <c r="J1879">
        <v>103</v>
      </c>
      <c r="K1879" t="s">
        <v>12</v>
      </c>
      <c r="L1879">
        <v>114</v>
      </c>
    </row>
    <row r="1880" spans="1:12" x14ac:dyDescent="0.25">
      <c r="A1880">
        <v>400579235</v>
      </c>
      <c r="B1880">
        <v>2015</v>
      </c>
      <c r="C1880" s="1">
        <v>42072</v>
      </c>
      <c r="D1880" t="s">
        <v>32</v>
      </c>
      <c r="E1880">
        <v>1</v>
      </c>
      <c r="F1880">
        <v>23</v>
      </c>
      <c r="G1880">
        <v>41</v>
      </c>
      <c r="H1880">
        <v>1</v>
      </c>
      <c r="I1880" t="s">
        <v>32</v>
      </c>
      <c r="J1880">
        <v>106</v>
      </c>
      <c r="K1880" t="s">
        <v>31</v>
      </c>
      <c r="L1880">
        <v>78</v>
      </c>
    </row>
    <row r="1881" spans="1:12" x14ac:dyDescent="0.25">
      <c r="A1881">
        <v>400579235</v>
      </c>
      <c r="B1881">
        <v>2015</v>
      </c>
      <c r="C1881" s="1">
        <v>42072</v>
      </c>
      <c r="D1881" t="s">
        <v>31</v>
      </c>
      <c r="E1881">
        <v>0</v>
      </c>
      <c r="F1881">
        <v>12</v>
      </c>
      <c r="G1881">
        <v>50</v>
      </c>
      <c r="H1881">
        <v>0</v>
      </c>
      <c r="I1881" t="s">
        <v>32</v>
      </c>
      <c r="J1881">
        <v>106</v>
      </c>
      <c r="K1881" t="s">
        <v>31</v>
      </c>
      <c r="L1881">
        <v>78</v>
      </c>
    </row>
    <row r="1882" spans="1:12" x14ac:dyDescent="0.25">
      <c r="A1882">
        <v>400579236</v>
      </c>
      <c r="B1882">
        <v>2015</v>
      </c>
      <c r="C1882" s="1">
        <v>42072</v>
      </c>
      <c r="D1882" t="s">
        <v>36</v>
      </c>
      <c r="E1882">
        <v>1</v>
      </c>
      <c r="F1882">
        <v>50</v>
      </c>
      <c r="G1882">
        <v>12</v>
      </c>
      <c r="H1882">
        <v>0</v>
      </c>
      <c r="I1882" t="s">
        <v>35</v>
      </c>
      <c r="J1882">
        <v>80</v>
      </c>
      <c r="K1882" t="s">
        <v>36</v>
      </c>
      <c r="L1882">
        <v>98</v>
      </c>
    </row>
    <row r="1883" spans="1:12" x14ac:dyDescent="0.25">
      <c r="A1883">
        <v>400579236</v>
      </c>
      <c r="B1883">
        <v>2015</v>
      </c>
      <c r="C1883" s="1">
        <v>42072</v>
      </c>
      <c r="D1883" t="s">
        <v>35</v>
      </c>
      <c r="E1883">
        <v>0</v>
      </c>
      <c r="F1883">
        <v>33</v>
      </c>
      <c r="G1883">
        <v>32</v>
      </c>
      <c r="H1883">
        <v>1</v>
      </c>
      <c r="I1883" t="s">
        <v>35</v>
      </c>
      <c r="J1883">
        <v>80</v>
      </c>
      <c r="K1883" t="s">
        <v>36</v>
      </c>
      <c r="L1883">
        <v>98</v>
      </c>
    </row>
    <row r="1884" spans="1:12" x14ac:dyDescent="0.25">
      <c r="A1884">
        <v>400579237</v>
      </c>
      <c r="B1884">
        <v>2015</v>
      </c>
      <c r="C1884" s="1">
        <v>42072</v>
      </c>
      <c r="D1884" t="s">
        <v>41</v>
      </c>
      <c r="E1884">
        <v>1</v>
      </c>
      <c r="F1884">
        <v>41</v>
      </c>
      <c r="G1884">
        <v>23</v>
      </c>
      <c r="H1884">
        <v>1</v>
      </c>
      <c r="I1884" t="s">
        <v>41</v>
      </c>
      <c r="J1884">
        <v>89</v>
      </c>
      <c r="K1884" t="s">
        <v>29</v>
      </c>
      <c r="L1884">
        <v>76</v>
      </c>
    </row>
    <row r="1885" spans="1:12" x14ac:dyDescent="0.25">
      <c r="A1885">
        <v>400579237</v>
      </c>
      <c r="B1885">
        <v>2015</v>
      </c>
      <c r="C1885" s="1">
        <v>42072</v>
      </c>
      <c r="D1885" t="s">
        <v>29</v>
      </c>
      <c r="E1885">
        <v>0</v>
      </c>
      <c r="F1885">
        <v>14</v>
      </c>
      <c r="G1885">
        <v>48</v>
      </c>
      <c r="H1885">
        <v>0</v>
      </c>
      <c r="I1885" t="s">
        <v>41</v>
      </c>
      <c r="J1885">
        <v>89</v>
      </c>
      <c r="K1885" t="s">
        <v>29</v>
      </c>
      <c r="L1885">
        <v>76</v>
      </c>
    </row>
    <row r="1886" spans="1:12" x14ac:dyDescent="0.25">
      <c r="A1886">
        <v>400579238</v>
      </c>
      <c r="B1886">
        <v>2015</v>
      </c>
      <c r="C1886" s="1">
        <v>42073</v>
      </c>
      <c r="D1886" t="s">
        <v>20</v>
      </c>
      <c r="E1886">
        <v>1</v>
      </c>
      <c r="F1886">
        <v>29</v>
      </c>
      <c r="G1886">
        <v>34</v>
      </c>
      <c r="H1886">
        <v>1</v>
      </c>
      <c r="I1886" t="s">
        <v>20</v>
      </c>
      <c r="J1886">
        <v>118</v>
      </c>
      <c r="K1886" t="s">
        <v>13</v>
      </c>
      <c r="L1886">
        <v>86</v>
      </c>
    </row>
    <row r="1887" spans="1:12" x14ac:dyDescent="0.25">
      <c r="A1887">
        <v>400579238</v>
      </c>
      <c r="B1887">
        <v>2015</v>
      </c>
      <c r="C1887" s="1">
        <v>42073</v>
      </c>
      <c r="D1887" t="s">
        <v>13</v>
      </c>
      <c r="E1887">
        <v>0</v>
      </c>
      <c r="F1887">
        <v>21</v>
      </c>
      <c r="G1887">
        <v>44</v>
      </c>
      <c r="H1887">
        <v>0</v>
      </c>
      <c r="I1887" t="s">
        <v>20</v>
      </c>
      <c r="J1887">
        <v>118</v>
      </c>
      <c r="K1887" t="s">
        <v>13</v>
      </c>
      <c r="L1887">
        <v>86</v>
      </c>
    </row>
    <row r="1888" spans="1:12" x14ac:dyDescent="0.25">
      <c r="A1888">
        <v>400579239</v>
      </c>
      <c r="B1888">
        <v>2015</v>
      </c>
      <c r="C1888" s="1">
        <v>42073</v>
      </c>
      <c r="D1888" t="s">
        <v>23</v>
      </c>
      <c r="E1888">
        <v>0</v>
      </c>
      <c r="F1888">
        <v>25</v>
      </c>
      <c r="G1888">
        <v>37</v>
      </c>
      <c r="H1888">
        <v>1</v>
      </c>
      <c r="I1888" t="s">
        <v>23</v>
      </c>
      <c r="J1888">
        <v>91</v>
      </c>
      <c r="K1888" t="s">
        <v>12</v>
      </c>
      <c r="L1888">
        <v>111</v>
      </c>
    </row>
    <row r="1889" spans="1:12" x14ac:dyDescent="0.25">
      <c r="A1889">
        <v>400579239</v>
      </c>
      <c r="B1889">
        <v>2015</v>
      </c>
      <c r="C1889" s="1">
        <v>42073</v>
      </c>
      <c r="D1889" t="s">
        <v>12</v>
      </c>
      <c r="E1889">
        <v>1</v>
      </c>
      <c r="F1889">
        <v>36</v>
      </c>
      <c r="G1889">
        <v>29</v>
      </c>
      <c r="H1889">
        <v>0</v>
      </c>
      <c r="I1889" t="s">
        <v>23</v>
      </c>
      <c r="J1889">
        <v>91</v>
      </c>
      <c r="K1889" t="s">
        <v>12</v>
      </c>
      <c r="L1889">
        <v>111</v>
      </c>
    </row>
    <row r="1890" spans="1:12" x14ac:dyDescent="0.25">
      <c r="A1890">
        <v>400579240</v>
      </c>
      <c r="B1890">
        <v>2015</v>
      </c>
      <c r="C1890" s="1">
        <v>42073</v>
      </c>
      <c r="D1890" t="s">
        <v>40</v>
      </c>
      <c r="E1890">
        <v>1</v>
      </c>
      <c r="F1890">
        <v>41</v>
      </c>
      <c r="G1890">
        <v>25</v>
      </c>
      <c r="H1890">
        <v>0</v>
      </c>
      <c r="I1890" t="s">
        <v>14</v>
      </c>
      <c r="J1890">
        <v>94</v>
      </c>
      <c r="K1890" t="s">
        <v>40</v>
      </c>
      <c r="L1890">
        <v>127</v>
      </c>
    </row>
    <row r="1891" spans="1:12" x14ac:dyDescent="0.25">
      <c r="A1891">
        <v>400579240</v>
      </c>
      <c r="B1891">
        <v>2015</v>
      </c>
      <c r="C1891" s="1">
        <v>42073</v>
      </c>
      <c r="D1891" t="s">
        <v>14</v>
      </c>
      <c r="E1891">
        <v>0</v>
      </c>
      <c r="F1891">
        <v>41</v>
      </c>
      <c r="G1891">
        <v>25</v>
      </c>
      <c r="H1891">
        <v>1</v>
      </c>
      <c r="I1891" t="s">
        <v>14</v>
      </c>
      <c r="J1891">
        <v>94</v>
      </c>
      <c r="K1891" t="s">
        <v>40</v>
      </c>
      <c r="L1891">
        <v>127</v>
      </c>
    </row>
    <row r="1892" spans="1:12" x14ac:dyDescent="0.25">
      <c r="A1892">
        <v>400579241</v>
      </c>
      <c r="B1892">
        <v>2015</v>
      </c>
      <c r="C1892" s="1">
        <v>42073</v>
      </c>
      <c r="D1892" t="s">
        <v>15</v>
      </c>
      <c r="E1892">
        <v>1</v>
      </c>
      <c r="F1892">
        <v>40</v>
      </c>
      <c r="G1892">
        <v>23</v>
      </c>
      <c r="H1892">
        <v>1</v>
      </c>
      <c r="I1892" t="s">
        <v>15</v>
      </c>
      <c r="J1892">
        <v>117</v>
      </c>
      <c r="K1892" t="s">
        <v>27</v>
      </c>
      <c r="L1892">
        <v>107</v>
      </c>
    </row>
    <row r="1893" spans="1:12" x14ac:dyDescent="0.25">
      <c r="A1893">
        <v>400579241</v>
      </c>
      <c r="B1893">
        <v>2015</v>
      </c>
      <c r="C1893" s="1">
        <v>42073</v>
      </c>
      <c r="D1893" t="s">
        <v>27</v>
      </c>
      <c r="E1893">
        <v>0</v>
      </c>
      <c r="F1893">
        <v>38</v>
      </c>
      <c r="G1893">
        <v>26</v>
      </c>
      <c r="H1893">
        <v>0</v>
      </c>
      <c r="I1893" t="s">
        <v>15</v>
      </c>
      <c r="J1893">
        <v>117</v>
      </c>
      <c r="K1893" t="s">
        <v>27</v>
      </c>
      <c r="L1893">
        <v>107</v>
      </c>
    </row>
    <row r="1894" spans="1:12" x14ac:dyDescent="0.25">
      <c r="A1894">
        <v>400579242</v>
      </c>
      <c r="B1894">
        <v>2015</v>
      </c>
      <c r="C1894" s="1">
        <v>42073</v>
      </c>
      <c r="D1894" t="s">
        <v>31</v>
      </c>
      <c r="E1894">
        <v>0</v>
      </c>
      <c r="F1894">
        <v>12</v>
      </c>
      <c r="G1894">
        <v>51</v>
      </c>
      <c r="H1894">
        <v>0</v>
      </c>
      <c r="I1894" t="s">
        <v>34</v>
      </c>
      <c r="J1894">
        <v>87</v>
      </c>
      <c r="K1894" t="s">
        <v>31</v>
      </c>
      <c r="L1894">
        <v>82</v>
      </c>
    </row>
    <row r="1895" spans="1:12" x14ac:dyDescent="0.25">
      <c r="A1895">
        <v>400579242</v>
      </c>
      <c r="B1895">
        <v>2015</v>
      </c>
      <c r="C1895" s="1">
        <v>42073</v>
      </c>
      <c r="D1895" t="s">
        <v>34</v>
      </c>
      <c r="E1895">
        <v>1</v>
      </c>
      <c r="F1895">
        <v>27</v>
      </c>
      <c r="G1895">
        <v>36</v>
      </c>
      <c r="H1895">
        <v>1</v>
      </c>
      <c r="I1895" t="s">
        <v>34</v>
      </c>
      <c r="J1895">
        <v>87</v>
      </c>
      <c r="K1895" t="s">
        <v>31</v>
      </c>
      <c r="L1895">
        <v>82</v>
      </c>
    </row>
    <row r="1896" spans="1:12" x14ac:dyDescent="0.25">
      <c r="A1896">
        <v>400579243</v>
      </c>
      <c r="B1896">
        <v>2015</v>
      </c>
      <c r="C1896" s="1">
        <v>42073</v>
      </c>
      <c r="D1896" t="s">
        <v>33</v>
      </c>
      <c r="E1896">
        <v>0</v>
      </c>
      <c r="F1896">
        <v>23</v>
      </c>
      <c r="G1896">
        <v>40</v>
      </c>
      <c r="H1896">
        <v>0</v>
      </c>
      <c r="I1896" t="s">
        <v>17</v>
      </c>
      <c r="J1896">
        <v>93</v>
      </c>
      <c r="K1896" t="s">
        <v>33</v>
      </c>
      <c r="L1896">
        <v>85</v>
      </c>
    </row>
    <row r="1897" spans="1:12" x14ac:dyDescent="0.25">
      <c r="A1897">
        <v>400579243</v>
      </c>
      <c r="B1897">
        <v>2015</v>
      </c>
      <c r="C1897" s="1">
        <v>42073</v>
      </c>
      <c r="D1897" t="s">
        <v>17</v>
      </c>
      <c r="E1897">
        <v>1</v>
      </c>
      <c r="F1897">
        <v>17</v>
      </c>
      <c r="G1897">
        <v>46</v>
      </c>
      <c r="H1897">
        <v>1</v>
      </c>
      <c r="I1897" t="s">
        <v>17</v>
      </c>
      <c r="J1897">
        <v>93</v>
      </c>
      <c r="K1897" t="s">
        <v>33</v>
      </c>
      <c r="L1897">
        <v>85</v>
      </c>
    </row>
    <row r="1898" spans="1:12" x14ac:dyDescent="0.25">
      <c r="A1898">
        <v>400579244</v>
      </c>
      <c r="B1898">
        <v>2015</v>
      </c>
      <c r="C1898" s="1">
        <v>42074</v>
      </c>
      <c r="D1898" t="s">
        <v>18</v>
      </c>
      <c r="E1898">
        <v>0</v>
      </c>
      <c r="F1898">
        <v>28</v>
      </c>
      <c r="G1898">
        <v>35</v>
      </c>
      <c r="H1898">
        <v>1</v>
      </c>
      <c r="I1898" t="s">
        <v>18</v>
      </c>
      <c r="J1898">
        <v>106</v>
      </c>
      <c r="K1898" t="s">
        <v>37</v>
      </c>
      <c r="L1898">
        <v>113</v>
      </c>
    </row>
    <row r="1899" spans="1:12" x14ac:dyDescent="0.25">
      <c r="A1899">
        <v>400579244</v>
      </c>
      <c r="B1899">
        <v>2015</v>
      </c>
      <c r="C1899" s="1">
        <v>42074</v>
      </c>
      <c r="D1899" t="s">
        <v>37</v>
      </c>
      <c r="E1899">
        <v>1</v>
      </c>
      <c r="F1899">
        <v>22</v>
      </c>
      <c r="G1899">
        <v>41</v>
      </c>
      <c r="H1899">
        <v>0</v>
      </c>
      <c r="I1899" t="s">
        <v>18</v>
      </c>
      <c r="J1899">
        <v>106</v>
      </c>
      <c r="K1899" t="s">
        <v>37</v>
      </c>
      <c r="L1899">
        <v>113</v>
      </c>
    </row>
    <row r="1900" spans="1:12" x14ac:dyDescent="0.25">
      <c r="A1900">
        <v>400579245</v>
      </c>
      <c r="B1900">
        <v>2015</v>
      </c>
      <c r="C1900" s="1">
        <v>42074</v>
      </c>
      <c r="D1900" t="s">
        <v>30</v>
      </c>
      <c r="E1900">
        <v>1</v>
      </c>
      <c r="F1900">
        <v>40</v>
      </c>
      <c r="G1900">
        <v>26</v>
      </c>
      <c r="H1900">
        <v>0</v>
      </c>
      <c r="I1900" t="s">
        <v>21</v>
      </c>
      <c r="J1900">
        <v>95</v>
      </c>
      <c r="K1900" t="s">
        <v>30</v>
      </c>
      <c r="L1900">
        <v>104</v>
      </c>
    </row>
    <row r="1901" spans="1:12" x14ac:dyDescent="0.25">
      <c r="A1901">
        <v>400579245</v>
      </c>
      <c r="B1901">
        <v>2015</v>
      </c>
      <c r="C1901" s="1">
        <v>42074</v>
      </c>
      <c r="D1901" t="s">
        <v>21</v>
      </c>
      <c r="E1901">
        <v>0</v>
      </c>
      <c r="F1901">
        <v>14</v>
      </c>
      <c r="G1901">
        <v>50</v>
      </c>
      <c r="H1901">
        <v>1</v>
      </c>
      <c r="I1901" t="s">
        <v>21</v>
      </c>
      <c r="J1901">
        <v>95</v>
      </c>
      <c r="K1901" t="s">
        <v>30</v>
      </c>
      <c r="L1901">
        <v>104</v>
      </c>
    </row>
    <row r="1902" spans="1:12" x14ac:dyDescent="0.25">
      <c r="A1902">
        <v>400579246</v>
      </c>
      <c r="B1902">
        <v>2015</v>
      </c>
      <c r="C1902" s="1">
        <v>42074</v>
      </c>
      <c r="D1902" t="s">
        <v>22</v>
      </c>
      <c r="E1902">
        <v>1</v>
      </c>
      <c r="F1902">
        <v>27</v>
      </c>
      <c r="G1902">
        <v>36</v>
      </c>
      <c r="H1902">
        <v>1</v>
      </c>
      <c r="I1902" t="s">
        <v>22</v>
      </c>
      <c r="J1902">
        <v>95</v>
      </c>
      <c r="K1902" t="s">
        <v>28</v>
      </c>
      <c r="L1902">
        <v>92</v>
      </c>
    </row>
    <row r="1903" spans="1:12" x14ac:dyDescent="0.25">
      <c r="A1903">
        <v>400579246</v>
      </c>
      <c r="B1903">
        <v>2015</v>
      </c>
      <c r="C1903" s="1">
        <v>42074</v>
      </c>
      <c r="D1903" t="s">
        <v>28</v>
      </c>
      <c r="E1903">
        <v>0</v>
      </c>
      <c r="F1903">
        <v>45</v>
      </c>
      <c r="G1903">
        <v>19</v>
      </c>
      <c r="H1903">
        <v>0</v>
      </c>
      <c r="I1903" t="s">
        <v>22</v>
      </c>
      <c r="J1903">
        <v>95</v>
      </c>
      <c r="K1903" t="s">
        <v>28</v>
      </c>
      <c r="L1903">
        <v>92</v>
      </c>
    </row>
    <row r="1904" spans="1:12" x14ac:dyDescent="0.25">
      <c r="A1904">
        <v>400579247</v>
      </c>
      <c r="B1904">
        <v>2015</v>
      </c>
      <c r="C1904" s="1">
        <v>42074</v>
      </c>
      <c r="D1904" t="s">
        <v>23</v>
      </c>
      <c r="E1904">
        <v>0</v>
      </c>
      <c r="F1904">
        <v>25</v>
      </c>
      <c r="G1904">
        <v>38</v>
      </c>
      <c r="H1904">
        <v>0</v>
      </c>
      <c r="I1904" t="s">
        <v>24</v>
      </c>
      <c r="J1904">
        <v>104</v>
      </c>
      <c r="K1904" t="s">
        <v>23</v>
      </c>
      <c r="L1904">
        <v>98</v>
      </c>
    </row>
    <row r="1905" spans="1:12" x14ac:dyDescent="0.25">
      <c r="A1905">
        <v>400579247</v>
      </c>
      <c r="B1905">
        <v>2015</v>
      </c>
      <c r="C1905" s="1">
        <v>42074</v>
      </c>
      <c r="D1905" t="s">
        <v>24</v>
      </c>
      <c r="E1905">
        <v>1</v>
      </c>
      <c r="F1905">
        <v>29</v>
      </c>
      <c r="G1905">
        <v>35</v>
      </c>
      <c r="H1905">
        <v>1</v>
      </c>
      <c r="I1905" t="s">
        <v>24</v>
      </c>
      <c r="J1905">
        <v>104</v>
      </c>
      <c r="K1905" t="s">
        <v>23</v>
      </c>
      <c r="L1905">
        <v>98</v>
      </c>
    </row>
    <row r="1906" spans="1:12" x14ac:dyDescent="0.25">
      <c r="A1906">
        <v>400579248</v>
      </c>
      <c r="B1906">
        <v>2015</v>
      </c>
      <c r="C1906" s="1">
        <v>42074</v>
      </c>
      <c r="D1906" t="s">
        <v>19</v>
      </c>
      <c r="E1906">
        <v>1</v>
      </c>
      <c r="F1906">
        <v>34</v>
      </c>
      <c r="G1906">
        <v>30</v>
      </c>
      <c r="H1906">
        <v>1</v>
      </c>
      <c r="I1906" t="s">
        <v>19</v>
      </c>
      <c r="J1906">
        <v>97</v>
      </c>
      <c r="K1906" t="s">
        <v>13</v>
      </c>
      <c r="L1906">
        <v>91</v>
      </c>
    </row>
    <row r="1907" spans="1:12" x14ac:dyDescent="0.25">
      <c r="A1907">
        <v>400579248</v>
      </c>
      <c r="B1907">
        <v>2015</v>
      </c>
      <c r="C1907" s="1">
        <v>42074</v>
      </c>
      <c r="D1907" t="s">
        <v>13</v>
      </c>
      <c r="E1907">
        <v>0</v>
      </c>
      <c r="F1907">
        <v>21</v>
      </c>
      <c r="G1907">
        <v>45</v>
      </c>
      <c r="H1907">
        <v>0</v>
      </c>
      <c r="I1907" t="s">
        <v>19</v>
      </c>
      <c r="J1907">
        <v>97</v>
      </c>
      <c r="K1907" t="s">
        <v>13</v>
      </c>
      <c r="L1907">
        <v>91</v>
      </c>
    </row>
    <row r="1908" spans="1:12" x14ac:dyDescent="0.25">
      <c r="A1908">
        <v>400579249</v>
      </c>
      <c r="B1908">
        <v>2015</v>
      </c>
      <c r="C1908" s="1">
        <v>42074</v>
      </c>
      <c r="D1908" t="s">
        <v>41</v>
      </c>
      <c r="E1908">
        <v>1</v>
      </c>
      <c r="F1908">
        <v>42</v>
      </c>
      <c r="G1908">
        <v>23</v>
      </c>
      <c r="H1908">
        <v>0</v>
      </c>
      <c r="I1908" t="s">
        <v>38</v>
      </c>
      <c r="J1908">
        <v>108</v>
      </c>
      <c r="K1908" t="s">
        <v>41</v>
      </c>
      <c r="L1908">
        <v>120</v>
      </c>
    </row>
    <row r="1909" spans="1:12" x14ac:dyDescent="0.25">
      <c r="A1909">
        <v>400579249</v>
      </c>
      <c r="B1909">
        <v>2015</v>
      </c>
      <c r="C1909" s="1">
        <v>42074</v>
      </c>
      <c r="D1909" t="s">
        <v>38</v>
      </c>
      <c r="E1909">
        <v>0</v>
      </c>
      <c r="F1909">
        <v>35</v>
      </c>
      <c r="G1909">
        <v>29</v>
      </c>
      <c r="H1909">
        <v>1</v>
      </c>
      <c r="I1909" t="s">
        <v>38</v>
      </c>
      <c r="J1909">
        <v>108</v>
      </c>
      <c r="K1909" t="s">
        <v>41</v>
      </c>
      <c r="L1909">
        <v>120</v>
      </c>
    </row>
    <row r="1910" spans="1:12" x14ac:dyDescent="0.25">
      <c r="A1910">
        <v>400579250</v>
      </c>
      <c r="B1910">
        <v>2015</v>
      </c>
      <c r="C1910" s="1">
        <v>42074</v>
      </c>
      <c r="D1910" t="s">
        <v>26</v>
      </c>
      <c r="E1910">
        <v>0</v>
      </c>
      <c r="F1910">
        <v>50</v>
      </c>
      <c r="G1910">
        <v>14</v>
      </c>
      <c r="H1910">
        <v>0</v>
      </c>
      <c r="I1910" t="s">
        <v>32</v>
      </c>
      <c r="J1910">
        <v>115</v>
      </c>
      <c r="K1910" t="s">
        <v>26</v>
      </c>
      <c r="L1910">
        <v>102</v>
      </c>
    </row>
    <row r="1911" spans="1:12" x14ac:dyDescent="0.25">
      <c r="A1911">
        <v>400579250</v>
      </c>
      <c r="B1911">
        <v>2015</v>
      </c>
      <c r="C1911" s="1">
        <v>42074</v>
      </c>
      <c r="D1911" t="s">
        <v>32</v>
      </c>
      <c r="E1911">
        <v>1</v>
      </c>
      <c r="F1911">
        <v>24</v>
      </c>
      <c r="G1911">
        <v>41</v>
      </c>
      <c r="H1911">
        <v>1</v>
      </c>
      <c r="I1911" t="s">
        <v>32</v>
      </c>
      <c r="J1911">
        <v>115</v>
      </c>
      <c r="K1911" t="s">
        <v>26</v>
      </c>
      <c r="L1911">
        <v>102</v>
      </c>
    </row>
    <row r="1912" spans="1:12" x14ac:dyDescent="0.25">
      <c r="A1912">
        <v>400579251</v>
      </c>
      <c r="B1912">
        <v>2015</v>
      </c>
      <c r="C1912" s="1">
        <v>42074</v>
      </c>
      <c r="D1912" t="s">
        <v>29</v>
      </c>
      <c r="E1912">
        <v>0</v>
      </c>
      <c r="F1912">
        <v>14</v>
      </c>
      <c r="G1912">
        <v>49</v>
      </c>
      <c r="H1912">
        <v>0</v>
      </c>
      <c r="I1912" t="s">
        <v>35</v>
      </c>
      <c r="J1912">
        <v>106</v>
      </c>
      <c r="K1912" t="s">
        <v>29</v>
      </c>
      <c r="L1912">
        <v>97</v>
      </c>
    </row>
    <row r="1913" spans="1:12" x14ac:dyDescent="0.25">
      <c r="A1913">
        <v>400579251</v>
      </c>
      <c r="B1913">
        <v>2015</v>
      </c>
      <c r="C1913" s="1">
        <v>42074</v>
      </c>
      <c r="D1913" t="s">
        <v>35</v>
      </c>
      <c r="E1913">
        <v>1</v>
      </c>
      <c r="F1913">
        <v>34</v>
      </c>
      <c r="G1913">
        <v>32</v>
      </c>
      <c r="H1913">
        <v>1</v>
      </c>
      <c r="I1913" t="s">
        <v>35</v>
      </c>
      <c r="J1913">
        <v>106</v>
      </c>
      <c r="K1913" t="s">
        <v>29</v>
      </c>
      <c r="L1913">
        <v>97</v>
      </c>
    </row>
    <row r="1914" spans="1:12" x14ac:dyDescent="0.25">
      <c r="A1914">
        <v>400579252</v>
      </c>
      <c r="B1914">
        <v>2015</v>
      </c>
      <c r="C1914" s="1">
        <v>42074</v>
      </c>
      <c r="D1914" t="s">
        <v>33</v>
      </c>
      <c r="E1914">
        <v>0</v>
      </c>
      <c r="F1914">
        <v>23</v>
      </c>
      <c r="G1914">
        <v>41</v>
      </c>
      <c r="H1914">
        <v>0</v>
      </c>
      <c r="I1914" t="s">
        <v>36</v>
      </c>
      <c r="J1914">
        <v>105</v>
      </c>
      <c r="K1914" t="s">
        <v>33</v>
      </c>
      <c r="L1914">
        <v>98</v>
      </c>
    </row>
    <row r="1915" spans="1:12" x14ac:dyDescent="0.25">
      <c r="A1915">
        <v>400579252</v>
      </c>
      <c r="B1915">
        <v>2015</v>
      </c>
      <c r="C1915" s="1">
        <v>42074</v>
      </c>
      <c r="D1915" t="s">
        <v>36</v>
      </c>
      <c r="E1915">
        <v>1</v>
      </c>
      <c r="F1915">
        <v>51</v>
      </c>
      <c r="G1915">
        <v>12</v>
      </c>
      <c r="H1915">
        <v>1</v>
      </c>
      <c r="I1915" t="s">
        <v>36</v>
      </c>
      <c r="J1915">
        <v>105</v>
      </c>
      <c r="K1915" t="s">
        <v>33</v>
      </c>
      <c r="L1915">
        <v>98</v>
      </c>
    </row>
    <row r="1916" spans="1:12" x14ac:dyDescent="0.25">
      <c r="A1916">
        <v>400579253</v>
      </c>
      <c r="B1916">
        <v>2015</v>
      </c>
      <c r="C1916" s="1">
        <v>42074</v>
      </c>
      <c r="D1916" t="s">
        <v>16</v>
      </c>
      <c r="E1916">
        <v>0</v>
      </c>
      <c r="F1916">
        <v>43</v>
      </c>
      <c r="G1916">
        <v>21</v>
      </c>
      <c r="H1916">
        <v>0</v>
      </c>
      <c r="I1916" t="s">
        <v>39</v>
      </c>
      <c r="J1916">
        <v>105</v>
      </c>
      <c r="K1916" t="s">
        <v>16</v>
      </c>
      <c r="L1916">
        <v>100</v>
      </c>
    </row>
    <row r="1917" spans="1:12" x14ac:dyDescent="0.25">
      <c r="A1917">
        <v>400579253</v>
      </c>
      <c r="B1917">
        <v>2015</v>
      </c>
      <c r="C1917" s="1">
        <v>42074</v>
      </c>
      <c r="D1917" t="s">
        <v>39</v>
      </c>
      <c r="E1917">
        <v>1</v>
      </c>
      <c r="F1917">
        <v>42</v>
      </c>
      <c r="G1917">
        <v>20</v>
      </c>
      <c r="H1917">
        <v>1</v>
      </c>
      <c r="I1917" t="s">
        <v>39</v>
      </c>
      <c r="J1917">
        <v>105</v>
      </c>
      <c r="K1917" t="s">
        <v>16</v>
      </c>
      <c r="L1917">
        <v>100</v>
      </c>
    </row>
    <row r="1918" spans="1:12" x14ac:dyDescent="0.25">
      <c r="A1918">
        <v>400579254</v>
      </c>
      <c r="B1918">
        <v>2015</v>
      </c>
      <c r="C1918" s="1">
        <v>42075</v>
      </c>
      <c r="D1918" t="s">
        <v>20</v>
      </c>
      <c r="E1918">
        <v>1</v>
      </c>
      <c r="F1918">
        <v>30</v>
      </c>
      <c r="G1918">
        <v>34</v>
      </c>
      <c r="H1918">
        <v>1</v>
      </c>
      <c r="I1918" t="s">
        <v>20</v>
      </c>
      <c r="J1918">
        <v>109</v>
      </c>
      <c r="K1918" t="s">
        <v>19</v>
      </c>
      <c r="L1918">
        <v>103</v>
      </c>
    </row>
    <row r="1919" spans="1:12" x14ac:dyDescent="0.25">
      <c r="A1919">
        <v>400579254</v>
      </c>
      <c r="B1919">
        <v>2015</v>
      </c>
      <c r="C1919" s="1">
        <v>42075</v>
      </c>
      <c r="D1919" t="s">
        <v>19</v>
      </c>
      <c r="E1919">
        <v>0</v>
      </c>
      <c r="F1919">
        <v>34</v>
      </c>
      <c r="G1919">
        <v>31</v>
      </c>
      <c r="H1919">
        <v>0</v>
      </c>
      <c r="I1919" t="s">
        <v>20</v>
      </c>
      <c r="J1919">
        <v>109</v>
      </c>
      <c r="K1919" t="s">
        <v>19</v>
      </c>
      <c r="L1919">
        <v>103</v>
      </c>
    </row>
    <row r="1920" spans="1:12" x14ac:dyDescent="0.25">
      <c r="A1920">
        <v>400579255</v>
      </c>
      <c r="B1920">
        <v>2015</v>
      </c>
      <c r="C1920" s="1">
        <v>42075</v>
      </c>
      <c r="D1920" t="s">
        <v>28</v>
      </c>
      <c r="E1920">
        <v>0</v>
      </c>
      <c r="F1920">
        <v>45</v>
      </c>
      <c r="G1920">
        <v>20</v>
      </c>
      <c r="H1920">
        <v>0</v>
      </c>
      <c r="I1920" t="s">
        <v>25</v>
      </c>
      <c r="J1920">
        <v>107</v>
      </c>
      <c r="K1920" t="s">
        <v>28</v>
      </c>
      <c r="L1920">
        <v>87</v>
      </c>
    </row>
    <row r="1921" spans="1:12" x14ac:dyDescent="0.25">
      <c r="A1921">
        <v>400579255</v>
      </c>
      <c r="B1921">
        <v>2015</v>
      </c>
      <c r="C1921" s="1">
        <v>42075</v>
      </c>
      <c r="D1921" t="s">
        <v>25</v>
      </c>
      <c r="E1921">
        <v>1</v>
      </c>
      <c r="F1921">
        <v>37</v>
      </c>
      <c r="G1921">
        <v>28</v>
      </c>
      <c r="H1921">
        <v>1</v>
      </c>
      <c r="I1921" t="s">
        <v>25</v>
      </c>
      <c r="J1921">
        <v>107</v>
      </c>
      <c r="K1921" t="s">
        <v>28</v>
      </c>
      <c r="L1921">
        <v>87</v>
      </c>
    </row>
    <row r="1922" spans="1:12" x14ac:dyDescent="0.25">
      <c r="A1922">
        <v>400579256</v>
      </c>
      <c r="B1922">
        <v>2015</v>
      </c>
      <c r="C1922" s="1">
        <v>42075</v>
      </c>
      <c r="D1922" t="s">
        <v>40</v>
      </c>
      <c r="E1922">
        <v>1</v>
      </c>
      <c r="F1922">
        <v>42</v>
      </c>
      <c r="G1922">
        <v>25</v>
      </c>
      <c r="H1922">
        <v>0</v>
      </c>
      <c r="I1922" t="s">
        <v>15</v>
      </c>
      <c r="J1922">
        <v>125</v>
      </c>
      <c r="K1922" t="s">
        <v>40</v>
      </c>
      <c r="L1922">
        <v>128</v>
      </c>
    </row>
    <row r="1923" spans="1:12" x14ac:dyDescent="0.25">
      <c r="A1923">
        <v>400579256</v>
      </c>
      <c r="B1923">
        <v>2015</v>
      </c>
      <c r="C1923" s="1">
        <v>42075</v>
      </c>
      <c r="D1923" t="s">
        <v>15</v>
      </c>
      <c r="E1923">
        <v>0</v>
      </c>
      <c r="F1923">
        <v>40</v>
      </c>
      <c r="G1923">
        <v>24</v>
      </c>
      <c r="H1923">
        <v>1</v>
      </c>
      <c r="I1923" t="s">
        <v>15</v>
      </c>
      <c r="J1923">
        <v>125</v>
      </c>
      <c r="K1923" t="s">
        <v>40</v>
      </c>
      <c r="L1923">
        <v>128</v>
      </c>
    </row>
    <row r="1924" spans="1:12" x14ac:dyDescent="0.25">
      <c r="A1924">
        <v>400579257</v>
      </c>
      <c r="B1924">
        <v>2015</v>
      </c>
      <c r="C1924" s="1">
        <v>42075</v>
      </c>
      <c r="D1924" t="s">
        <v>16</v>
      </c>
      <c r="E1924">
        <v>0</v>
      </c>
      <c r="F1924">
        <v>43</v>
      </c>
      <c r="G1924">
        <v>22</v>
      </c>
      <c r="H1924">
        <v>0</v>
      </c>
      <c r="I1924" t="s">
        <v>34</v>
      </c>
      <c r="J1924">
        <v>109</v>
      </c>
      <c r="K1924" t="s">
        <v>16</v>
      </c>
      <c r="L1924">
        <v>91</v>
      </c>
    </row>
    <row r="1925" spans="1:12" x14ac:dyDescent="0.25">
      <c r="A1925">
        <v>400579257</v>
      </c>
      <c r="B1925">
        <v>2015</v>
      </c>
      <c r="C1925" s="1">
        <v>42075</v>
      </c>
      <c r="D1925" t="s">
        <v>34</v>
      </c>
      <c r="E1925">
        <v>1</v>
      </c>
      <c r="F1925">
        <v>28</v>
      </c>
      <c r="G1925">
        <v>36</v>
      </c>
      <c r="H1925">
        <v>1</v>
      </c>
      <c r="I1925" t="s">
        <v>34</v>
      </c>
      <c r="J1925">
        <v>109</v>
      </c>
      <c r="K1925" t="s">
        <v>16</v>
      </c>
      <c r="L1925">
        <v>91</v>
      </c>
    </row>
    <row r="1926" spans="1:12" x14ac:dyDescent="0.25">
      <c r="A1926">
        <v>400579258</v>
      </c>
      <c r="B1926">
        <v>2015</v>
      </c>
      <c r="C1926" s="1">
        <v>42075</v>
      </c>
      <c r="D1926" t="s">
        <v>17</v>
      </c>
      <c r="E1926">
        <v>0</v>
      </c>
      <c r="F1926">
        <v>17</v>
      </c>
      <c r="G1926">
        <v>47</v>
      </c>
      <c r="H1926">
        <v>1</v>
      </c>
      <c r="I1926" t="s">
        <v>17</v>
      </c>
      <c r="J1926">
        <v>94</v>
      </c>
      <c r="K1926" t="s">
        <v>31</v>
      </c>
      <c r="L1926">
        <v>101</v>
      </c>
    </row>
    <row r="1927" spans="1:12" x14ac:dyDescent="0.25">
      <c r="A1927">
        <v>400579258</v>
      </c>
      <c r="B1927">
        <v>2015</v>
      </c>
      <c r="C1927" s="1">
        <v>42075</v>
      </c>
      <c r="D1927" t="s">
        <v>31</v>
      </c>
      <c r="E1927">
        <v>1</v>
      </c>
      <c r="F1927">
        <v>13</v>
      </c>
      <c r="G1927">
        <v>51</v>
      </c>
      <c r="H1927">
        <v>0</v>
      </c>
      <c r="I1927" t="s">
        <v>17</v>
      </c>
      <c r="J1927">
        <v>94</v>
      </c>
      <c r="K1927" t="s">
        <v>31</v>
      </c>
      <c r="L1927">
        <v>101</v>
      </c>
    </row>
    <row r="1928" spans="1:12" x14ac:dyDescent="0.25">
      <c r="A1928">
        <v>400579259</v>
      </c>
      <c r="B1928">
        <v>2015</v>
      </c>
      <c r="C1928" s="1">
        <v>42076</v>
      </c>
      <c r="D1928" t="s">
        <v>18</v>
      </c>
      <c r="E1928">
        <v>1</v>
      </c>
      <c r="F1928">
        <v>29</v>
      </c>
      <c r="G1928">
        <v>35</v>
      </c>
      <c r="H1928">
        <v>1</v>
      </c>
      <c r="I1928" t="s">
        <v>18</v>
      </c>
      <c r="J1928">
        <v>101</v>
      </c>
      <c r="K1928" t="s">
        <v>30</v>
      </c>
      <c r="L1928">
        <v>91</v>
      </c>
    </row>
    <row r="1929" spans="1:12" x14ac:dyDescent="0.25">
      <c r="A1929">
        <v>400579259</v>
      </c>
      <c r="B1929">
        <v>2015</v>
      </c>
      <c r="C1929" s="1">
        <v>42076</v>
      </c>
      <c r="D1929" t="s">
        <v>30</v>
      </c>
      <c r="E1929">
        <v>0</v>
      </c>
      <c r="F1929">
        <v>40</v>
      </c>
      <c r="G1929">
        <v>27</v>
      </c>
      <c r="H1929">
        <v>0</v>
      </c>
      <c r="I1929" t="s">
        <v>18</v>
      </c>
      <c r="J1929">
        <v>101</v>
      </c>
      <c r="K1929" t="s">
        <v>30</v>
      </c>
      <c r="L1929">
        <v>91</v>
      </c>
    </row>
    <row r="1930" spans="1:12" x14ac:dyDescent="0.25">
      <c r="A1930">
        <v>400579260</v>
      </c>
      <c r="B1930">
        <v>2015</v>
      </c>
      <c r="C1930" s="1">
        <v>42076</v>
      </c>
      <c r="D1930" t="s">
        <v>21</v>
      </c>
      <c r="E1930">
        <v>1</v>
      </c>
      <c r="F1930">
        <v>15</v>
      </c>
      <c r="G1930">
        <v>50</v>
      </c>
      <c r="H1930">
        <v>1</v>
      </c>
      <c r="I1930" t="s">
        <v>21</v>
      </c>
      <c r="J1930">
        <v>114</v>
      </c>
      <c r="K1930" t="s">
        <v>37</v>
      </c>
      <c r="L1930">
        <v>107</v>
      </c>
    </row>
    <row r="1931" spans="1:12" x14ac:dyDescent="0.25">
      <c r="A1931">
        <v>400579260</v>
      </c>
      <c r="B1931">
        <v>2015</v>
      </c>
      <c r="C1931" s="1">
        <v>42076</v>
      </c>
      <c r="D1931" t="s">
        <v>37</v>
      </c>
      <c r="E1931">
        <v>0</v>
      </c>
      <c r="F1931">
        <v>22</v>
      </c>
      <c r="G1931">
        <v>42</v>
      </c>
      <c r="H1931">
        <v>0</v>
      </c>
      <c r="I1931" t="s">
        <v>21</v>
      </c>
      <c r="J1931">
        <v>114</v>
      </c>
      <c r="K1931" t="s">
        <v>37</v>
      </c>
      <c r="L1931">
        <v>107</v>
      </c>
    </row>
    <row r="1932" spans="1:12" x14ac:dyDescent="0.25">
      <c r="A1932">
        <v>400579261</v>
      </c>
      <c r="B1932">
        <v>2015</v>
      </c>
      <c r="C1932" s="1">
        <v>42076</v>
      </c>
      <c r="D1932" t="s">
        <v>22</v>
      </c>
      <c r="E1932">
        <v>1</v>
      </c>
      <c r="F1932">
        <v>28</v>
      </c>
      <c r="G1932">
        <v>36</v>
      </c>
      <c r="H1932">
        <v>1</v>
      </c>
      <c r="I1932" t="s">
        <v>22</v>
      </c>
      <c r="J1932">
        <v>95</v>
      </c>
      <c r="K1932" t="s">
        <v>13</v>
      </c>
      <c r="L1932">
        <v>88</v>
      </c>
    </row>
    <row r="1933" spans="1:12" x14ac:dyDescent="0.25">
      <c r="A1933">
        <v>400579261</v>
      </c>
      <c r="B1933">
        <v>2015</v>
      </c>
      <c r="C1933" s="1">
        <v>42076</v>
      </c>
      <c r="D1933" t="s">
        <v>13</v>
      </c>
      <c r="E1933">
        <v>0</v>
      </c>
      <c r="F1933">
        <v>21</v>
      </c>
      <c r="G1933">
        <v>46</v>
      </c>
      <c r="H1933">
        <v>0</v>
      </c>
      <c r="I1933" t="s">
        <v>22</v>
      </c>
      <c r="J1933">
        <v>95</v>
      </c>
      <c r="K1933" t="s">
        <v>13</v>
      </c>
      <c r="L1933">
        <v>88</v>
      </c>
    </row>
    <row r="1934" spans="1:12" x14ac:dyDescent="0.25">
      <c r="A1934">
        <v>400579262</v>
      </c>
      <c r="B1934">
        <v>2015</v>
      </c>
      <c r="C1934" s="1">
        <v>42076</v>
      </c>
      <c r="D1934" t="s">
        <v>24</v>
      </c>
      <c r="E1934">
        <v>0</v>
      </c>
      <c r="F1934">
        <v>29</v>
      </c>
      <c r="G1934">
        <v>36</v>
      </c>
      <c r="H1934">
        <v>0</v>
      </c>
      <c r="I1934" t="s">
        <v>27</v>
      </c>
      <c r="J1934">
        <v>102</v>
      </c>
      <c r="K1934" t="s">
        <v>24</v>
      </c>
      <c r="L1934">
        <v>92</v>
      </c>
    </row>
    <row r="1935" spans="1:12" x14ac:dyDescent="0.25">
      <c r="A1935">
        <v>400579262</v>
      </c>
      <c r="B1935">
        <v>2015</v>
      </c>
      <c r="C1935" s="1">
        <v>42076</v>
      </c>
      <c r="D1935" t="s">
        <v>27</v>
      </c>
      <c r="E1935">
        <v>1</v>
      </c>
      <c r="F1935">
        <v>39</v>
      </c>
      <c r="G1935">
        <v>26</v>
      </c>
      <c r="H1935">
        <v>1</v>
      </c>
      <c r="I1935" t="s">
        <v>27</v>
      </c>
      <c r="J1935">
        <v>102</v>
      </c>
      <c r="K1935" t="s">
        <v>24</v>
      </c>
      <c r="L1935">
        <v>92</v>
      </c>
    </row>
    <row r="1936" spans="1:12" x14ac:dyDescent="0.25">
      <c r="A1936">
        <v>400579263</v>
      </c>
      <c r="B1936">
        <v>2015</v>
      </c>
      <c r="C1936" s="1">
        <v>42076</v>
      </c>
      <c r="D1936" t="s">
        <v>29</v>
      </c>
      <c r="E1936">
        <v>0</v>
      </c>
      <c r="F1936">
        <v>14</v>
      </c>
      <c r="G1936">
        <v>50</v>
      </c>
      <c r="H1936">
        <v>0</v>
      </c>
      <c r="I1936" t="s">
        <v>38</v>
      </c>
      <c r="J1936">
        <v>113</v>
      </c>
      <c r="K1936" t="s">
        <v>29</v>
      </c>
      <c r="L1936">
        <v>99</v>
      </c>
    </row>
    <row r="1937" spans="1:12" x14ac:dyDescent="0.25">
      <c r="A1937">
        <v>400579263</v>
      </c>
      <c r="B1937">
        <v>2015</v>
      </c>
      <c r="C1937" s="1">
        <v>42076</v>
      </c>
      <c r="D1937" t="s">
        <v>38</v>
      </c>
      <c r="E1937">
        <v>1</v>
      </c>
      <c r="F1937">
        <v>36</v>
      </c>
      <c r="G1937">
        <v>29</v>
      </c>
      <c r="H1937">
        <v>1</v>
      </c>
      <c r="I1937" t="s">
        <v>38</v>
      </c>
      <c r="J1937">
        <v>113</v>
      </c>
      <c r="K1937" t="s">
        <v>29</v>
      </c>
      <c r="L1937">
        <v>99</v>
      </c>
    </row>
    <row r="1938" spans="1:12" x14ac:dyDescent="0.25">
      <c r="A1938">
        <v>400579264</v>
      </c>
      <c r="B1938">
        <v>2015</v>
      </c>
      <c r="C1938" s="1">
        <v>42076</v>
      </c>
      <c r="D1938" t="s">
        <v>14</v>
      </c>
      <c r="E1938">
        <v>1</v>
      </c>
      <c r="F1938">
        <v>42</v>
      </c>
      <c r="G1938">
        <v>25</v>
      </c>
      <c r="H1938">
        <v>1</v>
      </c>
      <c r="I1938" t="s">
        <v>14</v>
      </c>
      <c r="J1938">
        <v>129</v>
      </c>
      <c r="K1938" t="s">
        <v>41</v>
      </c>
      <c r="L1938">
        <v>99</v>
      </c>
    </row>
    <row r="1939" spans="1:12" x14ac:dyDescent="0.25">
      <c r="A1939">
        <v>400579264</v>
      </c>
      <c r="B1939">
        <v>2015</v>
      </c>
      <c r="C1939" s="1">
        <v>42076</v>
      </c>
      <c r="D1939" t="s">
        <v>41</v>
      </c>
      <c r="E1939">
        <v>0</v>
      </c>
      <c r="F1939">
        <v>42</v>
      </c>
      <c r="G1939">
        <v>24</v>
      </c>
      <c r="H1939">
        <v>0</v>
      </c>
      <c r="I1939" t="s">
        <v>14</v>
      </c>
      <c r="J1939">
        <v>129</v>
      </c>
      <c r="K1939" t="s">
        <v>41</v>
      </c>
      <c r="L1939">
        <v>99</v>
      </c>
    </row>
    <row r="1940" spans="1:12" x14ac:dyDescent="0.25">
      <c r="A1940">
        <v>400579265</v>
      </c>
      <c r="B1940">
        <v>2015</v>
      </c>
      <c r="C1940" s="1">
        <v>42076</v>
      </c>
      <c r="D1940" t="s">
        <v>32</v>
      </c>
      <c r="E1940">
        <v>1</v>
      </c>
      <c r="F1940">
        <v>25</v>
      </c>
      <c r="G1940">
        <v>41</v>
      </c>
      <c r="H1940">
        <v>1</v>
      </c>
      <c r="I1940" t="s">
        <v>32</v>
      </c>
      <c r="J1940">
        <v>114</v>
      </c>
      <c r="K1940" t="s">
        <v>36</v>
      </c>
      <c r="L1940">
        <v>103</v>
      </c>
    </row>
    <row r="1941" spans="1:12" x14ac:dyDescent="0.25">
      <c r="A1941">
        <v>400579265</v>
      </c>
      <c r="B1941">
        <v>2015</v>
      </c>
      <c r="C1941" s="1">
        <v>42076</v>
      </c>
      <c r="D1941" t="s">
        <v>36</v>
      </c>
      <c r="E1941">
        <v>0</v>
      </c>
      <c r="F1941">
        <v>51</v>
      </c>
      <c r="G1941">
        <v>13</v>
      </c>
      <c r="H1941">
        <v>0</v>
      </c>
      <c r="I1941" t="s">
        <v>32</v>
      </c>
      <c r="J1941">
        <v>114</v>
      </c>
      <c r="K1941" t="s">
        <v>36</v>
      </c>
      <c r="L1941">
        <v>103</v>
      </c>
    </row>
    <row r="1942" spans="1:12" x14ac:dyDescent="0.25">
      <c r="A1942">
        <v>400579266</v>
      </c>
      <c r="B1942">
        <v>2015</v>
      </c>
      <c r="C1942" s="1">
        <v>42076</v>
      </c>
      <c r="D1942" t="s">
        <v>26</v>
      </c>
      <c r="E1942">
        <v>1</v>
      </c>
      <c r="F1942">
        <v>51</v>
      </c>
      <c r="G1942">
        <v>14</v>
      </c>
      <c r="H1942">
        <v>0</v>
      </c>
      <c r="I1942" t="s">
        <v>35</v>
      </c>
      <c r="J1942">
        <v>87</v>
      </c>
      <c r="K1942" t="s">
        <v>26</v>
      </c>
      <c r="L1942">
        <v>96</v>
      </c>
    </row>
    <row r="1943" spans="1:12" x14ac:dyDescent="0.25">
      <c r="A1943">
        <v>400579266</v>
      </c>
      <c r="B1943">
        <v>2015</v>
      </c>
      <c r="C1943" s="1">
        <v>42076</v>
      </c>
      <c r="D1943" t="s">
        <v>35</v>
      </c>
      <c r="E1943">
        <v>0</v>
      </c>
      <c r="F1943">
        <v>34</v>
      </c>
      <c r="G1943">
        <v>33</v>
      </c>
      <c r="H1943">
        <v>1</v>
      </c>
      <c r="I1943" t="s">
        <v>35</v>
      </c>
      <c r="J1943">
        <v>87</v>
      </c>
      <c r="K1943" t="s">
        <v>26</v>
      </c>
      <c r="L1943">
        <v>96</v>
      </c>
    </row>
    <row r="1944" spans="1:12" x14ac:dyDescent="0.25">
      <c r="A1944">
        <v>400579267</v>
      </c>
      <c r="B1944">
        <v>2015</v>
      </c>
      <c r="C1944" s="1">
        <v>42076</v>
      </c>
      <c r="D1944" t="s">
        <v>33</v>
      </c>
      <c r="E1944">
        <v>0</v>
      </c>
      <c r="F1944">
        <v>23</v>
      </c>
      <c r="G1944">
        <v>42</v>
      </c>
      <c r="H1944">
        <v>0</v>
      </c>
      <c r="I1944" t="s">
        <v>39</v>
      </c>
      <c r="J1944">
        <v>118</v>
      </c>
      <c r="K1944" t="s">
        <v>33</v>
      </c>
      <c r="L1944">
        <v>99</v>
      </c>
    </row>
    <row r="1945" spans="1:12" x14ac:dyDescent="0.25">
      <c r="A1945">
        <v>400579267</v>
      </c>
      <c r="B1945">
        <v>2015</v>
      </c>
      <c r="C1945" s="1">
        <v>42076</v>
      </c>
      <c r="D1945" t="s">
        <v>39</v>
      </c>
      <c r="E1945">
        <v>1</v>
      </c>
      <c r="F1945">
        <v>43</v>
      </c>
      <c r="G1945">
        <v>20</v>
      </c>
      <c r="H1945">
        <v>1</v>
      </c>
      <c r="I1945" t="s">
        <v>39</v>
      </c>
      <c r="J1945">
        <v>118</v>
      </c>
      <c r="K1945" t="s">
        <v>33</v>
      </c>
      <c r="L1945">
        <v>99</v>
      </c>
    </row>
    <row r="1946" spans="1:12" x14ac:dyDescent="0.25">
      <c r="A1946">
        <v>400579268</v>
      </c>
      <c r="B1946">
        <v>2015</v>
      </c>
      <c r="C1946" s="1">
        <v>42077</v>
      </c>
      <c r="D1946" t="s">
        <v>22</v>
      </c>
      <c r="E1946">
        <v>1</v>
      </c>
      <c r="F1946">
        <v>29</v>
      </c>
      <c r="G1946">
        <v>36</v>
      </c>
      <c r="H1946">
        <v>0</v>
      </c>
      <c r="I1946" t="s">
        <v>20</v>
      </c>
      <c r="J1946">
        <v>89</v>
      </c>
      <c r="K1946" t="s">
        <v>22</v>
      </c>
      <c r="L1946">
        <v>93</v>
      </c>
    </row>
    <row r="1947" spans="1:12" x14ac:dyDescent="0.25">
      <c r="A1947">
        <v>400579268</v>
      </c>
      <c r="B1947">
        <v>2015</v>
      </c>
      <c r="C1947" s="1">
        <v>42077</v>
      </c>
      <c r="D1947" t="s">
        <v>20</v>
      </c>
      <c r="E1947">
        <v>0</v>
      </c>
      <c r="F1947">
        <v>30</v>
      </c>
      <c r="G1947">
        <v>35</v>
      </c>
      <c r="H1947">
        <v>1</v>
      </c>
      <c r="I1947" t="s">
        <v>20</v>
      </c>
      <c r="J1947">
        <v>89</v>
      </c>
      <c r="K1947" t="s">
        <v>22</v>
      </c>
      <c r="L1947">
        <v>93</v>
      </c>
    </row>
    <row r="1948" spans="1:12" x14ac:dyDescent="0.25">
      <c r="A1948">
        <v>400579269</v>
      </c>
      <c r="B1948">
        <v>2015</v>
      </c>
      <c r="C1948" s="1">
        <v>42077</v>
      </c>
      <c r="D1948" t="s">
        <v>37</v>
      </c>
      <c r="E1948">
        <v>0</v>
      </c>
      <c r="F1948">
        <v>22</v>
      </c>
      <c r="G1948">
        <v>43</v>
      </c>
      <c r="H1948">
        <v>0</v>
      </c>
      <c r="I1948" t="s">
        <v>25</v>
      </c>
      <c r="J1948">
        <v>113</v>
      </c>
      <c r="K1948" t="s">
        <v>37</v>
      </c>
      <c r="L1948">
        <v>97</v>
      </c>
    </row>
    <row r="1949" spans="1:12" x14ac:dyDescent="0.25">
      <c r="A1949">
        <v>400579269</v>
      </c>
      <c r="B1949">
        <v>2015</v>
      </c>
      <c r="C1949" s="1">
        <v>42077</v>
      </c>
      <c r="D1949" t="s">
        <v>25</v>
      </c>
      <c r="E1949">
        <v>1</v>
      </c>
      <c r="F1949">
        <v>38</v>
      </c>
      <c r="G1949">
        <v>28</v>
      </c>
      <c r="H1949">
        <v>1</v>
      </c>
      <c r="I1949" t="s">
        <v>25</v>
      </c>
      <c r="J1949">
        <v>113</v>
      </c>
      <c r="K1949" t="s">
        <v>37</v>
      </c>
      <c r="L1949">
        <v>97</v>
      </c>
    </row>
    <row r="1950" spans="1:12" x14ac:dyDescent="0.25">
      <c r="A1950">
        <v>400579270</v>
      </c>
      <c r="B1950">
        <v>2015</v>
      </c>
      <c r="C1950" s="1">
        <v>42077</v>
      </c>
      <c r="D1950" t="s">
        <v>23</v>
      </c>
      <c r="E1950">
        <v>1</v>
      </c>
      <c r="F1950">
        <v>26</v>
      </c>
      <c r="G1950">
        <v>38</v>
      </c>
      <c r="H1950">
        <v>0</v>
      </c>
      <c r="I1950" t="s">
        <v>21</v>
      </c>
      <c r="J1950">
        <v>87</v>
      </c>
      <c r="K1950" t="s">
        <v>23</v>
      </c>
      <c r="L1950">
        <v>94</v>
      </c>
    </row>
    <row r="1951" spans="1:12" x14ac:dyDescent="0.25">
      <c r="A1951">
        <v>400579270</v>
      </c>
      <c r="B1951">
        <v>2015</v>
      </c>
      <c r="C1951" s="1">
        <v>42077</v>
      </c>
      <c r="D1951" t="s">
        <v>21</v>
      </c>
      <c r="E1951">
        <v>0</v>
      </c>
      <c r="F1951">
        <v>15</v>
      </c>
      <c r="G1951">
        <v>51</v>
      </c>
      <c r="H1951">
        <v>1</v>
      </c>
      <c r="I1951" t="s">
        <v>21</v>
      </c>
      <c r="J1951">
        <v>87</v>
      </c>
      <c r="K1951" t="s">
        <v>23</v>
      </c>
      <c r="L1951">
        <v>94</v>
      </c>
    </row>
    <row r="1952" spans="1:12" x14ac:dyDescent="0.25">
      <c r="A1952">
        <v>400579271</v>
      </c>
      <c r="B1952">
        <v>2015</v>
      </c>
      <c r="C1952" s="1">
        <v>42077</v>
      </c>
      <c r="D1952" t="s">
        <v>28</v>
      </c>
      <c r="E1952">
        <v>1</v>
      </c>
      <c r="F1952">
        <v>46</v>
      </c>
      <c r="G1952">
        <v>20</v>
      </c>
      <c r="H1952">
        <v>1</v>
      </c>
      <c r="I1952" t="s">
        <v>28</v>
      </c>
      <c r="J1952">
        <v>96</v>
      </c>
      <c r="K1952" t="s">
        <v>19</v>
      </c>
      <c r="L1952">
        <v>83</v>
      </c>
    </row>
    <row r="1953" spans="1:12" x14ac:dyDescent="0.25">
      <c r="A1953">
        <v>400579271</v>
      </c>
      <c r="B1953">
        <v>2015</v>
      </c>
      <c r="C1953" s="1">
        <v>42077</v>
      </c>
      <c r="D1953" t="s">
        <v>19</v>
      </c>
      <c r="E1953">
        <v>0</v>
      </c>
      <c r="F1953">
        <v>34</v>
      </c>
      <c r="G1953">
        <v>32</v>
      </c>
      <c r="H1953">
        <v>0</v>
      </c>
      <c r="I1953" t="s">
        <v>28</v>
      </c>
      <c r="J1953">
        <v>96</v>
      </c>
      <c r="K1953" t="s">
        <v>19</v>
      </c>
      <c r="L1953">
        <v>83</v>
      </c>
    </row>
    <row r="1954" spans="1:12" x14ac:dyDescent="0.25">
      <c r="A1954">
        <v>400579272</v>
      </c>
      <c r="B1954">
        <v>2015</v>
      </c>
      <c r="C1954" s="1">
        <v>42077</v>
      </c>
      <c r="D1954" t="s">
        <v>33</v>
      </c>
      <c r="E1954">
        <v>0</v>
      </c>
      <c r="F1954">
        <v>23</v>
      </c>
      <c r="G1954">
        <v>43</v>
      </c>
      <c r="H1954">
        <v>0</v>
      </c>
      <c r="I1954" t="s">
        <v>34</v>
      </c>
      <c r="J1954">
        <v>88</v>
      </c>
      <c r="K1954" t="s">
        <v>33</v>
      </c>
      <c r="L1954">
        <v>85</v>
      </c>
    </row>
    <row r="1955" spans="1:12" x14ac:dyDescent="0.25">
      <c r="A1955">
        <v>400579272</v>
      </c>
      <c r="B1955">
        <v>2015</v>
      </c>
      <c r="C1955" s="1">
        <v>42077</v>
      </c>
      <c r="D1955" t="s">
        <v>34</v>
      </c>
      <c r="E1955">
        <v>1</v>
      </c>
      <c r="F1955">
        <v>29</v>
      </c>
      <c r="G1955">
        <v>36</v>
      </c>
      <c r="H1955">
        <v>1</v>
      </c>
      <c r="I1955" t="s">
        <v>34</v>
      </c>
      <c r="J1955">
        <v>88</v>
      </c>
      <c r="K1955" t="s">
        <v>33</v>
      </c>
      <c r="L1955">
        <v>85</v>
      </c>
    </row>
    <row r="1956" spans="1:12" x14ac:dyDescent="0.25">
      <c r="A1956">
        <v>400579273</v>
      </c>
      <c r="B1956">
        <v>2015</v>
      </c>
      <c r="C1956" s="1">
        <v>42077</v>
      </c>
      <c r="D1956" t="s">
        <v>36</v>
      </c>
      <c r="E1956">
        <v>1</v>
      </c>
      <c r="F1956">
        <v>52</v>
      </c>
      <c r="G1956">
        <v>13</v>
      </c>
      <c r="H1956">
        <v>1</v>
      </c>
      <c r="I1956" t="s">
        <v>36</v>
      </c>
      <c r="J1956">
        <v>125</v>
      </c>
      <c r="K1956" t="s">
        <v>31</v>
      </c>
      <c r="L1956">
        <v>94</v>
      </c>
    </row>
    <row r="1957" spans="1:12" x14ac:dyDescent="0.25">
      <c r="A1957">
        <v>400579273</v>
      </c>
      <c r="B1957">
        <v>2015</v>
      </c>
      <c r="C1957" s="1">
        <v>42077</v>
      </c>
      <c r="D1957" t="s">
        <v>31</v>
      </c>
      <c r="E1957">
        <v>0</v>
      </c>
      <c r="F1957">
        <v>13</v>
      </c>
      <c r="G1957">
        <v>52</v>
      </c>
      <c r="H1957">
        <v>0</v>
      </c>
      <c r="I1957" t="s">
        <v>36</v>
      </c>
      <c r="J1957">
        <v>125</v>
      </c>
      <c r="K1957" t="s">
        <v>31</v>
      </c>
      <c r="L1957">
        <v>94</v>
      </c>
    </row>
    <row r="1958" spans="1:12" x14ac:dyDescent="0.25">
      <c r="A1958">
        <v>400579274</v>
      </c>
      <c r="B1958">
        <v>2015</v>
      </c>
      <c r="C1958" s="1">
        <v>42078</v>
      </c>
      <c r="D1958" t="s">
        <v>30</v>
      </c>
      <c r="E1958">
        <v>0</v>
      </c>
      <c r="F1958">
        <v>40</v>
      </c>
      <c r="G1958">
        <v>28</v>
      </c>
      <c r="H1958">
        <v>0</v>
      </c>
      <c r="I1958" t="s">
        <v>38</v>
      </c>
      <c r="J1958">
        <v>109</v>
      </c>
      <c r="K1958" t="s">
        <v>30</v>
      </c>
      <c r="L1958">
        <v>100</v>
      </c>
    </row>
    <row r="1959" spans="1:12" x14ac:dyDescent="0.25">
      <c r="A1959">
        <v>400579274</v>
      </c>
      <c r="B1959">
        <v>2015</v>
      </c>
      <c r="C1959" s="1">
        <v>42078</v>
      </c>
      <c r="D1959" t="s">
        <v>38</v>
      </c>
      <c r="E1959">
        <v>1</v>
      </c>
      <c r="F1959">
        <v>37</v>
      </c>
      <c r="G1959">
        <v>29</v>
      </c>
      <c r="H1959">
        <v>1</v>
      </c>
      <c r="I1959" t="s">
        <v>38</v>
      </c>
      <c r="J1959">
        <v>109</v>
      </c>
      <c r="K1959" t="s">
        <v>30</v>
      </c>
      <c r="L1959">
        <v>100</v>
      </c>
    </row>
    <row r="1960" spans="1:12" x14ac:dyDescent="0.25">
      <c r="A1960">
        <v>400579275</v>
      </c>
      <c r="B1960">
        <v>2015</v>
      </c>
      <c r="C1960" s="1">
        <v>42078</v>
      </c>
      <c r="D1960" t="s">
        <v>16</v>
      </c>
      <c r="E1960">
        <v>1</v>
      </c>
      <c r="F1960">
        <v>44</v>
      </c>
      <c r="G1960">
        <v>22</v>
      </c>
      <c r="H1960">
        <v>0</v>
      </c>
      <c r="I1960" t="s">
        <v>41</v>
      </c>
      <c r="J1960">
        <v>98</v>
      </c>
      <c r="K1960" t="s">
        <v>16</v>
      </c>
      <c r="L1960">
        <v>100</v>
      </c>
    </row>
    <row r="1961" spans="1:12" x14ac:dyDescent="0.25">
      <c r="A1961">
        <v>400579275</v>
      </c>
      <c r="B1961">
        <v>2015</v>
      </c>
      <c r="C1961" s="1">
        <v>42078</v>
      </c>
      <c r="D1961" t="s">
        <v>41</v>
      </c>
      <c r="E1961">
        <v>0</v>
      </c>
      <c r="F1961">
        <v>42</v>
      </c>
      <c r="G1961">
        <v>25</v>
      </c>
      <c r="H1961">
        <v>1</v>
      </c>
      <c r="I1961" t="s">
        <v>41</v>
      </c>
      <c r="J1961">
        <v>98</v>
      </c>
      <c r="K1961" t="s">
        <v>16</v>
      </c>
      <c r="L1961">
        <v>100</v>
      </c>
    </row>
    <row r="1962" spans="1:12" x14ac:dyDescent="0.25">
      <c r="A1962">
        <v>400579276</v>
      </c>
      <c r="B1962">
        <v>2015</v>
      </c>
      <c r="C1962" s="1">
        <v>42078</v>
      </c>
      <c r="D1962" t="s">
        <v>32</v>
      </c>
      <c r="E1962">
        <v>1</v>
      </c>
      <c r="F1962">
        <v>26</v>
      </c>
      <c r="G1962">
        <v>41</v>
      </c>
      <c r="H1962">
        <v>0</v>
      </c>
      <c r="I1962" t="s">
        <v>12</v>
      </c>
      <c r="J1962">
        <v>111</v>
      </c>
      <c r="K1962" t="s">
        <v>32</v>
      </c>
      <c r="L1962">
        <v>118</v>
      </c>
    </row>
    <row r="1963" spans="1:12" x14ac:dyDescent="0.25">
      <c r="A1963">
        <v>400579276</v>
      </c>
      <c r="B1963">
        <v>2015</v>
      </c>
      <c r="C1963" s="1">
        <v>42078</v>
      </c>
      <c r="D1963" t="s">
        <v>12</v>
      </c>
      <c r="E1963">
        <v>0</v>
      </c>
      <c r="F1963">
        <v>36</v>
      </c>
      <c r="G1963">
        <v>30</v>
      </c>
      <c r="H1963">
        <v>1</v>
      </c>
      <c r="I1963" t="s">
        <v>12</v>
      </c>
      <c r="J1963">
        <v>111</v>
      </c>
      <c r="K1963" t="s">
        <v>32</v>
      </c>
      <c r="L1963">
        <v>118</v>
      </c>
    </row>
    <row r="1964" spans="1:12" x14ac:dyDescent="0.25">
      <c r="A1964">
        <v>400579277</v>
      </c>
      <c r="B1964">
        <v>2015</v>
      </c>
      <c r="C1964" s="1">
        <v>42078</v>
      </c>
      <c r="D1964" t="s">
        <v>40</v>
      </c>
      <c r="E1964">
        <v>1</v>
      </c>
      <c r="F1964">
        <v>43</v>
      </c>
      <c r="G1964">
        <v>25</v>
      </c>
      <c r="H1964">
        <v>0</v>
      </c>
      <c r="I1964" t="s">
        <v>13</v>
      </c>
      <c r="J1964">
        <v>108</v>
      </c>
      <c r="K1964" t="s">
        <v>40</v>
      </c>
      <c r="L1964">
        <v>123</v>
      </c>
    </row>
    <row r="1965" spans="1:12" x14ac:dyDescent="0.25">
      <c r="A1965">
        <v>400579277</v>
      </c>
      <c r="B1965">
        <v>2015</v>
      </c>
      <c r="C1965" s="1">
        <v>42078</v>
      </c>
      <c r="D1965" t="s">
        <v>13</v>
      </c>
      <c r="E1965">
        <v>0</v>
      </c>
      <c r="F1965">
        <v>21</v>
      </c>
      <c r="G1965">
        <v>47</v>
      </c>
      <c r="H1965">
        <v>1</v>
      </c>
      <c r="I1965" t="s">
        <v>13</v>
      </c>
      <c r="J1965">
        <v>108</v>
      </c>
      <c r="K1965" t="s">
        <v>40</v>
      </c>
      <c r="L1965">
        <v>123</v>
      </c>
    </row>
    <row r="1966" spans="1:12" x14ac:dyDescent="0.25">
      <c r="A1966">
        <v>400579278</v>
      </c>
      <c r="B1966">
        <v>2015</v>
      </c>
      <c r="C1966" s="1">
        <v>42078</v>
      </c>
      <c r="D1966" t="s">
        <v>29</v>
      </c>
      <c r="E1966">
        <v>0</v>
      </c>
      <c r="F1966">
        <v>14</v>
      </c>
      <c r="G1966">
        <v>51</v>
      </c>
      <c r="H1966">
        <v>0</v>
      </c>
      <c r="I1966" t="s">
        <v>15</v>
      </c>
      <c r="J1966">
        <v>123</v>
      </c>
      <c r="K1966" t="s">
        <v>29</v>
      </c>
      <c r="L1966">
        <v>97</v>
      </c>
    </row>
    <row r="1967" spans="1:12" x14ac:dyDescent="0.25">
      <c r="A1967">
        <v>400579278</v>
      </c>
      <c r="B1967">
        <v>2015</v>
      </c>
      <c r="C1967" s="1">
        <v>42078</v>
      </c>
      <c r="D1967" t="s">
        <v>15</v>
      </c>
      <c r="E1967">
        <v>1</v>
      </c>
      <c r="F1967">
        <v>41</v>
      </c>
      <c r="G1967">
        <v>24</v>
      </c>
      <c r="H1967">
        <v>1</v>
      </c>
      <c r="I1967" t="s">
        <v>15</v>
      </c>
      <c r="J1967">
        <v>123</v>
      </c>
      <c r="K1967" t="s">
        <v>29</v>
      </c>
      <c r="L1967">
        <v>97</v>
      </c>
    </row>
    <row r="1968" spans="1:12" x14ac:dyDescent="0.25">
      <c r="A1968">
        <v>400579279</v>
      </c>
      <c r="B1968">
        <v>2015</v>
      </c>
      <c r="C1968" s="1">
        <v>42078</v>
      </c>
      <c r="D1968" t="s">
        <v>39</v>
      </c>
      <c r="E1968">
        <v>1</v>
      </c>
      <c r="F1968">
        <v>44</v>
      </c>
      <c r="G1968">
        <v>20</v>
      </c>
      <c r="H1968">
        <v>0</v>
      </c>
      <c r="I1968" t="s">
        <v>27</v>
      </c>
      <c r="J1968">
        <v>97</v>
      </c>
      <c r="K1968" t="s">
        <v>39</v>
      </c>
      <c r="L1968">
        <v>113</v>
      </c>
    </row>
    <row r="1969" spans="1:12" x14ac:dyDescent="0.25">
      <c r="A1969">
        <v>400579279</v>
      </c>
      <c r="B1969">
        <v>2015</v>
      </c>
      <c r="C1969" s="1">
        <v>42078</v>
      </c>
      <c r="D1969" t="s">
        <v>27</v>
      </c>
      <c r="E1969">
        <v>0</v>
      </c>
      <c r="F1969">
        <v>39</v>
      </c>
      <c r="G1969">
        <v>27</v>
      </c>
      <c r="H1969">
        <v>1</v>
      </c>
      <c r="I1969" t="s">
        <v>27</v>
      </c>
      <c r="J1969">
        <v>97</v>
      </c>
      <c r="K1969" t="s">
        <v>39</v>
      </c>
      <c r="L1969">
        <v>113</v>
      </c>
    </row>
    <row r="1970" spans="1:12" x14ac:dyDescent="0.25">
      <c r="A1970">
        <v>400579280</v>
      </c>
      <c r="B1970">
        <v>2015</v>
      </c>
      <c r="C1970" s="1">
        <v>42078</v>
      </c>
      <c r="D1970" t="s">
        <v>31</v>
      </c>
      <c r="E1970">
        <v>0</v>
      </c>
      <c r="F1970">
        <v>13</v>
      </c>
      <c r="G1970">
        <v>53</v>
      </c>
      <c r="H1970">
        <v>0</v>
      </c>
      <c r="I1970" t="s">
        <v>35</v>
      </c>
      <c r="J1970">
        <v>102</v>
      </c>
      <c r="K1970" t="s">
        <v>31</v>
      </c>
      <c r="L1970">
        <v>89</v>
      </c>
    </row>
    <row r="1971" spans="1:12" x14ac:dyDescent="0.25">
      <c r="A1971">
        <v>400579280</v>
      </c>
      <c r="B1971">
        <v>2015</v>
      </c>
      <c r="C1971" s="1">
        <v>42078</v>
      </c>
      <c r="D1971" t="s">
        <v>35</v>
      </c>
      <c r="E1971">
        <v>1</v>
      </c>
      <c r="F1971">
        <v>35</v>
      </c>
      <c r="G1971">
        <v>33</v>
      </c>
      <c r="H1971">
        <v>1</v>
      </c>
      <c r="I1971" t="s">
        <v>35</v>
      </c>
      <c r="J1971">
        <v>102</v>
      </c>
      <c r="K1971" t="s">
        <v>31</v>
      </c>
      <c r="L1971">
        <v>89</v>
      </c>
    </row>
    <row r="1972" spans="1:12" x14ac:dyDescent="0.25">
      <c r="A1972">
        <v>400579281</v>
      </c>
      <c r="B1972">
        <v>2015</v>
      </c>
      <c r="C1972" s="1">
        <v>42078</v>
      </c>
      <c r="D1972" t="s">
        <v>26</v>
      </c>
      <c r="E1972">
        <v>1</v>
      </c>
      <c r="F1972">
        <v>52</v>
      </c>
      <c r="G1972">
        <v>14</v>
      </c>
      <c r="H1972">
        <v>0</v>
      </c>
      <c r="I1972" t="s">
        <v>17</v>
      </c>
      <c r="J1972">
        <v>86</v>
      </c>
      <c r="K1972" t="s">
        <v>26</v>
      </c>
      <c r="L1972">
        <v>91</v>
      </c>
    </row>
    <row r="1973" spans="1:12" x14ac:dyDescent="0.25">
      <c r="A1973">
        <v>400579281</v>
      </c>
      <c r="B1973">
        <v>2015</v>
      </c>
      <c r="C1973" s="1">
        <v>42078</v>
      </c>
      <c r="D1973" t="s">
        <v>17</v>
      </c>
      <c r="E1973">
        <v>0</v>
      </c>
      <c r="F1973">
        <v>17</v>
      </c>
      <c r="G1973">
        <v>48</v>
      </c>
      <c r="H1973">
        <v>1</v>
      </c>
      <c r="I1973" t="s">
        <v>17</v>
      </c>
      <c r="J1973">
        <v>86</v>
      </c>
      <c r="K1973" t="s">
        <v>26</v>
      </c>
      <c r="L1973">
        <v>91</v>
      </c>
    </row>
    <row r="1974" spans="1:12" x14ac:dyDescent="0.25">
      <c r="A1974">
        <v>400579282</v>
      </c>
      <c r="B1974">
        <v>2015</v>
      </c>
      <c r="C1974" s="1">
        <v>42079</v>
      </c>
      <c r="D1974" t="s">
        <v>20</v>
      </c>
      <c r="E1974">
        <v>0</v>
      </c>
      <c r="F1974">
        <v>30</v>
      </c>
      <c r="G1974">
        <v>36</v>
      </c>
      <c r="H1974">
        <v>1</v>
      </c>
      <c r="I1974" t="s">
        <v>20</v>
      </c>
      <c r="J1974">
        <v>98</v>
      </c>
      <c r="K1974" t="s">
        <v>27</v>
      </c>
      <c r="L1974">
        <v>117</v>
      </c>
    </row>
    <row r="1975" spans="1:12" x14ac:dyDescent="0.25">
      <c r="A1975">
        <v>400579282</v>
      </c>
      <c r="B1975">
        <v>2015</v>
      </c>
      <c r="C1975" s="1">
        <v>42079</v>
      </c>
      <c r="D1975" t="s">
        <v>27</v>
      </c>
      <c r="E1975">
        <v>1</v>
      </c>
      <c r="F1975">
        <v>40</v>
      </c>
      <c r="G1975">
        <v>27</v>
      </c>
      <c r="H1975">
        <v>0</v>
      </c>
      <c r="I1975" t="s">
        <v>20</v>
      </c>
      <c r="J1975">
        <v>98</v>
      </c>
      <c r="K1975" t="s">
        <v>27</v>
      </c>
      <c r="L1975">
        <v>117</v>
      </c>
    </row>
    <row r="1976" spans="1:12" x14ac:dyDescent="0.25">
      <c r="A1976">
        <v>400579283</v>
      </c>
      <c r="B1976">
        <v>2015</v>
      </c>
      <c r="C1976" s="1">
        <v>42079</v>
      </c>
      <c r="D1976" t="s">
        <v>39</v>
      </c>
      <c r="E1976">
        <v>0</v>
      </c>
      <c r="F1976">
        <v>44</v>
      </c>
      <c r="G1976">
        <v>21</v>
      </c>
      <c r="H1976">
        <v>0</v>
      </c>
      <c r="I1976" t="s">
        <v>25</v>
      </c>
      <c r="J1976">
        <v>105</v>
      </c>
      <c r="K1976" t="s">
        <v>39</v>
      </c>
      <c r="L1976">
        <v>97</v>
      </c>
    </row>
    <row r="1977" spans="1:12" x14ac:dyDescent="0.25">
      <c r="A1977">
        <v>400579283</v>
      </c>
      <c r="B1977">
        <v>2015</v>
      </c>
      <c r="C1977" s="1">
        <v>42079</v>
      </c>
      <c r="D1977" t="s">
        <v>25</v>
      </c>
      <c r="E1977">
        <v>1</v>
      </c>
      <c r="F1977">
        <v>39</v>
      </c>
      <c r="G1977">
        <v>28</v>
      </c>
      <c r="H1977">
        <v>1</v>
      </c>
      <c r="I1977" t="s">
        <v>25</v>
      </c>
      <c r="J1977">
        <v>105</v>
      </c>
      <c r="K1977" t="s">
        <v>39</v>
      </c>
      <c r="L1977">
        <v>97</v>
      </c>
    </row>
    <row r="1978" spans="1:12" x14ac:dyDescent="0.25">
      <c r="A1978">
        <v>400579284</v>
      </c>
      <c r="B1978">
        <v>2015</v>
      </c>
      <c r="C1978" s="1">
        <v>42079</v>
      </c>
      <c r="D1978" t="s">
        <v>22</v>
      </c>
      <c r="E1978">
        <v>1</v>
      </c>
      <c r="F1978">
        <v>30</v>
      </c>
      <c r="G1978">
        <v>36</v>
      </c>
      <c r="H1978">
        <v>1</v>
      </c>
      <c r="I1978" t="s">
        <v>22</v>
      </c>
      <c r="J1978">
        <v>108</v>
      </c>
      <c r="K1978" t="s">
        <v>21</v>
      </c>
      <c r="L1978">
        <v>89</v>
      </c>
    </row>
    <row r="1979" spans="1:12" x14ac:dyDescent="0.25">
      <c r="A1979">
        <v>400579284</v>
      </c>
      <c r="B1979">
        <v>2015</v>
      </c>
      <c r="C1979" s="1">
        <v>42079</v>
      </c>
      <c r="D1979" t="s">
        <v>21</v>
      </c>
      <c r="E1979">
        <v>0</v>
      </c>
      <c r="F1979">
        <v>15</v>
      </c>
      <c r="G1979">
        <v>52</v>
      </c>
      <c r="H1979">
        <v>0</v>
      </c>
      <c r="I1979" t="s">
        <v>22</v>
      </c>
      <c r="J1979">
        <v>108</v>
      </c>
      <c r="K1979" t="s">
        <v>21</v>
      </c>
      <c r="L1979">
        <v>89</v>
      </c>
    </row>
    <row r="1980" spans="1:12" x14ac:dyDescent="0.25">
      <c r="A1980">
        <v>400579285</v>
      </c>
      <c r="B1980">
        <v>2015</v>
      </c>
      <c r="C1980" s="1">
        <v>42079</v>
      </c>
      <c r="D1980" t="s">
        <v>32</v>
      </c>
      <c r="E1980">
        <v>0</v>
      </c>
      <c r="F1980">
        <v>26</v>
      </c>
      <c r="G1980">
        <v>42</v>
      </c>
      <c r="H1980">
        <v>0</v>
      </c>
      <c r="I1980" t="s">
        <v>28</v>
      </c>
      <c r="J1980">
        <v>92</v>
      </c>
      <c r="K1980" t="s">
        <v>32</v>
      </c>
      <c r="L1980">
        <v>81</v>
      </c>
    </row>
    <row r="1981" spans="1:12" x14ac:dyDescent="0.25">
      <c r="A1981">
        <v>400579285</v>
      </c>
      <c r="B1981">
        <v>2015</v>
      </c>
      <c r="C1981" s="1">
        <v>42079</v>
      </c>
      <c r="D1981" t="s">
        <v>28</v>
      </c>
      <c r="E1981">
        <v>1</v>
      </c>
      <c r="F1981">
        <v>47</v>
      </c>
      <c r="G1981">
        <v>20</v>
      </c>
      <c r="H1981">
        <v>1</v>
      </c>
      <c r="I1981" t="s">
        <v>28</v>
      </c>
      <c r="J1981">
        <v>92</v>
      </c>
      <c r="K1981" t="s">
        <v>32</v>
      </c>
      <c r="L1981">
        <v>81</v>
      </c>
    </row>
    <row r="1982" spans="1:12" x14ac:dyDescent="0.25">
      <c r="A1982">
        <v>400579286</v>
      </c>
      <c r="B1982">
        <v>2015</v>
      </c>
      <c r="C1982" s="1">
        <v>42079</v>
      </c>
      <c r="D1982" t="s">
        <v>23</v>
      </c>
      <c r="E1982">
        <v>1</v>
      </c>
      <c r="F1982">
        <v>27</v>
      </c>
      <c r="G1982">
        <v>38</v>
      </c>
      <c r="H1982">
        <v>0</v>
      </c>
      <c r="I1982" t="s">
        <v>29</v>
      </c>
      <c r="J1982">
        <v>106</v>
      </c>
      <c r="K1982" t="s">
        <v>23</v>
      </c>
      <c r="L1982">
        <v>122</v>
      </c>
    </row>
    <row r="1983" spans="1:12" x14ac:dyDescent="0.25">
      <c r="A1983">
        <v>400579286</v>
      </c>
      <c r="B1983">
        <v>2015</v>
      </c>
      <c r="C1983" s="1">
        <v>42079</v>
      </c>
      <c r="D1983" t="s">
        <v>29</v>
      </c>
      <c r="E1983">
        <v>0</v>
      </c>
      <c r="F1983">
        <v>14</v>
      </c>
      <c r="G1983">
        <v>52</v>
      </c>
      <c r="H1983">
        <v>1</v>
      </c>
      <c r="I1983" t="s">
        <v>29</v>
      </c>
      <c r="J1983">
        <v>106</v>
      </c>
      <c r="K1983" t="s">
        <v>23</v>
      </c>
      <c r="L1983">
        <v>122</v>
      </c>
    </row>
    <row r="1984" spans="1:12" x14ac:dyDescent="0.25">
      <c r="A1984">
        <v>400579287</v>
      </c>
      <c r="B1984">
        <v>2015</v>
      </c>
      <c r="C1984" s="1">
        <v>42079</v>
      </c>
      <c r="D1984" t="s">
        <v>40</v>
      </c>
      <c r="E1984">
        <v>0</v>
      </c>
      <c r="F1984">
        <v>43</v>
      </c>
      <c r="G1984">
        <v>26</v>
      </c>
      <c r="H1984">
        <v>0</v>
      </c>
      <c r="I1984" t="s">
        <v>24</v>
      </c>
      <c r="J1984">
        <v>106</v>
      </c>
      <c r="K1984" t="s">
        <v>40</v>
      </c>
      <c r="L1984">
        <v>92</v>
      </c>
    </row>
    <row r="1985" spans="1:12" x14ac:dyDescent="0.25">
      <c r="A1985">
        <v>400579287</v>
      </c>
      <c r="B1985">
        <v>2015</v>
      </c>
      <c r="C1985" s="1">
        <v>42079</v>
      </c>
      <c r="D1985" t="s">
        <v>24</v>
      </c>
      <c r="E1985">
        <v>1</v>
      </c>
      <c r="F1985">
        <v>30</v>
      </c>
      <c r="G1985">
        <v>36</v>
      </c>
      <c r="H1985">
        <v>1</v>
      </c>
      <c r="I1985" t="s">
        <v>24</v>
      </c>
      <c r="J1985">
        <v>106</v>
      </c>
      <c r="K1985" t="s">
        <v>40</v>
      </c>
      <c r="L1985">
        <v>92</v>
      </c>
    </row>
    <row r="1986" spans="1:12" x14ac:dyDescent="0.25">
      <c r="A1986">
        <v>400579288</v>
      </c>
      <c r="B1986">
        <v>2015</v>
      </c>
      <c r="C1986" s="1">
        <v>42079</v>
      </c>
      <c r="D1986" t="s">
        <v>14</v>
      </c>
      <c r="E1986">
        <v>1</v>
      </c>
      <c r="F1986">
        <v>43</v>
      </c>
      <c r="G1986">
        <v>25</v>
      </c>
      <c r="H1986">
        <v>1</v>
      </c>
      <c r="I1986" t="s">
        <v>14</v>
      </c>
      <c r="J1986">
        <v>119</v>
      </c>
      <c r="K1986" t="s">
        <v>38</v>
      </c>
      <c r="L1986">
        <v>115</v>
      </c>
    </row>
    <row r="1987" spans="1:12" x14ac:dyDescent="0.25">
      <c r="A1987">
        <v>400579288</v>
      </c>
      <c r="B1987">
        <v>2015</v>
      </c>
      <c r="C1987" s="1">
        <v>42079</v>
      </c>
      <c r="D1987" t="s">
        <v>38</v>
      </c>
      <c r="E1987">
        <v>0</v>
      </c>
      <c r="F1987">
        <v>37</v>
      </c>
      <c r="G1987">
        <v>30</v>
      </c>
      <c r="H1987">
        <v>0</v>
      </c>
      <c r="I1987" t="s">
        <v>14</v>
      </c>
      <c r="J1987">
        <v>119</v>
      </c>
      <c r="K1987" t="s">
        <v>38</v>
      </c>
      <c r="L1987">
        <v>115</v>
      </c>
    </row>
    <row r="1988" spans="1:12" x14ac:dyDescent="0.25">
      <c r="A1988">
        <v>400579289</v>
      </c>
      <c r="B1988">
        <v>2015</v>
      </c>
      <c r="C1988" s="1">
        <v>42079</v>
      </c>
      <c r="D1988" t="s">
        <v>18</v>
      </c>
      <c r="E1988">
        <v>0</v>
      </c>
      <c r="F1988">
        <v>29</v>
      </c>
      <c r="G1988">
        <v>36</v>
      </c>
      <c r="H1988">
        <v>0</v>
      </c>
      <c r="I1988" t="s">
        <v>34</v>
      </c>
      <c r="J1988">
        <v>94</v>
      </c>
      <c r="K1988" t="s">
        <v>18</v>
      </c>
      <c r="L1988">
        <v>66</v>
      </c>
    </row>
    <row r="1989" spans="1:12" x14ac:dyDescent="0.25">
      <c r="A1989">
        <v>400579289</v>
      </c>
      <c r="B1989">
        <v>2015</v>
      </c>
      <c r="C1989" s="1">
        <v>42079</v>
      </c>
      <c r="D1989" t="s">
        <v>34</v>
      </c>
      <c r="E1989">
        <v>1</v>
      </c>
      <c r="F1989">
        <v>30</v>
      </c>
      <c r="G1989">
        <v>36</v>
      </c>
      <c r="H1989">
        <v>1</v>
      </c>
      <c r="I1989" t="s">
        <v>34</v>
      </c>
      <c r="J1989">
        <v>94</v>
      </c>
      <c r="K1989" t="s">
        <v>18</v>
      </c>
      <c r="L1989">
        <v>66</v>
      </c>
    </row>
    <row r="1990" spans="1:12" x14ac:dyDescent="0.25">
      <c r="A1990">
        <v>400579290</v>
      </c>
      <c r="B1990">
        <v>2015</v>
      </c>
      <c r="C1990" s="1">
        <v>42079</v>
      </c>
      <c r="D1990" t="s">
        <v>26</v>
      </c>
      <c r="E1990">
        <v>1</v>
      </c>
      <c r="F1990">
        <v>53</v>
      </c>
      <c r="G1990">
        <v>14</v>
      </c>
      <c r="H1990">
        <v>0</v>
      </c>
      <c r="I1990" t="s">
        <v>37</v>
      </c>
      <c r="J1990">
        <v>103</v>
      </c>
      <c r="K1990" t="s">
        <v>26</v>
      </c>
      <c r="L1990">
        <v>110</v>
      </c>
    </row>
    <row r="1991" spans="1:12" x14ac:dyDescent="0.25">
      <c r="A1991">
        <v>400579290</v>
      </c>
      <c r="B1991">
        <v>2015</v>
      </c>
      <c r="C1991" s="1">
        <v>42079</v>
      </c>
      <c r="D1991" t="s">
        <v>37</v>
      </c>
      <c r="E1991">
        <v>0</v>
      </c>
      <c r="F1991">
        <v>22</v>
      </c>
      <c r="G1991">
        <v>44</v>
      </c>
      <c r="H1991">
        <v>1</v>
      </c>
      <c r="I1991" t="s">
        <v>37</v>
      </c>
      <c r="J1991">
        <v>103</v>
      </c>
      <c r="K1991" t="s">
        <v>26</v>
      </c>
      <c r="L1991">
        <v>110</v>
      </c>
    </row>
    <row r="1992" spans="1:12" x14ac:dyDescent="0.25">
      <c r="A1992">
        <v>400579291</v>
      </c>
      <c r="B1992">
        <v>2015</v>
      </c>
      <c r="C1992" s="1">
        <v>42079</v>
      </c>
      <c r="D1992" t="s">
        <v>36</v>
      </c>
      <c r="E1992">
        <v>1</v>
      </c>
      <c r="F1992">
        <v>53</v>
      </c>
      <c r="G1992">
        <v>13</v>
      </c>
      <c r="H1992">
        <v>1</v>
      </c>
      <c r="I1992" t="s">
        <v>36</v>
      </c>
      <c r="J1992">
        <v>108</v>
      </c>
      <c r="K1992" t="s">
        <v>17</v>
      </c>
      <c r="L1992">
        <v>105</v>
      </c>
    </row>
    <row r="1993" spans="1:12" x14ac:dyDescent="0.25">
      <c r="A1993">
        <v>400579291</v>
      </c>
      <c r="B1993">
        <v>2015</v>
      </c>
      <c r="C1993" s="1">
        <v>42079</v>
      </c>
      <c r="D1993" t="s">
        <v>17</v>
      </c>
      <c r="E1993">
        <v>0</v>
      </c>
      <c r="F1993">
        <v>17</v>
      </c>
      <c r="G1993">
        <v>49</v>
      </c>
      <c r="H1993">
        <v>0</v>
      </c>
      <c r="I1993" t="s">
        <v>36</v>
      </c>
      <c r="J1993">
        <v>108</v>
      </c>
      <c r="K1993" t="s">
        <v>17</v>
      </c>
      <c r="L1993">
        <v>105</v>
      </c>
    </row>
    <row r="1994" spans="1:12" x14ac:dyDescent="0.25">
      <c r="A1994">
        <v>400579292</v>
      </c>
      <c r="B1994">
        <v>2015</v>
      </c>
      <c r="C1994" s="1">
        <v>42080</v>
      </c>
      <c r="D1994" t="s">
        <v>33</v>
      </c>
      <c r="E1994">
        <v>1</v>
      </c>
      <c r="F1994">
        <v>24</v>
      </c>
      <c r="G1994">
        <v>43</v>
      </c>
      <c r="H1994">
        <v>1</v>
      </c>
      <c r="I1994" t="s">
        <v>33</v>
      </c>
      <c r="J1994">
        <v>105</v>
      </c>
      <c r="K1994" t="s">
        <v>28</v>
      </c>
      <c r="L1994">
        <v>95</v>
      </c>
    </row>
    <row r="1995" spans="1:12" x14ac:dyDescent="0.25">
      <c r="A1995">
        <v>400579292</v>
      </c>
      <c r="B1995">
        <v>2015</v>
      </c>
      <c r="C1995" s="1">
        <v>42080</v>
      </c>
      <c r="D1995" t="s">
        <v>28</v>
      </c>
      <c r="E1995">
        <v>0</v>
      </c>
      <c r="F1995">
        <v>47</v>
      </c>
      <c r="G1995">
        <v>21</v>
      </c>
      <c r="H1995">
        <v>0</v>
      </c>
      <c r="I1995" t="s">
        <v>33</v>
      </c>
      <c r="J1995">
        <v>105</v>
      </c>
      <c r="K1995" t="s">
        <v>28</v>
      </c>
      <c r="L1995">
        <v>95</v>
      </c>
    </row>
    <row r="1996" spans="1:12" x14ac:dyDescent="0.25">
      <c r="A1996">
        <v>400579293</v>
      </c>
      <c r="B1996">
        <v>2015</v>
      </c>
      <c r="C1996" s="1">
        <v>42080</v>
      </c>
      <c r="D1996" t="s">
        <v>31</v>
      </c>
      <c r="E1996">
        <v>1</v>
      </c>
      <c r="F1996">
        <v>14</v>
      </c>
      <c r="G1996">
        <v>53</v>
      </c>
      <c r="H1996">
        <v>1</v>
      </c>
      <c r="I1996" t="s">
        <v>31</v>
      </c>
      <c r="J1996">
        <v>104</v>
      </c>
      <c r="K1996" t="s">
        <v>15</v>
      </c>
      <c r="L1996">
        <v>100</v>
      </c>
    </row>
    <row r="1997" spans="1:12" x14ac:dyDescent="0.25">
      <c r="A1997">
        <v>400579293</v>
      </c>
      <c r="B1997">
        <v>2015</v>
      </c>
      <c r="C1997" s="1">
        <v>42080</v>
      </c>
      <c r="D1997" t="s">
        <v>15</v>
      </c>
      <c r="E1997">
        <v>0</v>
      </c>
      <c r="F1997">
        <v>41</v>
      </c>
      <c r="G1997">
        <v>25</v>
      </c>
      <c r="H1997">
        <v>0</v>
      </c>
      <c r="I1997" t="s">
        <v>31</v>
      </c>
      <c r="J1997">
        <v>104</v>
      </c>
      <c r="K1997" t="s">
        <v>15</v>
      </c>
      <c r="L1997">
        <v>100</v>
      </c>
    </row>
    <row r="1998" spans="1:12" x14ac:dyDescent="0.25">
      <c r="A1998">
        <v>400579294</v>
      </c>
      <c r="B1998">
        <v>2015</v>
      </c>
      <c r="C1998" s="1">
        <v>42080</v>
      </c>
      <c r="D1998" t="s">
        <v>16</v>
      </c>
      <c r="E1998">
        <v>1</v>
      </c>
      <c r="F1998">
        <v>45</v>
      </c>
      <c r="G1998">
        <v>22</v>
      </c>
      <c r="H1998">
        <v>1</v>
      </c>
      <c r="I1998" t="s">
        <v>16</v>
      </c>
      <c r="J1998">
        <v>107</v>
      </c>
      <c r="K1998" t="s">
        <v>13</v>
      </c>
      <c r="L1998">
        <v>94</v>
      </c>
    </row>
    <row r="1999" spans="1:12" x14ac:dyDescent="0.25">
      <c r="A1999">
        <v>400579294</v>
      </c>
      <c r="B1999">
        <v>2015</v>
      </c>
      <c r="C1999" s="1">
        <v>42080</v>
      </c>
      <c r="D1999" t="s">
        <v>13</v>
      </c>
      <c r="E1999">
        <v>0</v>
      </c>
      <c r="F1999">
        <v>21</v>
      </c>
      <c r="G1999">
        <v>48</v>
      </c>
      <c r="H1999">
        <v>0</v>
      </c>
      <c r="I1999" t="s">
        <v>16</v>
      </c>
      <c r="J1999">
        <v>107</v>
      </c>
      <c r="K1999" t="s">
        <v>13</v>
      </c>
      <c r="L1999">
        <v>94</v>
      </c>
    </row>
    <row r="2000" spans="1:12" x14ac:dyDescent="0.25">
      <c r="A2000">
        <v>400579295</v>
      </c>
      <c r="B2000">
        <v>2015</v>
      </c>
      <c r="C2000" s="1">
        <v>42080</v>
      </c>
      <c r="D2000" t="s">
        <v>19</v>
      </c>
      <c r="E2000">
        <v>0</v>
      </c>
      <c r="F2000">
        <v>34</v>
      </c>
      <c r="G2000">
        <v>33</v>
      </c>
      <c r="H2000">
        <v>0</v>
      </c>
      <c r="I2000" t="s">
        <v>12</v>
      </c>
      <c r="J2000">
        <v>85</v>
      </c>
      <c r="K2000" t="s">
        <v>19</v>
      </c>
      <c r="L2000">
        <v>84</v>
      </c>
    </row>
    <row r="2001" spans="1:12" x14ac:dyDescent="0.25">
      <c r="A2001">
        <v>400579295</v>
      </c>
      <c r="B2001">
        <v>2015</v>
      </c>
      <c r="C2001" s="1">
        <v>42080</v>
      </c>
      <c r="D2001" t="s">
        <v>12</v>
      </c>
      <c r="E2001">
        <v>1</v>
      </c>
      <c r="F2001">
        <v>37</v>
      </c>
      <c r="G2001">
        <v>30</v>
      </c>
      <c r="H2001">
        <v>1</v>
      </c>
      <c r="I2001" t="s">
        <v>12</v>
      </c>
      <c r="J2001">
        <v>85</v>
      </c>
      <c r="K2001" t="s">
        <v>19</v>
      </c>
      <c r="L2001">
        <v>84</v>
      </c>
    </row>
    <row r="2002" spans="1:12" x14ac:dyDescent="0.25">
      <c r="A2002">
        <v>400579296</v>
      </c>
      <c r="B2002">
        <v>2015</v>
      </c>
      <c r="C2002" s="1">
        <v>42080</v>
      </c>
      <c r="D2002" t="s">
        <v>18</v>
      </c>
      <c r="E2002">
        <v>0</v>
      </c>
      <c r="F2002">
        <v>29</v>
      </c>
      <c r="G2002">
        <v>37</v>
      </c>
      <c r="H2002">
        <v>0</v>
      </c>
      <c r="I2002" t="s">
        <v>41</v>
      </c>
      <c r="J2002">
        <v>99</v>
      </c>
      <c r="K2002" t="s">
        <v>18</v>
      </c>
      <c r="L2002">
        <v>92</v>
      </c>
    </row>
    <row r="2003" spans="1:12" x14ac:dyDescent="0.25">
      <c r="A2003">
        <v>400579296</v>
      </c>
      <c r="B2003">
        <v>2015</v>
      </c>
      <c r="C2003" s="1">
        <v>42080</v>
      </c>
      <c r="D2003" t="s">
        <v>41</v>
      </c>
      <c r="E2003">
        <v>1</v>
      </c>
      <c r="F2003">
        <v>43</v>
      </c>
      <c r="G2003">
        <v>25</v>
      </c>
      <c r="H2003">
        <v>1</v>
      </c>
      <c r="I2003" t="s">
        <v>41</v>
      </c>
      <c r="J2003">
        <v>99</v>
      </c>
      <c r="K2003" t="s">
        <v>18</v>
      </c>
      <c r="L2003">
        <v>92</v>
      </c>
    </row>
    <row r="2004" spans="1:12" x14ac:dyDescent="0.25">
      <c r="A2004">
        <v>400579297</v>
      </c>
      <c r="B2004">
        <v>2015</v>
      </c>
      <c r="C2004" s="1">
        <v>42081</v>
      </c>
      <c r="D2004" t="s">
        <v>23</v>
      </c>
      <c r="E2004">
        <v>0</v>
      </c>
      <c r="F2004">
        <v>27</v>
      </c>
      <c r="G2004">
        <v>39</v>
      </c>
      <c r="H2004">
        <v>0</v>
      </c>
      <c r="I2004" t="s">
        <v>40</v>
      </c>
      <c r="J2004">
        <v>117</v>
      </c>
      <c r="K2004" t="s">
        <v>23</v>
      </c>
      <c r="L2004">
        <v>92</v>
      </c>
    </row>
    <row r="2005" spans="1:12" x14ac:dyDescent="0.25">
      <c r="A2005">
        <v>400579297</v>
      </c>
      <c r="B2005">
        <v>2015</v>
      </c>
      <c r="C2005" s="1">
        <v>42081</v>
      </c>
      <c r="D2005" t="s">
        <v>40</v>
      </c>
      <c r="E2005">
        <v>1</v>
      </c>
      <c r="F2005">
        <v>44</v>
      </c>
      <c r="G2005">
        <v>26</v>
      </c>
      <c r="H2005">
        <v>1</v>
      </c>
      <c r="I2005" t="s">
        <v>40</v>
      </c>
      <c r="J2005">
        <v>117</v>
      </c>
      <c r="K2005" t="s">
        <v>23</v>
      </c>
      <c r="L2005">
        <v>92</v>
      </c>
    </row>
    <row r="2006" spans="1:12" x14ac:dyDescent="0.25">
      <c r="A2006">
        <v>400579298</v>
      </c>
      <c r="B2006">
        <v>2015</v>
      </c>
      <c r="C2006" s="1">
        <v>42081</v>
      </c>
      <c r="D2006" t="s">
        <v>33</v>
      </c>
      <c r="E2006">
        <v>0</v>
      </c>
      <c r="F2006">
        <v>24</v>
      </c>
      <c r="G2006">
        <v>44</v>
      </c>
      <c r="H2006">
        <v>0</v>
      </c>
      <c r="I2006" t="s">
        <v>21</v>
      </c>
      <c r="J2006">
        <v>94</v>
      </c>
      <c r="K2006" t="s">
        <v>33</v>
      </c>
      <c r="L2006">
        <v>83</v>
      </c>
    </row>
    <row r="2007" spans="1:12" x14ac:dyDescent="0.25">
      <c r="A2007">
        <v>400579298</v>
      </c>
      <c r="B2007">
        <v>2015</v>
      </c>
      <c r="C2007" s="1">
        <v>42081</v>
      </c>
      <c r="D2007" t="s">
        <v>21</v>
      </c>
      <c r="E2007">
        <v>1</v>
      </c>
      <c r="F2007">
        <v>16</v>
      </c>
      <c r="G2007">
        <v>52</v>
      </c>
      <c r="H2007">
        <v>1</v>
      </c>
      <c r="I2007" t="s">
        <v>21</v>
      </c>
      <c r="J2007">
        <v>94</v>
      </c>
      <c r="K2007" t="s">
        <v>33</v>
      </c>
      <c r="L2007">
        <v>83</v>
      </c>
    </row>
    <row r="2008" spans="1:12" x14ac:dyDescent="0.25">
      <c r="A2008">
        <v>400579299</v>
      </c>
      <c r="B2008">
        <v>2015</v>
      </c>
      <c r="C2008" s="1">
        <v>42081</v>
      </c>
      <c r="D2008" t="s">
        <v>24</v>
      </c>
      <c r="E2008">
        <v>1</v>
      </c>
      <c r="F2008">
        <v>31</v>
      </c>
      <c r="G2008">
        <v>36</v>
      </c>
      <c r="H2008">
        <v>1</v>
      </c>
      <c r="I2008" t="s">
        <v>24</v>
      </c>
      <c r="J2008">
        <v>108</v>
      </c>
      <c r="K2008" t="s">
        <v>39</v>
      </c>
      <c r="L2008">
        <v>104</v>
      </c>
    </row>
    <row r="2009" spans="1:12" x14ac:dyDescent="0.25">
      <c r="A2009">
        <v>400579299</v>
      </c>
      <c r="B2009">
        <v>2015</v>
      </c>
      <c r="C2009" s="1">
        <v>42081</v>
      </c>
      <c r="D2009" t="s">
        <v>39</v>
      </c>
      <c r="E2009">
        <v>0</v>
      </c>
      <c r="F2009">
        <v>44</v>
      </c>
      <c r="G2009">
        <v>22</v>
      </c>
      <c r="H2009">
        <v>0</v>
      </c>
      <c r="I2009" t="s">
        <v>24</v>
      </c>
      <c r="J2009">
        <v>108</v>
      </c>
      <c r="K2009" t="s">
        <v>39</v>
      </c>
      <c r="L2009">
        <v>104</v>
      </c>
    </row>
    <row r="2010" spans="1:12" x14ac:dyDescent="0.25">
      <c r="A2010">
        <v>400579300</v>
      </c>
      <c r="B2010">
        <v>2015</v>
      </c>
      <c r="C2010" s="1">
        <v>42081</v>
      </c>
      <c r="D2010" t="s">
        <v>29</v>
      </c>
      <c r="E2010">
        <v>0</v>
      </c>
      <c r="F2010">
        <v>14</v>
      </c>
      <c r="G2010">
        <v>53</v>
      </c>
      <c r="H2010">
        <v>0</v>
      </c>
      <c r="I2010" t="s">
        <v>27</v>
      </c>
      <c r="J2010">
        <v>105</v>
      </c>
      <c r="K2010" t="s">
        <v>29</v>
      </c>
      <c r="L2010">
        <v>100</v>
      </c>
    </row>
    <row r="2011" spans="1:12" x14ac:dyDescent="0.25">
      <c r="A2011">
        <v>400579300</v>
      </c>
      <c r="B2011">
        <v>2015</v>
      </c>
      <c r="C2011" s="1">
        <v>42081</v>
      </c>
      <c r="D2011" t="s">
        <v>27</v>
      </c>
      <c r="E2011">
        <v>1</v>
      </c>
      <c r="F2011">
        <v>41</v>
      </c>
      <c r="G2011">
        <v>27</v>
      </c>
      <c r="H2011">
        <v>1</v>
      </c>
      <c r="I2011" t="s">
        <v>27</v>
      </c>
      <c r="J2011">
        <v>105</v>
      </c>
      <c r="K2011" t="s">
        <v>29</v>
      </c>
      <c r="L2011">
        <v>100</v>
      </c>
    </row>
    <row r="2012" spans="1:12" x14ac:dyDescent="0.25">
      <c r="A2012">
        <v>400579301</v>
      </c>
      <c r="B2012">
        <v>2015</v>
      </c>
      <c r="C2012" s="1">
        <v>42081</v>
      </c>
      <c r="D2012" t="s">
        <v>30</v>
      </c>
      <c r="E2012">
        <v>1</v>
      </c>
      <c r="F2012">
        <v>41</v>
      </c>
      <c r="G2012">
        <v>28</v>
      </c>
      <c r="H2012">
        <v>1</v>
      </c>
      <c r="I2012" t="s">
        <v>30</v>
      </c>
      <c r="J2012">
        <v>103</v>
      </c>
      <c r="K2012" t="s">
        <v>20</v>
      </c>
      <c r="L2012">
        <v>86</v>
      </c>
    </row>
    <row r="2013" spans="1:12" x14ac:dyDescent="0.25">
      <c r="A2013">
        <v>400579301</v>
      </c>
      <c r="B2013">
        <v>2015</v>
      </c>
      <c r="C2013" s="1">
        <v>42081</v>
      </c>
      <c r="D2013" t="s">
        <v>20</v>
      </c>
      <c r="E2013">
        <v>0</v>
      </c>
      <c r="F2013">
        <v>30</v>
      </c>
      <c r="G2013">
        <v>37</v>
      </c>
      <c r="H2013">
        <v>0</v>
      </c>
      <c r="I2013" t="s">
        <v>30</v>
      </c>
      <c r="J2013">
        <v>103</v>
      </c>
      <c r="K2013" t="s">
        <v>20</v>
      </c>
      <c r="L2013">
        <v>86</v>
      </c>
    </row>
    <row r="2014" spans="1:12" x14ac:dyDescent="0.25">
      <c r="A2014">
        <v>400579302</v>
      </c>
      <c r="B2014">
        <v>2015</v>
      </c>
      <c r="C2014" s="1">
        <v>42081</v>
      </c>
      <c r="D2014" t="s">
        <v>19</v>
      </c>
      <c r="E2014">
        <v>0</v>
      </c>
      <c r="F2014">
        <v>34</v>
      </c>
      <c r="G2014">
        <v>34</v>
      </c>
      <c r="H2014">
        <v>1</v>
      </c>
      <c r="I2014" t="s">
        <v>19</v>
      </c>
      <c r="J2014">
        <v>103</v>
      </c>
      <c r="K2014" t="s">
        <v>15</v>
      </c>
      <c r="L2014">
        <v>114</v>
      </c>
    </row>
    <row r="2015" spans="1:12" x14ac:dyDescent="0.25">
      <c r="A2015">
        <v>400579302</v>
      </c>
      <c r="B2015">
        <v>2015</v>
      </c>
      <c r="C2015" s="1">
        <v>42081</v>
      </c>
      <c r="D2015" t="s">
        <v>15</v>
      </c>
      <c r="E2015">
        <v>1</v>
      </c>
      <c r="F2015">
        <v>42</v>
      </c>
      <c r="G2015">
        <v>25</v>
      </c>
      <c r="H2015">
        <v>0</v>
      </c>
      <c r="I2015" t="s">
        <v>19</v>
      </c>
      <c r="J2015">
        <v>103</v>
      </c>
      <c r="K2015" t="s">
        <v>15</v>
      </c>
      <c r="L2015">
        <v>114</v>
      </c>
    </row>
    <row r="2016" spans="1:12" x14ac:dyDescent="0.25">
      <c r="A2016">
        <v>400579303</v>
      </c>
      <c r="B2016">
        <v>2015</v>
      </c>
      <c r="C2016" s="1">
        <v>42081</v>
      </c>
      <c r="D2016" t="s">
        <v>22</v>
      </c>
      <c r="E2016">
        <v>0</v>
      </c>
      <c r="F2016">
        <v>30</v>
      </c>
      <c r="G2016">
        <v>37</v>
      </c>
      <c r="H2016">
        <v>0</v>
      </c>
      <c r="I2016" t="s">
        <v>38</v>
      </c>
      <c r="J2016">
        <v>122</v>
      </c>
      <c r="K2016" t="s">
        <v>22</v>
      </c>
      <c r="L2016">
        <v>118</v>
      </c>
    </row>
    <row r="2017" spans="1:12" x14ac:dyDescent="0.25">
      <c r="A2017">
        <v>400579303</v>
      </c>
      <c r="B2017">
        <v>2015</v>
      </c>
      <c r="C2017" s="1">
        <v>42081</v>
      </c>
      <c r="D2017" t="s">
        <v>38</v>
      </c>
      <c r="E2017">
        <v>1</v>
      </c>
      <c r="F2017">
        <v>38</v>
      </c>
      <c r="G2017">
        <v>30</v>
      </c>
      <c r="H2017">
        <v>1</v>
      </c>
      <c r="I2017" t="s">
        <v>38</v>
      </c>
      <c r="J2017">
        <v>122</v>
      </c>
      <c r="K2017" t="s">
        <v>22</v>
      </c>
      <c r="L2017">
        <v>118</v>
      </c>
    </row>
    <row r="2018" spans="1:12" x14ac:dyDescent="0.25">
      <c r="A2018">
        <v>400579304</v>
      </c>
      <c r="B2018">
        <v>2015</v>
      </c>
      <c r="C2018" s="1">
        <v>42081</v>
      </c>
      <c r="D2018" t="s">
        <v>14</v>
      </c>
      <c r="E2018">
        <v>1</v>
      </c>
      <c r="F2018">
        <v>44</v>
      </c>
      <c r="G2018">
        <v>25</v>
      </c>
      <c r="H2018">
        <v>1</v>
      </c>
      <c r="I2018" t="s">
        <v>14</v>
      </c>
      <c r="J2018">
        <v>107</v>
      </c>
      <c r="K2018" t="s">
        <v>13</v>
      </c>
      <c r="L2018">
        <v>102</v>
      </c>
    </row>
    <row r="2019" spans="1:12" x14ac:dyDescent="0.25">
      <c r="A2019">
        <v>400579304</v>
      </c>
      <c r="B2019">
        <v>2015</v>
      </c>
      <c r="C2019" s="1">
        <v>42081</v>
      </c>
      <c r="D2019" t="s">
        <v>13</v>
      </c>
      <c r="E2019">
        <v>0</v>
      </c>
      <c r="F2019">
        <v>21</v>
      </c>
      <c r="G2019">
        <v>49</v>
      </c>
      <c r="H2019">
        <v>0</v>
      </c>
      <c r="I2019" t="s">
        <v>14</v>
      </c>
      <c r="J2019">
        <v>107</v>
      </c>
      <c r="K2019" t="s">
        <v>13</v>
      </c>
      <c r="L2019">
        <v>102</v>
      </c>
    </row>
    <row r="2020" spans="1:12" x14ac:dyDescent="0.25">
      <c r="A2020">
        <v>400579305</v>
      </c>
      <c r="B2020">
        <v>2015</v>
      </c>
      <c r="C2020" s="1">
        <v>42081</v>
      </c>
      <c r="D2020" t="s">
        <v>41</v>
      </c>
      <c r="E2020">
        <v>1</v>
      </c>
      <c r="F2020">
        <v>44</v>
      </c>
      <c r="G2020">
        <v>25</v>
      </c>
      <c r="H2020">
        <v>0</v>
      </c>
      <c r="I2020" t="s">
        <v>37</v>
      </c>
      <c r="J2020">
        <v>105</v>
      </c>
      <c r="K2020" t="s">
        <v>41</v>
      </c>
      <c r="L2020">
        <v>116</v>
      </c>
    </row>
    <row r="2021" spans="1:12" x14ac:dyDescent="0.25">
      <c r="A2021">
        <v>400579305</v>
      </c>
      <c r="B2021">
        <v>2015</v>
      </c>
      <c r="C2021" s="1">
        <v>42081</v>
      </c>
      <c r="D2021" t="s">
        <v>37</v>
      </c>
      <c r="E2021">
        <v>0</v>
      </c>
      <c r="F2021">
        <v>22</v>
      </c>
      <c r="G2021">
        <v>45</v>
      </c>
      <c r="H2021">
        <v>1</v>
      </c>
      <c r="I2021" t="s">
        <v>37</v>
      </c>
      <c r="J2021">
        <v>105</v>
      </c>
      <c r="K2021" t="s">
        <v>41</v>
      </c>
      <c r="L2021">
        <v>116</v>
      </c>
    </row>
    <row r="2022" spans="1:12" x14ac:dyDescent="0.25">
      <c r="A2022">
        <v>400579306</v>
      </c>
      <c r="B2022">
        <v>2015</v>
      </c>
      <c r="C2022" s="1">
        <v>42081</v>
      </c>
      <c r="D2022" t="s">
        <v>26</v>
      </c>
      <c r="E2022">
        <v>0</v>
      </c>
      <c r="F2022">
        <v>53</v>
      </c>
      <c r="G2022">
        <v>15</v>
      </c>
      <c r="H2022">
        <v>0</v>
      </c>
      <c r="I2022" t="s">
        <v>36</v>
      </c>
      <c r="J2022">
        <v>114</v>
      </c>
      <c r="K2022" t="s">
        <v>26</v>
      </c>
      <c r="L2022">
        <v>95</v>
      </c>
    </row>
    <row r="2023" spans="1:12" x14ac:dyDescent="0.25">
      <c r="A2023">
        <v>400579306</v>
      </c>
      <c r="B2023">
        <v>2015</v>
      </c>
      <c r="C2023" s="1">
        <v>42081</v>
      </c>
      <c r="D2023" t="s">
        <v>36</v>
      </c>
      <c r="E2023">
        <v>1</v>
      </c>
      <c r="F2023">
        <v>54</v>
      </c>
      <c r="G2023">
        <v>13</v>
      </c>
      <c r="H2023">
        <v>1</v>
      </c>
      <c r="I2023" t="s">
        <v>36</v>
      </c>
      <c r="J2023">
        <v>114</v>
      </c>
      <c r="K2023" t="s">
        <v>26</v>
      </c>
      <c r="L2023">
        <v>95</v>
      </c>
    </row>
    <row r="2024" spans="1:12" x14ac:dyDescent="0.25">
      <c r="A2024">
        <v>400579307</v>
      </c>
      <c r="B2024">
        <v>2015</v>
      </c>
      <c r="C2024" s="1">
        <v>42081</v>
      </c>
      <c r="D2024" t="s">
        <v>34</v>
      </c>
      <c r="E2024">
        <v>0</v>
      </c>
      <c r="F2024">
        <v>30</v>
      </c>
      <c r="G2024">
        <v>37</v>
      </c>
      <c r="H2024">
        <v>1</v>
      </c>
      <c r="I2024" t="s">
        <v>34</v>
      </c>
      <c r="J2024">
        <v>84</v>
      </c>
      <c r="K2024" t="s">
        <v>25</v>
      </c>
      <c r="L2024">
        <v>88</v>
      </c>
    </row>
    <row r="2025" spans="1:12" x14ac:dyDescent="0.25">
      <c r="A2025">
        <v>400579307</v>
      </c>
      <c r="B2025">
        <v>2015</v>
      </c>
      <c r="C2025" s="1">
        <v>42081</v>
      </c>
      <c r="D2025" t="s">
        <v>25</v>
      </c>
      <c r="E2025">
        <v>1</v>
      </c>
      <c r="F2025">
        <v>40</v>
      </c>
      <c r="G2025">
        <v>28</v>
      </c>
      <c r="H2025">
        <v>0</v>
      </c>
      <c r="I2025" t="s">
        <v>34</v>
      </c>
      <c r="J2025">
        <v>84</v>
      </c>
      <c r="K2025" t="s">
        <v>25</v>
      </c>
      <c r="L2025">
        <v>88</v>
      </c>
    </row>
    <row r="2026" spans="1:12" x14ac:dyDescent="0.25">
      <c r="A2026">
        <v>400579308</v>
      </c>
      <c r="B2026">
        <v>2015</v>
      </c>
      <c r="C2026" s="1">
        <v>42082</v>
      </c>
      <c r="D2026" t="s">
        <v>29</v>
      </c>
      <c r="E2026">
        <v>1</v>
      </c>
      <c r="F2026">
        <v>15</v>
      </c>
      <c r="G2026">
        <v>53</v>
      </c>
      <c r="H2026">
        <v>0</v>
      </c>
      <c r="I2026" t="s">
        <v>31</v>
      </c>
      <c r="J2026">
        <v>92</v>
      </c>
      <c r="K2026" t="s">
        <v>29</v>
      </c>
      <c r="L2026">
        <v>95</v>
      </c>
    </row>
    <row r="2027" spans="1:12" x14ac:dyDescent="0.25">
      <c r="A2027">
        <v>400579308</v>
      </c>
      <c r="B2027">
        <v>2015</v>
      </c>
      <c r="C2027" s="1">
        <v>42082</v>
      </c>
      <c r="D2027" t="s">
        <v>31</v>
      </c>
      <c r="E2027">
        <v>0</v>
      </c>
      <c r="F2027">
        <v>14</v>
      </c>
      <c r="G2027">
        <v>54</v>
      </c>
      <c r="H2027">
        <v>1</v>
      </c>
      <c r="I2027" t="s">
        <v>31</v>
      </c>
      <c r="J2027">
        <v>92</v>
      </c>
      <c r="K2027" t="s">
        <v>29</v>
      </c>
      <c r="L2027">
        <v>95</v>
      </c>
    </row>
    <row r="2028" spans="1:12" x14ac:dyDescent="0.25">
      <c r="A2028">
        <v>400579309</v>
      </c>
      <c r="B2028">
        <v>2015</v>
      </c>
      <c r="C2028" s="1">
        <v>42082</v>
      </c>
      <c r="D2028" t="s">
        <v>32</v>
      </c>
      <c r="E2028">
        <v>0</v>
      </c>
      <c r="F2028">
        <v>26</v>
      </c>
      <c r="G2028">
        <v>43</v>
      </c>
      <c r="H2028">
        <v>0</v>
      </c>
      <c r="I2028" t="s">
        <v>16</v>
      </c>
      <c r="J2028">
        <v>118</v>
      </c>
      <c r="K2028" t="s">
        <v>32</v>
      </c>
      <c r="L2028">
        <v>108</v>
      </c>
    </row>
    <row r="2029" spans="1:12" x14ac:dyDescent="0.25">
      <c r="A2029">
        <v>400579309</v>
      </c>
      <c r="B2029">
        <v>2015</v>
      </c>
      <c r="C2029" s="1">
        <v>42082</v>
      </c>
      <c r="D2029" t="s">
        <v>16</v>
      </c>
      <c r="E2029">
        <v>1</v>
      </c>
      <c r="F2029">
        <v>46</v>
      </c>
      <c r="G2029">
        <v>22</v>
      </c>
      <c r="H2029">
        <v>1</v>
      </c>
      <c r="I2029" t="s">
        <v>16</v>
      </c>
      <c r="J2029">
        <v>118</v>
      </c>
      <c r="K2029" t="s">
        <v>32</v>
      </c>
      <c r="L2029">
        <v>108</v>
      </c>
    </row>
    <row r="2030" spans="1:12" x14ac:dyDescent="0.25">
      <c r="A2030">
        <v>400579310</v>
      </c>
      <c r="B2030">
        <v>2015</v>
      </c>
      <c r="C2030" s="1">
        <v>42082</v>
      </c>
      <c r="D2030" t="s">
        <v>12</v>
      </c>
      <c r="E2030">
        <v>0</v>
      </c>
      <c r="F2030">
        <v>37</v>
      </c>
      <c r="G2030">
        <v>31</v>
      </c>
      <c r="H2030">
        <v>0</v>
      </c>
      <c r="I2030" t="s">
        <v>35</v>
      </c>
      <c r="J2030">
        <v>74</v>
      </c>
      <c r="K2030" t="s">
        <v>12</v>
      </c>
      <c r="L2030">
        <v>72</v>
      </c>
    </row>
    <row r="2031" spans="1:12" x14ac:dyDescent="0.25">
      <c r="A2031">
        <v>400579310</v>
      </c>
      <c r="B2031">
        <v>2015</v>
      </c>
      <c r="C2031" s="1">
        <v>42082</v>
      </c>
      <c r="D2031" t="s">
        <v>35</v>
      </c>
      <c r="E2031">
        <v>1</v>
      </c>
      <c r="F2031">
        <v>36</v>
      </c>
      <c r="G2031">
        <v>33</v>
      </c>
      <c r="H2031">
        <v>1</v>
      </c>
      <c r="I2031" t="s">
        <v>35</v>
      </c>
      <c r="J2031">
        <v>74</v>
      </c>
      <c r="K2031" t="s">
        <v>12</v>
      </c>
      <c r="L2031">
        <v>72</v>
      </c>
    </row>
    <row r="2032" spans="1:12" x14ac:dyDescent="0.25">
      <c r="A2032">
        <v>400579311</v>
      </c>
      <c r="B2032">
        <v>2015</v>
      </c>
      <c r="C2032" s="1">
        <v>42082</v>
      </c>
      <c r="D2032" t="s">
        <v>17</v>
      </c>
      <c r="E2032">
        <v>0</v>
      </c>
      <c r="F2032">
        <v>17</v>
      </c>
      <c r="G2032">
        <v>50</v>
      </c>
      <c r="H2032">
        <v>1</v>
      </c>
      <c r="I2032" t="s">
        <v>17</v>
      </c>
      <c r="J2032">
        <v>73</v>
      </c>
      <c r="K2032" t="s">
        <v>34</v>
      </c>
      <c r="L2032">
        <v>80</v>
      </c>
    </row>
    <row r="2033" spans="1:12" x14ac:dyDescent="0.25">
      <c r="A2033">
        <v>400579311</v>
      </c>
      <c r="B2033">
        <v>2015</v>
      </c>
      <c r="C2033" s="1">
        <v>42082</v>
      </c>
      <c r="D2033" t="s">
        <v>34</v>
      </c>
      <c r="E2033">
        <v>1</v>
      </c>
      <c r="F2033">
        <v>31</v>
      </c>
      <c r="G2033">
        <v>37</v>
      </c>
      <c r="H2033">
        <v>0</v>
      </c>
      <c r="I2033" t="s">
        <v>17</v>
      </c>
      <c r="J2033">
        <v>73</v>
      </c>
      <c r="K2033" t="s">
        <v>34</v>
      </c>
      <c r="L2033">
        <v>80</v>
      </c>
    </row>
    <row r="2034" spans="1:12" x14ac:dyDescent="0.25">
      <c r="A2034">
        <v>400579312</v>
      </c>
      <c r="B2034">
        <v>2015</v>
      </c>
      <c r="C2034" s="1">
        <v>42083</v>
      </c>
      <c r="D2034" t="s">
        <v>13</v>
      </c>
      <c r="E2034">
        <v>1</v>
      </c>
      <c r="F2034">
        <v>22</v>
      </c>
      <c r="G2034">
        <v>49</v>
      </c>
      <c r="H2034">
        <v>1</v>
      </c>
      <c r="I2034" t="s">
        <v>13</v>
      </c>
      <c r="J2034">
        <v>111</v>
      </c>
      <c r="K2034" t="s">
        <v>39</v>
      </c>
      <c r="L2034">
        <v>104</v>
      </c>
    </row>
    <row r="2035" spans="1:12" x14ac:dyDescent="0.25">
      <c r="A2035">
        <v>400579312</v>
      </c>
      <c r="B2035">
        <v>2015</v>
      </c>
      <c r="C2035" s="1">
        <v>42083</v>
      </c>
      <c r="D2035" t="s">
        <v>39</v>
      </c>
      <c r="E2035">
        <v>0</v>
      </c>
      <c r="F2035">
        <v>44</v>
      </c>
      <c r="G2035">
        <v>23</v>
      </c>
      <c r="H2035">
        <v>0</v>
      </c>
      <c r="I2035" t="s">
        <v>13</v>
      </c>
      <c r="J2035">
        <v>111</v>
      </c>
      <c r="K2035" t="s">
        <v>39</v>
      </c>
      <c r="L2035">
        <v>104</v>
      </c>
    </row>
    <row r="2036" spans="1:12" x14ac:dyDescent="0.25">
      <c r="A2036">
        <v>400579313</v>
      </c>
      <c r="B2036">
        <v>2015</v>
      </c>
      <c r="C2036" s="1">
        <v>42083</v>
      </c>
      <c r="D2036" t="s">
        <v>31</v>
      </c>
      <c r="E2036">
        <v>0</v>
      </c>
      <c r="F2036">
        <v>14</v>
      </c>
      <c r="G2036">
        <v>55</v>
      </c>
      <c r="H2036">
        <v>0</v>
      </c>
      <c r="I2036" t="s">
        <v>21</v>
      </c>
      <c r="J2036">
        <v>97</v>
      </c>
      <c r="K2036" t="s">
        <v>31</v>
      </c>
      <c r="L2036">
        <v>81</v>
      </c>
    </row>
    <row r="2037" spans="1:12" x14ac:dyDescent="0.25">
      <c r="A2037">
        <v>400579313</v>
      </c>
      <c r="B2037">
        <v>2015</v>
      </c>
      <c r="C2037" s="1">
        <v>42083</v>
      </c>
      <c r="D2037" t="s">
        <v>21</v>
      </c>
      <c r="E2037">
        <v>1</v>
      </c>
      <c r="F2037">
        <v>17</v>
      </c>
      <c r="G2037">
        <v>52</v>
      </c>
      <c r="H2037">
        <v>1</v>
      </c>
      <c r="I2037" t="s">
        <v>21</v>
      </c>
      <c r="J2037">
        <v>97</v>
      </c>
      <c r="K2037" t="s">
        <v>31</v>
      </c>
      <c r="L2037">
        <v>81</v>
      </c>
    </row>
    <row r="2038" spans="1:12" x14ac:dyDescent="0.25">
      <c r="A2038">
        <v>400579314</v>
      </c>
      <c r="B2038">
        <v>2015</v>
      </c>
      <c r="C2038" s="1">
        <v>42083</v>
      </c>
      <c r="D2038" t="s">
        <v>23</v>
      </c>
      <c r="E2038">
        <v>1</v>
      </c>
      <c r="F2038">
        <v>28</v>
      </c>
      <c r="G2038">
        <v>39</v>
      </c>
      <c r="H2038">
        <v>1</v>
      </c>
      <c r="I2038" t="s">
        <v>23</v>
      </c>
      <c r="J2038">
        <v>129</v>
      </c>
      <c r="K2038" t="s">
        <v>19</v>
      </c>
      <c r="L2038">
        <v>127</v>
      </c>
    </row>
    <row r="2039" spans="1:12" x14ac:dyDescent="0.25">
      <c r="A2039">
        <v>400579314</v>
      </c>
      <c r="B2039">
        <v>2015</v>
      </c>
      <c r="C2039" s="1">
        <v>42083</v>
      </c>
      <c r="D2039" t="s">
        <v>19</v>
      </c>
      <c r="E2039">
        <v>0</v>
      </c>
      <c r="F2039">
        <v>34</v>
      </c>
      <c r="G2039">
        <v>35</v>
      </c>
      <c r="H2039">
        <v>0</v>
      </c>
      <c r="I2039" t="s">
        <v>23</v>
      </c>
      <c r="J2039">
        <v>129</v>
      </c>
      <c r="K2039" t="s">
        <v>19</v>
      </c>
      <c r="L2039">
        <v>127</v>
      </c>
    </row>
    <row r="2040" spans="1:12" x14ac:dyDescent="0.25">
      <c r="A2040">
        <v>400579315</v>
      </c>
      <c r="B2040">
        <v>2015</v>
      </c>
      <c r="C2040" s="1">
        <v>42083</v>
      </c>
      <c r="D2040" t="s">
        <v>40</v>
      </c>
      <c r="E2040">
        <v>1</v>
      </c>
      <c r="F2040">
        <v>45</v>
      </c>
      <c r="G2040">
        <v>26</v>
      </c>
      <c r="H2040">
        <v>1</v>
      </c>
      <c r="I2040" t="s">
        <v>40</v>
      </c>
      <c r="J2040">
        <v>95</v>
      </c>
      <c r="K2040" t="s">
        <v>20</v>
      </c>
      <c r="L2040">
        <v>92</v>
      </c>
    </row>
    <row r="2041" spans="1:12" x14ac:dyDescent="0.25">
      <c r="A2041">
        <v>400579315</v>
      </c>
      <c r="B2041">
        <v>2015</v>
      </c>
      <c r="C2041" s="1">
        <v>42083</v>
      </c>
      <c r="D2041" t="s">
        <v>20</v>
      </c>
      <c r="E2041">
        <v>0</v>
      </c>
      <c r="F2041">
        <v>30</v>
      </c>
      <c r="G2041">
        <v>38</v>
      </c>
      <c r="H2041">
        <v>0</v>
      </c>
      <c r="I2041" t="s">
        <v>40</v>
      </c>
      <c r="J2041">
        <v>95</v>
      </c>
      <c r="K2041" t="s">
        <v>20</v>
      </c>
      <c r="L2041">
        <v>92</v>
      </c>
    </row>
    <row r="2042" spans="1:12" x14ac:dyDescent="0.25">
      <c r="A2042">
        <v>400579316</v>
      </c>
      <c r="B2042">
        <v>2015</v>
      </c>
      <c r="C2042" s="1">
        <v>42083</v>
      </c>
      <c r="D2042" t="s">
        <v>32</v>
      </c>
      <c r="E2042">
        <v>0</v>
      </c>
      <c r="F2042">
        <v>26</v>
      </c>
      <c r="G2042">
        <v>44</v>
      </c>
      <c r="H2042">
        <v>0</v>
      </c>
      <c r="I2042" t="s">
        <v>24</v>
      </c>
      <c r="J2042">
        <v>108</v>
      </c>
      <c r="K2042" t="s">
        <v>32</v>
      </c>
      <c r="L2042">
        <v>91</v>
      </c>
    </row>
    <row r="2043" spans="1:12" x14ac:dyDescent="0.25">
      <c r="A2043">
        <v>400579316</v>
      </c>
      <c r="B2043">
        <v>2015</v>
      </c>
      <c r="C2043" s="1">
        <v>42083</v>
      </c>
      <c r="D2043" t="s">
        <v>24</v>
      </c>
      <c r="E2043">
        <v>1</v>
      </c>
      <c r="F2043">
        <v>32</v>
      </c>
      <c r="G2043">
        <v>36</v>
      </c>
      <c r="H2043">
        <v>1</v>
      </c>
      <c r="I2043" t="s">
        <v>24</v>
      </c>
      <c r="J2043">
        <v>108</v>
      </c>
      <c r="K2043" t="s">
        <v>32</v>
      </c>
      <c r="L2043">
        <v>91</v>
      </c>
    </row>
    <row r="2044" spans="1:12" x14ac:dyDescent="0.25">
      <c r="A2044">
        <v>400579317</v>
      </c>
      <c r="B2044">
        <v>2015</v>
      </c>
      <c r="C2044" s="1">
        <v>42083</v>
      </c>
      <c r="D2044" t="s">
        <v>30</v>
      </c>
      <c r="E2044">
        <v>1</v>
      </c>
      <c r="F2044">
        <v>42</v>
      </c>
      <c r="G2044">
        <v>28</v>
      </c>
      <c r="H2044">
        <v>1</v>
      </c>
      <c r="I2044" t="s">
        <v>30</v>
      </c>
      <c r="J2044">
        <v>108</v>
      </c>
      <c r="K2044" t="s">
        <v>27</v>
      </c>
      <c r="L2044">
        <v>92</v>
      </c>
    </row>
    <row r="2045" spans="1:12" x14ac:dyDescent="0.25">
      <c r="A2045">
        <v>400579317</v>
      </c>
      <c r="B2045">
        <v>2015</v>
      </c>
      <c r="C2045" s="1">
        <v>42083</v>
      </c>
      <c r="D2045" t="s">
        <v>27</v>
      </c>
      <c r="E2045">
        <v>0</v>
      </c>
      <c r="F2045">
        <v>41</v>
      </c>
      <c r="G2045">
        <v>28</v>
      </c>
      <c r="H2045">
        <v>0</v>
      </c>
      <c r="I2045" t="s">
        <v>30</v>
      </c>
      <c r="J2045">
        <v>108</v>
      </c>
      <c r="K2045" t="s">
        <v>27</v>
      </c>
      <c r="L2045">
        <v>92</v>
      </c>
    </row>
    <row r="2046" spans="1:12" x14ac:dyDescent="0.25">
      <c r="A2046">
        <v>400579318</v>
      </c>
      <c r="B2046">
        <v>2015</v>
      </c>
      <c r="C2046" s="1">
        <v>42083</v>
      </c>
      <c r="D2046" t="s">
        <v>26</v>
      </c>
      <c r="E2046">
        <v>0</v>
      </c>
      <c r="F2046">
        <v>53</v>
      </c>
      <c r="G2046">
        <v>16</v>
      </c>
      <c r="H2046">
        <v>0</v>
      </c>
      <c r="I2046" t="s">
        <v>38</v>
      </c>
      <c r="J2046">
        <v>123</v>
      </c>
      <c r="K2046" t="s">
        <v>26</v>
      </c>
      <c r="L2046">
        <v>115</v>
      </c>
    </row>
    <row r="2047" spans="1:12" x14ac:dyDescent="0.25">
      <c r="A2047">
        <v>400579318</v>
      </c>
      <c r="B2047">
        <v>2015</v>
      </c>
      <c r="C2047" s="1">
        <v>42083</v>
      </c>
      <c r="D2047" t="s">
        <v>38</v>
      </c>
      <c r="E2047">
        <v>1</v>
      </c>
      <c r="F2047">
        <v>39</v>
      </c>
      <c r="G2047">
        <v>30</v>
      </c>
      <c r="H2047">
        <v>1</v>
      </c>
      <c r="I2047" t="s">
        <v>38</v>
      </c>
      <c r="J2047">
        <v>123</v>
      </c>
      <c r="K2047" t="s">
        <v>26</v>
      </c>
      <c r="L2047">
        <v>115</v>
      </c>
    </row>
    <row r="2048" spans="1:12" x14ac:dyDescent="0.25">
      <c r="A2048">
        <v>400579319</v>
      </c>
      <c r="B2048">
        <v>2015</v>
      </c>
      <c r="C2048" s="1">
        <v>42083</v>
      </c>
      <c r="D2048" t="s">
        <v>14</v>
      </c>
      <c r="E2048">
        <v>0</v>
      </c>
      <c r="F2048">
        <v>44</v>
      </c>
      <c r="G2048">
        <v>26</v>
      </c>
      <c r="H2048">
        <v>1</v>
      </c>
      <c r="I2048" t="s">
        <v>14</v>
      </c>
      <c r="J2048">
        <v>101</v>
      </c>
      <c r="K2048" t="s">
        <v>28</v>
      </c>
      <c r="L2048">
        <v>112</v>
      </c>
    </row>
    <row r="2049" spans="1:12" x14ac:dyDescent="0.25">
      <c r="A2049">
        <v>400579319</v>
      </c>
      <c r="B2049">
        <v>2015</v>
      </c>
      <c r="C2049" s="1">
        <v>42083</v>
      </c>
      <c r="D2049" t="s">
        <v>28</v>
      </c>
      <c r="E2049">
        <v>1</v>
      </c>
      <c r="F2049">
        <v>48</v>
      </c>
      <c r="G2049">
        <v>21</v>
      </c>
      <c r="H2049">
        <v>0</v>
      </c>
      <c r="I2049" t="s">
        <v>14</v>
      </c>
      <c r="J2049">
        <v>101</v>
      </c>
      <c r="K2049" t="s">
        <v>28</v>
      </c>
      <c r="L2049">
        <v>112</v>
      </c>
    </row>
    <row r="2050" spans="1:12" x14ac:dyDescent="0.25">
      <c r="A2050">
        <v>400579320</v>
      </c>
      <c r="B2050">
        <v>2015</v>
      </c>
      <c r="C2050" s="1">
        <v>42083</v>
      </c>
      <c r="D2050" t="s">
        <v>22</v>
      </c>
      <c r="E2050">
        <v>0</v>
      </c>
      <c r="F2050">
        <v>30</v>
      </c>
      <c r="G2050">
        <v>38</v>
      </c>
      <c r="H2050">
        <v>0</v>
      </c>
      <c r="I2050" t="s">
        <v>15</v>
      </c>
      <c r="J2050">
        <v>101</v>
      </c>
      <c r="K2050" t="s">
        <v>22</v>
      </c>
      <c r="L2050">
        <v>89</v>
      </c>
    </row>
    <row r="2051" spans="1:12" x14ac:dyDescent="0.25">
      <c r="A2051">
        <v>400579320</v>
      </c>
      <c r="B2051">
        <v>2015</v>
      </c>
      <c r="C2051" s="1">
        <v>42083</v>
      </c>
      <c r="D2051" t="s">
        <v>15</v>
      </c>
      <c r="E2051">
        <v>1</v>
      </c>
      <c r="F2051">
        <v>43</v>
      </c>
      <c r="G2051">
        <v>25</v>
      </c>
      <c r="H2051">
        <v>1</v>
      </c>
      <c r="I2051" t="s">
        <v>15</v>
      </c>
      <c r="J2051">
        <v>101</v>
      </c>
      <c r="K2051" t="s">
        <v>22</v>
      </c>
      <c r="L2051">
        <v>89</v>
      </c>
    </row>
    <row r="2052" spans="1:12" x14ac:dyDescent="0.25">
      <c r="A2052">
        <v>400579321</v>
      </c>
      <c r="B2052">
        <v>2015</v>
      </c>
      <c r="C2052" s="1">
        <v>42083</v>
      </c>
      <c r="D2052" t="s">
        <v>18</v>
      </c>
      <c r="E2052">
        <v>0</v>
      </c>
      <c r="F2052">
        <v>29</v>
      </c>
      <c r="G2052">
        <v>38</v>
      </c>
      <c r="H2052">
        <v>0</v>
      </c>
      <c r="I2052" t="s">
        <v>37</v>
      </c>
      <c r="J2052">
        <v>101</v>
      </c>
      <c r="K2052" t="s">
        <v>18</v>
      </c>
      <c r="L2052">
        <v>91</v>
      </c>
    </row>
    <row r="2053" spans="1:12" x14ac:dyDescent="0.25">
      <c r="A2053">
        <v>400579321</v>
      </c>
      <c r="B2053">
        <v>2015</v>
      </c>
      <c r="C2053" s="1">
        <v>42083</v>
      </c>
      <c r="D2053" t="s">
        <v>37</v>
      </c>
      <c r="E2053">
        <v>1</v>
      </c>
      <c r="F2053">
        <v>23</v>
      </c>
      <c r="G2053">
        <v>45</v>
      </c>
      <c r="H2053">
        <v>1</v>
      </c>
      <c r="I2053" t="s">
        <v>37</v>
      </c>
      <c r="J2053">
        <v>101</v>
      </c>
      <c r="K2053" t="s">
        <v>18</v>
      </c>
      <c r="L2053">
        <v>91</v>
      </c>
    </row>
    <row r="2054" spans="1:12" x14ac:dyDescent="0.25">
      <c r="A2054">
        <v>400579322</v>
      </c>
      <c r="B2054">
        <v>2015</v>
      </c>
      <c r="C2054" s="1">
        <v>42083</v>
      </c>
      <c r="D2054" t="s">
        <v>36</v>
      </c>
      <c r="E2054">
        <v>1</v>
      </c>
      <c r="F2054">
        <v>55</v>
      </c>
      <c r="G2054">
        <v>13</v>
      </c>
      <c r="H2054">
        <v>1</v>
      </c>
      <c r="I2054" t="s">
        <v>36</v>
      </c>
      <c r="J2054">
        <v>112</v>
      </c>
      <c r="K2054" t="s">
        <v>12</v>
      </c>
      <c r="L2054">
        <v>96</v>
      </c>
    </row>
    <row r="2055" spans="1:12" x14ac:dyDescent="0.25">
      <c r="A2055">
        <v>400579322</v>
      </c>
      <c r="B2055">
        <v>2015</v>
      </c>
      <c r="C2055" s="1">
        <v>42083</v>
      </c>
      <c r="D2055" t="s">
        <v>12</v>
      </c>
      <c r="E2055">
        <v>0</v>
      </c>
      <c r="F2055">
        <v>37</v>
      </c>
      <c r="G2055">
        <v>32</v>
      </c>
      <c r="H2055">
        <v>0</v>
      </c>
      <c r="I2055" t="s">
        <v>36</v>
      </c>
      <c r="J2055">
        <v>112</v>
      </c>
      <c r="K2055" t="s">
        <v>12</v>
      </c>
      <c r="L2055">
        <v>96</v>
      </c>
    </row>
    <row r="2056" spans="1:12" x14ac:dyDescent="0.25">
      <c r="A2056">
        <v>400579323</v>
      </c>
      <c r="B2056">
        <v>2015</v>
      </c>
      <c r="C2056" s="1">
        <v>42083</v>
      </c>
      <c r="D2056" t="s">
        <v>41</v>
      </c>
      <c r="E2056">
        <v>1</v>
      </c>
      <c r="F2056">
        <v>45</v>
      </c>
      <c r="G2056">
        <v>25</v>
      </c>
      <c r="H2056">
        <v>1</v>
      </c>
      <c r="I2056" t="s">
        <v>41</v>
      </c>
      <c r="J2056">
        <v>113</v>
      </c>
      <c r="K2056" t="s">
        <v>25</v>
      </c>
      <c r="L2056">
        <v>99</v>
      </c>
    </row>
    <row r="2057" spans="1:12" x14ac:dyDescent="0.25">
      <c r="A2057">
        <v>400579323</v>
      </c>
      <c r="B2057">
        <v>2015</v>
      </c>
      <c r="C2057" s="1">
        <v>42083</v>
      </c>
      <c r="D2057" t="s">
        <v>25</v>
      </c>
      <c r="E2057">
        <v>0</v>
      </c>
      <c r="F2057">
        <v>40</v>
      </c>
      <c r="G2057">
        <v>29</v>
      </c>
      <c r="H2057">
        <v>0</v>
      </c>
      <c r="I2057" t="s">
        <v>41</v>
      </c>
      <c r="J2057">
        <v>113</v>
      </c>
      <c r="K2057" t="s">
        <v>25</v>
      </c>
      <c r="L2057">
        <v>99</v>
      </c>
    </row>
    <row r="2058" spans="1:12" x14ac:dyDescent="0.25">
      <c r="A2058">
        <v>400579324</v>
      </c>
      <c r="B2058">
        <v>2015</v>
      </c>
      <c r="C2058" s="1">
        <v>42084</v>
      </c>
      <c r="D2058" t="s">
        <v>23</v>
      </c>
      <c r="E2058">
        <v>1</v>
      </c>
      <c r="F2058">
        <v>29</v>
      </c>
      <c r="G2058">
        <v>39</v>
      </c>
      <c r="H2058">
        <v>0</v>
      </c>
      <c r="I2058" t="s">
        <v>20</v>
      </c>
      <c r="J2058">
        <v>111</v>
      </c>
      <c r="K2058" t="s">
        <v>23</v>
      </c>
      <c r="L2058">
        <v>123</v>
      </c>
    </row>
    <row r="2059" spans="1:12" x14ac:dyDescent="0.25">
      <c r="A2059">
        <v>400579324</v>
      </c>
      <c r="B2059">
        <v>2015</v>
      </c>
      <c r="C2059" s="1">
        <v>42084</v>
      </c>
      <c r="D2059" t="s">
        <v>20</v>
      </c>
      <c r="E2059">
        <v>0</v>
      </c>
      <c r="F2059">
        <v>30</v>
      </c>
      <c r="G2059">
        <v>39</v>
      </c>
      <c r="H2059">
        <v>1</v>
      </c>
      <c r="I2059" t="s">
        <v>20</v>
      </c>
      <c r="J2059">
        <v>111</v>
      </c>
      <c r="K2059" t="s">
        <v>23</v>
      </c>
      <c r="L2059">
        <v>123</v>
      </c>
    </row>
    <row r="2060" spans="1:12" x14ac:dyDescent="0.25">
      <c r="A2060">
        <v>400579325</v>
      </c>
      <c r="B2060">
        <v>2015</v>
      </c>
      <c r="C2060" s="1">
        <v>42084</v>
      </c>
      <c r="D2060" t="s">
        <v>30</v>
      </c>
      <c r="E2060">
        <v>0</v>
      </c>
      <c r="F2060">
        <v>42</v>
      </c>
      <c r="G2060">
        <v>29</v>
      </c>
      <c r="H2060">
        <v>0</v>
      </c>
      <c r="I2060" t="s">
        <v>33</v>
      </c>
      <c r="J2060">
        <v>107</v>
      </c>
      <c r="K2060" t="s">
        <v>30</v>
      </c>
      <c r="L2060">
        <v>91</v>
      </c>
    </row>
    <row r="2061" spans="1:12" x14ac:dyDescent="0.25">
      <c r="A2061">
        <v>400579325</v>
      </c>
      <c r="B2061">
        <v>2015</v>
      </c>
      <c r="C2061" s="1">
        <v>42084</v>
      </c>
      <c r="D2061" t="s">
        <v>33</v>
      </c>
      <c r="E2061">
        <v>1</v>
      </c>
      <c r="F2061">
        <v>25</v>
      </c>
      <c r="G2061">
        <v>44</v>
      </c>
      <c r="H2061">
        <v>1</v>
      </c>
      <c r="I2061" t="s">
        <v>33</v>
      </c>
      <c r="J2061">
        <v>107</v>
      </c>
      <c r="K2061" t="s">
        <v>30</v>
      </c>
      <c r="L2061">
        <v>91</v>
      </c>
    </row>
    <row r="2062" spans="1:12" x14ac:dyDescent="0.25">
      <c r="A2062">
        <v>400579326</v>
      </c>
      <c r="B2062">
        <v>2015</v>
      </c>
      <c r="C2062" s="1">
        <v>42084</v>
      </c>
      <c r="D2062" t="s">
        <v>16</v>
      </c>
      <c r="E2062">
        <v>0</v>
      </c>
      <c r="F2062">
        <v>46</v>
      </c>
      <c r="G2062">
        <v>23</v>
      </c>
      <c r="H2062">
        <v>1</v>
      </c>
      <c r="I2062" t="s">
        <v>16</v>
      </c>
      <c r="J2062">
        <v>102</v>
      </c>
      <c r="K2062" t="s">
        <v>35</v>
      </c>
      <c r="L2062">
        <v>117</v>
      </c>
    </row>
    <row r="2063" spans="1:12" x14ac:dyDescent="0.25">
      <c r="A2063">
        <v>400579326</v>
      </c>
      <c r="B2063">
        <v>2015</v>
      </c>
      <c r="C2063" s="1">
        <v>42084</v>
      </c>
      <c r="D2063" t="s">
        <v>35</v>
      </c>
      <c r="E2063">
        <v>1</v>
      </c>
      <c r="F2063">
        <v>37</v>
      </c>
      <c r="G2063">
        <v>33</v>
      </c>
      <c r="H2063">
        <v>0</v>
      </c>
      <c r="I2063" t="s">
        <v>16</v>
      </c>
      <c r="J2063">
        <v>102</v>
      </c>
      <c r="K2063" t="s">
        <v>35</v>
      </c>
      <c r="L2063">
        <v>117</v>
      </c>
    </row>
    <row r="2064" spans="1:12" x14ac:dyDescent="0.25">
      <c r="A2064">
        <v>400579327</v>
      </c>
      <c r="B2064">
        <v>2015</v>
      </c>
      <c r="C2064" s="1">
        <v>42084</v>
      </c>
      <c r="D2064" t="s">
        <v>28</v>
      </c>
      <c r="E2064">
        <v>1</v>
      </c>
      <c r="F2064">
        <v>49</v>
      </c>
      <c r="G2064">
        <v>21</v>
      </c>
      <c r="H2064">
        <v>1</v>
      </c>
      <c r="I2064" t="s">
        <v>28</v>
      </c>
      <c r="J2064">
        <v>97</v>
      </c>
      <c r="K2064" t="s">
        <v>39</v>
      </c>
      <c r="L2064">
        <v>86</v>
      </c>
    </row>
    <row r="2065" spans="1:12" x14ac:dyDescent="0.25">
      <c r="A2065">
        <v>400579327</v>
      </c>
      <c r="B2065">
        <v>2015</v>
      </c>
      <c r="C2065" s="1">
        <v>42084</v>
      </c>
      <c r="D2065" t="s">
        <v>39</v>
      </c>
      <c r="E2065">
        <v>0</v>
      </c>
      <c r="F2065">
        <v>44</v>
      </c>
      <c r="G2065">
        <v>24</v>
      </c>
      <c r="H2065">
        <v>0</v>
      </c>
      <c r="I2065" t="s">
        <v>28</v>
      </c>
      <c r="J2065">
        <v>97</v>
      </c>
      <c r="K2065" t="s">
        <v>39</v>
      </c>
      <c r="L2065">
        <v>86</v>
      </c>
    </row>
    <row r="2066" spans="1:12" x14ac:dyDescent="0.25">
      <c r="A2066">
        <v>400579328</v>
      </c>
      <c r="B2066">
        <v>2015</v>
      </c>
      <c r="C2066" s="1">
        <v>42084</v>
      </c>
      <c r="D2066" t="s">
        <v>36</v>
      </c>
      <c r="E2066">
        <v>1</v>
      </c>
      <c r="F2066">
        <v>56</v>
      </c>
      <c r="G2066">
        <v>13</v>
      </c>
      <c r="H2066">
        <v>1</v>
      </c>
      <c r="I2066" t="s">
        <v>36</v>
      </c>
      <c r="J2066">
        <v>106</v>
      </c>
      <c r="K2066" t="s">
        <v>34</v>
      </c>
      <c r="L2066">
        <v>91</v>
      </c>
    </row>
    <row r="2067" spans="1:12" x14ac:dyDescent="0.25">
      <c r="A2067">
        <v>400579328</v>
      </c>
      <c r="B2067">
        <v>2015</v>
      </c>
      <c r="C2067" s="1">
        <v>42084</v>
      </c>
      <c r="D2067" t="s">
        <v>34</v>
      </c>
      <c r="E2067">
        <v>0</v>
      </c>
      <c r="F2067">
        <v>31</v>
      </c>
      <c r="G2067">
        <v>38</v>
      </c>
      <c r="H2067">
        <v>0</v>
      </c>
      <c r="I2067" t="s">
        <v>36</v>
      </c>
      <c r="J2067">
        <v>106</v>
      </c>
      <c r="K2067" t="s">
        <v>34</v>
      </c>
      <c r="L2067">
        <v>91</v>
      </c>
    </row>
    <row r="2068" spans="1:12" x14ac:dyDescent="0.25">
      <c r="A2068">
        <v>400579329</v>
      </c>
      <c r="B2068">
        <v>2015</v>
      </c>
      <c r="C2068" s="1">
        <v>42085</v>
      </c>
      <c r="D2068" t="s">
        <v>40</v>
      </c>
      <c r="E2068">
        <v>1</v>
      </c>
      <c r="F2068">
        <v>46</v>
      </c>
      <c r="G2068">
        <v>26</v>
      </c>
      <c r="H2068">
        <v>0</v>
      </c>
      <c r="I2068" t="s">
        <v>19</v>
      </c>
      <c r="J2068">
        <v>90</v>
      </c>
      <c r="K2068" t="s">
        <v>40</v>
      </c>
      <c r="L2068">
        <v>108</v>
      </c>
    </row>
    <row r="2069" spans="1:12" x14ac:dyDescent="0.25">
      <c r="A2069">
        <v>400579329</v>
      </c>
      <c r="B2069">
        <v>2015</v>
      </c>
      <c r="C2069" s="1">
        <v>42085</v>
      </c>
      <c r="D2069" t="s">
        <v>19</v>
      </c>
      <c r="E2069">
        <v>0</v>
      </c>
      <c r="F2069">
        <v>34</v>
      </c>
      <c r="G2069">
        <v>36</v>
      </c>
      <c r="H2069">
        <v>1</v>
      </c>
      <c r="I2069" t="s">
        <v>19</v>
      </c>
      <c r="J2069">
        <v>90</v>
      </c>
      <c r="K2069" t="s">
        <v>40</v>
      </c>
      <c r="L2069">
        <v>108</v>
      </c>
    </row>
    <row r="2070" spans="1:12" x14ac:dyDescent="0.25">
      <c r="A2070">
        <v>400579330</v>
      </c>
      <c r="B2070">
        <v>2015</v>
      </c>
      <c r="C2070" s="1">
        <v>42085</v>
      </c>
      <c r="D2070" t="s">
        <v>24</v>
      </c>
      <c r="E2070">
        <v>0</v>
      </c>
      <c r="F2070">
        <v>32</v>
      </c>
      <c r="G2070">
        <v>37</v>
      </c>
      <c r="H2070">
        <v>0</v>
      </c>
      <c r="I2070" t="s">
        <v>38</v>
      </c>
      <c r="J2070">
        <v>93</v>
      </c>
      <c r="K2070" t="s">
        <v>24</v>
      </c>
      <c r="L2070">
        <v>75</v>
      </c>
    </row>
    <row r="2071" spans="1:12" x14ac:dyDescent="0.25">
      <c r="A2071">
        <v>400579330</v>
      </c>
      <c r="B2071">
        <v>2015</v>
      </c>
      <c r="C2071" s="1">
        <v>42085</v>
      </c>
      <c r="D2071" t="s">
        <v>38</v>
      </c>
      <c r="E2071">
        <v>1</v>
      </c>
      <c r="F2071">
        <v>40</v>
      </c>
      <c r="G2071">
        <v>30</v>
      </c>
      <c r="H2071">
        <v>1</v>
      </c>
      <c r="I2071" t="s">
        <v>38</v>
      </c>
      <c r="J2071">
        <v>93</v>
      </c>
      <c r="K2071" t="s">
        <v>24</v>
      </c>
      <c r="L2071">
        <v>75</v>
      </c>
    </row>
    <row r="2072" spans="1:12" x14ac:dyDescent="0.25">
      <c r="A2072">
        <v>400579331</v>
      </c>
      <c r="B2072">
        <v>2015</v>
      </c>
      <c r="C2072" s="1">
        <v>42085</v>
      </c>
      <c r="D2072" t="s">
        <v>26</v>
      </c>
      <c r="E2072">
        <v>0</v>
      </c>
      <c r="F2072">
        <v>53</v>
      </c>
      <c r="G2072">
        <v>17</v>
      </c>
      <c r="H2072">
        <v>1</v>
      </c>
      <c r="I2072" t="s">
        <v>26</v>
      </c>
      <c r="J2072">
        <v>95</v>
      </c>
      <c r="K2072" t="s">
        <v>15</v>
      </c>
      <c r="L2072">
        <v>114</v>
      </c>
    </row>
    <row r="2073" spans="1:12" x14ac:dyDescent="0.25">
      <c r="A2073">
        <v>400579331</v>
      </c>
      <c r="B2073">
        <v>2015</v>
      </c>
      <c r="C2073" s="1">
        <v>42085</v>
      </c>
      <c r="D2073" t="s">
        <v>15</v>
      </c>
      <c r="E2073">
        <v>1</v>
      </c>
      <c r="F2073">
        <v>44</v>
      </c>
      <c r="G2073">
        <v>25</v>
      </c>
      <c r="H2073">
        <v>0</v>
      </c>
      <c r="I2073" t="s">
        <v>26</v>
      </c>
      <c r="J2073">
        <v>95</v>
      </c>
      <c r="K2073" t="s">
        <v>15</v>
      </c>
      <c r="L2073">
        <v>114</v>
      </c>
    </row>
    <row r="2074" spans="1:12" x14ac:dyDescent="0.25">
      <c r="A2074">
        <v>400579332</v>
      </c>
      <c r="B2074">
        <v>2015</v>
      </c>
      <c r="C2074" s="1">
        <v>42085</v>
      </c>
      <c r="D2074" t="s">
        <v>41</v>
      </c>
      <c r="E2074">
        <v>1</v>
      </c>
      <c r="F2074">
        <v>46</v>
      </c>
      <c r="G2074">
        <v>25</v>
      </c>
      <c r="H2074">
        <v>1</v>
      </c>
      <c r="I2074" t="s">
        <v>41</v>
      </c>
      <c r="J2074">
        <v>107</v>
      </c>
      <c r="K2074" t="s">
        <v>12</v>
      </c>
      <c r="L2074">
        <v>100</v>
      </c>
    </row>
    <row r="2075" spans="1:12" x14ac:dyDescent="0.25">
      <c r="A2075">
        <v>400579332</v>
      </c>
      <c r="B2075">
        <v>2015</v>
      </c>
      <c r="C2075" s="1">
        <v>42085</v>
      </c>
      <c r="D2075" t="s">
        <v>12</v>
      </c>
      <c r="E2075">
        <v>0</v>
      </c>
      <c r="F2075">
        <v>37</v>
      </c>
      <c r="G2075">
        <v>33</v>
      </c>
      <c r="H2075">
        <v>0</v>
      </c>
      <c r="I2075" t="s">
        <v>41</v>
      </c>
      <c r="J2075">
        <v>107</v>
      </c>
      <c r="K2075" t="s">
        <v>12</v>
      </c>
      <c r="L2075">
        <v>100</v>
      </c>
    </row>
    <row r="2076" spans="1:12" x14ac:dyDescent="0.25">
      <c r="A2076">
        <v>400579333</v>
      </c>
      <c r="B2076">
        <v>2015</v>
      </c>
      <c r="C2076" s="1">
        <v>42085</v>
      </c>
      <c r="D2076" t="s">
        <v>31</v>
      </c>
      <c r="E2076">
        <v>0</v>
      </c>
      <c r="F2076">
        <v>14</v>
      </c>
      <c r="G2076">
        <v>56</v>
      </c>
      <c r="H2076">
        <v>0</v>
      </c>
      <c r="I2076" t="s">
        <v>27</v>
      </c>
      <c r="J2076">
        <v>106</v>
      </c>
      <c r="K2076" t="s">
        <v>31</v>
      </c>
      <c r="L2076">
        <v>89</v>
      </c>
    </row>
    <row r="2077" spans="1:12" x14ac:dyDescent="0.25">
      <c r="A2077">
        <v>400579333</v>
      </c>
      <c r="B2077">
        <v>2015</v>
      </c>
      <c r="C2077" s="1">
        <v>42085</v>
      </c>
      <c r="D2077" t="s">
        <v>27</v>
      </c>
      <c r="E2077">
        <v>1</v>
      </c>
      <c r="F2077">
        <v>42</v>
      </c>
      <c r="G2077">
        <v>28</v>
      </c>
      <c r="H2077">
        <v>1</v>
      </c>
      <c r="I2077" t="s">
        <v>27</v>
      </c>
      <c r="J2077">
        <v>106</v>
      </c>
      <c r="K2077" t="s">
        <v>31</v>
      </c>
      <c r="L2077">
        <v>89</v>
      </c>
    </row>
    <row r="2078" spans="1:12" x14ac:dyDescent="0.25">
      <c r="A2078">
        <v>400579334</v>
      </c>
      <c r="B2078">
        <v>2015</v>
      </c>
      <c r="C2078" s="1">
        <v>42085</v>
      </c>
      <c r="D2078" t="s">
        <v>37</v>
      </c>
      <c r="E2078">
        <v>1</v>
      </c>
      <c r="F2078">
        <v>24</v>
      </c>
      <c r="G2078">
        <v>45</v>
      </c>
      <c r="H2078">
        <v>1</v>
      </c>
      <c r="I2078" t="s">
        <v>37</v>
      </c>
      <c r="J2078">
        <v>109</v>
      </c>
      <c r="K2078" t="s">
        <v>25</v>
      </c>
      <c r="L2078">
        <v>86</v>
      </c>
    </row>
    <row r="2079" spans="1:12" x14ac:dyDescent="0.25">
      <c r="A2079">
        <v>400579334</v>
      </c>
      <c r="B2079">
        <v>2015</v>
      </c>
      <c r="C2079" s="1">
        <v>42085</v>
      </c>
      <c r="D2079" t="s">
        <v>25</v>
      </c>
      <c r="E2079">
        <v>0</v>
      </c>
      <c r="F2079">
        <v>40</v>
      </c>
      <c r="G2079">
        <v>30</v>
      </c>
      <c r="H2079">
        <v>0</v>
      </c>
      <c r="I2079" t="s">
        <v>37</v>
      </c>
      <c r="J2079">
        <v>109</v>
      </c>
      <c r="K2079" t="s">
        <v>25</v>
      </c>
      <c r="L2079">
        <v>86</v>
      </c>
    </row>
    <row r="2080" spans="1:12" x14ac:dyDescent="0.25">
      <c r="A2080">
        <v>400579335</v>
      </c>
      <c r="B2080">
        <v>2015</v>
      </c>
      <c r="C2080" s="1">
        <v>42085</v>
      </c>
      <c r="D2080" t="s">
        <v>22</v>
      </c>
      <c r="E2080">
        <v>0</v>
      </c>
      <c r="F2080">
        <v>30</v>
      </c>
      <c r="G2080">
        <v>39</v>
      </c>
      <c r="H2080">
        <v>1</v>
      </c>
      <c r="I2080" t="s">
        <v>22</v>
      </c>
      <c r="J2080">
        <v>97</v>
      </c>
      <c r="K2080" t="s">
        <v>33</v>
      </c>
      <c r="L2080">
        <v>105</v>
      </c>
    </row>
    <row r="2081" spans="1:12" x14ac:dyDescent="0.25">
      <c r="A2081">
        <v>400579335</v>
      </c>
      <c r="B2081">
        <v>2015</v>
      </c>
      <c r="C2081" s="1">
        <v>42085</v>
      </c>
      <c r="D2081" t="s">
        <v>33</v>
      </c>
      <c r="E2081">
        <v>1</v>
      </c>
      <c r="F2081">
        <v>26</v>
      </c>
      <c r="G2081">
        <v>44</v>
      </c>
      <c r="H2081">
        <v>0</v>
      </c>
      <c r="I2081" t="s">
        <v>22</v>
      </c>
      <c r="J2081">
        <v>97</v>
      </c>
      <c r="K2081" t="s">
        <v>33</v>
      </c>
      <c r="L2081">
        <v>105</v>
      </c>
    </row>
    <row r="2082" spans="1:12" x14ac:dyDescent="0.25">
      <c r="A2082">
        <v>400579336</v>
      </c>
      <c r="B2082">
        <v>2015</v>
      </c>
      <c r="C2082" s="1">
        <v>42085</v>
      </c>
      <c r="D2082" t="s">
        <v>32</v>
      </c>
      <c r="E2082">
        <v>1</v>
      </c>
      <c r="F2082">
        <v>27</v>
      </c>
      <c r="G2082">
        <v>44</v>
      </c>
      <c r="H2082">
        <v>0</v>
      </c>
      <c r="I2082" t="s">
        <v>13</v>
      </c>
      <c r="J2082">
        <v>100</v>
      </c>
      <c r="K2082" t="s">
        <v>32</v>
      </c>
      <c r="L2082">
        <v>119</v>
      </c>
    </row>
    <row r="2083" spans="1:12" x14ac:dyDescent="0.25">
      <c r="A2083">
        <v>400579336</v>
      </c>
      <c r="B2083">
        <v>2015</v>
      </c>
      <c r="C2083" s="1">
        <v>42085</v>
      </c>
      <c r="D2083" t="s">
        <v>13</v>
      </c>
      <c r="E2083">
        <v>0</v>
      </c>
      <c r="F2083">
        <v>22</v>
      </c>
      <c r="G2083">
        <v>50</v>
      </c>
      <c r="H2083">
        <v>1</v>
      </c>
      <c r="I2083" t="s">
        <v>13</v>
      </c>
      <c r="J2083">
        <v>100</v>
      </c>
      <c r="K2083" t="s">
        <v>32</v>
      </c>
      <c r="L2083">
        <v>119</v>
      </c>
    </row>
    <row r="2084" spans="1:12" x14ac:dyDescent="0.25">
      <c r="A2084">
        <v>400579337</v>
      </c>
      <c r="B2084">
        <v>2015</v>
      </c>
      <c r="C2084" s="1">
        <v>42085</v>
      </c>
      <c r="D2084" t="s">
        <v>18</v>
      </c>
      <c r="E2084">
        <v>1</v>
      </c>
      <c r="F2084">
        <v>30</v>
      </c>
      <c r="G2084">
        <v>38</v>
      </c>
      <c r="H2084">
        <v>0</v>
      </c>
      <c r="I2084" t="s">
        <v>29</v>
      </c>
      <c r="J2084">
        <v>98</v>
      </c>
      <c r="K2084" t="s">
        <v>18</v>
      </c>
      <c r="L2084">
        <v>109</v>
      </c>
    </row>
    <row r="2085" spans="1:12" x14ac:dyDescent="0.25">
      <c r="A2085">
        <v>400579337</v>
      </c>
      <c r="B2085">
        <v>2015</v>
      </c>
      <c r="C2085" s="1">
        <v>42085</v>
      </c>
      <c r="D2085" t="s">
        <v>29</v>
      </c>
      <c r="E2085">
        <v>0</v>
      </c>
      <c r="F2085">
        <v>15</v>
      </c>
      <c r="G2085">
        <v>54</v>
      </c>
      <c r="H2085">
        <v>1</v>
      </c>
      <c r="I2085" t="s">
        <v>29</v>
      </c>
      <c r="J2085">
        <v>98</v>
      </c>
      <c r="K2085" t="s">
        <v>18</v>
      </c>
      <c r="L2085">
        <v>109</v>
      </c>
    </row>
    <row r="2086" spans="1:12" x14ac:dyDescent="0.25">
      <c r="A2086">
        <v>400579338</v>
      </c>
      <c r="B2086">
        <v>2015</v>
      </c>
      <c r="C2086" s="1">
        <v>42085</v>
      </c>
      <c r="D2086" t="s">
        <v>14</v>
      </c>
      <c r="E2086">
        <v>0</v>
      </c>
      <c r="F2086">
        <v>44</v>
      </c>
      <c r="G2086">
        <v>27</v>
      </c>
      <c r="H2086">
        <v>0</v>
      </c>
      <c r="I2086" t="s">
        <v>35</v>
      </c>
      <c r="J2086">
        <v>98</v>
      </c>
      <c r="K2086" t="s">
        <v>14</v>
      </c>
      <c r="L2086">
        <v>92</v>
      </c>
    </row>
    <row r="2087" spans="1:12" x14ac:dyDescent="0.25">
      <c r="A2087">
        <v>400579338</v>
      </c>
      <c r="B2087">
        <v>2015</v>
      </c>
      <c r="C2087" s="1">
        <v>42085</v>
      </c>
      <c r="D2087" t="s">
        <v>35</v>
      </c>
      <c r="E2087">
        <v>1</v>
      </c>
      <c r="F2087">
        <v>38</v>
      </c>
      <c r="G2087">
        <v>33</v>
      </c>
      <c r="H2087">
        <v>1</v>
      </c>
      <c r="I2087" t="s">
        <v>35</v>
      </c>
      <c r="J2087">
        <v>98</v>
      </c>
      <c r="K2087" t="s">
        <v>14</v>
      </c>
      <c r="L2087">
        <v>92</v>
      </c>
    </row>
    <row r="2088" spans="1:12" x14ac:dyDescent="0.25">
      <c r="A2088">
        <v>400579339</v>
      </c>
      <c r="B2088">
        <v>2015</v>
      </c>
      <c r="C2088" s="1">
        <v>42085</v>
      </c>
      <c r="D2088" t="s">
        <v>17</v>
      </c>
      <c r="E2088">
        <v>1</v>
      </c>
      <c r="F2088">
        <v>18</v>
      </c>
      <c r="G2088">
        <v>50</v>
      </c>
      <c r="H2088">
        <v>1</v>
      </c>
      <c r="I2088" t="s">
        <v>17</v>
      </c>
      <c r="J2088">
        <v>101</v>
      </c>
      <c r="K2088" t="s">
        <v>21</v>
      </c>
      <c r="L2088">
        <v>87</v>
      </c>
    </row>
    <row r="2089" spans="1:12" x14ac:dyDescent="0.25">
      <c r="A2089">
        <v>400579339</v>
      </c>
      <c r="B2089">
        <v>2015</v>
      </c>
      <c r="C2089" s="1">
        <v>42085</v>
      </c>
      <c r="D2089" t="s">
        <v>21</v>
      </c>
      <c r="E2089">
        <v>0</v>
      </c>
      <c r="F2089">
        <v>17</v>
      </c>
      <c r="G2089">
        <v>53</v>
      </c>
      <c r="H2089">
        <v>0</v>
      </c>
      <c r="I2089" t="s">
        <v>17</v>
      </c>
      <c r="J2089">
        <v>101</v>
      </c>
      <c r="K2089" t="s">
        <v>21</v>
      </c>
      <c r="L2089">
        <v>87</v>
      </c>
    </row>
    <row r="2090" spans="1:12" x14ac:dyDescent="0.25">
      <c r="A2090">
        <v>400579340</v>
      </c>
      <c r="B2090">
        <v>2015</v>
      </c>
      <c r="C2090" s="1">
        <v>42086</v>
      </c>
      <c r="D2090" t="s">
        <v>16</v>
      </c>
      <c r="E2090">
        <v>1</v>
      </c>
      <c r="F2090">
        <v>47</v>
      </c>
      <c r="G2090">
        <v>23</v>
      </c>
      <c r="H2090">
        <v>0</v>
      </c>
      <c r="I2090" t="s">
        <v>20</v>
      </c>
      <c r="J2090">
        <v>100</v>
      </c>
      <c r="K2090" t="s">
        <v>16</v>
      </c>
      <c r="L2090">
        <v>110</v>
      </c>
    </row>
    <row r="2091" spans="1:12" x14ac:dyDescent="0.25">
      <c r="A2091">
        <v>400579340</v>
      </c>
      <c r="B2091">
        <v>2015</v>
      </c>
      <c r="C2091" s="1">
        <v>42086</v>
      </c>
      <c r="D2091" t="s">
        <v>20</v>
      </c>
      <c r="E2091">
        <v>0</v>
      </c>
      <c r="F2091">
        <v>30</v>
      </c>
      <c r="G2091">
        <v>40</v>
      </c>
      <c r="H2091">
        <v>1</v>
      </c>
      <c r="I2091" t="s">
        <v>20</v>
      </c>
      <c r="J2091">
        <v>100</v>
      </c>
      <c r="K2091" t="s">
        <v>16</v>
      </c>
      <c r="L2091">
        <v>110</v>
      </c>
    </row>
    <row r="2092" spans="1:12" x14ac:dyDescent="0.25">
      <c r="A2092">
        <v>400579341</v>
      </c>
      <c r="B2092">
        <v>2015</v>
      </c>
      <c r="C2092" s="1">
        <v>42086</v>
      </c>
      <c r="D2092" t="s">
        <v>22</v>
      </c>
      <c r="E2092">
        <v>1</v>
      </c>
      <c r="F2092">
        <v>31</v>
      </c>
      <c r="G2092">
        <v>39</v>
      </c>
      <c r="H2092">
        <v>0</v>
      </c>
      <c r="I2092" t="s">
        <v>23</v>
      </c>
      <c r="J2092">
        <v>91</v>
      </c>
      <c r="K2092" t="s">
        <v>22</v>
      </c>
      <c r="L2092">
        <v>110</v>
      </c>
    </row>
    <row r="2093" spans="1:12" x14ac:dyDescent="0.25">
      <c r="A2093">
        <v>400579341</v>
      </c>
      <c r="B2093">
        <v>2015</v>
      </c>
      <c r="C2093" s="1">
        <v>42086</v>
      </c>
      <c r="D2093" t="s">
        <v>23</v>
      </c>
      <c r="E2093">
        <v>0</v>
      </c>
      <c r="F2093">
        <v>29</v>
      </c>
      <c r="G2093">
        <v>40</v>
      </c>
      <c r="H2093">
        <v>1</v>
      </c>
      <c r="I2093" t="s">
        <v>23</v>
      </c>
      <c r="J2093">
        <v>91</v>
      </c>
      <c r="K2093" t="s">
        <v>22</v>
      </c>
      <c r="L2093">
        <v>110</v>
      </c>
    </row>
    <row r="2094" spans="1:12" x14ac:dyDescent="0.25">
      <c r="A2094">
        <v>400579342</v>
      </c>
      <c r="B2094">
        <v>2015</v>
      </c>
      <c r="C2094" s="1">
        <v>42086</v>
      </c>
      <c r="D2094" t="s">
        <v>28</v>
      </c>
      <c r="E2094">
        <v>1</v>
      </c>
      <c r="F2094">
        <v>50</v>
      </c>
      <c r="G2094">
        <v>21</v>
      </c>
      <c r="H2094">
        <v>0</v>
      </c>
      <c r="I2094" t="s">
        <v>31</v>
      </c>
      <c r="J2094">
        <v>82</v>
      </c>
      <c r="K2094" t="s">
        <v>28</v>
      </c>
      <c r="L2094">
        <v>103</v>
      </c>
    </row>
    <row r="2095" spans="1:12" x14ac:dyDescent="0.25">
      <c r="A2095">
        <v>400579342</v>
      </c>
      <c r="B2095">
        <v>2015</v>
      </c>
      <c r="C2095" s="1">
        <v>42086</v>
      </c>
      <c r="D2095" t="s">
        <v>31</v>
      </c>
      <c r="E2095">
        <v>0</v>
      </c>
      <c r="F2095">
        <v>14</v>
      </c>
      <c r="G2095">
        <v>57</v>
      </c>
      <c r="H2095">
        <v>1</v>
      </c>
      <c r="I2095" t="s">
        <v>31</v>
      </c>
      <c r="J2095">
        <v>82</v>
      </c>
      <c r="K2095" t="s">
        <v>28</v>
      </c>
      <c r="L2095">
        <v>103</v>
      </c>
    </row>
    <row r="2096" spans="1:12" x14ac:dyDescent="0.25">
      <c r="A2096">
        <v>400579343</v>
      </c>
      <c r="B2096">
        <v>2015</v>
      </c>
      <c r="C2096" s="1">
        <v>42086</v>
      </c>
      <c r="D2096" t="s">
        <v>18</v>
      </c>
      <c r="E2096">
        <v>0</v>
      </c>
      <c r="F2096">
        <v>30</v>
      </c>
      <c r="G2096">
        <v>39</v>
      </c>
      <c r="H2096">
        <v>0</v>
      </c>
      <c r="I2096" t="s">
        <v>30</v>
      </c>
      <c r="J2096">
        <v>98</v>
      </c>
      <c r="K2096" t="s">
        <v>18</v>
      </c>
      <c r="L2096">
        <v>86</v>
      </c>
    </row>
    <row r="2097" spans="1:12" x14ac:dyDescent="0.25">
      <c r="A2097">
        <v>400579343</v>
      </c>
      <c r="B2097">
        <v>2015</v>
      </c>
      <c r="C2097" s="1">
        <v>42086</v>
      </c>
      <c r="D2097" t="s">
        <v>30</v>
      </c>
      <c r="E2097">
        <v>1</v>
      </c>
      <c r="F2097">
        <v>43</v>
      </c>
      <c r="G2097">
        <v>29</v>
      </c>
      <c r="H2097">
        <v>1</v>
      </c>
      <c r="I2097" t="s">
        <v>30</v>
      </c>
      <c r="J2097">
        <v>98</v>
      </c>
      <c r="K2097" t="s">
        <v>18</v>
      </c>
      <c r="L2097">
        <v>86</v>
      </c>
    </row>
    <row r="2098" spans="1:12" x14ac:dyDescent="0.25">
      <c r="A2098">
        <v>400579344</v>
      </c>
      <c r="B2098">
        <v>2015</v>
      </c>
      <c r="C2098" s="1">
        <v>42086</v>
      </c>
      <c r="D2098" t="s">
        <v>29</v>
      </c>
      <c r="E2098">
        <v>1</v>
      </c>
      <c r="F2098">
        <v>16</v>
      </c>
      <c r="G2098">
        <v>54</v>
      </c>
      <c r="H2098">
        <v>0</v>
      </c>
      <c r="I2098" t="s">
        <v>34</v>
      </c>
      <c r="J2098">
        <v>104</v>
      </c>
      <c r="K2098" t="s">
        <v>29</v>
      </c>
      <c r="L2098">
        <v>106</v>
      </c>
    </row>
    <row r="2099" spans="1:12" x14ac:dyDescent="0.25">
      <c r="A2099">
        <v>400579344</v>
      </c>
      <c r="B2099">
        <v>2015</v>
      </c>
      <c r="C2099" s="1">
        <v>42086</v>
      </c>
      <c r="D2099" t="s">
        <v>34</v>
      </c>
      <c r="E2099">
        <v>0</v>
      </c>
      <c r="F2099">
        <v>31</v>
      </c>
      <c r="G2099">
        <v>39</v>
      </c>
      <c r="H2099">
        <v>1</v>
      </c>
      <c r="I2099" t="s">
        <v>34</v>
      </c>
      <c r="J2099">
        <v>104</v>
      </c>
      <c r="K2099" t="s">
        <v>29</v>
      </c>
      <c r="L2099">
        <v>106</v>
      </c>
    </row>
    <row r="2100" spans="1:12" x14ac:dyDescent="0.25">
      <c r="A2100">
        <v>400579345</v>
      </c>
      <c r="B2100">
        <v>2015</v>
      </c>
      <c r="C2100" s="1">
        <v>42086</v>
      </c>
      <c r="D2100" t="s">
        <v>36</v>
      </c>
      <c r="E2100">
        <v>1</v>
      </c>
      <c r="F2100">
        <v>57</v>
      </c>
      <c r="G2100">
        <v>13</v>
      </c>
      <c r="H2100">
        <v>1</v>
      </c>
      <c r="I2100" t="s">
        <v>36</v>
      </c>
      <c r="J2100">
        <v>107</v>
      </c>
      <c r="K2100" t="s">
        <v>25</v>
      </c>
      <c r="L2100">
        <v>76</v>
      </c>
    </row>
    <row r="2101" spans="1:12" x14ac:dyDescent="0.25">
      <c r="A2101">
        <v>400579345</v>
      </c>
      <c r="B2101">
        <v>2015</v>
      </c>
      <c r="C2101" s="1">
        <v>42086</v>
      </c>
      <c r="D2101" t="s">
        <v>25</v>
      </c>
      <c r="E2101">
        <v>0</v>
      </c>
      <c r="F2101">
        <v>40</v>
      </c>
      <c r="G2101">
        <v>31</v>
      </c>
      <c r="H2101">
        <v>0</v>
      </c>
      <c r="I2101" t="s">
        <v>36</v>
      </c>
      <c r="J2101">
        <v>107</v>
      </c>
      <c r="K2101" t="s">
        <v>25</v>
      </c>
      <c r="L2101">
        <v>76</v>
      </c>
    </row>
    <row r="2102" spans="1:12" x14ac:dyDescent="0.25">
      <c r="A2102">
        <v>400579346</v>
      </c>
      <c r="B2102">
        <v>2015</v>
      </c>
      <c r="C2102" s="1">
        <v>42087</v>
      </c>
      <c r="D2102" t="s">
        <v>33</v>
      </c>
      <c r="E2102">
        <v>1</v>
      </c>
      <c r="F2102">
        <v>27</v>
      </c>
      <c r="G2102">
        <v>44</v>
      </c>
      <c r="H2102">
        <v>1</v>
      </c>
      <c r="I2102" t="s">
        <v>33</v>
      </c>
      <c r="J2102">
        <v>108</v>
      </c>
      <c r="K2102" t="s">
        <v>27</v>
      </c>
      <c r="L2102">
        <v>104</v>
      </c>
    </row>
    <row r="2103" spans="1:12" x14ac:dyDescent="0.25">
      <c r="A2103">
        <v>400579346</v>
      </c>
      <c r="B2103">
        <v>2015</v>
      </c>
      <c r="C2103" s="1">
        <v>42087</v>
      </c>
      <c r="D2103" t="s">
        <v>27</v>
      </c>
      <c r="E2103">
        <v>0</v>
      </c>
      <c r="F2103">
        <v>42</v>
      </c>
      <c r="G2103">
        <v>29</v>
      </c>
      <c r="H2103">
        <v>0</v>
      </c>
      <c r="I2103" t="s">
        <v>33</v>
      </c>
      <c r="J2103">
        <v>108</v>
      </c>
      <c r="K2103" t="s">
        <v>27</v>
      </c>
      <c r="L2103">
        <v>104</v>
      </c>
    </row>
    <row r="2104" spans="1:12" x14ac:dyDescent="0.25">
      <c r="A2104">
        <v>400579347</v>
      </c>
      <c r="B2104">
        <v>2015</v>
      </c>
      <c r="C2104" s="1">
        <v>42087</v>
      </c>
      <c r="D2104" t="s">
        <v>24</v>
      </c>
      <c r="E2104">
        <v>0</v>
      </c>
      <c r="F2104">
        <v>32</v>
      </c>
      <c r="G2104">
        <v>38</v>
      </c>
      <c r="H2104">
        <v>0</v>
      </c>
      <c r="I2104" t="s">
        <v>19</v>
      </c>
      <c r="J2104">
        <v>89</v>
      </c>
      <c r="K2104" t="s">
        <v>24</v>
      </c>
      <c r="L2104">
        <v>88</v>
      </c>
    </row>
    <row r="2105" spans="1:12" x14ac:dyDescent="0.25">
      <c r="A2105">
        <v>400579347</v>
      </c>
      <c r="B2105">
        <v>2015</v>
      </c>
      <c r="C2105" s="1">
        <v>42087</v>
      </c>
      <c r="D2105" t="s">
        <v>19</v>
      </c>
      <c r="E2105">
        <v>1</v>
      </c>
      <c r="F2105">
        <v>35</v>
      </c>
      <c r="G2105">
        <v>36</v>
      </c>
      <c r="H2105">
        <v>1</v>
      </c>
      <c r="I2105" t="s">
        <v>19</v>
      </c>
      <c r="J2105">
        <v>89</v>
      </c>
      <c r="K2105" t="s">
        <v>24</v>
      </c>
      <c r="L2105">
        <v>88</v>
      </c>
    </row>
    <row r="2106" spans="1:12" x14ac:dyDescent="0.25">
      <c r="A2106">
        <v>400579348</v>
      </c>
      <c r="B2106">
        <v>2015</v>
      </c>
      <c r="C2106" s="1">
        <v>42087</v>
      </c>
      <c r="D2106" t="s">
        <v>17</v>
      </c>
      <c r="E2106">
        <v>0</v>
      </c>
      <c r="F2106">
        <v>18</v>
      </c>
      <c r="G2106">
        <v>51</v>
      </c>
      <c r="H2106">
        <v>0</v>
      </c>
      <c r="I2106" t="s">
        <v>38</v>
      </c>
      <c r="J2106">
        <v>127</v>
      </c>
      <c r="K2106" t="s">
        <v>17</v>
      </c>
      <c r="L2106">
        <v>117</v>
      </c>
    </row>
    <row r="2107" spans="1:12" x14ac:dyDescent="0.25">
      <c r="A2107">
        <v>400579348</v>
      </c>
      <c r="B2107">
        <v>2015</v>
      </c>
      <c r="C2107" s="1">
        <v>42087</v>
      </c>
      <c r="D2107" t="s">
        <v>38</v>
      </c>
      <c r="E2107">
        <v>1</v>
      </c>
      <c r="F2107">
        <v>41</v>
      </c>
      <c r="G2107">
        <v>30</v>
      </c>
      <c r="H2107">
        <v>1</v>
      </c>
      <c r="I2107" t="s">
        <v>38</v>
      </c>
      <c r="J2107">
        <v>127</v>
      </c>
      <c r="K2107" t="s">
        <v>17</v>
      </c>
      <c r="L2107">
        <v>117</v>
      </c>
    </row>
    <row r="2108" spans="1:12" x14ac:dyDescent="0.25">
      <c r="A2108">
        <v>400579349</v>
      </c>
      <c r="B2108">
        <v>2015</v>
      </c>
      <c r="C2108" s="1">
        <v>42087</v>
      </c>
      <c r="D2108" t="s">
        <v>14</v>
      </c>
      <c r="E2108">
        <v>1</v>
      </c>
      <c r="F2108">
        <v>45</v>
      </c>
      <c r="G2108">
        <v>27</v>
      </c>
      <c r="H2108">
        <v>1</v>
      </c>
      <c r="I2108" t="s">
        <v>14</v>
      </c>
      <c r="J2108">
        <v>101</v>
      </c>
      <c r="K2108" t="s">
        <v>15</v>
      </c>
      <c r="L2108">
        <v>94</v>
      </c>
    </row>
    <row r="2109" spans="1:12" x14ac:dyDescent="0.25">
      <c r="A2109">
        <v>400579349</v>
      </c>
      <c r="B2109">
        <v>2015</v>
      </c>
      <c r="C2109" s="1">
        <v>42087</v>
      </c>
      <c r="D2109" t="s">
        <v>15</v>
      </c>
      <c r="E2109">
        <v>0</v>
      </c>
      <c r="F2109">
        <v>44</v>
      </c>
      <c r="G2109">
        <v>26</v>
      </c>
      <c r="H2109">
        <v>0</v>
      </c>
      <c r="I2109" t="s">
        <v>14</v>
      </c>
      <c r="J2109">
        <v>101</v>
      </c>
      <c r="K2109" t="s">
        <v>15</v>
      </c>
      <c r="L2109">
        <v>94</v>
      </c>
    </row>
    <row r="2110" spans="1:12" x14ac:dyDescent="0.25">
      <c r="A2110">
        <v>400579350</v>
      </c>
      <c r="B2110">
        <v>2015</v>
      </c>
      <c r="C2110" s="1">
        <v>42087</v>
      </c>
      <c r="D2110" t="s">
        <v>21</v>
      </c>
      <c r="E2110">
        <v>0</v>
      </c>
      <c r="F2110">
        <v>17</v>
      </c>
      <c r="G2110">
        <v>54</v>
      </c>
      <c r="H2110">
        <v>0</v>
      </c>
      <c r="I2110" t="s">
        <v>37</v>
      </c>
      <c r="J2110">
        <v>107</v>
      </c>
      <c r="K2110" t="s">
        <v>21</v>
      </c>
      <c r="L2110">
        <v>106</v>
      </c>
    </row>
    <row r="2111" spans="1:12" x14ac:dyDescent="0.25">
      <c r="A2111">
        <v>400579350</v>
      </c>
      <c r="B2111">
        <v>2015</v>
      </c>
      <c r="C2111" s="1">
        <v>42087</v>
      </c>
      <c r="D2111" t="s">
        <v>37</v>
      </c>
      <c r="E2111">
        <v>1</v>
      </c>
      <c r="F2111">
        <v>25</v>
      </c>
      <c r="G2111">
        <v>45</v>
      </c>
      <c r="H2111">
        <v>1</v>
      </c>
      <c r="I2111" t="s">
        <v>37</v>
      </c>
      <c r="J2111">
        <v>107</v>
      </c>
      <c r="K2111" t="s">
        <v>21</v>
      </c>
      <c r="L2111">
        <v>106</v>
      </c>
    </row>
    <row r="2112" spans="1:12" x14ac:dyDescent="0.25">
      <c r="A2112">
        <v>400579351</v>
      </c>
      <c r="B2112">
        <v>2015</v>
      </c>
      <c r="C2112" s="1">
        <v>42087</v>
      </c>
      <c r="D2112" t="s">
        <v>36</v>
      </c>
      <c r="E2112">
        <v>1</v>
      </c>
      <c r="F2112">
        <v>58</v>
      </c>
      <c r="G2112">
        <v>13</v>
      </c>
      <c r="H2112">
        <v>0</v>
      </c>
      <c r="I2112" t="s">
        <v>39</v>
      </c>
      <c r="J2112">
        <v>108</v>
      </c>
      <c r="K2112" t="s">
        <v>36</v>
      </c>
      <c r="L2112">
        <v>122</v>
      </c>
    </row>
    <row r="2113" spans="1:12" x14ac:dyDescent="0.25">
      <c r="A2113">
        <v>400579351</v>
      </c>
      <c r="B2113">
        <v>2015</v>
      </c>
      <c r="C2113" s="1">
        <v>42087</v>
      </c>
      <c r="D2113" t="s">
        <v>39</v>
      </c>
      <c r="E2113">
        <v>0</v>
      </c>
      <c r="F2113">
        <v>44</v>
      </c>
      <c r="G2113">
        <v>25</v>
      </c>
      <c r="H2113">
        <v>1</v>
      </c>
      <c r="I2113" t="s">
        <v>39</v>
      </c>
      <c r="J2113">
        <v>108</v>
      </c>
      <c r="K2113" t="s">
        <v>36</v>
      </c>
      <c r="L2113">
        <v>122</v>
      </c>
    </row>
    <row r="2114" spans="1:12" x14ac:dyDescent="0.25">
      <c r="A2114">
        <v>400579352</v>
      </c>
      <c r="B2114">
        <v>2015</v>
      </c>
      <c r="C2114" s="1">
        <v>42088</v>
      </c>
      <c r="D2114" t="s">
        <v>23</v>
      </c>
      <c r="E2114">
        <v>1</v>
      </c>
      <c r="F2114">
        <v>30</v>
      </c>
      <c r="G2114">
        <v>40</v>
      </c>
      <c r="H2114">
        <v>0</v>
      </c>
      <c r="I2114" t="s">
        <v>18</v>
      </c>
      <c r="J2114">
        <v>88</v>
      </c>
      <c r="K2114" t="s">
        <v>23</v>
      </c>
      <c r="L2114">
        <v>91</v>
      </c>
    </row>
    <row r="2115" spans="1:12" x14ac:dyDescent="0.25">
      <c r="A2115">
        <v>400579352</v>
      </c>
      <c r="B2115">
        <v>2015</v>
      </c>
      <c r="C2115" s="1">
        <v>42088</v>
      </c>
      <c r="D2115" t="s">
        <v>18</v>
      </c>
      <c r="E2115">
        <v>0</v>
      </c>
      <c r="F2115">
        <v>30</v>
      </c>
      <c r="G2115">
        <v>40</v>
      </c>
      <c r="H2115">
        <v>1</v>
      </c>
      <c r="I2115" t="s">
        <v>18</v>
      </c>
      <c r="J2115">
        <v>88</v>
      </c>
      <c r="K2115" t="s">
        <v>23</v>
      </c>
      <c r="L2115">
        <v>91</v>
      </c>
    </row>
    <row r="2116" spans="1:12" x14ac:dyDescent="0.25">
      <c r="A2116">
        <v>400579353</v>
      </c>
      <c r="B2116">
        <v>2015</v>
      </c>
      <c r="C2116" s="1">
        <v>42088</v>
      </c>
      <c r="D2116" t="s">
        <v>41</v>
      </c>
      <c r="E2116">
        <v>1</v>
      </c>
      <c r="F2116">
        <v>47</v>
      </c>
      <c r="G2116">
        <v>25</v>
      </c>
      <c r="H2116">
        <v>0</v>
      </c>
      <c r="I2116" t="s">
        <v>31</v>
      </c>
      <c r="J2116">
        <v>80</v>
      </c>
      <c r="K2116" t="s">
        <v>41</v>
      </c>
      <c r="L2116">
        <v>111</v>
      </c>
    </row>
    <row r="2117" spans="1:12" x14ac:dyDescent="0.25">
      <c r="A2117">
        <v>400579353</v>
      </c>
      <c r="B2117">
        <v>2015</v>
      </c>
      <c r="C2117" s="1">
        <v>42088</v>
      </c>
      <c r="D2117" t="s">
        <v>31</v>
      </c>
      <c r="E2117">
        <v>0</v>
      </c>
      <c r="F2117">
        <v>14</v>
      </c>
      <c r="G2117">
        <v>58</v>
      </c>
      <c r="H2117">
        <v>1</v>
      </c>
      <c r="I2117" t="s">
        <v>31</v>
      </c>
      <c r="J2117">
        <v>80</v>
      </c>
      <c r="K2117" t="s">
        <v>41</v>
      </c>
      <c r="L2117">
        <v>111</v>
      </c>
    </row>
    <row r="2118" spans="1:12" x14ac:dyDescent="0.25">
      <c r="A2118">
        <v>400579354</v>
      </c>
      <c r="B2118">
        <v>2015</v>
      </c>
      <c r="C2118" s="1">
        <v>42088</v>
      </c>
      <c r="D2118" t="s">
        <v>26</v>
      </c>
      <c r="E2118">
        <v>1</v>
      </c>
      <c r="F2118">
        <v>54</v>
      </c>
      <c r="G2118">
        <v>17</v>
      </c>
      <c r="H2118">
        <v>0</v>
      </c>
      <c r="I2118" t="s">
        <v>13</v>
      </c>
      <c r="J2118">
        <v>83</v>
      </c>
      <c r="K2118" t="s">
        <v>26</v>
      </c>
      <c r="L2118">
        <v>95</v>
      </c>
    </row>
    <row r="2119" spans="1:12" x14ac:dyDescent="0.25">
      <c r="A2119">
        <v>400579354</v>
      </c>
      <c r="B2119">
        <v>2015</v>
      </c>
      <c r="C2119" s="1">
        <v>42088</v>
      </c>
      <c r="D2119" t="s">
        <v>13</v>
      </c>
      <c r="E2119">
        <v>0</v>
      </c>
      <c r="F2119">
        <v>22</v>
      </c>
      <c r="G2119">
        <v>51</v>
      </c>
      <c r="H2119">
        <v>1</v>
      </c>
      <c r="I2119" t="s">
        <v>13</v>
      </c>
      <c r="J2119">
        <v>83</v>
      </c>
      <c r="K2119" t="s">
        <v>26</v>
      </c>
      <c r="L2119">
        <v>95</v>
      </c>
    </row>
    <row r="2120" spans="1:12" x14ac:dyDescent="0.25">
      <c r="A2120">
        <v>400579355</v>
      </c>
      <c r="B2120">
        <v>2015</v>
      </c>
      <c r="C2120" s="1">
        <v>42088</v>
      </c>
      <c r="D2120" t="s">
        <v>20</v>
      </c>
      <c r="E2120">
        <v>1</v>
      </c>
      <c r="F2120">
        <v>31</v>
      </c>
      <c r="G2120">
        <v>40</v>
      </c>
      <c r="H2120">
        <v>0</v>
      </c>
      <c r="I2120" t="s">
        <v>25</v>
      </c>
      <c r="J2120">
        <v>101</v>
      </c>
      <c r="K2120" t="s">
        <v>20</v>
      </c>
      <c r="L2120">
        <v>103</v>
      </c>
    </row>
    <row r="2121" spans="1:12" x14ac:dyDescent="0.25">
      <c r="A2121">
        <v>400579355</v>
      </c>
      <c r="B2121">
        <v>2015</v>
      </c>
      <c r="C2121" s="1">
        <v>42088</v>
      </c>
      <c r="D2121" t="s">
        <v>25</v>
      </c>
      <c r="E2121">
        <v>0</v>
      </c>
      <c r="F2121">
        <v>40</v>
      </c>
      <c r="G2121">
        <v>32</v>
      </c>
      <c r="H2121">
        <v>1</v>
      </c>
      <c r="I2121" t="s">
        <v>25</v>
      </c>
      <c r="J2121">
        <v>101</v>
      </c>
      <c r="K2121" t="s">
        <v>20</v>
      </c>
      <c r="L2121">
        <v>103</v>
      </c>
    </row>
    <row r="2122" spans="1:12" x14ac:dyDescent="0.25">
      <c r="A2122">
        <v>400579356</v>
      </c>
      <c r="B2122">
        <v>2015</v>
      </c>
      <c r="C2122" s="1">
        <v>42088</v>
      </c>
      <c r="D2122" t="s">
        <v>22</v>
      </c>
      <c r="E2122">
        <v>0</v>
      </c>
      <c r="F2122">
        <v>31</v>
      </c>
      <c r="G2122">
        <v>40</v>
      </c>
      <c r="H2122">
        <v>1</v>
      </c>
      <c r="I2122" t="s">
        <v>22</v>
      </c>
      <c r="J2122">
        <v>86</v>
      </c>
      <c r="K2122" t="s">
        <v>24</v>
      </c>
      <c r="L2122">
        <v>93</v>
      </c>
    </row>
    <row r="2123" spans="1:12" x14ac:dyDescent="0.25">
      <c r="A2123">
        <v>400579356</v>
      </c>
      <c r="B2123">
        <v>2015</v>
      </c>
      <c r="C2123" s="1">
        <v>42088</v>
      </c>
      <c r="D2123" t="s">
        <v>24</v>
      </c>
      <c r="E2123">
        <v>1</v>
      </c>
      <c r="F2123">
        <v>33</v>
      </c>
      <c r="G2123">
        <v>38</v>
      </c>
      <c r="H2123">
        <v>0</v>
      </c>
      <c r="I2123" t="s">
        <v>22</v>
      </c>
      <c r="J2123">
        <v>86</v>
      </c>
      <c r="K2123" t="s">
        <v>24</v>
      </c>
      <c r="L2123">
        <v>93</v>
      </c>
    </row>
    <row r="2124" spans="1:12" x14ac:dyDescent="0.25">
      <c r="A2124">
        <v>400579357</v>
      </c>
      <c r="B2124">
        <v>2015</v>
      </c>
      <c r="C2124" s="1">
        <v>42088</v>
      </c>
      <c r="D2124" t="s">
        <v>30</v>
      </c>
      <c r="E2124">
        <v>1</v>
      </c>
      <c r="F2124">
        <v>44</v>
      </c>
      <c r="G2124">
        <v>29</v>
      </c>
      <c r="H2124">
        <v>0</v>
      </c>
      <c r="I2124" t="s">
        <v>27</v>
      </c>
      <c r="J2124">
        <v>103</v>
      </c>
      <c r="K2124" t="s">
        <v>30</v>
      </c>
      <c r="L2124">
        <v>116</v>
      </c>
    </row>
    <row r="2125" spans="1:12" x14ac:dyDescent="0.25">
      <c r="A2125">
        <v>400579357</v>
      </c>
      <c r="B2125">
        <v>2015</v>
      </c>
      <c r="C2125" s="1">
        <v>42088</v>
      </c>
      <c r="D2125" t="s">
        <v>27</v>
      </c>
      <c r="E2125">
        <v>0</v>
      </c>
      <c r="F2125">
        <v>42</v>
      </c>
      <c r="G2125">
        <v>30</v>
      </c>
      <c r="H2125">
        <v>1</v>
      </c>
      <c r="I2125" t="s">
        <v>27</v>
      </c>
      <c r="J2125">
        <v>103</v>
      </c>
      <c r="K2125" t="s">
        <v>30</v>
      </c>
      <c r="L2125">
        <v>116</v>
      </c>
    </row>
    <row r="2126" spans="1:12" x14ac:dyDescent="0.25">
      <c r="A2126">
        <v>400579358</v>
      </c>
      <c r="B2126">
        <v>2015</v>
      </c>
      <c r="C2126" s="1">
        <v>42088</v>
      </c>
      <c r="D2126" t="s">
        <v>40</v>
      </c>
      <c r="E2126">
        <v>1</v>
      </c>
      <c r="F2126">
        <v>47</v>
      </c>
      <c r="G2126">
        <v>26</v>
      </c>
      <c r="H2126">
        <v>0</v>
      </c>
      <c r="I2126" t="s">
        <v>28</v>
      </c>
      <c r="J2126">
        <v>89</v>
      </c>
      <c r="K2126" t="s">
        <v>40</v>
      </c>
      <c r="L2126">
        <v>111</v>
      </c>
    </row>
    <row r="2127" spans="1:12" x14ac:dyDescent="0.25">
      <c r="A2127">
        <v>400579358</v>
      </c>
      <c r="B2127">
        <v>2015</v>
      </c>
      <c r="C2127" s="1">
        <v>42088</v>
      </c>
      <c r="D2127" t="s">
        <v>28</v>
      </c>
      <c r="E2127">
        <v>0</v>
      </c>
      <c r="F2127">
        <v>50</v>
      </c>
      <c r="G2127">
        <v>22</v>
      </c>
      <c r="H2127">
        <v>1</v>
      </c>
      <c r="I2127" t="s">
        <v>28</v>
      </c>
      <c r="J2127">
        <v>89</v>
      </c>
      <c r="K2127" t="s">
        <v>40</v>
      </c>
      <c r="L2127">
        <v>111</v>
      </c>
    </row>
    <row r="2128" spans="1:12" x14ac:dyDescent="0.25">
      <c r="A2128">
        <v>400579359</v>
      </c>
      <c r="B2128">
        <v>2015</v>
      </c>
      <c r="C2128" s="1">
        <v>42088</v>
      </c>
      <c r="D2128" t="s">
        <v>17</v>
      </c>
      <c r="E2128">
        <v>1</v>
      </c>
      <c r="F2128">
        <v>19</v>
      </c>
      <c r="G2128">
        <v>51</v>
      </c>
      <c r="H2128">
        <v>0</v>
      </c>
      <c r="I2128" t="s">
        <v>29</v>
      </c>
      <c r="J2128">
        <v>99</v>
      </c>
      <c r="K2128" t="s">
        <v>17</v>
      </c>
      <c r="L2128">
        <v>101</v>
      </c>
    </row>
    <row r="2129" spans="1:12" x14ac:dyDescent="0.25">
      <c r="A2129">
        <v>400579359</v>
      </c>
      <c r="B2129">
        <v>2015</v>
      </c>
      <c r="C2129" s="1">
        <v>42088</v>
      </c>
      <c r="D2129" t="s">
        <v>29</v>
      </c>
      <c r="E2129">
        <v>0</v>
      </c>
      <c r="F2129">
        <v>16</v>
      </c>
      <c r="G2129">
        <v>55</v>
      </c>
      <c r="H2129">
        <v>1</v>
      </c>
      <c r="I2129" t="s">
        <v>29</v>
      </c>
      <c r="J2129">
        <v>99</v>
      </c>
      <c r="K2129" t="s">
        <v>17</v>
      </c>
      <c r="L2129">
        <v>101</v>
      </c>
    </row>
    <row r="2130" spans="1:12" x14ac:dyDescent="0.25">
      <c r="A2130">
        <v>400579360</v>
      </c>
      <c r="B2130">
        <v>2015</v>
      </c>
      <c r="C2130" s="1">
        <v>42088</v>
      </c>
      <c r="D2130" t="s">
        <v>16</v>
      </c>
      <c r="E2130">
        <v>1</v>
      </c>
      <c r="F2130">
        <v>48</v>
      </c>
      <c r="G2130">
        <v>23</v>
      </c>
      <c r="H2130">
        <v>0</v>
      </c>
      <c r="I2130" t="s">
        <v>12</v>
      </c>
      <c r="J2130">
        <v>93</v>
      </c>
      <c r="K2130" t="s">
        <v>16</v>
      </c>
      <c r="L2130">
        <v>95</v>
      </c>
    </row>
    <row r="2131" spans="1:12" x14ac:dyDescent="0.25">
      <c r="A2131">
        <v>400579360</v>
      </c>
      <c r="B2131">
        <v>2015</v>
      </c>
      <c r="C2131" s="1">
        <v>42088</v>
      </c>
      <c r="D2131" t="s">
        <v>12</v>
      </c>
      <c r="E2131">
        <v>0</v>
      </c>
      <c r="F2131">
        <v>37</v>
      </c>
      <c r="G2131">
        <v>34</v>
      </c>
      <c r="H2131">
        <v>1</v>
      </c>
      <c r="I2131" t="s">
        <v>12</v>
      </c>
      <c r="J2131">
        <v>93</v>
      </c>
      <c r="K2131" t="s">
        <v>16</v>
      </c>
      <c r="L2131">
        <v>95</v>
      </c>
    </row>
    <row r="2132" spans="1:12" x14ac:dyDescent="0.25">
      <c r="A2132">
        <v>400579361</v>
      </c>
      <c r="B2132">
        <v>2015</v>
      </c>
      <c r="C2132" s="1">
        <v>42088</v>
      </c>
      <c r="D2132" t="s">
        <v>32</v>
      </c>
      <c r="E2132">
        <v>0</v>
      </c>
      <c r="F2132">
        <v>27</v>
      </c>
      <c r="G2132">
        <v>45</v>
      </c>
      <c r="H2132">
        <v>1</v>
      </c>
      <c r="I2132" t="s">
        <v>32</v>
      </c>
      <c r="J2132">
        <v>85</v>
      </c>
      <c r="K2132" t="s">
        <v>21</v>
      </c>
      <c r="L2132">
        <v>99</v>
      </c>
    </row>
    <row r="2133" spans="1:12" x14ac:dyDescent="0.25">
      <c r="A2133">
        <v>400579361</v>
      </c>
      <c r="B2133">
        <v>2015</v>
      </c>
      <c r="C2133" s="1">
        <v>42088</v>
      </c>
      <c r="D2133" t="s">
        <v>21</v>
      </c>
      <c r="E2133">
        <v>1</v>
      </c>
      <c r="F2133">
        <v>18</v>
      </c>
      <c r="G2133">
        <v>54</v>
      </c>
      <c r="H2133">
        <v>0</v>
      </c>
      <c r="I2133" t="s">
        <v>32</v>
      </c>
      <c r="J2133">
        <v>85</v>
      </c>
      <c r="K2133" t="s">
        <v>21</v>
      </c>
      <c r="L2133">
        <v>99</v>
      </c>
    </row>
    <row r="2134" spans="1:12" x14ac:dyDescent="0.25">
      <c r="A2134">
        <v>400579362</v>
      </c>
      <c r="B2134">
        <v>2015</v>
      </c>
      <c r="C2134" s="1">
        <v>42088</v>
      </c>
      <c r="D2134" t="s">
        <v>39</v>
      </c>
      <c r="E2134">
        <v>1</v>
      </c>
      <c r="F2134">
        <v>45</v>
      </c>
      <c r="G2134">
        <v>25</v>
      </c>
      <c r="H2134">
        <v>0</v>
      </c>
      <c r="I2134" t="s">
        <v>34</v>
      </c>
      <c r="J2134">
        <v>89</v>
      </c>
      <c r="K2134" t="s">
        <v>39</v>
      </c>
      <c r="L2134">
        <v>92</v>
      </c>
    </row>
    <row r="2135" spans="1:12" x14ac:dyDescent="0.25">
      <c r="A2135">
        <v>400579362</v>
      </c>
      <c r="B2135">
        <v>2015</v>
      </c>
      <c r="C2135" s="1">
        <v>42088</v>
      </c>
      <c r="D2135" t="s">
        <v>34</v>
      </c>
      <c r="E2135">
        <v>0</v>
      </c>
      <c r="F2135">
        <v>31</v>
      </c>
      <c r="G2135">
        <v>40</v>
      </c>
      <c r="H2135">
        <v>1</v>
      </c>
      <c r="I2135" t="s">
        <v>34</v>
      </c>
      <c r="J2135">
        <v>89</v>
      </c>
      <c r="K2135" t="s">
        <v>39</v>
      </c>
      <c r="L2135">
        <v>92</v>
      </c>
    </row>
    <row r="2136" spans="1:12" x14ac:dyDescent="0.25">
      <c r="A2136">
        <v>400579363</v>
      </c>
      <c r="B2136">
        <v>2015</v>
      </c>
      <c r="C2136" s="1">
        <v>42088</v>
      </c>
      <c r="D2136" t="s">
        <v>38</v>
      </c>
      <c r="E2136">
        <v>0</v>
      </c>
      <c r="F2136">
        <v>41</v>
      </c>
      <c r="G2136">
        <v>31</v>
      </c>
      <c r="H2136">
        <v>0</v>
      </c>
      <c r="I2136" t="s">
        <v>15</v>
      </c>
      <c r="J2136">
        <v>130</v>
      </c>
      <c r="K2136" t="s">
        <v>38</v>
      </c>
      <c r="L2136">
        <v>91</v>
      </c>
    </row>
    <row r="2137" spans="1:12" x14ac:dyDescent="0.25">
      <c r="A2137">
        <v>400579363</v>
      </c>
      <c r="B2137">
        <v>2015</v>
      </c>
      <c r="C2137" s="1">
        <v>42088</v>
      </c>
      <c r="D2137" t="s">
        <v>15</v>
      </c>
      <c r="E2137">
        <v>1</v>
      </c>
      <c r="F2137">
        <v>45</v>
      </c>
      <c r="G2137">
        <v>26</v>
      </c>
      <c r="H2137">
        <v>1</v>
      </c>
      <c r="I2137" t="s">
        <v>15</v>
      </c>
      <c r="J2137">
        <v>130</v>
      </c>
      <c r="K2137" t="s">
        <v>38</v>
      </c>
      <c r="L2137">
        <v>91</v>
      </c>
    </row>
    <row r="2138" spans="1:12" x14ac:dyDescent="0.25">
      <c r="A2138">
        <v>400579364</v>
      </c>
      <c r="B2138">
        <v>2015</v>
      </c>
      <c r="C2138" s="1">
        <v>42088</v>
      </c>
      <c r="D2138" t="s">
        <v>35</v>
      </c>
      <c r="E2138">
        <v>0</v>
      </c>
      <c r="F2138">
        <v>38</v>
      </c>
      <c r="G2138">
        <v>34</v>
      </c>
      <c r="H2138">
        <v>1</v>
      </c>
      <c r="I2138" t="s">
        <v>35</v>
      </c>
      <c r="J2138">
        <v>99</v>
      </c>
      <c r="K2138" t="s">
        <v>37</v>
      </c>
      <c r="L2138">
        <v>108</v>
      </c>
    </row>
    <row r="2139" spans="1:12" x14ac:dyDescent="0.25">
      <c r="A2139">
        <v>400579364</v>
      </c>
      <c r="B2139">
        <v>2015</v>
      </c>
      <c r="C2139" s="1">
        <v>42088</v>
      </c>
      <c r="D2139" t="s">
        <v>37</v>
      </c>
      <c r="E2139">
        <v>1</v>
      </c>
      <c r="F2139">
        <v>26</v>
      </c>
      <c r="G2139">
        <v>45</v>
      </c>
      <c r="H2139">
        <v>0</v>
      </c>
      <c r="I2139" t="s">
        <v>35</v>
      </c>
      <c r="J2139">
        <v>99</v>
      </c>
      <c r="K2139" t="s">
        <v>37</v>
      </c>
      <c r="L2139">
        <v>108</v>
      </c>
    </row>
    <row r="2140" spans="1:12" x14ac:dyDescent="0.25">
      <c r="A2140">
        <v>400579365</v>
      </c>
      <c r="B2140">
        <v>2015</v>
      </c>
      <c r="C2140" s="1">
        <v>42089</v>
      </c>
      <c r="D2140" t="s">
        <v>20</v>
      </c>
      <c r="E2140">
        <v>0</v>
      </c>
      <c r="F2140">
        <v>31</v>
      </c>
      <c r="G2140">
        <v>41</v>
      </c>
      <c r="H2140">
        <v>0</v>
      </c>
      <c r="I2140" t="s">
        <v>19</v>
      </c>
      <c r="J2140">
        <v>111</v>
      </c>
      <c r="K2140" t="s">
        <v>20</v>
      </c>
      <c r="L2140">
        <v>107</v>
      </c>
    </row>
    <row r="2141" spans="1:12" x14ac:dyDescent="0.25">
      <c r="A2141">
        <v>400579365</v>
      </c>
      <c r="B2141">
        <v>2015</v>
      </c>
      <c r="C2141" s="1">
        <v>42089</v>
      </c>
      <c r="D2141" t="s">
        <v>19</v>
      </c>
      <c r="E2141">
        <v>1</v>
      </c>
      <c r="F2141">
        <v>36</v>
      </c>
      <c r="G2141">
        <v>36</v>
      </c>
      <c r="H2141">
        <v>1</v>
      </c>
      <c r="I2141" t="s">
        <v>19</v>
      </c>
      <c r="J2141">
        <v>111</v>
      </c>
      <c r="K2141" t="s">
        <v>20</v>
      </c>
      <c r="L2141">
        <v>107</v>
      </c>
    </row>
    <row r="2142" spans="1:12" x14ac:dyDescent="0.25">
      <c r="A2142">
        <v>400579366</v>
      </c>
      <c r="B2142">
        <v>2015</v>
      </c>
      <c r="C2142" s="1">
        <v>42090</v>
      </c>
      <c r="D2142" t="s">
        <v>33</v>
      </c>
      <c r="E2142">
        <v>1</v>
      </c>
      <c r="F2142">
        <v>28</v>
      </c>
      <c r="G2142">
        <v>44</v>
      </c>
      <c r="H2142">
        <v>0</v>
      </c>
      <c r="I2142" t="s">
        <v>13</v>
      </c>
      <c r="J2142">
        <v>97</v>
      </c>
      <c r="K2142" t="s">
        <v>33</v>
      </c>
      <c r="L2142">
        <v>111</v>
      </c>
    </row>
    <row r="2143" spans="1:12" x14ac:dyDescent="0.25">
      <c r="A2143">
        <v>400579366</v>
      </c>
      <c r="B2143">
        <v>2015</v>
      </c>
      <c r="C2143" s="1">
        <v>42090</v>
      </c>
      <c r="D2143" t="s">
        <v>13</v>
      </c>
      <c r="E2143">
        <v>0</v>
      </c>
      <c r="F2143">
        <v>22</v>
      </c>
      <c r="G2143">
        <v>52</v>
      </c>
      <c r="H2143">
        <v>1</v>
      </c>
      <c r="I2143" t="s">
        <v>13</v>
      </c>
      <c r="J2143">
        <v>97</v>
      </c>
      <c r="K2143" t="s">
        <v>33</v>
      </c>
      <c r="L2143">
        <v>111</v>
      </c>
    </row>
    <row r="2144" spans="1:12" x14ac:dyDescent="0.25">
      <c r="A2144">
        <v>400579367</v>
      </c>
      <c r="B2144">
        <v>2015</v>
      </c>
      <c r="C2144" s="1">
        <v>42090</v>
      </c>
      <c r="D2144" t="s">
        <v>41</v>
      </c>
      <c r="E2144">
        <v>1</v>
      </c>
      <c r="F2144">
        <v>48</v>
      </c>
      <c r="G2144">
        <v>25</v>
      </c>
      <c r="H2144">
        <v>0</v>
      </c>
      <c r="I2144" t="s">
        <v>21</v>
      </c>
      <c r="J2144">
        <v>98</v>
      </c>
      <c r="K2144" t="s">
        <v>41</v>
      </c>
      <c r="L2144">
        <v>119</v>
      </c>
    </row>
    <row r="2145" spans="1:12" x14ac:dyDescent="0.25">
      <c r="A2145">
        <v>400579367</v>
      </c>
      <c r="B2145">
        <v>2015</v>
      </c>
      <c r="C2145" s="1">
        <v>42090</v>
      </c>
      <c r="D2145" t="s">
        <v>21</v>
      </c>
      <c r="E2145">
        <v>0</v>
      </c>
      <c r="F2145">
        <v>18</v>
      </c>
      <c r="G2145">
        <v>55</v>
      </c>
      <c r="H2145">
        <v>1</v>
      </c>
      <c r="I2145" t="s">
        <v>21</v>
      </c>
      <c r="J2145">
        <v>98</v>
      </c>
      <c r="K2145" t="s">
        <v>41</v>
      </c>
      <c r="L2145">
        <v>119</v>
      </c>
    </row>
    <row r="2146" spans="1:12" x14ac:dyDescent="0.25">
      <c r="A2146">
        <v>400579368</v>
      </c>
      <c r="B2146">
        <v>2015</v>
      </c>
      <c r="C2146" s="1">
        <v>42090</v>
      </c>
      <c r="D2146" t="s">
        <v>18</v>
      </c>
      <c r="E2146">
        <v>0</v>
      </c>
      <c r="F2146">
        <v>30</v>
      </c>
      <c r="G2146">
        <v>41</v>
      </c>
      <c r="H2146">
        <v>0</v>
      </c>
      <c r="I2146" t="s">
        <v>25</v>
      </c>
      <c r="J2146">
        <v>110</v>
      </c>
      <c r="K2146" t="s">
        <v>18</v>
      </c>
      <c r="L2146">
        <v>107</v>
      </c>
    </row>
    <row r="2147" spans="1:12" x14ac:dyDescent="0.25">
      <c r="A2147">
        <v>400579368</v>
      </c>
      <c r="B2147">
        <v>2015</v>
      </c>
      <c r="C2147" s="1">
        <v>42090</v>
      </c>
      <c r="D2147" t="s">
        <v>25</v>
      </c>
      <c r="E2147">
        <v>1</v>
      </c>
      <c r="F2147">
        <v>41</v>
      </c>
      <c r="G2147">
        <v>32</v>
      </c>
      <c r="H2147">
        <v>1</v>
      </c>
      <c r="I2147" t="s">
        <v>25</v>
      </c>
      <c r="J2147">
        <v>110</v>
      </c>
      <c r="K2147" t="s">
        <v>18</v>
      </c>
      <c r="L2147">
        <v>107</v>
      </c>
    </row>
    <row r="2148" spans="1:12" x14ac:dyDescent="0.25">
      <c r="A2148">
        <v>400579369</v>
      </c>
      <c r="B2148">
        <v>2015</v>
      </c>
      <c r="C2148" s="1">
        <v>42090</v>
      </c>
      <c r="D2148" t="s">
        <v>26</v>
      </c>
      <c r="E2148">
        <v>1</v>
      </c>
      <c r="F2148">
        <v>55</v>
      </c>
      <c r="G2148">
        <v>17</v>
      </c>
      <c r="H2148">
        <v>1</v>
      </c>
      <c r="I2148" t="s">
        <v>26</v>
      </c>
      <c r="J2148">
        <v>99</v>
      </c>
      <c r="K2148" t="s">
        <v>24</v>
      </c>
      <c r="L2148">
        <v>86</v>
      </c>
    </row>
    <row r="2149" spans="1:12" x14ac:dyDescent="0.25">
      <c r="A2149">
        <v>400579369</v>
      </c>
      <c r="B2149">
        <v>2015</v>
      </c>
      <c r="C2149" s="1">
        <v>42090</v>
      </c>
      <c r="D2149" t="s">
        <v>24</v>
      </c>
      <c r="E2149">
        <v>0</v>
      </c>
      <c r="F2149">
        <v>33</v>
      </c>
      <c r="G2149">
        <v>39</v>
      </c>
      <c r="H2149">
        <v>0</v>
      </c>
      <c r="I2149" t="s">
        <v>26</v>
      </c>
      <c r="J2149">
        <v>99</v>
      </c>
      <c r="K2149" t="s">
        <v>24</v>
      </c>
      <c r="L2149">
        <v>86</v>
      </c>
    </row>
    <row r="2150" spans="1:12" x14ac:dyDescent="0.25">
      <c r="A2150">
        <v>400579370</v>
      </c>
      <c r="B2150">
        <v>2015</v>
      </c>
      <c r="C2150" s="1">
        <v>42090</v>
      </c>
      <c r="D2150" t="s">
        <v>23</v>
      </c>
      <c r="E2150">
        <v>1</v>
      </c>
      <c r="F2150">
        <v>31</v>
      </c>
      <c r="G2150">
        <v>40</v>
      </c>
      <c r="H2150">
        <v>1</v>
      </c>
      <c r="I2150" t="s">
        <v>23</v>
      </c>
      <c r="J2150">
        <v>106</v>
      </c>
      <c r="K2150" t="s">
        <v>40</v>
      </c>
      <c r="L2150">
        <v>98</v>
      </c>
    </row>
    <row r="2151" spans="1:12" x14ac:dyDescent="0.25">
      <c r="A2151">
        <v>400579370</v>
      </c>
      <c r="B2151">
        <v>2015</v>
      </c>
      <c r="C2151" s="1">
        <v>42090</v>
      </c>
      <c r="D2151" t="s">
        <v>40</v>
      </c>
      <c r="E2151">
        <v>0</v>
      </c>
      <c r="F2151">
        <v>47</v>
      </c>
      <c r="G2151">
        <v>27</v>
      </c>
      <c r="H2151">
        <v>0</v>
      </c>
      <c r="I2151" t="s">
        <v>23</v>
      </c>
      <c r="J2151">
        <v>106</v>
      </c>
      <c r="K2151" t="s">
        <v>40</v>
      </c>
      <c r="L2151">
        <v>98</v>
      </c>
    </row>
    <row r="2152" spans="1:12" x14ac:dyDescent="0.25">
      <c r="A2152">
        <v>400579371</v>
      </c>
      <c r="B2152">
        <v>2015</v>
      </c>
      <c r="C2152" s="1">
        <v>42090</v>
      </c>
      <c r="D2152" t="s">
        <v>22</v>
      </c>
      <c r="E2152">
        <v>1</v>
      </c>
      <c r="F2152">
        <v>32</v>
      </c>
      <c r="G2152">
        <v>40</v>
      </c>
      <c r="H2152">
        <v>0</v>
      </c>
      <c r="I2152" t="s">
        <v>31</v>
      </c>
      <c r="J2152">
        <v>92</v>
      </c>
      <c r="K2152" t="s">
        <v>22</v>
      </c>
      <c r="L2152">
        <v>96</v>
      </c>
    </row>
    <row r="2153" spans="1:12" x14ac:dyDescent="0.25">
      <c r="A2153">
        <v>400579371</v>
      </c>
      <c r="B2153">
        <v>2015</v>
      </c>
      <c r="C2153" s="1">
        <v>42090</v>
      </c>
      <c r="D2153" t="s">
        <v>31</v>
      </c>
      <c r="E2153">
        <v>0</v>
      </c>
      <c r="F2153">
        <v>14</v>
      </c>
      <c r="G2153">
        <v>59</v>
      </c>
      <c r="H2153">
        <v>1</v>
      </c>
      <c r="I2153" t="s">
        <v>31</v>
      </c>
      <c r="J2153">
        <v>92</v>
      </c>
      <c r="K2153" t="s">
        <v>22</v>
      </c>
      <c r="L2153">
        <v>96</v>
      </c>
    </row>
    <row r="2154" spans="1:12" x14ac:dyDescent="0.25">
      <c r="A2154">
        <v>400579372</v>
      </c>
      <c r="B2154">
        <v>2015</v>
      </c>
      <c r="C2154" s="1">
        <v>42090</v>
      </c>
      <c r="D2154" t="s">
        <v>17</v>
      </c>
      <c r="E2154">
        <v>0</v>
      </c>
      <c r="F2154">
        <v>19</v>
      </c>
      <c r="G2154">
        <v>52</v>
      </c>
      <c r="H2154">
        <v>0</v>
      </c>
      <c r="I2154" t="s">
        <v>27</v>
      </c>
      <c r="J2154">
        <v>94</v>
      </c>
      <c r="K2154" t="s">
        <v>17</v>
      </c>
      <c r="L2154">
        <v>83</v>
      </c>
    </row>
    <row r="2155" spans="1:12" x14ac:dyDescent="0.25">
      <c r="A2155">
        <v>400579372</v>
      </c>
      <c r="B2155">
        <v>2015</v>
      </c>
      <c r="C2155" s="1">
        <v>42090</v>
      </c>
      <c r="D2155" t="s">
        <v>27</v>
      </c>
      <c r="E2155">
        <v>1</v>
      </c>
      <c r="F2155">
        <v>43</v>
      </c>
      <c r="G2155">
        <v>30</v>
      </c>
      <c r="H2155">
        <v>1</v>
      </c>
      <c r="I2155" t="s">
        <v>27</v>
      </c>
      <c r="J2155">
        <v>94</v>
      </c>
      <c r="K2155" t="s">
        <v>17</v>
      </c>
      <c r="L2155">
        <v>83</v>
      </c>
    </row>
    <row r="2156" spans="1:12" x14ac:dyDescent="0.25">
      <c r="A2156">
        <v>400579373</v>
      </c>
      <c r="B2156">
        <v>2015</v>
      </c>
      <c r="C2156" s="1">
        <v>42090</v>
      </c>
      <c r="D2156" t="s">
        <v>16</v>
      </c>
      <c r="E2156">
        <v>1</v>
      </c>
      <c r="F2156">
        <v>49</v>
      </c>
      <c r="G2156">
        <v>23</v>
      </c>
      <c r="H2156">
        <v>1</v>
      </c>
      <c r="I2156" t="s">
        <v>16</v>
      </c>
      <c r="J2156">
        <v>120</v>
      </c>
      <c r="K2156" t="s">
        <v>29</v>
      </c>
      <c r="L2156">
        <v>110</v>
      </c>
    </row>
    <row r="2157" spans="1:12" x14ac:dyDescent="0.25">
      <c r="A2157">
        <v>400579373</v>
      </c>
      <c r="B2157">
        <v>2015</v>
      </c>
      <c r="C2157" s="1">
        <v>42090</v>
      </c>
      <c r="D2157" t="s">
        <v>29</v>
      </c>
      <c r="E2157">
        <v>0</v>
      </c>
      <c r="F2157">
        <v>16</v>
      </c>
      <c r="G2157">
        <v>56</v>
      </c>
      <c r="H2157">
        <v>0</v>
      </c>
      <c r="I2157" t="s">
        <v>16</v>
      </c>
      <c r="J2157">
        <v>120</v>
      </c>
      <c r="K2157" t="s">
        <v>29</v>
      </c>
      <c r="L2157">
        <v>110</v>
      </c>
    </row>
    <row r="2158" spans="1:12" x14ac:dyDescent="0.25">
      <c r="A2158">
        <v>400579374</v>
      </c>
      <c r="B2158">
        <v>2015</v>
      </c>
      <c r="C2158" s="1">
        <v>42090</v>
      </c>
      <c r="D2158" t="s">
        <v>36</v>
      </c>
      <c r="E2158">
        <v>1</v>
      </c>
      <c r="F2158">
        <v>59</v>
      </c>
      <c r="G2158">
        <v>13</v>
      </c>
      <c r="H2158">
        <v>0</v>
      </c>
      <c r="I2158" t="s">
        <v>28</v>
      </c>
      <c r="J2158">
        <v>84</v>
      </c>
      <c r="K2158" t="s">
        <v>36</v>
      </c>
      <c r="L2158">
        <v>107</v>
      </c>
    </row>
    <row r="2159" spans="1:12" x14ac:dyDescent="0.25">
      <c r="A2159">
        <v>400579374</v>
      </c>
      <c r="B2159">
        <v>2015</v>
      </c>
      <c r="C2159" s="1">
        <v>42090</v>
      </c>
      <c r="D2159" t="s">
        <v>28</v>
      </c>
      <c r="E2159">
        <v>0</v>
      </c>
      <c r="F2159">
        <v>50</v>
      </c>
      <c r="G2159">
        <v>23</v>
      </c>
      <c r="H2159">
        <v>1</v>
      </c>
      <c r="I2159" t="s">
        <v>28</v>
      </c>
      <c r="J2159">
        <v>84</v>
      </c>
      <c r="K2159" t="s">
        <v>36</v>
      </c>
      <c r="L2159">
        <v>107</v>
      </c>
    </row>
    <row r="2160" spans="1:12" x14ac:dyDescent="0.25">
      <c r="A2160">
        <v>400579375</v>
      </c>
      <c r="B2160">
        <v>2015</v>
      </c>
      <c r="C2160" s="1">
        <v>42090</v>
      </c>
      <c r="D2160" t="s">
        <v>12</v>
      </c>
      <c r="E2160">
        <v>1</v>
      </c>
      <c r="F2160">
        <v>38</v>
      </c>
      <c r="G2160">
        <v>34</v>
      </c>
      <c r="H2160">
        <v>1</v>
      </c>
      <c r="I2160" t="s">
        <v>12</v>
      </c>
      <c r="J2160">
        <v>102</v>
      </c>
      <c r="K2160" t="s">
        <v>37</v>
      </c>
      <c r="L2160">
        <v>88</v>
      </c>
    </row>
    <row r="2161" spans="1:12" x14ac:dyDescent="0.25">
      <c r="A2161">
        <v>400579375</v>
      </c>
      <c r="B2161">
        <v>2015</v>
      </c>
      <c r="C2161" s="1">
        <v>42090</v>
      </c>
      <c r="D2161" t="s">
        <v>37</v>
      </c>
      <c r="E2161">
        <v>0</v>
      </c>
      <c r="F2161">
        <v>26</v>
      </c>
      <c r="G2161">
        <v>46</v>
      </c>
      <c r="H2161">
        <v>0</v>
      </c>
      <c r="I2161" t="s">
        <v>12</v>
      </c>
      <c r="J2161">
        <v>102</v>
      </c>
      <c r="K2161" t="s">
        <v>37</v>
      </c>
      <c r="L2161">
        <v>88</v>
      </c>
    </row>
    <row r="2162" spans="1:12" x14ac:dyDescent="0.25">
      <c r="A2162">
        <v>400579376</v>
      </c>
      <c r="B2162">
        <v>2015</v>
      </c>
      <c r="C2162" s="1">
        <v>42090</v>
      </c>
      <c r="D2162" t="s">
        <v>14</v>
      </c>
      <c r="E2162">
        <v>0</v>
      </c>
      <c r="F2162">
        <v>45</v>
      </c>
      <c r="G2162">
        <v>28</v>
      </c>
      <c r="H2162">
        <v>0</v>
      </c>
      <c r="I2162" t="s">
        <v>15</v>
      </c>
      <c r="J2162">
        <v>94</v>
      </c>
      <c r="K2162" t="s">
        <v>14</v>
      </c>
      <c r="L2162">
        <v>76</v>
      </c>
    </row>
    <row r="2163" spans="1:12" x14ac:dyDescent="0.25">
      <c r="A2163">
        <v>400579376</v>
      </c>
      <c r="B2163">
        <v>2015</v>
      </c>
      <c r="C2163" s="1">
        <v>42090</v>
      </c>
      <c r="D2163" t="s">
        <v>15</v>
      </c>
      <c r="E2163">
        <v>1</v>
      </c>
      <c r="F2163">
        <v>46</v>
      </c>
      <c r="G2163">
        <v>26</v>
      </c>
      <c r="H2163">
        <v>1</v>
      </c>
      <c r="I2163" t="s">
        <v>15</v>
      </c>
      <c r="J2163">
        <v>94</v>
      </c>
      <c r="K2163" t="s">
        <v>14</v>
      </c>
      <c r="L2163">
        <v>76</v>
      </c>
    </row>
    <row r="2164" spans="1:12" x14ac:dyDescent="0.25">
      <c r="A2164">
        <v>400579377</v>
      </c>
      <c r="B2164">
        <v>2015</v>
      </c>
      <c r="C2164" s="1">
        <v>42090</v>
      </c>
      <c r="D2164" t="s">
        <v>32</v>
      </c>
      <c r="E2164">
        <v>1</v>
      </c>
      <c r="F2164">
        <v>28</v>
      </c>
      <c r="G2164">
        <v>45</v>
      </c>
      <c r="H2164">
        <v>1</v>
      </c>
      <c r="I2164" t="s">
        <v>32</v>
      </c>
      <c r="J2164">
        <v>107</v>
      </c>
      <c r="K2164" t="s">
        <v>34</v>
      </c>
      <c r="L2164">
        <v>91</v>
      </c>
    </row>
    <row r="2165" spans="1:12" x14ac:dyDescent="0.25">
      <c r="A2165">
        <v>400579377</v>
      </c>
      <c r="B2165">
        <v>2015</v>
      </c>
      <c r="C2165" s="1">
        <v>42090</v>
      </c>
      <c r="D2165" t="s">
        <v>34</v>
      </c>
      <c r="E2165">
        <v>0</v>
      </c>
      <c r="F2165">
        <v>31</v>
      </c>
      <c r="G2165">
        <v>41</v>
      </c>
      <c r="H2165">
        <v>0</v>
      </c>
      <c r="I2165" t="s">
        <v>32</v>
      </c>
      <c r="J2165">
        <v>107</v>
      </c>
      <c r="K2165" t="s">
        <v>34</v>
      </c>
      <c r="L2165">
        <v>91</v>
      </c>
    </row>
    <row r="2166" spans="1:12" x14ac:dyDescent="0.25">
      <c r="A2166">
        <v>400579378</v>
      </c>
      <c r="B2166">
        <v>2015</v>
      </c>
      <c r="C2166" s="1">
        <v>42090</v>
      </c>
      <c r="D2166" t="s">
        <v>35</v>
      </c>
      <c r="E2166">
        <v>0</v>
      </c>
      <c r="F2166">
        <v>38</v>
      </c>
      <c r="G2166">
        <v>35</v>
      </c>
      <c r="H2166">
        <v>1</v>
      </c>
      <c r="I2166" t="s">
        <v>35</v>
      </c>
      <c r="J2166">
        <v>81</v>
      </c>
      <c r="K2166" t="s">
        <v>39</v>
      </c>
      <c r="L2166">
        <v>87</v>
      </c>
    </row>
    <row r="2167" spans="1:12" x14ac:dyDescent="0.25">
      <c r="A2167">
        <v>400579378</v>
      </c>
      <c r="B2167">
        <v>2015</v>
      </c>
      <c r="C2167" s="1">
        <v>42090</v>
      </c>
      <c r="D2167" t="s">
        <v>39</v>
      </c>
      <c r="E2167">
        <v>1</v>
      </c>
      <c r="F2167">
        <v>46</v>
      </c>
      <c r="G2167">
        <v>25</v>
      </c>
      <c r="H2167">
        <v>0</v>
      </c>
      <c r="I2167" t="s">
        <v>35</v>
      </c>
      <c r="J2167">
        <v>81</v>
      </c>
      <c r="K2167" t="s">
        <v>39</v>
      </c>
      <c r="L2167">
        <v>87</v>
      </c>
    </row>
    <row r="2168" spans="1:12" x14ac:dyDescent="0.25">
      <c r="A2168">
        <v>400579379</v>
      </c>
      <c r="B2168">
        <v>2015</v>
      </c>
      <c r="C2168" s="1">
        <v>42091</v>
      </c>
      <c r="D2168" t="s">
        <v>26</v>
      </c>
      <c r="E2168">
        <v>0</v>
      </c>
      <c r="F2168">
        <v>55</v>
      </c>
      <c r="G2168">
        <v>18</v>
      </c>
      <c r="H2168">
        <v>0</v>
      </c>
      <c r="I2168" t="s">
        <v>18</v>
      </c>
      <c r="J2168">
        <v>115</v>
      </c>
      <c r="K2168" t="s">
        <v>26</v>
      </c>
      <c r="L2168">
        <v>100</v>
      </c>
    </row>
    <row r="2169" spans="1:12" x14ac:dyDescent="0.25">
      <c r="A2169">
        <v>400579379</v>
      </c>
      <c r="B2169">
        <v>2015</v>
      </c>
      <c r="C2169" s="1">
        <v>42091</v>
      </c>
      <c r="D2169" t="s">
        <v>18</v>
      </c>
      <c r="E2169">
        <v>1</v>
      </c>
      <c r="F2169">
        <v>31</v>
      </c>
      <c r="G2169">
        <v>41</v>
      </c>
      <c r="H2169">
        <v>1</v>
      </c>
      <c r="I2169" t="s">
        <v>18</v>
      </c>
      <c r="J2169">
        <v>115</v>
      </c>
      <c r="K2169" t="s">
        <v>26</v>
      </c>
      <c r="L2169">
        <v>100</v>
      </c>
    </row>
    <row r="2170" spans="1:12" x14ac:dyDescent="0.25">
      <c r="A2170">
        <v>400579380</v>
      </c>
      <c r="B2170">
        <v>2015</v>
      </c>
      <c r="C2170" s="1">
        <v>42091</v>
      </c>
      <c r="D2170" t="s">
        <v>30</v>
      </c>
      <c r="E2170">
        <v>1</v>
      </c>
      <c r="F2170">
        <v>45</v>
      </c>
      <c r="G2170">
        <v>29</v>
      </c>
      <c r="H2170">
        <v>1</v>
      </c>
      <c r="I2170" t="s">
        <v>30</v>
      </c>
      <c r="J2170">
        <v>111</v>
      </c>
      <c r="K2170" t="s">
        <v>31</v>
      </c>
      <c r="L2170">
        <v>80</v>
      </c>
    </row>
    <row r="2171" spans="1:12" x14ac:dyDescent="0.25">
      <c r="A2171">
        <v>400579380</v>
      </c>
      <c r="B2171">
        <v>2015</v>
      </c>
      <c r="C2171" s="1">
        <v>42091</v>
      </c>
      <c r="D2171" t="s">
        <v>31</v>
      </c>
      <c r="E2171">
        <v>0</v>
      </c>
      <c r="F2171">
        <v>14</v>
      </c>
      <c r="G2171">
        <v>60</v>
      </c>
      <c r="H2171">
        <v>0</v>
      </c>
      <c r="I2171" t="s">
        <v>30</v>
      </c>
      <c r="J2171">
        <v>111</v>
      </c>
      <c r="K2171" t="s">
        <v>31</v>
      </c>
      <c r="L2171">
        <v>80</v>
      </c>
    </row>
    <row r="2172" spans="1:12" x14ac:dyDescent="0.25">
      <c r="A2172">
        <v>400579381</v>
      </c>
      <c r="B2172">
        <v>2015</v>
      </c>
      <c r="C2172" s="1">
        <v>42091</v>
      </c>
      <c r="D2172" t="s">
        <v>36</v>
      </c>
      <c r="E2172">
        <v>1</v>
      </c>
      <c r="F2172">
        <v>60</v>
      </c>
      <c r="G2172">
        <v>13</v>
      </c>
      <c r="H2172">
        <v>0</v>
      </c>
      <c r="I2172" t="s">
        <v>19</v>
      </c>
      <c r="J2172">
        <v>95</v>
      </c>
      <c r="K2172" t="s">
        <v>36</v>
      </c>
      <c r="L2172">
        <v>108</v>
      </c>
    </row>
    <row r="2173" spans="1:12" x14ac:dyDescent="0.25">
      <c r="A2173">
        <v>400579381</v>
      </c>
      <c r="B2173">
        <v>2015</v>
      </c>
      <c r="C2173" s="1">
        <v>42091</v>
      </c>
      <c r="D2173" t="s">
        <v>19</v>
      </c>
      <c r="E2173">
        <v>0</v>
      </c>
      <c r="F2173">
        <v>36</v>
      </c>
      <c r="G2173">
        <v>37</v>
      </c>
      <c r="H2173">
        <v>1</v>
      </c>
      <c r="I2173" t="s">
        <v>19</v>
      </c>
      <c r="J2173">
        <v>95</v>
      </c>
      <c r="K2173" t="s">
        <v>36</v>
      </c>
      <c r="L2173">
        <v>108</v>
      </c>
    </row>
    <row r="2174" spans="1:12" x14ac:dyDescent="0.25">
      <c r="A2174">
        <v>400579382</v>
      </c>
      <c r="B2174">
        <v>2015</v>
      </c>
      <c r="C2174" s="1">
        <v>42091</v>
      </c>
      <c r="D2174" t="s">
        <v>38</v>
      </c>
      <c r="E2174">
        <v>0</v>
      </c>
      <c r="F2174">
        <v>41</v>
      </c>
      <c r="G2174">
        <v>32</v>
      </c>
      <c r="H2174">
        <v>0</v>
      </c>
      <c r="I2174" t="s">
        <v>34</v>
      </c>
      <c r="J2174">
        <v>94</v>
      </c>
      <c r="K2174" t="s">
        <v>38</v>
      </c>
      <c r="L2174">
        <v>89</v>
      </c>
    </row>
    <row r="2175" spans="1:12" x14ac:dyDescent="0.25">
      <c r="A2175">
        <v>400579382</v>
      </c>
      <c r="B2175">
        <v>2015</v>
      </c>
      <c r="C2175" s="1">
        <v>42091</v>
      </c>
      <c r="D2175" t="s">
        <v>34</v>
      </c>
      <c r="E2175">
        <v>1</v>
      </c>
      <c r="F2175">
        <v>32</v>
      </c>
      <c r="G2175">
        <v>41</v>
      </c>
      <c r="H2175">
        <v>1</v>
      </c>
      <c r="I2175" t="s">
        <v>34</v>
      </c>
      <c r="J2175">
        <v>94</v>
      </c>
      <c r="K2175" t="s">
        <v>38</v>
      </c>
      <c r="L2175">
        <v>89</v>
      </c>
    </row>
    <row r="2176" spans="1:12" x14ac:dyDescent="0.25">
      <c r="A2176">
        <v>400579383</v>
      </c>
      <c r="B2176">
        <v>2015</v>
      </c>
      <c r="C2176" s="1">
        <v>42091</v>
      </c>
      <c r="D2176" t="s">
        <v>32</v>
      </c>
      <c r="E2176">
        <v>0</v>
      </c>
      <c r="F2176">
        <v>28</v>
      </c>
      <c r="G2176">
        <v>46</v>
      </c>
      <c r="H2176">
        <v>0</v>
      </c>
      <c r="I2176" t="s">
        <v>39</v>
      </c>
      <c r="J2176">
        <v>120</v>
      </c>
      <c r="K2176" t="s">
        <v>32</v>
      </c>
      <c r="L2176">
        <v>114</v>
      </c>
    </row>
    <row r="2177" spans="1:12" x14ac:dyDescent="0.25">
      <c r="A2177">
        <v>400579383</v>
      </c>
      <c r="B2177">
        <v>2015</v>
      </c>
      <c r="C2177" s="1">
        <v>42091</v>
      </c>
      <c r="D2177" t="s">
        <v>39</v>
      </c>
      <c r="E2177">
        <v>1</v>
      </c>
      <c r="F2177">
        <v>47</v>
      </c>
      <c r="G2177">
        <v>25</v>
      </c>
      <c r="H2177">
        <v>1</v>
      </c>
      <c r="I2177" t="s">
        <v>39</v>
      </c>
      <c r="J2177">
        <v>120</v>
      </c>
      <c r="K2177" t="s">
        <v>32</v>
      </c>
      <c r="L2177">
        <v>114</v>
      </c>
    </row>
    <row r="2178" spans="1:12" x14ac:dyDescent="0.25">
      <c r="A2178">
        <v>400579384</v>
      </c>
      <c r="B2178">
        <v>2015</v>
      </c>
      <c r="C2178" s="1">
        <v>42092</v>
      </c>
      <c r="D2178" t="s">
        <v>40</v>
      </c>
      <c r="E2178">
        <v>1</v>
      </c>
      <c r="F2178">
        <v>48</v>
      </c>
      <c r="G2178">
        <v>27</v>
      </c>
      <c r="H2178">
        <v>1</v>
      </c>
      <c r="I2178" t="s">
        <v>40</v>
      </c>
      <c r="J2178">
        <v>87</v>
      </c>
      <c r="K2178" t="s">
        <v>21</v>
      </c>
      <c r="L2178">
        <v>86</v>
      </c>
    </row>
    <row r="2179" spans="1:12" x14ac:dyDescent="0.25">
      <c r="A2179">
        <v>400579384</v>
      </c>
      <c r="B2179">
        <v>2015</v>
      </c>
      <c r="C2179" s="1">
        <v>42092</v>
      </c>
      <c r="D2179" t="s">
        <v>21</v>
      </c>
      <c r="E2179">
        <v>0</v>
      </c>
      <c r="F2179">
        <v>18</v>
      </c>
      <c r="G2179">
        <v>56</v>
      </c>
      <c r="H2179">
        <v>0</v>
      </c>
      <c r="I2179" t="s">
        <v>40</v>
      </c>
      <c r="J2179">
        <v>87</v>
      </c>
      <c r="K2179" t="s">
        <v>21</v>
      </c>
      <c r="L2179">
        <v>86</v>
      </c>
    </row>
    <row r="2180" spans="1:12" x14ac:dyDescent="0.25">
      <c r="A2180">
        <v>400579385</v>
      </c>
      <c r="B2180">
        <v>2015</v>
      </c>
      <c r="C2180" s="1">
        <v>42092</v>
      </c>
      <c r="D2180" t="s">
        <v>23</v>
      </c>
      <c r="E2180">
        <v>1</v>
      </c>
      <c r="F2180">
        <v>32</v>
      </c>
      <c r="G2180">
        <v>40</v>
      </c>
      <c r="H2180">
        <v>1</v>
      </c>
      <c r="I2180" t="s">
        <v>23</v>
      </c>
      <c r="J2180">
        <v>107</v>
      </c>
      <c r="K2180" t="s">
        <v>17</v>
      </c>
      <c r="L2180">
        <v>99</v>
      </c>
    </row>
    <row r="2181" spans="1:12" x14ac:dyDescent="0.25">
      <c r="A2181">
        <v>400579385</v>
      </c>
      <c r="B2181">
        <v>2015</v>
      </c>
      <c r="C2181" s="1">
        <v>42092</v>
      </c>
      <c r="D2181" t="s">
        <v>17</v>
      </c>
      <c r="E2181">
        <v>0</v>
      </c>
      <c r="F2181">
        <v>19</v>
      </c>
      <c r="G2181">
        <v>53</v>
      </c>
      <c r="H2181">
        <v>0</v>
      </c>
      <c r="I2181" t="s">
        <v>23</v>
      </c>
      <c r="J2181">
        <v>107</v>
      </c>
      <c r="K2181" t="s">
        <v>17</v>
      </c>
      <c r="L2181">
        <v>99</v>
      </c>
    </row>
    <row r="2182" spans="1:12" x14ac:dyDescent="0.25">
      <c r="A2182">
        <v>400579386</v>
      </c>
      <c r="B2182">
        <v>2015</v>
      </c>
      <c r="C2182" s="1">
        <v>42092</v>
      </c>
      <c r="D2182" t="s">
        <v>29</v>
      </c>
      <c r="E2182">
        <v>0</v>
      </c>
      <c r="F2182">
        <v>16</v>
      </c>
      <c r="G2182">
        <v>57</v>
      </c>
      <c r="H2182">
        <v>0</v>
      </c>
      <c r="I2182" t="s">
        <v>12</v>
      </c>
      <c r="J2182">
        <v>110</v>
      </c>
      <c r="K2182" t="s">
        <v>29</v>
      </c>
      <c r="L2182">
        <v>88</v>
      </c>
    </row>
    <row r="2183" spans="1:12" x14ac:dyDescent="0.25">
      <c r="A2183">
        <v>400579386</v>
      </c>
      <c r="B2183">
        <v>2015</v>
      </c>
      <c r="C2183" s="1">
        <v>42092</v>
      </c>
      <c r="D2183" t="s">
        <v>12</v>
      </c>
      <c r="E2183">
        <v>1</v>
      </c>
      <c r="F2183">
        <v>39</v>
      </c>
      <c r="G2183">
        <v>34</v>
      </c>
      <c r="H2183">
        <v>1</v>
      </c>
      <c r="I2183" t="s">
        <v>12</v>
      </c>
      <c r="J2183">
        <v>110</v>
      </c>
      <c r="K2183" t="s">
        <v>29</v>
      </c>
      <c r="L2183">
        <v>88</v>
      </c>
    </row>
    <row r="2184" spans="1:12" x14ac:dyDescent="0.25">
      <c r="A2184">
        <v>400579387</v>
      </c>
      <c r="B2184">
        <v>2015</v>
      </c>
      <c r="C2184" s="1">
        <v>42092</v>
      </c>
      <c r="D2184" t="s">
        <v>22</v>
      </c>
      <c r="E2184">
        <v>0</v>
      </c>
      <c r="F2184">
        <v>32</v>
      </c>
      <c r="G2184">
        <v>41</v>
      </c>
      <c r="H2184">
        <v>1</v>
      </c>
      <c r="I2184" t="s">
        <v>22</v>
      </c>
      <c r="J2184">
        <v>106</v>
      </c>
      <c r="K2184" t="s">
        <v>41</v>
      </c>
      <c r="L2184">
        <v>119</v>
      </c>
    </row>
    <row r="2185" spans="1:12" x14ac:dyDescent="0.25">
      <c r="A2185">
        <v>400579387</v>
      </c>
      <c r="B2185">
        <v>2015</v>
      </c>
      <c r="C2185" s="1">
        <v>42092</v>
      </c>
      <c r="D2185" t="s">
        <v>41</v>
      </c>
      <c r="E2185">
        <v>1</v>
      </c>
      <c r="F2185">
        <v>49</v>
      </c>
      <c r="G2185">
        <v>25</v>
      </c>
      <c r="H2185">
        <v>0</v>
      </c>
      <c r="I2185" t="s">
        <v>22</v>
      </c>
      <c r="J2185">
        <v>106</v>
      </c>
      <c r="K2185" t="s">
        <v>41</v>
      </c>
      <c r="L2185">
        <v>119</v>
      </c>
    </row>
    <row r="2186" spans="1:12" x14ac:dyDescent="0.25">
      <c r="A2186">
        <v>400579388</v>
      </c>
      <c r="B2186">
        <v>2015</v>
      </c>
      <c r="C2186" s="1">
        <v>42092</v>
      </c>
      <c r="D2186" t="s">
        <v>33</v>
      </c>
      <c r="E2186">
        <v>0</v>
      </c>
      <c r="F2186">
        <v>28</v>
      </c>
      <c r="G2186">
        <v>45</v>
      </c>
      <c r="H2186">
        <v>0</v>
      </c>
      <c r="I2186" t="s">
        <v>24</v>
      </c>
      <c r="J2186">
        <v>109</v>
      </c>
      <c r="K2186" t="s">
        <v>33</v>
      </c>
      <c r="L2186">
        <v>102</v>
      </c>
    </row>
    <row r="2187" spans="1:12" x14ac:dyDescent="0.25">
      <c r="A2187">
        <v>400579388</v>
      </c>
      <c r="B2187">
        <v>2015</v>
      </c>
      <c r="C2187" s="1">
        <v>42092</v>
      </c>
      <c r="D2187" t="s">
        <v>24</v>
      </c>
      <c r="E2187">
        <v>1</v>
      </c>
      <c r="F2187">
        <v>34</v>
      </c>
      <c r="G2187">
        <v>39</v>
      </c>
      <c r="H2187">
        <v>1</v>
      </c>
      <c r="I2187" t="s">
        <v>24</v>
      </c>
      <c r="J2187">
        <v>109</v>
      </c>
      <c r="K2187" t="s">
        <v>33</v>
      </c>
      <c r="L2187">
        <v>102</v>
      </c>
    </row>
    <row r="2188" spans="1:12" x14ac:dyDescent="0.25">
      <c r="A2188">
        <v>400579389</v>
      </c>
      <c r="B2188">
        <v>2015</v>
      </c>
      <c r="C2188" s="1">
        <v>42092</v>
      </c>
      <c r="D2188" t="s">
        <v>16</v>
      </c>
      <c r="E2188">
        <v>1</v>
      </c>
      <c r="F2188">
        <v>50</v>
      </c>
      <c r="G2188">
        <v>23</v>
      </c>
      <c r="H2188">
        <v>0</v>
      </c>
      <c r="I2188" t="s">
        <v>25</v>
      </c>
      <c r="J2188">
        <v>91</v>
      </c>
      <c r="K2188" t="s">
        <v>16</v>
      </c>
      <c r="L2188">
        <v>99</v>
      </c>
    </row>
    <row r="2189" spans="1:12" x14ac:dyDescent="0.25">
      <c r="A2189">
        <v>400579389</v>
      </c>
      <c r="B2189">
        <v>2015</v>
      </c>
      <c r="C2189" s="1">
        <v>42092</v>
      </c>
      <c r="D2189" t="s">
        <v>25</v>
      </c>
      <c r="E2189">
        <v>0</v>
      </c>
      <c r="F2189">
        <v>41</v>
      </c>
      <c r="G2189">
        <v>33</v>
      </c>
      <c r="H2189">
        <v>1</v>
      </c>
      <c r="I2189" t="s">
        <v>25</v>
      </c>
      <c r="J2189">
        <v>91</v>
      </c>
      <c r="K2189" t="s">
        <v>16</v>
      </c>
      <c r="L2189">
        <v>99</v>
      </c>
    </row>
    <row r="2190" spans="1:12" x14ac:dyDescent="0.25">
      <c r="A2190">
        <v>400579390</v>
      </c>
      <c r="B2190">
        <v>2015</v>
      </c>
      <c r="C2190" s="1">
        <v>42092</v>
      </c>
      <c r="D2190" t="s">
        <v>28</v>
      </c>
      <c r="E2190">
        <v>0</v>
      </c>
      <c r="F2190">
        <v>50</v>
      </c>
      <c r="G2190">
        <v>24</v>
      </c>
      <c r="H2190">
        <v>0</v>
      </c>
      <c r="I2190" t="s">
        <v>15</v>
      </c>
      <c r="J2190">
        <v>103</v>
      </c>
      <c r="K2190" t="s">
        <v>28</v>
      </c>
      <c r="L2190">
        <v>89</v>
      </c>
    </row>
    <row r="2191" spans="1:12" x14ac:dyDescent="0.25">
      <c r="A2191">
        <v>400579390</v>
      </c>
      <c r="B2191">
        <v>2015</v>
      </c>
      <c r="C2191" s="1">
        <v>42092</v>
      </c>
      <c r="D2191" t="s">
        <v>15</v>
      </c>
      <c r="E2191">
        <v>1</v>
      </c>
      <c r="F2191">
        <v>47</v>
      </c>
      <c r="G2191">
        <v>26</v>
      </c>
      <c r="H2191">
        <v>1</v>
      </c>
      <c r="I2191" t="s">
        <v>15</v>
      </c>
      <c r="J2191">
        <v>103</v>
      </c>
      <c r="K2191" t="s">
        <v>28</v>
      </c>
      <c r="L2191">
        <v>89</v>
      </c>
    </row>
    <row r="2192" spans="1:12" x14ac:dyDescent="0.25">
      <c r="A2192">
        <v>400579391</v>
      </c>
      <c r="B2192">
        <v>2015</v>
      </c>
      <c r="C2192" s="1">
        <v>42092</v>
      </c>
      <c r="D2192" t="s">
        <v>14</v>
      </c>
      <c r="E2192">
        <v>0</v>
      </c>
      <c r="F2192">
        <v>45</v>
      </c>
      <c r="G2192">
        <v>29</v>
      </c>
      <c r="H2192">
        <v>0</v>
      </c>
      <c r="I2192" t="s">
        <v>20</v>
      </c>
      <c r="J2192">
        <v>104</v>
      </c>
      <c r="K2192" t="s">
        <v>14</v>
      </c>
      <c r="L2192">
        <v>99</v>
      </c>
    </row>
    <row r="2193" spans="1:12" x14ac:dyDescent="0.25">
      <c r="A2193">
        <v>400579391</v>
      </c>
      <c r="B2193">
        <v>2015</v>
      </c>
      <c r="C2193" s="1">
        <v>42092</v>
      </c>
      <c r="D2193" t="s">
        <v>20</v>
      </c>
      <c r="E2193">
        <v>1</v>
      </c>
      <c r="F2193">
        <v>32</v>
      </c>
      <c r="G2193">
        <v>41</v>
      </c>
      <c r="H2193">
        <v>1</v>
      </c>
      <c r="I2193" t="s">
        <v>20</v>
      </c>
      <c r="J2193">
        <v>104</v>
      </c>
      <c r="K2193" t="s">
        <v>14</v>
      </c>
      <c r="L2193">
        <v>99</v>
      </c>
    </row>
    <row r="2194" spans="1:12" x14ac:dyDescent="0.25">
      <c r="A2194">
        <v>400579392</v>
      </c>
      <c r="B2194">
        <v>2015</v>
      </c>
      <c r="C2194" s="1">
        <v>42092</v>
      </c>
      <c r="D2194" t="s">
        <v>38</v>
      </c>
      <c r="E2194">
        <v>1</v>
      </c>
      <c r="F2194">
        <v>42</v>
      </c>
      <c r="G2194">
        <v>32</v>
      </c>
      <c r="H2194">
        <v>0</v>
      </c>
      <c r="I2194" t="s">
        <v>35</v>
      </c>
      <c r="J2194">
        <v>97</v>
      </c>
      <c r="K2194" t="s">
        <v>38</v>
      </c>
      <c r="L2194">
        <v>109</v>
      </c>
    </row>
    <row r="2195" spans="1:12" x14ac:dyDescent="0.25">
      <c r="A2195">
        <v>400579392</v>
      </c>
      <c r="B2195">
        <v>2015</v>
      </c>
      <c r="C2195" s="1">
        <v>42092</v>
      </c>
      <c r="D2195" t="s">
        <v>35</v>
      </c>
      <c r="E2195">
        <v>0</v>
      </c>
      <c r="F2195">
        <v>38</v>
      </c>
      <c r="G2195">
        <v>36</v>
      </c>
      <c r="H2195">
        <v>1</v>
      </c>
      <c r="I2195" t="s">
        <v>35</v>
      </c>
      <c r="J2195">
        <v>97</v>
      </c>
      <c r="K2195" t="s">
        <v>38</v>
      </c>
      <c r="L2195">
        <v>109</v>
      </c>
    </row>
    <row r="2196" spans="1:12" x14ac:dyDescent="0.25">
      <c r="A2196">
        <v>400579393</v>
      </c>
      <c r="B2196">
        <v>2015</v>
      </c>
      <c r="C2196" s="1">
        <v>42093</v>
      </c>
      <c r="D2196" t="s">
        <v>22</v>
      </c>
      <c r="E2196">
        <v>1</v>
      </c>
      <c r="F2196">
        <v>33</v>
      </c>
      <c r="G2196">
        <v>41</v>
      </c>
      <c r="H2196">
        <v>0</v>
      </c>
      <c r="I2196" t="s">
        <v>18</v>
      </c>
      <c r="J2196">
        <v>104</v>
      </c>
      <c r="K2196" t="s">
        <v>22</v>
      </c>
      <c r="L2196">
        <v>116</v>
      </c>
    </row>
    <row r="2197" spans="1:12" x14ac:dyDescent="0.25">
      <c r="A2197">
        <v>400579393</v>
      </c>
      <c r="B2197">
        <v>2015</v>
      </c>
      <c r="C2197" s="1">
        <v>42093</v>
      </c>
      <c r="D2197" t="s">
        <v>18</v>
      </c>
      <c r="E2197">
        <v>0</v>
      </c>
      <c r="F2197">
        <v>31</v>
      </c>
      <c r="G2197">
        <v>42</v>
      </c>
      <c r="H2197">
        <v>1</v>
      </c>
      <c r="I2197" t="s">
        <v>18</v>
      </c>
      <c r="J2197">
        <v>104</v>
      </c>
      <c r="K2197" t="s">
        <v>22</v>
      </c>
      <c r="L2197">
        <v>116</v>
      </c>
    </row>
    <row r="2198" spans="1:12" x14ac:dyDescent="0.25">
      <c r="A2198">
        <v>400579394</v>
      </c>
      <c r="B2198">
        <v>2015</v>
      </c>
      <c r="C2198" s="1">
        <v>42093</v>
      </c>
      <c r="D2198" t="s">
        <v>17</v>
      </c>
      <c r="E2198">
        <v>1</v>
      </c>
      <c r="F2198">
        <v>20</v>
      </c>
      <c r="G2198">
        <v>53</v>
      </c>
      <c r="H2198">
        <v>0</v>
      </c>
      <c r="I2198" t="s">
        <v>21</v>
      </c>
      <c r="J2198">
        <v>111</v>
      </c>
      <c r="K2198" t="s">
        <v>17</v>
      </c>
      <c r="L2198">
        <v>113</v>
      </c>
    </row>
    <row r="2199" spans="1:12" x14ac:dyDescent="0.25">
      <c r="A2199">
        <v>400579394</v>
      </c>
      <c r="B2199">
        <v>2015</v>
      </c>
      <c r="C2199" s="1">
        <v>42093</v>
      </c>
      <c r="D2199" t="s">
        <v>21</v>
      </c>
      <c r="E2199">
        <v>0</v>
      </c>
      <c r="F2199">
        <v>18</v>
      </c>
      <c r="G2199">
        <v>57</v>
      </c>
      <c r="H2199">
        <v>1</v>
      </c>
      <c r="I2199" t="s">
        <v>21</v>
      </c>
      <c r="J2199">
        <v>111</v>
      </c>
      <c r="K2199" t="s">
        <v>17</v>
      </c>
      <c r="L2199">
        <v>113</v>
      </c>
    </row>
    <row r="2200" spans="1:12" x14ac:dyDescent="0.25">
      <c r="A2200">
        <v>400579395</v>
      </c>
      <c r="B2200">
        <v>2015</v>
      </c>
      <c r="C2200" s="1">
        <v>42093</v>
      </c>
      <c r="D2200" t="s">
        <v>26</v>
      </c>
      <c r="E2200">
        <v>1</v>
      </c>
      <c r="F2200">
        <v>56</v>
      </c>
      <c r="G2200">
        <v>18</v>
      </c>
      <c r="H2200">
        <v>1</v>
      </c>
      <c r="I2200" t="s">
        <v>26</v>
      </c>
      <c r="J2200">
        <v>101</v>
      </c>
      <c r="K2200" t="s">
        <v>19</v>
      </c>
      <c r="L2200">
        <v>88</v>
      </c>
    </row>
    <row r="2201" spans="1:12" x14ac:dyDescent="0.25">
      <c r="A2201">
        <v>400579395</v>
      </c>
      <c r="B2201">
        <v>2015</v>
      </c>
      <c r="C2201" s="1">
        <v>42093</v>
      </c>
      <c r="D2201" t="s">
        <v>19</v>
      </c>
      <c r="E2201">
        <v>0</v>
      </c>
      <c r="F2201">
        <v>36</v>
      </c>
      <c r="G2201">
        <v>38</v>
      </c>
      <c r="H2201">
        <v>0</v>
      </c>
      <c r="I2201" t="s">
        <v>26</v>
      </c>
      <c r="J2201">
        <v>101</v>
      </c>
      <c r="K2201" t="s">
        <v>19</v>
      </c>
      <c r="L2201">
        <v>88</v>
      </c>
    </row>
    <row r="2202" spans="1:12" x14ac:dyDescent="0.25">
      <c r="A2202">
        <v>400579396</v>
      </c>
      <c r="B2202">
        <v>2015</v>
      </c>
      <c r="C2202" s="1">
        <v>42093</v>
      </c>
      <c r="D2202" t="s">
        <v>16</v>
      </c>
      <c r="E2202">
        <v>0</v>
      </c>
      <c r="F2202">
        <v>50</v>
      </c>
      <c r="G2202">
        <v>24</v>
      </c>
      <c r="H2202">
        <v>0</v>
      </c>
      <c r="I2202" t="s">
        <v>27</v>
      </c>
      <c r="J2202">
        <v>99</v>
      </c>
      <c r="K2202" t="s">
        <v>16</v>
      </c>
      <c r="L2202">
        <v>96</v>
      </c>
    </row>
    <row r="2203" spans="1:12" x14ac:dyDescent="0.25">
      <c r="A2203">
        <v>400579396</v>
      </c>
      <c r="B2203">
        <v>2015</v>
      </c>
      <c r="C2203" s="1">
        <v>42093</v>
      </c>
      <c r="D2203" t="s">
        <v>27</v>
      </c>
      <c r="E2203">
        <v>1</v>
      </c>
      <c r="F2203">
        <v>44</v>
      </c>
      <c r="G2203">
        <v>30</v>
      </c>
      <c r="H2203">
        <v>1</v>
      </c>
      <c r="I2203" t="s">
        <v>27</v>
      </c>
      <c r="J2203">
        <v>99</v>
      </c>
      <c r="K2203" t="s">
        <v>16</v>
      </c>
      <c r="L2203">
        <v>96</v>
      </c>
    </row>
    <row r="2204" spans="1:12" x14ac:dyDescent="0.25">
      <c r="A2204">
        <v>400579397</v>
      </c>
      <c r="B2204">
        <v>2015</v>
      </c>
      <c r="C2204" s="1">
        <v>42093</v>
      </c>
      <c r="D2204" t="s">
        <v>28</v>
      </c>
      <c r="E2204">
        <v>1</v>
      </c>
      <c r="F2204">
        <v>51</v>
      </c>
      <c r="G2204">
        <v>24</v>
      </c>
      <c r="H2204">
        <v>1</v>
      </c>
      <c r="I2204" t="s">
        <v>28</v>
      </c>
      <c r="J2204">
        <v>97</v>
      </c>
      <c r="K2204" t="s">
        <v>37</v>
      </c>
      <c r="L2204">
        <v>83</v>
      </c>
    </row>
    <row r="2205" spans="1:12" x14ac:dyDescent="0.25">
      <c r="A2205">
        <v>400579397</v>
      </c>
      <c r="B2205">
        <v>2015</v>
      </c>
      <c r="C2205" s="1">
        <v>42093</v>
      </c>
      <c r="D2205" t="s">
        <v>37</v>
      </c>
      <c r="E2205">
        <v>0</v>
      </c>
      <c r="F2205">
        <v>26</v>
      </c>
      <c r="G2205">
        <v>47</v>
      </c>
      <c r="H2205">
        <v>0</v>
      </c>
      <c r="I2205" t="s">
        <v>28</v>
      </c>
      <c r="J2205">
        <v>97</v>
      </c>
      <c r="K2205" t="s">
        <v>37</v>
      </c>
      <c r="L2205">
        <v>83</v>
      </c>
    </row>
    <row r="2206" spans="1:12" x14ac:dyDescent="0.25">
      <c r="A2206">
        <v>400579398</v>
      </c>
      <c r="B2206">
        <v>2015</v>
      </c>
      <c r="C2206" s="1">
        <v>42093</v>
      </c>
      <c r="D2206" t="s">
        <v>29</v>
      </c>
      <c r="E2206">
        <v>0</v>
      </c>
      <c r="F2206">
        <v>16</v>
      </c>
      <c r="G2206">
        <v>58</v>
      </c>
      <c r="H2206">
        <v>1</v>
      </c>
      <c r="I2206" t="s">
        <v>29</v>
      </c>
      <c r="J2206">
        <v>84</v>
      </c>
      <c r="K2206" t="s">
        <v>34</v>
      </c>
      <c r="L2206">
        <v>104</v>
      </c>
    </row>
    <row r="2207" spans="1:12" x14ac:dyDescent="0.25">
      <c r="A2207">
        <v>400579398</v>
      </c>
      <c r="B2207">
        <v>2015</v>
      </c>
      <c r="C2207" s="1">
        <v>42093</v>
      </c>
      <c r="D2207" t="s">
        <v>34</v>
      </c>
      <c r="E2207">
        <v>1</v>
      </c>
      <c r="F2207">
        <v>33</v>
      </c>
      <c r="G2207">
        <v>41</v>
      </c>
      <c r="H2207">
        <v>0</v>
      </c>
      <c r="I2207" t="s">
        <v>29</v>
      </c>
      <c r="J2207">
        <v>84</v>
      </c>
      <c r="K2207" t="s">
        <v>34</v>
      </c>
      <c r="L2207">
        <v>104</v>
      </c>
    </row>
    <row r="2208" spans="1:12" x14ac:dyDescent="0.25">
      <c r="A2208">
        <v>400579399</v>
      </c>
      <c r="B2208">
        <v>2015</v>
      </c>
      <c r="C2208" s="1">
        <v>42093</v>
      </c>
      <c r="D2208" t="s">
        <v>35</v>
      </c>
      <c r="E2208">
        <v>0</v>
      </c>
      <c r="F2208">
        <v>38</v>
      </c>
      <c r="G2208">
        <v>37</v>
      </c>
      <c r="H2208">
        <v>0</v>
      </c>
      <c r="I2208" t="s">
        <v>39</v>
      </c>
      <c r="J2208">
        <v>109</v>
      </c>
      <c r="K2208" t="s">
        <v>35</v>
      </c>
      <c r="L2208">
        <v>86</v>
      </c>
    </row>
    <row r="2209" spans="1:12" x14ac:dyDescent="0.25">
      <c r="A2209">
        <v>400579399</v>
      </c>
      <c r="B2209">
        <v>2015</v>
      </c>
      <c r="C2209" s="1">
        <v>42093</v>
      </c>
      <c r="D2209" t="s">
        <v>39</v>
      </c>
      <c r="E2209">
        <v>1</v>
      </c>
      <c r="F2209">
        <v>48</v>
      </c>
      <c r="G2209">
        <v>25</v>
      </c>
      <c r="H2209">
        <v>1</v>
      </c>
      <c r="I2209" t="s">
        <v>39</v>
      </c>
      <c r="J2209">
        <v>109</v>
      </c>
      <c r="K2209" t="s">
        <v>35</v>
      </c>
      <c r="L2209">
        <v>86</v>
      </c>
    </row>
    <row r="2210" spans="1:12" x14ac:dyDescent="0.25">
      <c r="A2210">
        <v>400579400</v>
      </c>
      <c r="B2210">
        <v>2015</v>
      </c>
      <c r="C2210" s="1">
        <v>42094</v>
      </c>
      <c r="D2210" t="s">
        <v>23</v>
      </c>
      <c r="E2210">
        <v>1</v>
      </c>
      <c r="F2210">
        <v>33</v>
      </c>
      <c r="G2210">
        <v>40</v>
      </c>
      <c r="H2210">
        <v>1</v>
      </c>
      <c r="I2210" t="s">
        <v>23</v>
      </c>
      <c r="J2210">
        <v>111</v>
      </c>
      <c r="K2210" t="s">
        <v>20</v>
      </c>
      <c r="L2210">
        <v>106</v>
      </c>
    </row>
    <row r="2211" spans="1:12" x14ac:dyDescent="0.25">
      <c r="A2211">
        <v>400579400</v>
      </c>
      <c r="B2211">
        <v>2015</v>
      </c>
      <c r="C2211" s="1">
        <v>42094</v>
      </c>
      <c r="D2211" t="s">
        <v>20</v>
      </c>
      <c r="E2211">
        <v>0</v>
      </c>
      <c r="F2211">
        <v>32</v>
      </c>
      <c r="G2211">
        <v>42</v>
      </c>
      <c r="H2211">
        <v>0</v>
      </c>
      <c r="I2211" t="s">
        <v>23</v>
      </c>
      <c r="J2211">
        <v>111</v>
      </c>
      <c r="K2211" t="s">
        <v>20</v>
      </c>
      <c r="L2211">
        <v>106</v>
      </c>
    </row>
    <row r="2212" spans="1:12" x14ac:dyDescent="0.25">
      <c r="A2212">
        <v>400579401</v>
      </c>
      <c r="B2212">
        <v>2015</v>
      </c>
      <c r="C2212" s="1">
        <v>42094</v>
      </c>
      <c r="D2212" t="s">
        <v>26</v>
      </c>
      <c r="E2212">
        <v>0</v>
      </c>
      <c r="F2212">
        <v>56</v>
      </c>
      <c r="G2212">
        <v>19</v>
      </c>
      <c r="H2212">
        <v>0</v>
      </c>
      <c r="I2212" t="s">
        <v>33</v>
      </c>
      <c r="J2212">
        <v>105</v>
      </c>
      <c r="K2212" t="s">
        <v>26</v>
      </c>
      <c r="L2212">
        <v>95</v>
      </c>
    </row>
    <row r="2213" spans="1:12" x14ac:dyDescent="0.25">
      <c r="A2213">
        <v>400579401</v>
      </c>
      <c r="B2213">
        <v>2015</v>
      </c>
      <c r="C2213" s="1">
        <v>42094</v>
      </c>
      <c r="D2213" t="s">
        <v>33</v>
      </c>
      <c r="E2213">
        <v>1</v>
      </c>
      <c r="F2213">
        <v>29</v>
      </c>
      <c r="G2213">
        <v>45</v>
      </c>
      <c r="H2213">
        <v>1</v>
      </c>
      <c r="I2213" t="s">
        <v>33</v>
      </c>
      <c r="J2213">
        <v>105</v>
      </c>
      <c r="K2213" t="s">
        <v>26</v>
      </c>
      <c r="L2213">
        <v>95</v>
      </c>
    </row>
    <row r="2214" spans="1:12" x14ac:dyDescent="0.25">
      <c r="A2214">
        <v>400579402</v>
      </c>
      <c r="B2214">
        <v>2015</v>
      </c>
      <c r="C2214" s="1">
        <v>42094</v>
      </c>
      <c r="D2214" t="s">
        <v>24</v>
      </c>
      <c r="E2214">
        <v>0</v>
      </c>
      <c r="F2214">
        <v>34</v>
      </c>
      <c r="G2214">
        <v>40</v>
      </c>
      <c r="H2214">
        <v>1</v>
      </c>
      <c r="I2214" t="s">
        <v>24</v>
      </c>
      <c r="J2214">
        <v>81</v>
      </c>
      <c r="K2214" t="s">
        <v>15</v>
      </c>
      <c r="L2214">
        <v>95</v>
      </c>
    </row>
    <row r="2215" spans="1:12" x14ac:dyDescent="0.25">
      <c r="A2215">
        <v>400579402</v>
      </c>
      <c r="B2215">
        <v>2015</v>
      </c>
      <c r="C2215" s="1">
        <v>42094</v>
      </c>
      <c r="D2215" t="s">
        <v>15</v>
      </c>
      <c r="E2215">
        <v>1</v>
      </c>
      <c r="F2215">
        <v>48</v>
      </c>
      <c r="G2215">
        <v>26</v>
      </c>
      <c r="H2215">
        <v>0</v>
      </c>
      <c r="I2215" t="s">
        <v>24</v>
      </c>
      <c r="J2215">
        <v>81</v>
      </c>
      <c r="K2215" t="s">
        <v>15</v>
      </c>
      <c r="L2215">
        <v>95</v>
      </c>
    </row>
    <row r="2216" spans="1:12" x14ac:dyDescent="0.25">
      <c r="A2216">
        <v>400579403</v>
      </c>
      <c r="B2216">
        <v>2015</v>
      </c>
      <c r="C2216" s="1">
        <v>42094</v>
      </c>
      <c r="D2216" t="s">
        <v>36</v>
      </c>
      <c r="E2216">
        <v>1</v>
      </c>
      <c r="F2216">
        <v>61</v>
      </c>
      <c r="G2216">
        <v>13</v>
      </c>
      <c r="H2216">
        <v>0</v>
      </c>
      <c r="I2216" t="s">
        <v>41</v>
      </c>
      <c r="J2216">
        <v>106</v>
      </c>
      <c r="K2216" t="s">
        <v>36</v>
      </c>
      <c r="L2216">
        <v>110</v>
      </c>
    </row>
    <row r="2217" spans="1:12" x14ac:dyDescent="0.25">
      <c r="A2217">
        <v>400579403</v>
      </c>
      <c r="B2217">
        <v>2015</v>
      </c>
      <c r="C2217" s="1">
        <v>42094</v>
      </c>
      <c r="D2217" t="s">
        <v>41</v>
      </c>
      <c r="E2217">
        <v>0</v>
      </c>
      <c r="F2217">
        <v>49</v>
      </c>
      <c r="G2217">
        <v>26</v>
      </c>
      <c r="H2217">
        <v>1</v>
      </c>
      <c r="I2217" t="s">
        <v>41</v>
      </c>
      <c r="J2217">
        <v>106</v>
      </c>
      <c r="K2217" t="s">
        <v>36</v>
      </c>
      <c r="L2217">
        <v>110</v>
      </c>
    </row>
    <row r="2218" spans="1:12" x14ac:dyDescent="0.25">
      <c r="A2218">
        <v>400579404</v>
      </c>
      <c r="B2218">
        <v>2015</v>
      </c>
      <c r="C2218" s="1">
        <v>42095</v>
      </c>
      <c r="D2218" t="s">
        <v>18</v>
      </c>
      <c r="E2218">
        <v>1</v>
      </c>
      <c r="F2218">
        <v>32</v>
      </c>
      <c r="G2218">
        <v>42</v>
      </c>
      <c r="H2218">
        <v>1</v>
      </c>
      <c r="I2218" t="s">
        <v>18</v>
      </c>
      <c r="J2218">
        <v>102</v>
      </c>
      <c r="K2218" t="s">
        <v>33</v>
      </c>
      <c r="L2218">
        <v>78</v>
      </c>
    </row>
    <row r="2219" spans="1:12" x14ac:dyDescent="0.25">
      <c r="A2219">
        <v>400579404</v>
      </c>
      <c r="B2219">
        <v>2015</v>
      </c>
      <c r="C2219" s="1">
        <v>42095</v>
      </c>
      <c r="D2219" t="s">
        <v>33</v>
      </c>
      <c r="E2219">
        <v>0</v>
      </c>
      <c r="F2219">
        <v>29</v>
      </c>
      <c r="G2219">
        <v>46</v>
      </c>
      <c r="H2219">
        <v>0</v>
      </c>
      <c r="I2219" t="s">
        <v>18</v>
      </c>
      <c r="J2219">
        <v>102</v>
      </c>
      <c r="K2219" t="s">
        <v>33</v>
      </c>
      <c r="L2219">
        <v>78</v>
      </c>
    </row>
    <row r="2220" spans="1:12" x14ac:dyDescent="0.25">
      <c r="A2220">
        <v>400579405</v>
      </c>
      <c r="B2220">
        <v>2015</v>
      </c>
      <c r="C2220" s="1">
        <v>42095</v>
      </c>
      <c r="D2220" t="s">
        <v>13</v>
      </c>
      <c r="E2220">
        <v>0</v>
      </c>
      <c r="F2220">
        <v>22</v>
      </c>
      <c r="G2220">
        <v>53</v>
      </c>
      <c r="H2220">
        <v>1</v>
      </c>
      <c r="I2220" t="s">
        <v>13</v>
      </c>
      <c r="J2220">
        <v>91</v>
      </c>
      <c r="K2220" t="s">
        <v>15</v>
      </c>
      <c r="L2220">
        <v>103</v>
      </c>
    </row>
    <row r="2221" spans="1:12" x14ac:dyDescent="0.25">
      <c r="A2221">
        <v>400579405</v>
      </c>
      <c r="B2221">
        <v>2015</v>
      </c>
      <c r="C2221" s="1">
        <v>42095</v>
      </c>
      <c r="D2221" t="s">
        <v>15</v>
      </c>
      <c r="E2221">
        <v>1</v>
      </c>
      <c r="F2221">
        <v>49</v>
      </c>
      <c r="G2221">
        <v>26</v>
      </c>
      <c r="H2221">
        <v>0</v>
      </c>
      <c r="I2221" t="s">
        <v>13</v>
      </c>
      <c r="J2221">
        <v>91</v>
      </c>
      <c r="K2221" t="s">
        <v>15</v>
      </c>
      <c r="L2221">
        <v>103</v>
      </c>
    </row>
    <row r="2222" spans="1:12" x14ac:dyDescent="0.25">
      <c r="A2222">
        <v>400579406</v>
      </c>
      <c r="B2222">
        <v>2015</v>
      </c>
      <c r="C2222" s="1">
        <v>42095</v>
      </c>
      <c r="D2222" t="s">
        <v>21</v>
      </c>
      <c r="E2222">
        <v>0</v>
      </c>
      <c r="F2222">
        <v>18</v>
      </c>
      <c r="G2222">
        <v>58</v>
      </c>
      <c r="H2222">
        <v>0</v>
      </c>
      <c r="I2222" t="s">
        <v>25</v>
      </c>
      <c r="J2222">
        <v>106</v>
      </c>
      <c r="K2222" t="s">
        <v>21</v>
      </c>
      <c r="L2222">
        <v>93</v>
      </c>
    </row>
    <row r="2223" spans="1:12" x14ac:dyDescent="0.25">
      <c r="A2223">
        <v>400579406</v>
      </c>
      <c r="B2223">
        <v>2015</v>
      </c>
      <c r="C2223" s="1">
        <v>42095</v>
      </c>
      <c r="D2223" t="s">
        <v>25</v>
      </c>
      <c r="E2223">
        <v>1</v>
      </c>
      <c r="F2223">
        <v>42</v>
      </c>
      <c r="G2223">
        <v>33</v>
      </c>
      <c r="H2223">
        <v>1</v>
      </c>
      <c r="I2223" t="s">
        <v>25</v>
      </c>
      <c r="J2223">
        <v>106</v>
      </c>
      <c r="K2223" t="s">
        <v>21</v>
      </c>
      <c r="L2223">
        <v>93</v>
      </c>
    </row>
    <row r="2224" spans="1:12" x14ac:dyDescent="0.25">
      <c r="A2224">
        <v>400579407</v>
      </c>
      <c r="B2224">
        <v>2015</v>
      </c>
      <c r="C2224" s="1">
        <v>42095</v>
      </c>
      <c r="D2224" t="s">
        <v>22</v>
      </c>
      <c r="E2224">
        <v>1</v>
      </c>
      <c r="F2224">
        <v>34</v>
      </c>
      <c r="G2224">
        <v>41</v>
      </c>
      <c r="H2224">
        <v>1</v>
      </c>
      <c r="I2224" t="s">
        <v>22</v>
      </c>
      <c r="J2224">
        <v>100</v>
      </c>
      <c r="K2224" t="s">
        <v>20</v>
      </c>
      <c r="L2224">
        <v>87</v>
      </c>
    </row>
    <row r="2225" spans="1:12" x14ac:dyDescent="0.25">
      <c r="A2225">
        <v>400579407</v>
      </c>
      <c r="B2225">
        <v>2015</v>
      </c>
      <c r="C2225" s="1">
        <v>42095</v>
      </c>
      <c r="D2225" t="s">
        <v>20</v>
      </c>
      <c r="E2225">
        <v>0</v>
      </c>
      <c r="F2225">
        <v>32</v>
      </c>
      <c r="G2225">
        <v>43</v>
      </c>
      <c r="H2225">
        <v>0</v>
      </c>
      <c r="I2225" t="s">
        <v>22</v>
      </c>
      <c r="J2225">
        <v>100</v>
      </c>
      <c r="K2225" t="s">
        <v>20</v>
      </c>
      <c r="L2225">
        <v>87</v>
      </c>
    </row>
    <row r="2226" spans="1:12" x14ac:dyDescent="0.25">
      <c r="A2226">
        <v>400579408</v>
      </c>
      <c r="B2226">
        <v>2015</v>
      </c>
      <c r="C2226" s="1">
        <v>42095</v>
      </c>
      <c r="D2226" t="s">
        <v>23</v>
      </c>
      <c r="E2226">
        <v>1</v>
      </c>
      <c r="F2226">
        <v>34</v>
      </c>
      <c r="G2226">
        <v>40</v>
      </c>
      <c r="H2226">
        <v>0</v>
      </c>
      <c r="I2226" t="s">
        <v>31</v>
      </c>
      <c r="J2226">
        <v>98</v>
      </c>
      <c r="K2226" t="s">
        <v>23</v>
      </c>
      <c r="L2226">
        <v>100</v>
      </c>
    </row>
    <row r="2227" spans="1:12" x14ac:dyDescent="0.25">
      <c r="A2227">
        <v>400579408</v>
      </c>
      <c r="B2227">
        <v>2015</v>
      </c>
      <c r="C2227" s="1">
        <v>42095</v>
      </c>
      <c r="D2227" t="s">
        <v>31</v>
      </c>
      <c r="E2227">
        <v>0</v>
      </c>
      <c r="F2227">
        <v>14</v>
      </c>
      <c r="G2227">
        <v>61</v>
      </c>
      <c r="H2227">
        <v>1</v>
      </c>
      <c r="I2227" t="s">
        <v>31</v>
      </c>
      <c r="J2227">
        <v>98</v>
      </c>
      <c r="K2227" t="s">
        <v>23</v>
      </c>
      <c r="L2227">
        <v>100</v>
      </c>
    </row>
    <row r="2228" spans="1:12" x14ac:dyDescent="0.25">
      <c r="A2228">
        <v>400579409</v>
      </c>
      <c r="B2228">
        <v>2015</v>
      </c>
      <c r="C2228" s="1">
        <v>42095</v>
      </c>
      <c r="D2228" t="s">
        <v>16</v>
      </c>
      <c r="E2228">
        <v>1</v>
      </c>
      <c r="F2228">
        <v>51</v>
      </c>
      <c r="G2228">
        <v>24</v>
      </c>
      <c r="H2228">
        <v>1</v>
      </c>
      <c r="I2228" t="s">
        <v>16</v>
      </c>
      <c r="J2228">
        <v>115</v>
      </c>
      <c r="K2228" t="s">
        <v>37</v>
      </c>
      <c r="L2228">
        <v>111</v>
      </c>
    </row>
    <row r="2229" spans="1:12" x14ac:dyDescent="0.25">
      <c r="A2229">
        <v>400579409</v>
      </c>
      <c r="B2229">
        <v>2015</v>
      </c>
      <c r="C2229" s="1">
        <v>42095</v>
      </c>
      <c r="D2229" t="s">
        <v>37</v>
      </c>
      <c r="E2229">
        <v>0</v>
      </c>
      <c r="F2229">
        <v>26</v>
      </c>
      <c r="G2229">
        <v>48</v>
      </c>
      <c r="H2229">
        <v>0</v>
      </c>
      <c r="I2229" t="s">
        <v>16</v>
      </c>
      <c r="J2229">
        <v>115</v>
      </c>
      <c r="K2229" t="s">
        <v>37</v>
      </c>
      <c r="L2229">
        <v>111</v>
      </c>
    </row>
    <row r="2230" spans="1:12" x14ac:dyDescent="0.25">
      <c r="A2230">
        <v>400579410</v>
      </c>
      <c r="B2230">
        <v>2015</v>
      </c>
      <c r="C2230" s="1">
        <v>42095</v>
      </c>
      <c r="D2230" t="s">
        <v>30</v>
      </c>
      <c r="E2230">
        <v>0</v>
      </c>
      <c r="F2230">
        <v>45</v>
      </c>
      <c r="G2230">
        <v>30</v>
      </c>
      <c r="H2230">
        <v>0</v>
      </c>
      <c r="I2230" t="s">
        <v>19</v>
      </c>
      <c r="J2230">
        <v>95</v>
      </c>
      <c r="K2230" t="s">
        <v>30</v>
      </c>
      <c r="L2230">
        <v>91</v>
      </c>
    </row>
    <row r="2231" spans="1:12" x14ac:dyDescent="0.25">
      <c r="A2231">
        <v>400579410</v>
      </c>
      <c r="B2231">
        <v>2015</v>
      </c>
      <c r="C2231" s="1">
        <v>42095</v>
      </c>
      <c r="D2231" t="s">
        <v>19</v>
      </c>
      <c r="E2231">
        <v>1</v>
      </c>
      <c r="F2231">
        <v>37</v>
      </c>
      <c r="G2231">
        <v>38</v>
      </c>
      <c r="H2231">
        <v>1</v>
      </c>
      <c r="I2231" t="s">
        <v>19</v>
      </c>
      <c r="J2231">
        <v>95</v>
      </c>
      <c r="K2231" t="s">
        <v>30</v>
      </c>
      <c r="L2231">
        <v>91</v>
      </c>
    </row>
    <row r="2232" spans="1:12" x14ac:dyDescent="0.25">
      <c r="A2232">
        <v>400579411</v>
      </c>
      <c r="B2232">
        <v>2015</v>
      </c>
      <c r="C2232" s="1">
        <v>42095</v>
      </c>
      <c r="D2232" t="s">
        <v>29</v>
      </c>
      <c r="E2232">
        <v>0</v>
      </c>
      <c r="F2232">
        <v>16</v>
      </c>
      <c r="G2232">
        <v>59</v>
      </c>
      <c r="H2232">
        <v>1</v>
      </c>
      <c r="I2232" t="s">
        <v>29</v>
      </c>
      <c r="J2232">
        <v>99</v>
      </c>
      <c r="K2232" t="s">
        <v>27</v>
      </c>
      <c r="L2232">
        <v>113</v>
      </c>
    </row>
    <row r="2233" spans="1:12" x14ac:dyDescent="0.25">
      <c r="A2233">
        <v>400579411</v>
      </c>
      <c r="B2233">
        <v>2015</v>
      </c>
      <c r="C2233" s="1">
        <v>42095</v>
      </c>
      <c r="D2233" t="s">
        <v>27</v>
      </c>
      <c r="E2233">
        <v>1</v>
      </c>
      <c r="F2233">
        <v>45</v>
      </c>
      <c r="G2233">
        <v>30</v>
      </c>
      <c r="H2233">
        <v>0</v>
      </c>
      <c r="I2233" t="s">
        <v>29</v>
      </c>
      <c r="J2233">
        <v>99</v>
      </c>
      <c r="K2233" t="s">
        <v>27</v>
      </c>
      <c r="L2233">
        <v>113</v>
      </c>
    </row>
    <row r="2234" spans="1:12" x14ac:dyDescent="0.25">
      <c r="A2234">
        <v>400579412</v>
      </c>
      <c r="B2234">
        <v>2015</v>
      </c>
      <c r="C2234" s="1">
        <v>42095</v>
      </c>
      <c r="D2234" t="s">
        <v>14</v>
      </c>
      <c r="E2234">
        <v>1</v>
      </c>
      <c r="F2234">
        <v>46</v>
      </c>
      <c r="G2234">
        <v>29</v>
      </c>
      <c r="H2234">
        <v>0</v>
      </c>
      <c r="I2234" t="s">
        <v>38</v>
      </c>
      <c r="J2234">
        <v>131</v>
      </c>
      <c r="K2234" t="s">
        <v>14</v>
      </c>
      <c r="L2234">
        <v>135</v>
      </c>
    </row>
    <row r="2235" spans="1:12" x14ac:dyDescent="0.25">
      <c r="A2235">
        <v>400579412</v>
      </c>
      <c r="B2235">
        <v>2015</v>
      </c>
      <c r="C2235" s="1">
        <v>42095</v>
      </c>
      <c r="D2235" t="s">
        <v>38</v>
      </c>
      <c r="E2235">
        <v>0</v>
      </c>
      <c r="F2235">
        <v>42</v>
      </c>
      <c r="G2235">
        <v>33</v>
      </c>
      <c r="H2235">
        <v>1</v>
      </c>
      <c r="I2235" t="s">
        <v>38</v>
      </c>
      <c r="J2235">
        <v>131</v>
      </c>
      <c r="K2235" t="s">
        <v>14</v>
      </c>
      <c r="L2235">
        <v>135</v>
      </c>
    </row>
    <row r="2236" spans="1:12" x14ac:dyDescent="0.25">
      <c r="A2236">
        <v>400579413</v>
      </c>
      <c r="B2236">
        <v>2015</v>
      </c>
      <c r="C2236" s="1">
        <v>42095</v>
      </c>
      <c r="D2236" t="s">
        <v>32</v>
      </c>
      <c r="E2236">
        <v>0</v>
      </c>
      <c r="F2236">
        <v>28</v>
      </c>
      <c r="G2236">
        <v>47</v>
      </c>
      <c r="H2236">
        <v>0</v>
      </c>
      <c r="I2236" t="s">
        <v>34</v>
      </c>
      <c r="J2236">
        <v>98</v>
      </c>
      <c r="K2236" t="s">
        <v>32</v>
      </c>
      <c r="L2236">
        <v>84</v>
      </c>
    </row>
    <row r="2237" spans="1:12" x14ac:dyDescent="0.25">
      <c r="A2237">
        <v>400579413</v>
      </c>
      <c r="B2237">
        <v>2015</v>
      </c>
      <c r="C2237" s="1">
        <v>42095</v>
      </c>
      <c r="D2237" t="s">
        <v>34</v>
      </c>
      <c r="E2237">
        <v>1</v>
      </c>
      <c r="F2237">
        <v>34</v>
      </c>
      <c r="G2237">
        <v>41</v>
      </c>
      <c r="H2237">
        <v>1</v>
      </c>
      <c r="I2237" t="s">
        <v>34</v>
      </c>
      <c r="J2237">
        <v>98</v>
      </c>
      <c r="K2237" t="s">
        <v>32</v>
      </c>
      <c r="L2237">
        <v>84</v>
      </c>
    </row>
    <row r="2238" spans="1:12" x14ac:dyDescent="0.25">
      <c r="A2238">
        <v>400579414</v>
      </c>
      <c r="B2238">
        <v>2015</v>
      </c>
      <c r="C2238" s="1">
        <v>42095</v>
      </c>
      <c r="D2238" t="s">
        <v>41</v>
      </c>
      <c r="E2238">
        <v>1</v>
      </c>
      <c r="F2238">
        <v>50</v>
      </c>
      <c r="G2238">
        <v>26</v>
      </c>
      <c r="H2238">
        <v>0</v>
      </c>
      <c r="I2238" t="s">
        <v>39</v>
      </c>
      <c r="J2238">
        <v>122</v>
      </c>
      <c r="K2238" t="s">
        <v>41</v>
      </c>
      <c r="L2238">
        <v>126</v>
      </c>
    </row>
    <row r="2239" spans="1:12" x14ac:dyDescent="0.25">
      <c r="A2239">
        <v>400579414</v>
      </c>
      <c r="B2239">
        <v>2015</v>
      </c>
      <c r="C2239" s="1">
        <v>42095</v>
      </c>
      <c r="D2239" t="s">
        <v>39</v>
      </c>
      <c r="E2239">
        <v>0</v>
      </c>
      <c r="F2239">
        <v>48</v>
      </c>
      <c r="G2239">
        <v>26</v>
      </c>
      <c r="H2239">
        <v>1</v>
      </c>
      <c r="I2239" t="s">
        <v>39</v>
      </c>
      <c r="J2239">
        <v>122</v>
      </c>
      <c r="K2239" t="s">
        <v>41</v>
      </c>
      <c r="L2239">
        <v>126</v>
      </c>
    </row>
    <row r="2240" spans="1:12" x14ac:dyDescent="0.25">
      <c r="A2240">
        <v>400579415</v>
      </c>
      <c r="B2240">
        <v>2015</v>
      </c>
      <c r="C2240" s="1">
        <v>42095</v>
      </c>
      <c r="D2240" t="s">
        <v>17</v>
      </c>
      <c r="E2240">
        <v>0</v>
      </c>
      <c r="F2240">
        <v>20</v>
      </c>
      <c r="G2240">
        <v>54</v>
      </c>
      <c r="H2240">
        <v>1</v>
      </c>
      <c r="I2240" t="s">
        <v>17</v>
      </c>
      <c r="J2240">
        <v>92</v>
      </c>
      <c r="K2240" t="s">
        <v>12</v>
      </c>
      <c r="L2240">
        <v>113</v>
      </c>
    </row>
    <row r="2241" spans="1:12" x14ac:dyDescent="0.25">
      <c r="A2241">
        <v>400579415</v>
      </c>
      <c r="B2241">
        <v>2015</v>
      </c>
      <c r="C2241" s="1">
        <v>42095</v>
      </c>
      <c r="D2241" t="s">
        <v>12</v>
      </c>
      <c r="E2241">
        <v>1</v>
      </c>
      <c r="F2241">
        <v>40</v>
      </c>
      <c r="G2241">
        <v>34</v>
      </c>
      <c r="H2241">
        <v>0</v>
      </c>
      <c r="I2241" t="s">
        <v>17</v>
      </c>
      <c r="J2241">
        <v>92</v>
      </c>
      <c r="K2241" t="s">
        <v>12</v>
      </c>
      <c r="L2241">
        <v>113</v>
      </c>
    </row>
    <row r="2242" spans="1:12" x14ac:dyDescent="0.25">
      <c r="A2242">
        <v>400579416</v>
      </c>
      <c r="B2242">
        <v>2015</v>
      </c>
      <c r="C2242" s="1">
        <v>42096</v>
      </c>
      <c r="D2242" t="s">
        <v>40</v>
      </c>
      <c r="E2242">
        <v>1</v>
      </c>
      <c r="F2242">
        <v>49</v>
      </c>
      <c r="G2242">
        <v>27</v>
      </c>
      <c r="H2242">
        <v>1</v>
      </c>
      <c r="I2242" t="s">
        <v>40</v>
      </c>
      <c r="J2242">
        <v>114</v>
      </c>
      <c r="K2242" t="s">
        <v>24</v>
      </c>
      <c r="L2242">
        <v>88</v>
      </c>
    </row>
    <row r="2243" spans="1:12" x14ac:dyDescent="0.25">
      <c r="A2243">
        <v>400579416</v>
      </c>
      <c r="B2243">
        <v>2015</v>
      </c>
      <c r="C2243" s="1">
        <v>42096</v>
      </c>
      <c r="D2243" t="s">
        <v>24</v>
      </c>
      <c r="E2243">
        <v>0</v>
      </c>
      <c r="F2243">
        <v>34</v>
      </c>
      <c r="G2243">
        <v>41</v>
      </c>
      <c r="H2243">
        <v>0</v>
      </c>
      <c r="I2243" t="s">
        <v>40</v>
      </c>
      <c r="J2243">
        <v>114</v>
      </c>
      <c r="K2243" t="s">
        <v>24</v>
      </c>
      <c r="L2243">
        <v>88</v>
      </c>
    </row>
    <row r="2244" spans="1:12" x14ac:dyDescent="0.25">
      <c r="A2244">
        <v>400579417</v>
      </c>
      <c r="B2244">
        <v>2015</v>
      </c>
      <c r="C2244" s="1">
        <v>42096</v>
      </c>
      <c r="D2244" t="s">
        <v>14</v>
      </c>
      <c r="E2244">
        <v>0</v>
      </c>
      <c r="F2244">
        <v>46</v>
      </c>
      <c r="G2244">
        <v>30</v>
      </c>
      <c r="H2244">
        <v>1</v>
      </c>
      <c r="I2244" t="s">
        <v>14</v>
      </c>
      <c r="J2244">
        <v>101</v>
      </c>
      <c r="K2244" t="s">
        <v>16</v>
      </c>
      <c r="L2244">
        <v>108</v>
      </c>
    </row>
    <row r="2245" spans="1:12" x14ac:dyDescent="0.25">
      <c r="A2245">
        <v>400579417</v>
      </c>
      <c r="B2245">
        <v>2015</v>
      </c>
      <c r="C2245" s="1">
        <v>42096</v>
      </c>
      <c r="D2245" t="s">
        <v>16</v>
      </c>
      <c r="E2245">
        <v>1</v>
      </c>
      <c r="F2245">
        <v>52</v>
      </c>
      <c r="G2245">
        <v>24</v>
      </c>
      <c r="H2245">
        <v>0</v>
      </c>
      <c r="I2245" t="s">
        <v>14</v>
      </c>
      <c r="J2245">
        <v>101</v>
      </c>
      <c r="K2245" t="s">
        <v>16</v>
      </c>
      <c r="L2245">
        <v>108</v>
      </c>
    </row>
    <row r="2246" spans="1:12" x14ac:dyDescent="0.25">
      <c r="A2246">
        <v>400579418</v>
      </c>
      <c r="B2246">
        <v>2015</v>
      </c>
      <c r="C2246" s="1">
        <v>42096</v>
      </c>
      <c r="D2246" t="s">
        <v>36</v>
      </c>
      <c r="E2246">
        <v>1</v>
      </c>
      <c r="F2246">
        <v>62</v>
      </c>
      <c r="G2246">
        <v>13</v>
      </c>
      <c r="H2246">
        <v>1</v>
      </c>
      <c r="I2246" t="s">
        <v>36</v>
      </c>
      <c r="J2246">
        <v>107</v>
      </c>
      <c r="K2246" t="s">
        <v>35</v>
      </c>
      <c r="L2246">
        <v>106</v>
      </c>
    </row>
    <row r="2247" spans="1:12" x14ac:dyDescent="0.25">
      <c r="A2247">
        <v>400579418</v>
      </c>
      <c r="B2247">
        <v>2015</v>
      </c>
      <c r="C2247" s="1">
        <v>42096</v>
      </c>
      <c r="D2247" t="s">
        <v>35</v>
      </c>
      <c r="E2247">
        <v>0</v>
      </c>
      <c r="F2247">
        <v>38</v>
      </c>
      <c r="G2247">
        <v>38</v>
      </c>
      <c r="H2247">
        <v>0</v>
      </c>
      <c r="I2247" t="s">
        <v>36</v>
      </c>
      <c r="J2247">
        <v>107</v>
      </c>
      <c r="K2247" t="s">
        <v>35</v>
      </c>
      <c r="L2247">
        <v>106</v>
      </c>
    </row>
    <row r="2248" spans="1:12" x14ac:dyDescent="0.25">
      <c r="A2248">
        <v>400579419</v>
      </c>
      <c r="B2248">
        <v>2015</v>
      </c>
      <c r="C2248" s="1">
        <v>42097</v>
      </c>
      <c r="D2248" t="s">
        <v>18</v>
      </c>
      <c r="E2248">
        <v>0</v>
      </c>
      <c r="F2248">
        <v>32</v>
      </c>
      <c r="G2248">
        <v>43</v>
      </c>
      <c r="H2248">
        <v>0</v>
      </c>
      <c r="I2248" t="s">
        <v>20</v>
      </c>
      <c r="J2248">
        <v>93</v>
      </c>
      <c r="K2248" t="s">
        <v>18</v>
      </c>
      <c r="L2248">
        <v>74</v>
      </c>
    </row>
    <row r="2249" spans="1:12" x14ac:dyDescent="0.25">
      <c r="A2249">
        <v>400579419</v>
      </c>
      <c r="B2249">
        <v>2015</v>
      </c>
      <c r="C2249" s="1">
        <v>42097</v>
      </c>
      <c r="D2249" t="s">
        <v>20</v>
      </c>
      <c r="E2249">
        <v>1</v>
      </c>
      <c r="F2249">
        <v>33</v>
      </c>
      <c r="G2249">
        <v>43</v>
      </c>
      <c r="H2249">
        <v>1</v>
      </c>
      <c r="I2249" t="s">
        <v>20</v>
      </c>
      <c r="J2249">
        <v>93</v>
      </c>
      <c r="K2249" t="s">
        <v>18</v>
      </c>
      <c r="L2249">
        <v>74</v>
      </c>
    </row>
    <row r="2250" spans="1:12" x14ac:dyDescent="0.25">
      <c r="A2250">
        <v>400579420</v>
      </c>
      <c r="B2250">
        <v>2015</v>
      </c>
      <c r="C2250" s="1">
        <v>42097</v>
      </c>
      <c r="D2250" t="s">
        <v>31</v>
      </c>
      <c r="E2250">
        <v>0</v>
      </c>
      <c r="F2250">
        <v>14</v>
      </c>
      <c r="G2250">
        <v>62</v>
      </c>
      <c r="H2250">
        <v>0</v>
      </c>
      <c r="I2250" t="s">
        <v>25</v>
      </c>
      <c r="J2250">
        <v>101</v>
      </c>
      <c r="K2250" t="s">
        <v>31</v>
      </c>
      <c r="L2250">
        <v>87</v>
      </c>
    </row>
    <row r="2251" spans="1:12" x14ac:dyDescent="0.25">
      <c r="A2251">
        <v>400579420</v>
      </c>
      <c r="B2251">
        <v>2015</v>
      </c>
      <c r="C2251" s="1">
        <v>42097</v>
      </c>
      <c r="D2251" t="s">
        <v>25</v>
      </c>
      <c r="E2251">
        <v>1</v>
      </c>
      <c r="F2251">
        <v>43</v>
      </c>
      <c r="G2251">
        <v>33</v>
      </c>
      <c r="H2251">
        <v>1</v>
      </c>
      <c r="I2251" t="s">
        <v>25</v>
      </c>
      <c r="J2251">
        <v>101</v>
      </c>
      <c r="K2251" t="s">
        <v>31</v>
      </c>
      <c r="L2251">
        <v>87</v>
      </c>
    </row>
    <row r="2252" spans="1:12" x14ac:dyDescent="0.25">
      <c r="A2252">
        <v>400579421</v>
      </c>
      <c r="B2252">
        <v>2015</v>
      </c>
      <c r="C2252" s="1">
        <v>42097</v>
      </c>
      <c r="D2252" t="s">
        <v>22</v>
      </c>
      <c r="E2252">
        <v>0</v>
      </c>
      <c r="F2252">
        <v>34</v>
      </c>
      <c r="G2252">
        <v>42</v>
      </c>
      <c r="H2252">
        <v>1</v>
      </c>
      <c r="I2252" t="s">
        <v>22</v>
      </c>
      <c r="J2252">
        <v>101</v>
      </c>
      <c r="K2252" t="s">
        <v>19</v>
      </c>
      <c r="L2252">
        <v>110</v>
      </c>
    </row>
    <row r="2253" spans="1:12" x14ac:dyDescent="0.25">
      <c r="A2253">
        <v>400579421</v>
      </c>
      <c r="B2253">
        <v>2015</v>
      </c>
      <c r="C2253" s="1">
        <v>42097</v>
      </c>
      <c r="D2253" t="s">
        <v>19</v>
      </c>
      <c r="E2253">
        <v>1</v>
      </c>
      <c r="F2253">
        <v>38</v>
      </c>
      <c r="G2253">
        <v>38</v>
      </c>
      <c r="H2253">
        <v>0</v>
      </c>
      <c r="I2253" t="s">
        <v>22</v>
      </c>
      <c r="J2253">
        <v>101</v>
      </c>
      <c r="K2253" t="s">
        <v>19</v>
      </c>
      <c r="L2253">
        <v>110</v>
      </c>
    </row>
    <row r="2254" spans="1:12" x14ac:dyDescent="0.25">
      <c r="A2254">
        <v>400579422</v>
      </c>
      <c r="B2254">
        <v>2015</v>
      </c>
      <c r="C2254" s="1">
        <v>42097</v>
      </c>
      <c r="D2254" t="s">
        <v>23</v>
      </c>
      <c r="E2254">
        <v>1</v>
      </c>
      <c r="F2254">
        <v>35</v>
      </c>
      <c r="G2254">
        <v>40</v>
      </c>
      <c r="H2254">
        <v>1</v>
      </c>
      <c r="I2254" t="s">
        <v>23</v>
      </c>
      <c r="J2254">
        <v>114</v>
      </c>
      <c r="K2254" t="s">
        <v>27</v>
      </c>
      <c r="L2254">
        <v>109</v>
      </c>
    </row>
    <row r="2255" spans="1:12" x14ac:dyDescent="0.25">
      <c r="A2255">
        <v>400579422</v>
      </c>
      <c r="B2255">
        <v>2015</v>
      </c>
      <c r="C2255" s="1">
        <v>42097</v>
      </c>
      <c r="D2255" t="s">
        <v>27</v>
      </c>
      <c r="E2255">
        <v>0</v>
      </c>
      <c r="F2255">
        <v>45</v>
      </c>
      <c r="G2255">
        <v>31</v>
      </c>
      <c r="H2255">
        <v>0</v>
      </c>
      <c r="I2255" t="s">
        <v>23</v>
      </c>
      <c r="J2255">
        <v>114</v>
      </c>
      <c r="K2255" t="s">
        <v>27</v>
      </c>
      <c r="L2255">
        <v>109</v>
      </c>
    </row>
    <row r="2256" spans="1:12" x14ac:dyDescent="0.25">
      <c r="A2256">
        <v>400579423</v>
      </c>
      <c r="B2256">
        <v>2015</v>
      </c>
      <c r="C2256" s="1">
        <v>42097</v>
      </c>
      <c r="D2256" t="s">
        <v>30</v>
      </c>
      <c r="E2256">
        <v>1</v>
      </c>
      <c r="F2256">
        <v>46</v>
      </c>
      <c r="G2256">
        <v>30</v>
      </c>
      <c r="H2256">
        <v>1</v>
      </c>
      <c r="I2256" t="s">
        <v>30</v>
      </c>
      <c r="J2256">
        <v>88</v>
      </c>
      <c r="K2256" t="s">
        <v>33</v>
      </c>
      <c r="L2256">
        <v>82</v>
      </c>
    </row>
    <row r="2257" spans="1:12" x14ac:dyDescent="0.25">
      <c r="A2257">
        <v>400579423</v>
      </c>
      <c r="B2257">
        <v>2015</v>
      </c>
      <c r="C2257" s="1">
        <v>42097</v>
      </c>
      <c r="D2257" t="s">
        <v>33</v>
      </c>
      <c r="E2257">
        <v>0</v>
      </c>
      <c r="F2257">
        <v>29</v>
      </c>
      <c r="G2257">
        <v>47</v>
      </c>
      <c r="H2257">
        <v>0</v>
      </c>
      <c r="I2257" t="s">
        <v>30</v>
      </c>
      <c r="J2257">
        <v>88</v>
      </c>
      <c r="K2257" t="s">
        <v>33</v>
      </c>
      <c r="L2257">
        <v>82</v>
      </c>
    </row>
    <row r="2258" spans="1:12" x14ac:dyDescent="0.25">
      <c r="A2258">
        <v>400579424</v>
      </c>
      <c r="B2258">
        <v>2015</v>
      </c>
      <c r="C2258" s="1">
        <v>42097</v>
      </c>
      <c r="D2258" t="s">
        <v>28</v>
      </c>
      <c r="E2258">
        <v>1</v>
      </c>
      <c r="F2258">
        <v>52</v>
      </c>
      <c r="G2258">
        <v>24</v>
      </c>
      <c r="H2258">
        <v>1</v>
      </c>
      <c r="I2258" t="s">
        <v>28</v>
      </c>
      <c r="J2258">
        <v>100</v>
      </c>
      <c r="K2258" t="s">
        <v>38</v>
      </c>
      <c r="L2258">
        <v>92</v>
      </c>
    </row>
    <row r="2259" spans="1:12" x14ac:dyDescent="0.25">
      <c r="A2259">
        <v>400579424</v>
      </c>
      <c r="B2259">
        <v>2015</v>
      </c>
      <c r="C2259" s="1">
        <v>42097</v>
      </c>
      <c r="D2259" t="s">
        <v>38</v>
      </c>
      <c r="E2259">
        <v>0</v>
      </c>
      <c r="F2259">
        <v>42</v>
      </c>
      <c r="G2259">
        <v>34</v>
      </c>
      <c r="H2259">
        <v>0</v>
      </c>
      <c r="I2259" t="s">
        <v>28</v>
      </c>
      <c r="J2259">
        <v>100</v>
      </c>
      <c r="K2259" t="s">
        <v>38</v>
      </c>
      <c r="L2259">
        <v>92</v>
      </c>
    </row>
    <row r="2260" spans="1:12" x14ac:dyDescent="0.25">
      <c r="A2260">
        <v>400579425</v>
      </c>
      <c r="B2260">
        <v>2015</v>
      </c>
      <c r="C2260" s="1">
        <v>42097</v>
      </c>
      <c r="D2260" t="s">
        <v>29</v>
      </c>
      <c r="E2260">
        <v>0</v>
      </c>
      <c r="F2260">
        <v>16</v>
      </c>
      <c r="G2260">
        <v>60</v>
      </c>
      <c r="H2260">
        <v>1</v>
      </c>
      <c r="I2260" t="s">
        <v>29</v>
      </c>
      <c r="J2260">
        <v>84</v>
      </c>
      <c r="K2260" t="s">
        <v>13</v>
      </c>
      <c r="L2260">
        <v>97</v>
      </c>
    </row>
    <row r="2261" spans="1:12" x14ac:dyDescent="0.25">
      <c r="A2261">
        <v>400579425</v>
      </c>
      <c r="B2261">
        <v>2015</v>
      </c>
      <c r="C2261" s="1">
        <v>42097</v>
      </c>
      <c r="D2261" t="s">
        <v>13</v>
      </c>
      <c r="E2261">
        <v>1</v>
      </c>
      <c r="F2261">
        <v>23</v>
      </c>
      <c r="G2261">
        <v>53</v>
      </c>
      <c r="H2261">
        <v>0</v>
      </c>
      <c r="I2261" t="s">
        <v>29</v>
      </c>
      <c r="J2261">
        <v>84</v>
      </c>
      <c r="K2261" t="s">
        <v>13</v>
      </c>
      <c r="L2261">
        <v>97</v>
      </c>
    </row>
    <row r="2262" spans="1:12" x14ac:dyDescent="0.25">
      <c r="A2262">
        <v>400579426</v>
      </c>
      <c r="B2262">
        <v>2015</v>
      </c>
      <c r="C2262" s="1">
        <v>42097</v>
      </c>
      <c r="D2262" t="s">
        <v>32</v>
      </c>
      <c r="E2262">
        <v>0</v>
      </c>
      <c r="F2262">
        <v>28</v>
      </c>
      <c r="G2262">
        <v>48</v>
      </c>
      <c r="H2262">
        <v>0</v>
      </c>
      <c r="I2262" t="s">
        <v>15</v>
      </c>
      <c r="J2262">
        <v>123</v>
      </c>
      <c r="K2262" t="s">
        <v>32</v>
      </c>
      <c r="L2262">
        <v>93</v>
      </c>
    </row>
    <row r="2263" spans="1:12" x14ac:dyDescent="0.25">
      <c r="A2263">
        <v>400579426</v>
      </c>
      <c r="B2263">
        <v>2015</v>
      </c>
      <c r="C2263" s="1">
        <v>42097</v>
      </c>
      <c r="D2263" t="s">
        <v>15</v>
      </c>
      <c r="E2263">
        <v>1</v>
      </c>
      <c r="F2263">
        <v>50</v>
      </c>
      <c r="G2263">
        <v>26</v>
      </c>
      <c r="H2263">
        <v>1</v>
      </c>
      <c r="I2263" t="s">
        <v>15</v>
      </c>
      <c r="J2263">
        <v>123</v>
      </c>
      <c r="K2263" t="s">
        <v>32</v>
      </c>
      <c r="L2263">
        <v>93</v>
      </c>
    </row>
    <row r="2264" spans="1:12" x14ac:dyDescent="0.25">
      <c r="A2264">
        <v>400579427</v>
      </c>
      <c r="B2264">
        <v>2015</v>
      </c>
      <c r="C2264" s="1">
        <v>42097</v>
      </c>
      <c r="D2264" t="s">
        <v>12</v>
      </c>
      <c r="E2264">
        <v>1</v>
      </c>
      <c r="F2264">
        <v>41</v>
      </c>
      <c r="G2264">
        <v>34</v>
      </c>
      <c r="H2264">
        <v>0</v>
      </c>
      <c r="I2264" t="s">
        <v>37</v>
      </c>
      <c r="J2264">
        <v>95</v>
      </c>
      <c r="K2264" t="s">
        <v>12</v>
      </c>
      <c r="L2264">
        <v>101</v>
      </c>
    </row>
    <row r="2265" spans="1:12" x14ac:dyDescent="0.25">
      <c r="A2265">
        <v>400579427</v>
      </c>
      <c r="B2265">
        <v>2015</v>
      </c>
      <c r="C2265" s="1">
        <v>42097</v>
      </c>
      <c r="D2265" t="s">
        <v>37</v>
      </c>
      <c r="E2265">
        <v>0</v>
      </c>
      <c r="F2265">
        <v>26</v>
      </c>
      <c r="G2265">
        <v>49</v>
      </c>
      <c r="H2265">
        <v>1</v>
      </c>
      <c r="I2265" t="s">
        <v>37</v>
      </c>
      <c r="J2265">
        <v>95</v>
      </c>
      <c r="K2265" t="s">
        <v>12</v>
      </c>
      <c r="L2265">
        <v>101</v>
      </c>
    </row>
    <row r="2266" spans="1:12" x14ac:dyDescent="0.25">
      <c r="A2266">
        <v>400579428</v>
      </c>
      <c r="B2266">
        <v>2015</v>
      </c>
      <c r="C2266" s="1">
        <v>42097</v>
      </c>
      <c r="D2266" t="s">
        <v>17</v>
      </c>
      <c r="E2266">
        <v>0</v>
      </c>
      <c r="F2266">
        <v>20</v>
      </c>
      <c r="G2266">
        <v>55</v>
      </c>
      <c r="H2266">
        <v>1</v>
      </c>
      <c r="I2266" t="s">
        <v>17</v>
      </c>
      <c r="J2266">
        <v>77</v>
      </c>
      <c r="K2266" t="s">
        <v>39</v>
      </c>
      <c r="L2266">
        <v>107</v>
      </c>
    </row>
    <row r="2267" spans="1:12" x14ac:dyDescent="0.25">
      <c r="A2267">
        <v>400579428</v>
      </c>
      <c r="B2267">
        <v>2015</v>
      </c>
      <c r="C2267" s="1">
        <v>42097</v>
      </c>
      <c r="D2267" t="s">
        <v>39</v>
      </c>
      <c r="E2267">
        <v>1</v>
      </c>
      <c r="F2267">
        <v>49</v>
      </c>
      <c r="G2267">
        <v>26</v>
      </c>
      <c r="H2267">
        <v>0</v>
      </c>
      <c r="I2267" t="s">
        <v>17</v>
      </c>
      <c r="J2267">
        <v>77</v>
      </c>
      <c r="K2267" t="s">
        <v>39</v>
      </c>
      <c r="L2267">
        <v>107</v>
      </c>
    </row>
    <row r="2268" spans="1:12" x14ac:dyDescent="0.25">
      <c r="A2268">
        <v>400579429</v>
      </c>
      <c r="B2268">
        <v>2015</v>
      </c>
      <c r="C2268" s="1">
        <v>42098</v>
      </c>
      <c r="D2268" t="s">
        <v>18</v>
      </c>
      <c r="E2268">
        <v>1</v>
      </c>
      <c r="F2268">
        <v>33</v>
      </c>
      <c r="G2268">
        <v>43</v>
      </c>
      <c r="H2268">
        <v>1</v>
      </c>
      <c r="I2268" t="s">
        <v>18</v>
      </c>
      <c r="J2268">
        <v>92</v>
      </c>
      <c r="K2268" t="s">
        <v>21</v>
      </c>
      <c r="L2268">
        <v>91</v>
      </c>
    </row>
    <row r="2269" spans="1:12" x14ac:dyDescent="0.25">
      <c r="A2269">
        <v>400579429</v>
      </c>
      <c r="B2269">
        <v>2015</v>
      </c>
      <c r="C2269" s="1">
        <v>42098</v>
      </c>
      <c r="D2269" t="s">
        <v>21</v>
      </c>
      <c r="E2269">
        <v>0</v>
      </c>
      <c r="F2269">
        <v>18</v>
      </c>
      <c r="G2269">
        <v>59</v>
      </c>
      <c r="H2269">
        <v>0</v>
      </c>
      <c r="I2269" t="s">
        <v>18</v>
      </c>
      <c r="J2269">
        <v>92</v>
      </c>
      <c r="K2269" t="s">
        <v>21</v>
      </c>
      <c r="L2269">
        <v>91</v>
      </c>
    </row>
    <row r="2270" spans="1:12" x14ac:dyDescent="0.25">
      <c r="A2270">
        <v>400579430</v>
      </c>
      <c r="B2270">
        <v>2015</v>
      </c>
      <c r="C2270" s="1">
        <v>42098</v>
      </c>
      <c r="D2270" t="s">
        <v>26</v>
      </c>
      <c r="E2270">
        <v>1</v>
      </c>
      <c r="F2270">
        <v>57</v>
      </c>
      <c r="G2270">
        <v>19</v>
      </c>
      <c r="H2270">
        <v>1</v>
      </c>
      <c r="I2270" t="s">
        <v>26</v>
      </c>
      <c r="J2270">
        <v>131</v>
      </c>
      <c r="K2270" t="s">
        <v>23</v>
      </c>
      <c r="L2270">
        <v>99</v>
      </c>
    </row>
    <row r="2271" spans="1:12" x14ac:dyDescent="0.25">
      <c r="A2271">
        <v>400579430</v>
      </c>
      <c r="B2271">
        <v>2015</v>
      </c>
      <c r="C2271" s="1">
        <v>42098</v>
      </c>
      <c r="D2271" t="s">
        <v>23</v>
      </c>
      <c r="E2271">
        <v>0</v>
      </c>
      <c r="F2271">
        <v>35</v>
      </c>
      <c r="G2271">
        <v>41</v>
      </c>
      <c r="H2271">
        <v>0</v>
      </c>
      <c r="I2271" t="s">
        <v>26</v>
      </c>
      <c r="J2271">
        <v>131</v>
      </c>
      <c r="K2271" t="s">
        <v>23</v>
      </c>
      <c r="L2271">
        <v>99</v>
      </c>
    </row>
    <row r="2272" spans="1:12" x14ac:dyDescent="0.25">
      <c r="A2272">
        <v>400579431</v>
      </c>
      <c r="B2272">
        <v>2015</v>
      </c>
      <c r="C2272" s="1">
        <v>42098</v>
      </c>
      <c r="D2272" t="s">
        <v>33</v>
      </c>
      <c r="E2272">
        <v>1</v>
      </c>
      <c r="F2272">
        <v>30</v>
      </c>
      <c r="G2272">
        <v>47</v>
      </c>
      <c r="H2272">
        <v>1</v>
      </c>
      <c r="I2272" t="s">
        <v>33</v>
      </c>
      <c r="J2272">
        <v>99</v>
      </c>
      <c r="K2272" t="s">
        <v>24</v>
      </c>
      <c r="L2272">
        <v>98</v>
      </c>
    </row>
    <row r="2273" spans="1:12" x14ac:dyDescent="0.25">
      <c r="A2273">
        <v>400579431</v>
      </c>
      <c r="B2273">
        <v>2015</v>
      </c>
      <c r="C2273" s="1">
        <v>42098</v>
      </c>
      <c r="D2273" t="s">
        <v>24</v>
      </c>
      <c r="E2273">
        <v>0</v>
      </c>
      <c r="F2273">
        <v>34</v>
      </c>
      <c r="G2273">
        <v>42</v>
      </c>
      <c r="H2273">
        <v>0</v>
      </c>
      <c r="I2273" t="s">
        <v>33</v>
      </c>
      <c r="J2273">
        <v>99</v>
      </c>
      <c r="K2273" t="s">
        <v>24</v>
      </c>
      <c r="L2273">
        <v>98</v>
      </c>
    </row>
    <row r="2274" spans="1:12" x14ac:dyDescent="0.25">
      <c r="A2274">
        <v>400579432</v>
      </c>
      <c r="B2274">
        <v>2015</v>
      </c>
      <c r="C2274" s="1">
        <v>42098</v>
      </c>
      <c r="D2274" t="s">
        <v>22</v>
      </c>
      <c r="E2274">
        <v>1</v>
      </c>
      <c r="F2274">
        <v>35</v>
      </c>
      <c r="G2274">
        <v>42</v>
      </c>
      <c r="H2274">
        <v>0</v>
      </c>
      <c r="I2274" t="s">
        <v>27</v>
      </c>
      <c r="J2274">
        <v>116</v>
      </c>
      <c r="K2274" t="s">
        <v>22</v>
      </c>
      <c r="L2274">
        <v>117</v>
      </c>
    </row>
    <row r="2275" spans="1:12" x14ac:dyDescent="0.25">
      <c r="A2275">
        <v>400579432</v>
      </c>
      <c r="B2275">
        <v>2015</v>
      </c>
      <c r="C2275" s="1">
        <v>42098</v>
      </c>
      <c r="D2275" t="s">
        <v>27</v>
      </c>
      <c r="E2275">
        <v>0</v>
      </c>
      <c r="F2275">
        <v>45</v>
      </c>
      <c r="G2275">
        <v>32</v>
      </c>
      <c r="H2275">
        <v>1</v>
      </c>
      <c r="I2275" t="s">
        <v>27</v>
      </c>
      <c r="J2275">
        <v>116</v>
      </c>
      <c r="K2275" t="s">
        <v>22</v>
      </c>
      <c r="L2275">
        <v>117</v>
      </c>
    </row>
    <row r="2276" spans="1:12" x14ac:dyDescent="0.25">
      <c r="A2276">
        <v>400579433</v>
      </c>
      <c r="B2276">
        <v>2015</v>
      </c>
      <c r="C2276" s="1">
        <v>42098</v>
      </c>
      <c r="D2276" t="s">
        <v>28</v>
      </c>
      <c r="E2276">
        <v>0</v>
      </c>
      <c r="F2276">
        <v>52</v>
      </c>
      <c r="G2276">
        <v>25</v>
      </c>
      <c r="H2276">
        <v>1</v>
      </c>
      <c r="I2276" t="s">
        <v>28</v>
      </c>
      <c r="J2276">
        <v>83</v>
      </c>
      <c r="K2276" t="s">
        <v>25</v>
      </c>
      <c r="L2276">
        <v>92</v>
      </c>
    </row>
    <row r="2277" spans="1:12" x14ac:dyDescent="0.25">
      <c r="A2277">
        <v>400579433</v>
      </c>
      <c r="B2277">
        <v>2015</v>
      </c>
      <c r="C2277" s="1">
        <v>42098</v>
      </c>
      <c r="D2277" t="s">
        <v>25</v>
      </c>
      <c r="E2277">
        <v>1</v>
      </c>
      <c r="F2277">
        <v>44</v>
      </c>
      <c r="G2277">
        <v>33</v>
      </c>
      <c r="H2277">
        <v>0</v>
      </c>
      <c r="I2277" t="s">
        <v>28</v>
      </c>
      <c r="J2277">
        <v>83</v>
      </c>
      <c r="K2277" t="s">
        <v>25</v>
      </c>
      <c r="L2277">
        <v>92</v>
      </c>
    </row>
    <row r="2278" spans="1:12" x14ac:dyDescent="0.25">
      <c r="A2278">
        <v>400579434</v>
      </c>
      <c r="B2278">
        <v>2015</v>
      </c>
      <c r="C2278" s="1">
        <v>42098</v>
      </c>
      <c r="D2278" t="s">
        <v>14</v>
      </c>
      <c r="E2278">
        <v>0</v>
      </c>
      <c r="F2278">
        <v>46</v>
      </c>
      <c r="G2278">
        <v>31</v>
      </c>
      <c r="H2278">
        <v>1</v>
      </c>
      <c r="I2278" t="s">
        <v>14</v>
      </c>
      <c r="J2278">
        <v>110</v>
      </c>
      <c r="K2278" t="s">
        <v>36</v>
      </c>
      <c r="L2278">
        <v>123</v>
      </c>
    </row>
    <row r="2279" spans="1:12" x14ac:dyDescent="0.25">
      <c r="A2279">
        <v>400579434</v>
      </c>
      <c r="B2279">
        <v>2015</v>
      </c>
      <c r="C2279" s="1">
        <v>42098</v>
      </c>
      <c r="D2279" t="s">
        <v>36</v>
      </c>
      <c r="E2279">
        <v>1</v>
      </c>
      <c r="F2279">
        <v>63</v>
      </c>
      <c r="G2279">
        <v>13</v>
      </c>
      <c r="H2279">
        <v>0</v>
      </c>
      <c r="I2279" t="s">
        <v>14</v>
      </c>
      <c r="J2279">
        <v>110</v>
      </c>
      <c r="K2279" t="s">
        <v>36</v>
      </c>
      <c r="L2279">
        <v>123</v>
      </c>
    </row>
    <row r="2280" spans="1:12" x14ac:dyDescent="0.25">
      <c r="A2280">
        <v>400579435</v>
      </c>
      <c r="B2280">
        <v>2015</v>
      </c>
      <c r="C2280" s="1">
        <v>42098</v>
      </c>
      <c r="D2280" t="s">
        <v>19</v>
      </c>
      <c r="E2280">
        <v>0</v>
      </c>
      <c r="F2280">
        <v>38</v>
      </c>
      <c r="G2280">
        <v>39</v>
      </c>
      <c r="H2280">
        <v>1</v>
      </c>
      <c r="I2280" t="s">
        <v>19</v>
      </c>
      <c r="J2280">
        <v>90</v>
      </c>
      <c r="K2280" t="s">
        <v>13</v>
      </c>
      <c r="L2280">
        <v>97</v>
      </c>
    </row>
    <row r="2281" spans="1:12" x14ac:dyDescent="0.25">
      <c r="A2281">
        <v>400579435</v>
      </c>
      <c r="B2281">
        <v>2015</v>
      </c>
      <c r="C2281" s="1">
        <v>42098</v>
      </c>
      <c r="D2281" t="s">
        <v>13</v>
      </c>
      <c r="E2281">
        <v>1</v>
      </c>
      <c r="F2281">
        <v>24</v>
      </c>
      <c r="G2281">
        <v>53</v>
      </c>
      <c r="H2281">
        <v>0</v>
      </c>
      <c r="I2281" t="s">
        <v>19</v>
      </c>
      <c r="J2281">
        <v>90</v>
      </c>
      <c r="K2281" t="s">
        <v>13</v>
      </c>
      <c r="L2281">
        <v>97</v>
      </c>
    </row>
    <row r="2282" spans="1:12" x14ac:dyDescent="0.25">
      <c r="A2282">
        <v>400579436</v>
      </c>
      <c r="B2282">
        <v>2015</v>
      </c>
      <c r="C2282" s="1">
        <v>42098</v>
      </c>
      <c r="D2282" t="s">
        <v>32</v>
      </c>
      <c r="E2282">
        <v>0</v>
      </c>
      <c r="F2282">
        <v>28</v>
      </c>
      <c r="G2282">
        <v>49</v>
      </c>
      <c r="H2282">
        <v>1</v>
      </c>
      <c r="I2282" t="s">
        <v>32</v>
      </c>
      <c r="J2282">
        <v>92</v>
      </c>
      <c r="K2282" t="s">
        <v>41</v>
      </c>
      <c r="L2282">
        <v>107</v>
      </c>
    </row>
    <row r="2283" spans="1:12" x14ac:dyDescent="0.25">
      <c r="A2283">
        <v>400579436</v>
      </c>
      <c r="B2283">
        <v>2015</v>
      </c>
      <c r="C2283" s="1">
        <v>42098</v>
      </c>
      <c r="D2283" t="s">
        <v>41</v>
      </c>
      <c r="E2283">
        <v>1</v>
      </c>
      <c r="F2283">
        <v>51</v>
      </c>
      <c r="G2283">
        <v>26</v>
      </c>
      <c r="H2283">
        <v>0</v>
      </c>
      <c r="I2283" t="s">
        <v>32</v>
      </c>
      <c r="J2283">
        <v>92</v>
      </c>
      <c r="K2283" t="s">
        <v>41</v>
      </c>
      <c r="L2283">
        <v>107</v>
      </c>
    </row>
    <row r="2284" spans="1:12" x14ac:dyDescent="0.25">
      <c r="A2284">
        <v>400579437</v>
      </c>
      <c r="B2284">
        <v>2015</v>
      </c>
      <c r="C2284" s="1">
        <v>42098</v>
      </c>
      <c r="D2284" t="s">
        <v>35</v>
      </c>
      <c r="E2284">
        <v>1</v>
      </c>
      <c r="F2284">
        <v>39</v>
      </c>
      <c r="G2284">
        <v>38</v>
      </c>
      <c r="H2284">
        <v>1</v>
      </c>
      <c r="I2284" t="s">
        <v>35</v>
      </c>
      <c r="J2284">
        <v>87</v>
      </c>
      <c r="K2284" t="s">
        <v>34</v>
      </c>
      <c r="L2284">
        <v>85</v>
      </c>
    </row>
    <row r="2285" spans="1:12" x14ac:dyDescent="0.25">
      <c r="A2285">
        <v>400579437</v>
      </c>
      <c r="B2285">
        <v>2015</v>
      </c>
      <c r="C2285" s="1">
        <v>42098</v>
      </c>
      <c r="D2285" t="s">
        <v>34</v>
      </c>
      <c r="E2285">
        <v>0</v>
      </c>
      <c r="F2285">
        <v>34</v>
      </c>
      <c r="G2285">
        <v>42</v>
      </c>
      <c r="H2285">
        <v>0</v>
      </c>
      <c r="I2285" t="s">
        <v>35</v>
      </c>
      <c r="J2285">
        <v>87</v>
      </c>
      <c r="K2285" t="s">
        <v>34</v>
      </c>
      <c r="L2285">
        <v>85</v>
      </c>
    </row>
    <row r="2286" spans="1:12" x14ac:dyDescent="0.25">
      <c r="A2286">
        <v>400579438</v>
      </c>
      <c r="B2286">
        <v>2015</v>
      </c>
      <c r="C2286" s="1">
        <v>42098</v>
      </c>
      <c r="D2286" t="s">
        <v>12</v>
      </c>
      <c r="E2286">
        <v>0</v>
      </c>
      <c r="F2286">
        <v>41</v>
      </c>
      <c r="G2286">
        <v>35</v>
      </c>
      <c r="H2286">
        <v>0</v>
      </c>
      <c r="I2286" t="s">
        <v>39</v>
      </c>
      <c r="J2286">
        <v>99</v>
      </c>
      <c r="K2286" t="s">
        <v>12</v>
      </c>
      <c r="L2286">
        <v>90</v>
      </c>
    </row>
    <row r="2287" spans="1:12" x14ac:dyDescent="0.25">
      <c r="A2287">
        <v>400579438</v>
      </c>
      <c r="B2287">
        <v>2015</v>
      </c>
      <c r="C2287" s="1">
        <v>42098</v>
      </c>
      <c r="D2287" t="s">
        <v>39</v>
      </c>
      <c r="E2287">
        <v>1</v>
      </c>
      <c r="F2287">
        <v>50</v>
      </c>
      <c r="G2287">
        <v>26</v>
      </c>
      <c r="H2287">
        <v>1</v>
      </c>
      <c r="I2287" t="s">
        <v>39</v>
      </c>
      <c r="J2287">
        <v>99</v>
      </c>
      <c r="K2287" t="s">
        <v>12</v>
      </c>
      <c r="L2287">
        <v>90</v>
      </c>
    </row>
    <row r="2288" spans="1:12" x14ac:dyDescent="0.25">
      <c r="A2288">
        <v>400579439</v>
      </c>
      <c r="B2288">
        <v>2015</v>
      </c>
      <c r="C2288" s="1">
        <v>42099</v>
      </c>
      <c r="D2288" t="s">
        <v>16</v>
      </c>
      <c r="E2288">
        <v>1</v>
      </c>
      <c r="F2288">
        <v>53</v>
      </c>
      <c r="G2288">
        <v>24</v>
      </c>
      <c r="H2288">
        <v>0</v>
      </c>
      <c r="I2288" t="s">
        <v>38</v>
      </c>
      <c r="J2288">
        <v>112</v>
      </c>
      <c r="K2288" t="s">
        <v>16</v>
      </c>
      <c r="L2288">
        <v>115</v>
      </c>
    </row>
    <row r="2289" spans="1:12" x14ac:dyDescent="0.25">
      <c r="A2289">
        <v>400579439</v>
      </c>
      <c r="B2289">
        <v>2015</v>
      </c>
      <c r="C2289" s="1">
        <v>42099</v>
      </c>
      <c r="D2289" t="s">
        <v>38</v>
      </c>
      <c r="E2289">
        <v>0</v>
      </c>
      <c r="F2289">
        <v>42</v>
      </c>
      <c r="G2289">
        <v>35</v>
      </c>
      <c r="H2289">
        <v>1</v>
      </c>
      <c r="I2289" t="s">
        <v>38</v>
      </c>
      <c r="J2289">
        <v>112</v>
      </c>
      <c r="K2289" t="s">
        <v>16</v>
      </c>
      <c r="L2289">
        <v>115</v>
      </c>
    </row>
    <row r="2290" spans="1:12" x14ac:dyDescent="0.25">
      <c r="A2290">
        <v>400579440</v>
      </c>
      <c r="B2290">
        <v>2015</v>
      </c>
      <c r="C2290" s="1">
        <v>42099</v>
      </c>
      <c r="D2290" t="s">
        <v>30</v>
      </c>
      <c r="E2290">
        <v>0</v>
      </c>
      <c r="F2290">
        <v>46</v>
      </c>
      <c r="G2290">
        <v>31</v>
      </c>
      <c r="H2290">
        <v>0</v>
      </c>
      <c r="I2290" t="s">
        <v>40</v>
      </c>
      <c r="J2290">
        <v>99</v>
      </c>
      <c r="K2290" t="s">
        <v>30</v>
      </c>
      <c r="L2290">
        <v>94</v>
      </c>
    </row>
    <row r="2291" spans="1:12" x14ac:dyDescent="0.25">
      <c r="A2291">
        <v>400579440</v>
      </c>
      <c r="B2291">
        <v>2015</v>
      </c>
      <c r="C2291" s="1">
        <v>42099</v>
      </c>
      <c r="D2291" t="s">
        <v>40</v>
      </c>
      <c r="E2291">
        <v>1</v>
      </c>
      <c r="F2291">
        <v>50</v>
      </c>
      <c r="G2291">
        <v>27</v>
      </c>
      <c r="H2291">
        <v>1</v>
      </c>
      <c r="I2291" t="s">
        <v>40</v>
      </c>
      <c r="J2291">
        <v>99</v>
      </c>
      <c r="K2291" t="s">
        <v>30</v>
      </c>
      <c r="L2291">
        <v>94</v>
      </c>
    </row>
    <row r="2292" spans="1:12" x14ac:dyDescent="0.25">
      <c r="A2292">
        <v>400579441</v>
      </c>
      <c r="B2292">
        <v>2015</v>
      </c>
      <c r="C2292" s="1">
        <v>42099</v>
      </c>
      <c r="D2292" t="s">
        <v>20</v>
      </c>
      <c r="E2292">
        <v>1</v>
      </c>
      <c r="F2292">
        <v>34</v>
      </c>
      <c r="G2292">
        <v>43</v>
      </c>
      <c r="H2292">
        <v>1</v>
      </c>
      <c r="I2292" t="s">
        <v>20</v>
      </c>
      <c r="J2292">
        <v>112</v>
      </c>
      <c r="K2292" t="s">
        <v>24</v>
      </c>
      <c r="L2292">
        <v>89</v>
      </c>
    </row>
    <row r="2293" spans="1:12" x14ac:dyDescent="0.25">
      <c r="A2293">
        <v>400579441</v>
      </c>
      <c r="B2293">
        <v>2015</v>
      </c>
      <c r="C2293" s="1">
        <v>42099</v>
      </c>
      <c r="D2293" t="s">
        <v>24</v>
      </c>
      <c r="E2293">
        <v>0</v>
      </c>
      <c r="F2293">
        <v>34</v>
      </c>
      <c r="G2293">
        <v>43</v>
      </c>
      <c r="H2293">
        <v>0</v>
      </c>
      <c r="I2293" t="s">
        <v>20</v>
      </c>
      <c r="J2293">
        <v>112</v>
      </c>
      <c r="K2293" t="s">
        <v>24</v>
      </c>
      <c r="L2293">
        <v>89</v>
      </c>
    </row>
    <row r="2294" spans="1:12" x14ac:dyDescent="0.25">
      <c r="A2294">
        <v>400579442</v>
      </c>
      <c r="B2294">
        <v>2015</v>
      </c>
      <c r="C2294" s="1">
        <v>42099</v>
      </c>
      <c r="D2294" t="s">
        <v>36</v>
      </c>
      <c r="E2294">
        <v>0</v>
      </c>
      <c r="F2294">
        <v>63</v>
      </c>
      <c r="G2294">
        <v>14</v>
      </c>
      <c r="H2294">
        <v>0</v>
      </c>
      <c r="I2294" t="s">
        <v>15</v>
      </c>
      <c r="J2294">
        <v>107</v>
      </c>
      <c r="K2294" t="s">
        <v>36</v>
      </c>
      <c r="L2294">
        <v>92</v>
      </c>
    </row>
    <row r="2295" spans="1:12" x14ac:dyDescent="0.25">
      <c r="A2295">
        <v>400579442</v>
      </c>
      <c r="B2295">
        <v>2015</v>
      </c>
      <c r="C2295" s="1">
        <v>42099</v>
      </c>
      <c r="D2295" t="s">
        <v>15</v>
      </c>
      <c r="E2295">
        <v>1</v>
      </c>
      <c r="F2295">
        <v>51</v>
      </c>
      <c r="G2295">
        <v>26</v>
      </c>
      <c r="H2295">
        <v>1</v>
      </c>
      <c r="I2295" t="s">
        <v>15</v>
      </c>
      <c r="J2295">
        <v>107</v>
      </c>
      <c r="K2295" t="s">
        <v>36</v>
      </c>
      <c r="L2295">
        <v>92</v>
      </c>
    </row>
    <row r="2296" spans="1:12" x14ac:dyDescent="0.25">
      <c r="A2296">
        <v>400579443</v>
      </c>
      <c r="B2296">
        <v>2015</v>
      </c>
      <c r="C2296" s="1">
        <v>42099</v>
      </c>
      <c r="D2296" t="s">
        <v>31</v>
      </c>
      <c r="E2296">
        <v>1</v>
      </c>
      <c r="F2296">
        <v>15</v>
      </c>
      <c r="G2296">
        <v>62</v>
      </c>
      <c r="H2296">
        <v>1</v>
      </c>
      <c r="I2296" t="s">
        <v>31</v>
      </c>
      <c r="J2296">
        <v>101</v>
      </c>
      <c r="K2296" t="s">
        <v>21</v>
      </c>
      <c r="L2296">
        <v>91</v>
      </c>
    </row>
    <row r="2297" spans="1:12" x14ac:dyDescent="0.25">
      <c r="A2297">
        <v>400579443</v>
      </c>
      <c r="B2297">
        <v>2015</v>
      </c>
      <c r="C2297" s="1">
        <v>42099</v>
      </c>
      <c r="D2297" t="s">
        <v>21</v>
      </c>
      <c r="E2297">
        <v>0</v>
      </c>
      <c r="F2297">
        <v>18</v>
      </c>
      <c r="G2297">
        <v>60</v>
      </c>
      <c r="H2297">
        <v>0</v>
      </c>
      <c r="I2297" t="s">
        <v>31</v>
      </c>
      <c r="J2297">
        <v>101</v>
      </c>
      <c r="K2297" t="s">
        <v>21</v>
      </c>
      <c r="L2297">
        <v>91</v>
      </c>
    </row>
    <row r="2298" spans="1:12" x14ac:dyDescent="0.25">
      <c r="A2298">
        <v>400579444</v>
      </c>
      <c r="B2298">
        <v>2015</v>
      </c>
      <c r="C2298" s="1">
        <v>42099</v>
      </c>
      <c r="D2298" t="s">
        <v>37</v>
      </c>
      <c r="E2298">
        <v>0</v>
      </c>
      <c r="F2298">
        <v>26</v>
      </c>
      <c r="G2298">
        <v>50</v>
      </c>
      <c r="H2298">
        <v>1</v>
      </c>
      <c r="I2298" t="s">
        <v>37</v>
      </c>
      <c r="J2298">
        <v>95</v>
      </c>
      <c r="K2298" t="s">
        <v>34</v>
      </c>
      <c r="L2298">
        <v>101</v>
      </c>
    </row>
    <row r="2299" spans="1:12" x14ac:dyDescent="0.25">
      <c r="A2299">
        <v>400579444</v>
      </c>
      <c r="B2299">
        <v>2015</v>
      </c>
      <c r="C2299" s="1">
        <v>42099</v>
      </c>
      <c r="D2299" t="s">
        <v>34</v>
      </c>
      <c r="E2299">
        <v>1</v>
      </c>
      <c r="F2299">
        <v>35</v>
      </c>
      <c r="G2299">
        <v>42</v>
      </c>
      <c r="H2299">
        <v>0</v>
      </c>
      <c r="I2299" t="s">
        <v>37</v>
      </c>
      <c r="J2299">
        <v>95</v>
      </c>
      <c r="K2299" t="s">
        <v>34</v>
      </c>
      <c r="L2299">
        <v>101</v>
      </c>
    </row>
    <row r="2300" spans="1:12" x14ac:dyDescent="0.25">
      <c r="A2300">
        <v>400579445</v>
      </c>
      <c r="B2300">
        <v>2015</v>
      </c>
      <c r="C2300" s="1">
        <v>42099</v>
      </c>
      <c r="D2300" t="s">
        <v>41</v>
      </c>
      <c r="E2300">
        <v>1</v>
      </c>
      <c r="F2300">
        <v>52</v>
      </c>
      <c r="G2300">
        <v>26</v>
      </c>
      <c r="H2300">
        <v>0</v>
      </c>
      <c r="I2300" t="s">
        <v>17</v>
      </c>
      <c r="J2300">
        <v>78</v>
      </c>
      <c r="K2300" t="s">
        <v>41</v>
      </c>
      <c r="L2300">
        <v>106</v>
      </c>
    </row>
    <row r="2301" spans="1:12" x14ac:dyDescent="0.25">
      <c r="A2301">
        <v>400579445</v>
      </c>
      <c r="B2301">
        <v>2015</v>
      </c>
      <c r="C2301" s="1">
        <v>42099</v>
      </c>
      <c r="D2301" t="s">
        <v>17</v>
      </c>
      <c r="E2301">
        <v>0</v>
      </c>
      <c r="F2301">
        <v>20</v>
      </c>
      <c r="G2301">
        <v>56</v>
      </c>
      <c r="H2301">
        <v>1</v>
      </c>
      <c r="I2301" t="s">
        <v>17</v>
      </c>
      <c r="J2301">
        <v>78</v>
      </c>
      <c r="K2301" t="s">
        <v>41</v>
      </c>
      <c r="L2301">
        <v>106</v>
      </c>
    </row>
    <row r="2302" spans="1:12" x14ac:dyDescent="0.25">
      <c r="A2302">
        <v>400579446</v>
      </c>
      <c r="B2302">
        <v>2015</v>
      </c>
      <c r="C2302" s="1">
        <v>42101</v>
      </c>
      <c r="D2302" t="s">
        <v>26</v>
      </c>
      <c r="E2302">
        <v>1</v>
      </c>
      <c r="F2302">
        <v>58</v>
      </c>
      <c r="G2302">
        <v>19</v>
      </c>
      <c r="H2302">
        <v>1</v>
      </c>
      <c r="I2302" t="s">
        <v>26</v>
      </c>
      <c r="J2302">
        <v>96</v>
      </c>
      <c r="K2302" t="s">
        <v>35</v>
      </c>
      <c r="L2302">
        <v>69</v>
      </c>
    </row>
    <row r="2303" spans="1:12" x14ac:dyDescent="0.25">
      <c r="A2303">
        <v>400579446</v>
      </c>
      <c r="B2303">
        <v>2015</v>
      </c>
      <c r="C2303" s="1">
        <v>42101</v>
      </c>
      <c r="D2303" t="s">
        <v>35</v>
      </c>
      <c r="E2303">
        <v>0</v>
      </c>
      <c r="F2303">
        <v>39</v>
      </c>
      <c r="G2303">
        <v>39</v>
      </c>
      <c r="H2303">
        <v>0</v>
      </c>
      <c r="I2303" t="s">
        <v>26</v>
      </c>
      <c r="J2303">
        <v>96</v>
      </c>
      <c r="K2303" t="s">
        <v>35</v>
      </c>
      <c r="L2303">
        <v>69</v>
      </c>
    </row>
    <row r="2304" spans="1:12" x14ac:dyDescent="0.25">
      <c r="A2304">
        <v>400579447</v>
      </c>
      <c r="B2304">
        <v>2015</v>
      </c>
      <c r="C2304" s="1">
        <v>42101</v>
      </c>
      <c r="D2304" t="s">
        <v>18</v>
      </c>
      <c r="E2304">
        <v>0</v>
      </c>
      <c r="F2304">
        <v>33</v>
      </c>
      <c r="G2304">
        <v>44</v>
      </c>
      <c r="H2304">
        <v>0</v>
      </c>
      <c r="I2304" t="s">
        <v>24</v>
      </c>
      <c r="J2304">
        <v>105</v>
      </c>
      <c r="K2304" t="s">
        <v>18</v>
      </c>
      <c r="L2304">
        <v>100</v>
      </c>
    </row>
    <row r="2305" spans="1:12" x14ac:dyDescent="0.25">
      <c r="A2305">
        <v>400579447</v>
      </c>
      <c r="B2305">
        <v>2015</v>
      </c>
      <c r="C2305" s="1">
        <v>42101</v>
      </c>
      <c r="D2305" t="s">
        <v>24</v>
      </c>
      <c r="E2305">
        <v>1</v>
      </c>
      <c r="F2305">
        <v>35</v>
      </c>
      <c r="G2305">
        <v>43</v>
      </c>
      <c r="H2305">
        <v>1</v>
      </c>
      <c r="I2305" t="s">
        <v>24</v>
      </c>
      <c r="J2305">
        <v>105</v>
      </c>
      <c r="K2305" t="s">
        <v>18</v>
      </c>
      <c r="L2305">
        <v>100</v>
      </c>
    </row>
    <row r="2306" spans="1:12" x14ac:dyDescent="0.25">
      <c r="A2306">
        <v>400579448</v>
      </c>
      <c r="B2306">
        <v>2015</v>
      </c>
      <c r="C2306" s="1">
        <v>42101</v>
      </c>
      <c r="D2306" t="s">
        <v>36</v>
      </c>
      <c r="E2306">
        <v>0</v>
      </c>
      <c r="F2306">
        <v>63</v>
      </c>
      <c r="G2306">
        <v>15</v>
      </c>
      <c r="H2306">
        <v>0</v>
      </c>
      <c r="I2306" t="s">
        <v>12</v>
      </c>
      <c r="J2306">
        <v>103</v>
      </c>
      <c r="K2306" t="s">
        <v>36</v>
      </c>
      <c r="L2306">
        <v>100</v>
      </c>
    </row>
    <row r="2307" spans="1:12" x14ac:dyDescent="0.25">
      <c r="A2307">
        <v>400579448</v>
      </c>
      <c r="B2307">
        <v>2015</v>
      </c>
      <c r="C2307" s="1">
        <v>42101</v>
      </c>
      <c r="D2307" t="s">
        <v>12</v>
      </c>
      <c r="E2307">
        <v>1</v>
      </c>
      <c r="F2307">
        <v>42</v>
      </c>
      <c r="G2307">
        <v>35</v>
      </c>
      <c r="H2307">
        <v>1</v>
      </c>
      <c r="I2307" t="s">
        <v>12</v>
      </c>
      <c r="J2307">
        <v>103</v>
      </c>
      <c r="K2307" t="s">
        <v>36</v>
      </c>
      <c r="L2307">
        <v>100</v>
      </c>
    </row>
    <row r="2308" spans="1:12" x14ac:dyDescent="0.25">
      <c r="A2308">
        <v>400579449</v>
      </c>
      <c r="B2308">
        <v>2015</v>
      </c>
      <c r="C2308" s="1">
        <v>42101</v>
      </c>
      <c r="D2308" t="s">
        <v>38</v>
      </c>
      <c r="E2308">
        <v>0</v>
      </c>
      <c r="F2308">
        <v>42</v>
      </c>
      <c r="G2308">
        <v>36</v>
      </c>
      <c r="H2308">
        <v>1</v>
      </c>
      <c r="I2308" t="s">
        <v>38</v>
      </c>
      <c r="J2308">
        <v>88</v>
      </c>
      <c r="K2308" t="s">
        <v>15</v>
      </c>
      <c r="L2308">
        <v>113</v>
      </c>
    </row>
    <row r="2309" spans="1:12" x14ac:dyDescent="0.25">
      <c r="A2309">
        <v>400579449</v>
      </c>
      <c r="B2309">
        <v>2015</v>
      </c>
      <c r="C2309" s="1">
        <v>42101</v>
      </c>
      <c r="D2309" t="s">
        <v>15</v>
      </c>
      <c r="E2309">
        <v>1</v>
      </c>
      <c r="F2309">
        <v>52</v>
      </c>
      <c r="G2309">
        <v>26</v>
      </c>
      <c r="H2309">
        <v>0</v>
      </c>
      <c r="I2309" t="s">
        <v>38</v>
      </c>
      <c r="J2309">
        <v>88</v>
      </c>
      <c r="K2309" t="s">
        <v>15</v>
      </c>
      <c r="L2309">
        <v>113</v>
      </c>
    </row>
    <row r="2310" spans="1:12" x14ac:dyDescent="0.25">
      <c r="A2310">
        <v>400579450</v>
      </c>
      <c r="B2310">
        <v>2015</v>
      </c>
      <c r="C2310" s="1">
        <v>42101</v>
      </c>
      <c r="D2310" t="s">
        <v>29</v>
      </c>
      <c r="E2310">
        <v>0</v>
      </c>
      <c r="F2310">
        <v>16</v>
      </c>
      <c r="G2310">
        <v>61</v>
      </c>
      <c r="H2310">
        <v>0</v>
      </c>
      <c r="I2310" t="s">
        <v>37</v>
      </c>
      <c r="J2310">
        <v>116</v>
      </c>
      <c r="K2310" t="s">
        <v>29</v>
      </c>
      <c r="L2310">
        <v>111</v>
      </c>
    </row>
    <row r="2311" spans="1:12" x14ac:dyDescent="0.25">
      <c r="A2311">
        <v>400579450</v>
      </c>
      <c r="B2311">
        <v>2015</v>
      </c>
      <c r="C2311" s="1">
        <v>42101</v>
      </c>
      <c r="D2311" t="s">
        <v>37</v>
      </c>
      <c r="E2311">
        <v>1</v>
      </c>
      <c r="F2311">
        <v>27</v>
      </c>
      <c r="G2311">
        <v>50</v>
      </c>
      <c r="H2311">
        <v>1</v>
      </c>
      <c r="I2311" t="s">
        <v>37</v>
      </c>
      <c r="J2311">
        <v>116</v>
      </c>
      <c r="K2311" t="s">
        <v>29</v>
      </c>
      <c r="L2311">
        <v>111</v>
      </c>
    </row>
    <row r="2312" spans="1:12" x14ac:dyDescent="0.25">
      <c r="A2312">
        <v>400579451</v>
      </c>
      <c r="B2312">
        <v>2015</v>
      </c>
      <c r="C2312" s="1">
        <v>42101</v>
      </c>
      <c r="D2312" t="s">
        <v>41</v>
      </c>
      <c r="E2312">
        <v>1</v>
      </c>
      <c r="F2312">
        <v>53</v>
      </c>
      <c r="G2312">
        <v>26</v>
      </c>
      <c r="H2312">
        <v>1</v>
      </c>
      <c r="I2312" t="s">
        <v>41</v>
      </c>
      <c r="J2312">
        <v>105</v>
      </c>
      <c r="K2312" t="s">
        <v>17</v>
      </c>
      <c r="L2312">
        <v>100</v>
      </c>
    </row>
    <row r="2313" spans="1:12" x14ac:dyDescent="0.25">
      <c r="A2313">
        <v>400579451</v>
      </c>
      <c r="B2313">
        <v>2015</v>
      </c>
      <c r="C2313" s="1">
        <v>42101</v>
      </c>
      <c r="D2313" t="s">
        <v>17</v>
      </c>
      <c r="E2313">
        <v>0</v>
      </c>
      <c r="F2313">
        <v>20</v>
      </c>
      <c r="G2313">
        <v>57</v>
      </c>
      <c r="H2313">
        <v>0</v>
      </c>
      <c r="I2313" t="s">
        <v>41</v>
      </c>
      <c r="J2313">
        <v>105</v>
      </c>
      <c r="K2313" t="s">
        <v>17</v>
      </c>
      <c r="L2313">
        <v>100</v>
      </c>
    </row>
    <row r="2314" spans="1:12" x14ac:dyDescent="0.25">
      <c r="A2314">
        <v>400579452</v>
      </c>
      <c r="B2314">
        <v>2015</v>
      </c>
      <c r="C2314" s="1">
        <v>42102</v>
      </c>
      <c r="D2314" t="s">
        <v>18</v>
      </c>
      <c r="E2314">
        <v>0</v>
      </c>
      <c r="F2314">
        <v>33</v>
      </c>
      <c r="G2314">
        <v>45</v>
      </c>
      <c r="H2314">
        <v>1</v>
      </c>
      <c r="I2314" t="s">
        <v>18</v>
      </c>
      <c r="J2314">
        <v>74</v>
      </c>
      <c r="K2314" t="s">
        <v>27</v>
      </c>
      <c r="L2314">
        <v>92</v>
      </c>
    </row>
    <row r="2315" spans="1:12" x14ac:dyDescent="0.25">
      <c r="A2315">
        <v>400579452</v>
      </c>
      <c r="B2315">
        <v>2015</v>
      </c>
      <c r="C2315" s="1">
        <v>42102</v>
      </c>
      <c r="D2315" t="s">
        <v>27</v>
      </c>
      <c r="E2315">
        <v>1</v>
      </c>
      <c r="F2315">
        <v>46</v>
      </c>
      <c r="G2315">
        <v>32</v>
      </c>
      <c r="H2315">
        <v>0</v>
      </c>
      <c r="I2315" t="s">
        <v>18</v>
      </c>
      <c r="J2315">
        <v>74</v>
      </c>
      <c r="K2315" t="s">
        <v>27</v>
      </c>
      <c r="L2315">
        <v>92</v>
      </c>
    </row>
    <row r="2316" spans="1:12" x14ac:dyDescent="0.25">
      <c r="A2316">
        <v>400579453</v>
      </c>
      <c r="B2316">
        <v>2015</v>
      </c>
      <c r="C2316" s="1">
        <v>42102</v>
      </c>
      <c r="D2316" t="s">
        <v>30</v>
      </c>
      <c r="E2316">
        <v>0</v>
      </c>
      <c r="F2316">
        <v>46</v>
      </c>
      <c r="G2316">
        <v>32</v>
      </c>
      <c r="H2316">
        <v>0</v>
      </c>
      <c r="I2316" t="s">
        <v>13</v>
      </c>
      <c r="J2316">
        <v>105</v>
      </c>
      <c r="K2316" t="s">
        <v>30</v>
      </c>
      <c r="L2316">
        <v>103</v>
      </c>
    </row>
    <row r="2317" spans="1:12" x14ac:dyDescent="0.25">
      <c r="A2317">
        <v>400579453</v>
      </c>
      <c r="B2317">
        <v>2015</v>
      </c>
      <c r="C2317" s="1">
        <v>42102</v>
      </c>
      <c r="D2317" t="s">
        <v>13</v>
      </c>
      <c r="E2317">
        <v>1</v>
      </c>
      <c r="F2317">
        <v>25</v>
      </c>
      <c r="G2317">
        <v>53</v>
      </c>
      <c r="H2317">
        <v>1</v>
      </c>
      <c r="I2317" t="s">
        <v>13</v>
      </c>
      <c r="J2317">
        <v>105</v>
      </c>
      <c r="K2317" t="s">
        <v>30</v>
      </c>
      <c r="L2317">
        <v>103</v>
      </c>
    </row>
    <row r="2318" spans="1:12" x14ac:dyDescent="0.25">
      <c r="A2318">
        <v>400579454</v>
      </c>
      <c r="B2318">
        <v>2015</v>
      </c>
      <c r="C2318" s="1">
        <v>42102</v>
      </c>
      <c r="D2318" t="s">
        <v>21</v>
      </c>
      <c r="E2318">
        <v>0</v>
      </c>
      <c r="F2318">
        <v>18</v>
      </c>
      <c r="G2318">
        <v>61</v>
      </c>
      <c r="H2318">
        <v>1</v>
      </c>
      <c r="I2318" t="s">
        <v>21</v>
      </c>
      <c r="J2318">
        <v>90</v>
      </c>
      <c r="K2318" t="s">
        <v>25</v>
      </c>
      <c r="L2318">
        <v>119</v>
      </c>
    </row>
    <row r="2319" spans="1:12" x14ac:dyDescent="0.25">
      <c r="A2319">
        <v>400579454</v>
      </c>
      <c r="B2319">
        <v>2015</v>
      </c>
      <c r="C2319" s="1">
        <v>42102</v>
      </c>
      <c r="D2319" t="s">
        <v>25</v>
      </c>
      <c r="E2319">
        <v>1</v>
      </c>
      <c r="F2319">
        <v>45</v>
      </c>
      <c r="G2319">
        <v>33</v>
      </c>
      <c r="H2319">
        <v>0</v>
      </c>
      <c r="I2319" t="s">
        <v>21</v>
      </c>
      <c r="J2319">
        <v>90</v>
      </c>
      <c r="K2319" t="s">
        <v>25</v>
      </c>
      <c r="L2319">
        <v>119</v>
      </c>
    </row>
    <row r="2320" spans="1:12" x14ac:dyDescent="0.25">
      <c r="A2320">
        <v>400579455</v>
      </c>
      <c r="B2320">
        <v>2015</v>
      </c>
      <c r="C2320" s="1">
        <v>42102</v>
      </c>
      <c r="D2320" t="s">
        <v>26</v>
      </c>
      <c r="E2320">
        <v>1</v>
      </c>
      <c r="F2320">
        <v>59</v>
      </c>
      <c r="G2320">
        <v>19</v>
      </c>
      <c r="H2320">
        <v>0</v>
      </c>
      <c r="I2320" t="s">
        <v>23</v>
      </c>
      <c r="J2320">
        <v>111</v>
      </c>
      <c r="K2320" t="s">
        <v>26</v>
      </c>
      <c r="L2320">
        <v>114</v>
      </c>
    </row>
    <row r="2321" spans="1:12" x14ac:dyDescent="0.25">
      <c r="A2321">
        <v>400579455</v>
      </c>
      <c r="B2321">
        <v>2015</v>
      </c>
      <c r="C2321" s="1">
        <v>42102</v>
      </c>
      <c r="D2321" t="s">
        <v>23</v>
      </c>
      <c r="E2321">
        <v>0</v>
      </c>
      <c r="F2321">
        <v>36</v>
      </c>
      <c r="G2321">
        <v>42</v>
      </c>
      <c r="H2321">
        <v>1</v>
      </c>
      <c r="I2321" t="s">
        <v>23</v>
      </c>
      <c r="J2321">
        <v>111</v>
      </c>
      <c r="K2321" t="s">
        <v>26</v>
      </c>
      <c r="L2321">
        <v>114</v>
      </c>
    </row>
    <row r="2322" spans="1:12" x14ac:dyDescent="0.25">
      <c r="A2322">
        <v>400579456</v>
      </c>
      <c r="B2322">
        <v>2015</v>
      </c>
      <c r="C2322" s="1">
        <v>42102</v>
      </c>
      <c r="D2322" t="s">
        <v>22</v>
      </c>
      <c r="E2322">
        <v>1</v>
      </c>
      <c r="F2322">
        <v>36</v>
      </c>
      <c r="G2322">
        <v>42</v>
      </c>
      <c r="H2322">
        <v>0</v>
      </c>
      <c r="I2322" t="s">
        <v>33</v>
      </c>
      <c r="J2322">
        <v>103</v>
      </c>
      <c r="K2322" t="s">
        <v>22</v>
      </c>
      <c r="L2322">
        <v>113</v>
      </c>
    </row>
    <row r="2323" spans="1:12" x14ac:dyDescent="0.25">
      <c r="A2323">
        <v>400579456</v>
      </c>
      <c r="B2323">
        <v>2015</v>
      </c>
      <c r="C2323" s="1">
        <v>42102</v>
      </c>
      <c r="D2323" t="s">
        <v>33</v>
      </c>
      <c r="E2323">
        <v>0</v>
      </c>
      <c r="F2323">
        <v>30</v>
      </c>
      <c r="G2323">
        <v>48</v>
      </c>
      <c r="H2323">
        <v>1</v>
      </c>
      <c r="I2323" t="s">
        <v>33</v>
      </c>
      <c r="J2323">
        <v>103</v>
      </c>
      <c r="K2323" t="s">
        <v>22</v>
      </c>
      <c r="L2323">
        <v>113</v>
      </c>
    </row>
    <row r="2324" spans="1:12" x14ac:dyDescent="0.25">
      <c r="A2324">
        <v>400579457</v>
      </c>
      <c r="B2324">
        <v>2015</v>
      </c>
      <c r="C2324" s="1">
        <v>42102</v>
      </c>
      <c r="D2324" t="s">
        <v>20</v>
      </c>
      <c r="E2324">
        <v>1</v>
      </c>
      <c r="F2324">
        <v>35</v>
      </c>
      <c r="G2324">
        <v>43</v>
      </c>
      <c r="H2324">
        <v>0</v>
      </c>
      <c r="I2324" t="s">
        <v>31</v>
      </c>
      <c r="J2324">
        <v>86</v>
      </c>
      <c r="K2324" t="s">
        <v>20</v>
      </c>
      <c r="L2324">
        <v>102</v>
      </c>
    </row>
    <row r="2325" spans="1:12" x14ac:dyDescent="0.25">
      <c r="A2325">
        <v>400579457</v>
      </c>
      <c r="B2325">
        <v>2015</v>
      </c>
      <c r="C2325" s="1">
        <v>42102</v>
      </c>
      <c r="D2325" t="s">
        <v>31</v>
      </c>
      <c r="E2325">
        <v>0</v>
      </c>
      <c r="F2325">
        <v>15</v>
      </c>
      <c r="G2325">
        <v>63</v>
      </c>
      <c r="H2325">
        <v>1</v>
      </c>
      <c r="I2325" t="s">
        <v>31</v>
      </c>
      <c r="J2325">
        <v>86</v>
      </c>
      <c r="K2325" t="s">
        <v>20</v>
      </c>
      <c r="L2325">
        <v>102</v>
      </c>
    </row>
    <row r="2326" spans="1:12" x14ac:dyDescent="0.25">
      <c r="A2326">
        <v>400579458</v>
      </c>
      <c r="B2326">
        <v>2015</v>
      </c>
      <c r="C2326" s="1">
        <v>42102</v>
      </c>
      <c r="D2326" t="s">
        <v>28</v>
      </c>
      <c r="E2326">
        <v>1</v>
      </c>
      <c r="F2326">
        <v>53</v>
      </c>
      <c r="G2326">
        <v>25</v>
      </c>
      <c r="H2326">
        <v>1</v>
      </c>
      <c r="I2326" t="s">
        <v>28</v>
      </c>
      <c r="J2326">
        <v>110</v>
      </c>
      <c r="K2326" t="s">
        <v>12</v>
      </c>
      <c r="L2326">
        <v>74</v>
      </c>
    </row>
    <row r="2327" spans="1:12" x14ac:dyDescent="0.25">
      <c r="A2327">
        <v>400579458</v>
      </c>
      <c r="B2327">
        <v>2015</v>
      </c>
      <c r="C2327" s="1">
        <v>42102</v>
      </c>
      <c r="D2327" t="s">
        <v>12</v>
      </c>
      <c r="E2327">
        <v>0</v>
      </c>
      <c r="F2327">
        <v>42</v>
      </c>
      <c r="G2327">
        <v>36</v>
      </c>
      <c r="H2327">
        <v>0</v>
      </c>
      <c r="I2327" t="s">
        <v>28</v>
      </c>
      <c r="J2327">
        <v>110</v>
      </c>
      <c r="K2327" t="s">
        <v>12</v>
      </c>
      <c r="L2327">
        <v>74</v>
      </c>
    </row>
    <row r="2328" spans="1:12" x14ac:dyDescent="0.25">
      <c r="A2328">
        <v>400579459</v>
      </c>
      <c r="B2328">
        <v>2015</v>
      </c>
      <c r="C2328" s="1">
        <v>42102</v>
      </c>
      <c r="D2328" t="s">
        <v>40</v>
      </c>
      <c r="E2328">
        <v>1</v>
      </c>
      <c r="F2328">
        <v>51</v>
      </c>
      <c r="G2328">
        <v>27</v>
      </c>
      <c r="H2328">
        <v>0</v>
      </c>
      <c r="I2328" t="s">
        <v>19</v>
      </c>
      <c r="J2328">
        <v>99</v>
      </c>
      <c r="K2328" t="s">
        <v>40</v>
      </c>
      <c r="L2328">
        <v>104</v>
      </c>
    </row>
    <row r="2329" spans="1:12" x14ac:dyDescent="0.25">
      <c r="A2329">
        <v>400579459</v>
      </c>
      <c r="B2329">
        <v>2015</v>
      </c>
      <c r="C2329" s="1">
        <v>42102</v>
      </c>
      <c r="D2329" t="s">
        <v>19</v>
      </c>
      <c r="E2329">
        <v>0</v>
      </c>
      <c r="F2329">
        <v>38</v>
      </c>
      <c r="G2329">
        <v>40</v>
      </c>
      <c r="H2329">
        <v>1</v>
      </c>
      <c r="I2329" t="s">
        <v>19</v>
      </c>
      <c r="J2329">
        <v>99</v>
      </c>
      <c r="K2329" t="s">
        <v>40</v>
      </c>
      <c r="L2329">
        <v>104</v>
      </c>
    </row>
    <row r="2330" spans="1:12" x14ac:dyDescent="0.25">
      <c r="A2330">
        <v>400579460</v>
      </c>
      <c r="B2330">
        <v>2015</v>
      </c>
      <c r="C2330" s="1">
        <v>42102</v>
      </c>
      <c r="D2330" t="s">
        <v>16</v>
      </c>
      <c r="E2330">
        <v>0</v>
      </c>
      <c r="F2330">
        <v>53</v>
      </c>
      <c r="G2330">
        <v>25</v>
      </c>
      <c r="H2330">
        <v>0</v>
      </c>
      <c r="I2330" t="s">
        <v>15</v>
      </c>
      <c r="J2330">
        <v>110</v>
      </c>
      <c r="K2330" t="s">
        <v>16</v>
      </c>
      <c r="L2330">
        <v>98</v>
      </c>
    </row>
    <row r="2331" spans="1:12" x14ac:dyDescent="0.25">
      <c r="A2331">
        <v>400579460</v>
      </c>
      <c r="B2331">
        <v>2015</v>
      </c>
      <c r="C2331" s="1">
        <v>42102</v>
      </c>
      <c r="D2331" t="s">
        <v>15</v>
      </c>
      <c r="E2331">
        <v>1</v>
      </c>
      <c r="F2331">
        <v>53</v>
      </c>
      <c r="G2331">
        <v>26</v>
      </c>
      <c r="H2331">
        <v>1</v>
      </c>
      <c r="I2331" t="s">
        <v>15</v>
      </c>
      <c r="J2331">
        <v>110</v>
      </c>
      <c r="K2331" t="s">
        <v>16</v>
      </c>
      <c r="L2331">
        <v>98</v>
      </c>
    </row>
    <row r="2332" spans="1:12" x14ac:dyDescent="0.25">
      <c r="A2332">
        <v>400579461</v>
      </c>
      <c r="B2332">
        <v>2015</v>
      </c>
      <c r="C2332" s="1">
        <v>42102</v>
      </c>
      <c r="D2332" t="s">
        <v>32</v>
      </c>
      <c r="E2332">
        <v>1</v>
      </c>
      <c r="F2332">
        <v>29</v>
      </c>
      <c r="G2332">
        <v>49</v>
      </c>
      <c r="H2332">
        <v>1</v>
      </c>
      <c r="I2332" t="s">
        <v>32</v>
      </c>
      <c r="J2332">
        <v>119</v>
      </c>
      <c r="K2332" t="s">
        <v>17</v>
      </c>
      <c r="L2332">
        <v>101</v>
      </c>
    </row>
    <row r="2333" spans="1:12" x14ac:dyDescent="0.25">
      <c r="A2333">
        <v>400579461</v>
      </c>
      <c r="B2333">
        <v>2015</v>
      </c>
      <c r="C2333" s="1">
        <v>42102</v>
      </c>
      <c r="D2333" t="s">
        <v>17</v>
      </c>
      <c r="E2333">
        <v>0</v>
      </c>
      <c r="F2333">
        <v>20</v>
      </c>
      <c r="G2333">
        <v>58</v>
      </c>
      <c r="H2333">
        <v>0</v>
      </c>
      <c r="I2333" t="s">
        <v>32</v>
      </c>
      <c r="J2333">
        <v>119</v>
      </c>
      <c r="K2333" t="s">
        <v>17</v>
      </c>
      <c r="L2333">
        <v>101</v>
      </c>
    </row>
    <row r="2334" spans="1:12" x14ac:dyDescent="0.25">
      <c r="A2334">
        <v>400579462</v>
      </c>
      <c r="B2334">
        <v>2015</v>
      </c>
      <c r="C2334" s="1">
        <v>42102</v>
      </c>
      <c r="D2334" t="s">
        <v>37</v>
      </c>
      <c r="E2334">
        <v>0</v>
      </c>
      <c r="F2334">
        <v>27</v>
      </c>
      <c r="G2334">
        <v>51</v>
      </c>
      <c r="H2334">
        <v>0</v>
      </c>
      <c r="I2334" t="s">
        <v>34</v>
      </c>
      <c r="J2334">
        <v>103</v>
      </c>
      <c r="K2334" t="s">
        <v>37</v>
      </c>
      <c r="L2334">
        <v>91</v>
      </c>
    </row>
    <row r="2335" spans="1:12" x14ac:dyDescent="0.25">
      <c r="A2335">
        <v>400579462</v>
      </c>
      <c r="B2335">
        <v>2015</v>
      </c>
      <c r="C2335" s="1">
        <v>42102</v>
      </c>
      <c r="D2335" t="s">
        <v>34</v>
      </c>
      <c r="E2335">
        <v>1</v>
      </c>
      <c r="F2335">
        <v>36</v>
      </c>
      <c r="G2335">
        <v>42</v>
      </c>
      <c r="H2335">
        <v>1</v>
      </c>
      <c r="I2335" t="s">
        <v>34</v>
      </c>
      <c r="J2335">
        <v>103</v>
      </c>
      <c r="K2335" t="s">
        <v>37</v>
      </c>
      <c r="L2335">
        <v>91</v>
      </c>
    </row>
    <row r="2336" spans="1:12" x14ac:dyDescent="0.25">
      <c r="A2336">
        <v>400579463</v>
      </c>
      <c r="B2336">
        <v>2015</v>
      </c>
      <c r="C2336" s="1">
        <v>42102</v>
      </c>
      <c r="D2336" t="s">
        <v>14</v>
      </c>
      <c r="E2336">
        <v>1</v>
      </c>
      <c r="F2336">
        <v>47</v>
      </c>
      <c r="G2336">
        <v>31</v>
      </c>
      <c r="H2336">
        <v>1</v>
      </c>
      <c r="I2336" t="s">
        <v>14</v>
      </c>
      <c r="J2336">
        <v>107</v>
      </c>
      <c r="K2336" t="s">
        <v>35</v>
      </c>
      <c r="L2336">
        <v>104</v>
      </c>
    </row>
    <row r="2337" spans="1:12" x14ac:dyDescent="0.25">
      <c r="A2337">
        <v>400579463</v>
      </c>
      <c r="B2337">
        <v>2015</v>
      </c>
      <c r="C2337" s="1">
        <v>42102</v>
      </c>
      <c r="D2337" t="s">
        <v>35</v>
      </c>
      <c r="E2337">
        <v>0</v>
      </c>
      <c r="F2337">
        <v>39</v>
      </c>
      <c r="G2337">
        <v>40</v>
      </c>
      <c r="H2337">
        <v>0</v>
      </c>
      <c r="I2337" t="s">
        <v>14</v>
      </c>
      <c r="J2337">
        <v>107</v>
      </c>
      <c r="K2337" t="s">
        <v>35</v>
      </c>
      <c r="L2337">
        <v>104</v>
      </c>
    </row>
    <row r="2338" spans="1:12" x14ac:dyDescent="0.25">
      <c r="A2338">
        <v>400579464</v>
      </c>
      <c r="B2338">
        <v>2015</v>
      </c>
      <c r="C2338" s="1">
        <v>42102</v>
      </c>
      <c r="D2338" t="s">
        <v>29</v>
      </c>
      <c r="E2338">
        <v>0</v>
      </c>
      <c r="F2338">
        <v>16</v>
      </c>
      <c r="G2338">
        <v>62</v>
      </c>
      <c r="H2338">
        <v>0</v>
      </c>
      <c r="I2338" t="s">
        <v>39</v>
      </c>
      <c r="J2338">
        <v>116</v>
      </c>
      <c r="K2338" t="s">
        <v>29</v>
      </c>
      <c r="L2338">
        <v>91</v>
      </c>
    </row>
    <row r="2339" spans="1:12" x14ac:dyDescent="0.25">
      <c r="A2339">
        <v>400579464</v>
      </c>
      <c r="B2339">
        <v>2015</v>
      </c>
      <c r="C2339" s="1">
        <v>42102</v>
      </c>
      <c r="D2339" t="s">
        <v>39</v>
      </c>
      <c r="E2339">
        <v>1</v>
      </c>
      <c r="F2339">
        <v>51</v>
      </c>
      <c r="G2339">
        <v>27</v>
      </c>
      <c r="H2339">
        <v>1</v>
      </c>
      <c r="I2339" t="s">
        <v>39</v>
      </c>
      <c r="J2339">
        <v>116</v>
      </c>
      <c r="K2339" t="s">
        <v>29</v>
      </c>
      <c r="L2339">
        <v>91</v>
      </c>
    </row>
    <row r="2340" spans="1:12" x14ac:dyDescent="0.25">
      <c r="A2340">
        <v>400579465</v>
      </c>
      <c r="B2340">
        <v>2015</v>
      </c>
      <c r="C2340" s="1">
        <v>42103</v>
      </c>
      <c r="D2340" t="s">
        <v>30</v>
      </c>
      <c r="E2340">
        <v>1</v>
      </c>
      <c r="F2340">
        <v>47</v>
      </c>
      <c r="G2340">
        <v>32</v>
      </c>
      <c r="H2340">
        <v>0</v>
      </c>
      <c r="I2340" t="s">
        <v>24</v>
      </c>
      <c r="J2340">
        <v>78</v>
      </c>
      <c r="K2340" t="s">
        <v>30</v>
      </c>
      <c r="L2340">
        <v>89</v>
      </c>
    </row>
    <row r="2341" spans="1:12" x14ac:dyDescent="0.25">
      <c r="A2341">
        <v>400579465</v>
      </c>
      <c r="B2341">
        <v>2015</v>
      </c>
      <c r="C2341" s="1">
        <v>42103</v>
      </c>
      <c r="D2341" t="s">
        <v>24</v>
      </c>
      <c r="E2341">
        <v>0</v>
      </c>
      <c r="F2341">
        <v>35</v>
      </c>
      <c r="G2341">
        <v>44</v>
      </c>
      <c r="H2341">
        <v>1</v>
      </c>
      <c r="I2341" t="s">
        <v>24</v>
      </c>
      <c r="J2341">
        <v>78</v>
      </c>
      <c r="K2341" t="s">
        <v>30</v>
      </c>
      <c r="L2341">
        <v>89</v>
      </c>
    </row>
    <row r="2342" spans="1:12" x14ac:dyDescent="0.25">
      <c r="A2342">
        <v>400579466</v>
      </c>
      <c r="B2342">
        <v>2015</v>
      </c>
      <c r="C2342" s="1">
        <v>42103</v>
      </c>
      <c r="D2342" t="s">
        <v>36</v>
      </c>
      <c r="E2342">
        <v>1</v>
      </c>
      <c r="F2342">
        <v>64</v>
      </c>
      <c r="G2342">
        <v>15</v>
      </c>
      <c r="H2342">
        <v>1</v>
      </c>
      <c r="I2342" t="s">
        <v>36</v>
      </c>
      <c r="J2342">
        <v>116</v>
      </c>
      <c r="K2342" t="s">
        <v>39</v>
      </c>
      <c r="L2342">
        <v>105</v>
      </c>
    </row>
    <row r="2343" spans="1:12" x14ac:dyDescent="0.25">
      <c r="A2343">
        <v>400579466</v>
      </c>
      <c r="B2343">
        <v>2015</v>
      </c>
      <c r="C2343" s="1">
        <v>42103</v>
      </c>
      <c r="D2343" t="s">
        <v>39</v>
      </c>
      <c r="E2343">
        <v>0</v>
      </c>
      <c r="F2343">
        <v>51</v>
      </c>
      <c r="G2343">
        <v>28</v>
      </c>
      <c r="H2343">
        <v>0</v>
      </c>
      <c r="I2343" t="s">
        <v>36</v>
      </c>
      <c r="J2343">
        <v>116</v>
      </c>
      <c r="K2343" t="s">
        <v>39</v>
      </c>
      <c r="L2343">
        <v>105</v>
      </c>
    </row>
    <row r="2344" spans="1:12" x14ac:dyDescent="0.25">
      <c r="A2344">
        <v>400579467</v>
      </c>
      <c r="B2344">
        <v>2015</v>
      </c>
      <c r="C2344" s="1">
        <v>42104</v>
      </c>
      <c r="D2344" t="s">
        <v>13</v>
      </c>
      <c r="E2344">
        <v>0</v>
      </c>
      <c r="F2344">
        <v>25</v>
      </c>
      <c r="G2344">
        <v>54</v>
      </c>
      <c r="H2344">
        <v>1</v>
      </c>
      <c r="I2344" t="s">
        <v>13</v>
      </c>
      <c r="J2344">
        <v>99</v>
      </c>
      <c r="K2344" t="s">
        <v>27</v>
      </c>
      <c r="L2344">
        <v>101</v>
      </c>
    </row>
    <row r="2345" spans="1:12" x14ac:dyDescent="0.25">
      <c r="A2345">
        <v>400579467</v>
      </c>
      <c r="B2345">
        <v>2015</v>
      </c>
      <c r="C2345" s="1">
        <v>42104</v>
      </c>
      <c r="D2345" t="s">
        <v>27</v>
      </c>
      <c r="E2345">
        <v>1</v>
      </c>
      <c r="F2345">
        <v>47</v>
      </c>
      <c r="G2345">
        <v>32</v>
      </c>
      <c r="H2345">
        <v>0</v>
      </c>
      <c r="I2345" t="s">
        <v>13</v>
      </c>
      <c r="J2345">
        <v>99</v>
      </c>
      <c r="K2345" t="s">
        <v>27</v>
      </c>
      <c r="L2345">
        <v>101</v>
      </c>
    </row>
    <row r="2346" spans="1:12" x14ac:dyDescent="0.25">
      <c r="A2346">
        <v>400579468</v>
      </c>
      <c r="B2346">
        <v>2015</v>
      </c>
      <c r="C2346" s="1">
        <v>42104</v>
      </c>
      <c r="D2346" t="s">
        <v>26</v>
      </c>
      <c r="E2346">
        <v>1</v>
      </c>
      <c r="F2346">
        <v>60</v>
      </c>
      <c r="G2346">
        <v>19</v>
      </c>
      <c r="H2346">
        <v>1</v>
      </c>
      <c r="I2346" t="s">
        <v>26</v>
      </c>
      <c r="J2346">
        <v>104</v>
      </c>
      <c r="K2346" t="s">
        <v>18</v>
      </c>
      <c r="L2346">
        <v>80</v>
      </c>
    </row>
    <row r="2347" spans="1:12" x14ac:dyDescent="0.25">
      <c r="A2347">
        <v>400579468</v>
      </c>
      <c r="B2347">
        <v>2015</v>
      </c>
      <c r="C2347" s="1">
        <v>42104</v>
      </c>
      <c r="D2347" t="s">
        <v>18</v>
      </c>
      <c r="E2347">
        <v>0</v>
      </c>
      <c r="F2347">
        <v>33</v>
      </c>
      <c r="G2347">
        <v>46</v>
      </c>
      <c r="H2347">
        <v>0</v>
      </c>
      <c r="I2347" t="s">
        <v>26</v>
      </c>
      <c r="J2347">
        <v>104</v>
      </c>
      <c r="K2347" t="s">
        <v>18</v>
      </c>
      <c r="L2347">
        <v>80</v>
      </c>
    </row>
    <row r="2348" spans="1:12" x14ac:dyDescent="0.25">
      <c r="A2348">
        <v>400579469</v>
      </c>
      <c r="B2348">
        <v>2015</v>
      </c>
      <c r="C2348" s="1">
        <v>42104</v>
      </c>
      <c r="D2348" t="s">
        <v>23</v>
      </c>
      <c r="E2348">
        <v>1</v>
      </c>
      <c r="F2348">
        <v>37</v>
      </c>
      <c r="G2348">
        <v>42</v>
      </c>
      <c r="H2348">
        <v>1</v>
      </c>
      <c r="I2348" t="s">
        <v>23</v>
      </c>
      <c r="J2348">
        <v>117</v>
      </c>
      <c r="K2348" t="s">
        <v>25</v>
      </c>
      <c r="L2348">
        <v>80</v>
      </c>
    </row>
    <row r="2349" spans="1:12" x14ac:dyDescent="0.25">
      <c r="A2349">
        <v>400579469</v>
      </c>
      <c r="B2349">
        <v>2015</v>
      </c>
      <c r="C2349" s="1">
        <v>42104</v>
      </c>
      <c r="D2349" t="s">
        <v>25</v>
      </c>
      <c r="E2349">
        <v>0</v>
      </c>
      <c r="F2349">
        <v>45</v>
      </c>
      <c r="G2349">
        <v>34</v>
      </c>
      <c r="H2349">
        <v>0</v>
      </c>
      <c r="I2349" t="s">
        <v>23</v>
      </c>
      <c r="J2349">
        <v>117</v>
      </c>
      <c r="K2349" t="s">
        <v>25</v>
      </c>
      <c r="L2349">
        <v>80</v>
      </c>
    </row>
    <row r="2350" spans="1:12" x14ac:dyDescent="0.25">
      <c r="A2350">
        <v>400579470</v>
      </c>
      <c r="B2350">
        <v>2015</v>
      </c>
      <c r="C2350" s="1">
        <v>42104</v>
      </c>
      <c r="D2350" t="s">
        <v>22</v>
      </c>
      <c r="E2350">
        <v>1</v>
      </c>
      <c r="F2350">
        <v>37</v>
      </c>
      <c r="G2350">
        <v>42</v>
      </c>
      <c r="H2350">
        <v>0</v>
      </c>
      <c r="I2350" t="s">
        <v>40</v>
      </c>
      <c r="J2350">
        <v>90</v>
      </c>
      <c r="K2350" t="s">
        <v>22</v>
      </c>
      <c r="L2350">
        <v>99</v>
      </c>
    </row>
    <row r="2351" spans="1:12" x14ac:dyDescent="0.25">
      <c r="A2351">
        <v>400579470</v>
      </c>
      <c r="B2351">
        <v>2015</v>
      </c>
      <c r="C2351" s="1">
        <v>42104</v>
      </c>
      <c r="D2351" t="s">
        <v>40</v>
      </c>
      <c r="E2351">
        <v>0</v>
      </c>
      <c r="F2351">
        <v>51</v>
      </c>
      <c r="G2351">
        <v>28</v>
      </c>
      <c r="H2351">
        <v>1</v>
      </c>
      <c r="I2351" t="s">
        <v>40</v>
      </c>
      <c r="J2351">
        <v>90</v>
      </c>
      <c r="K2351" t="s">
        <v>22</v>
      </c>
      <c r="L2351">
        <v>99</v>
      </c>
    </row>
    <row r="2352" spans="1:12" x14ac:dyDescent="0.25">
      <c r="A2352">
        <v>400579471</v>
      </c>
      <c r="B2352">
        <v>2015</v>
      </c>
      <c r="C2352" s="1">
        <v>42104</v>
      </c>
      <c r="D2352" t="s">
        <v>33</v>
      </c>
      <c r="E2352">
        <v>0</v>
      </c>
      <c r="F2352">
        <v>30</v>
      </c>
      <c r="G2352">
        <v>49</v>
      </c>
      <c r="H2352">
        <v>1</v>
      </c>
      <c r="I2352" t="s">
        <v>33</v>
      </c>
      <c r="J2352">
        <v>103</v>
      </c>
      <c r="K2352" t="s">
        <v>20</v>
      </c>
      <c r="L2352">
        <v>107</v>
      </c>
    </row>
    <row r="2353" spans="1:12" x14ac:dyDescent="0.25">
      <c r="A2353">
        <v>400579471</v>
      </c>
      <c r="B2353">
        <v>2015</v>
      </c>
      <c r="C2353" s="1">
        <v>42104</v>
      </c>
      <c r="D2353" t="s">
        <v>20</v>
      </c>
      <c r="E2353">
        <v>1</v>
      </c>
      <c r="F2353">
        <v>36</v>
      </c>
      <c r="G2353">
        <v>43</v>
      </c>
      <c r="H2353">
        <v>0</v>
      </c>
      <c r="I2353" t="s">
        <v>33</v>
      </c>
      <c r="J2353">
        <v>103</v>
      </c>
      <c r="K2353" t="s">
        <v>20</v>
      </c>
      <c r="L2353">
        <v>107</v>
      </c>
    </row>
    <row r="2354" spans="1:12" x14ac:dyDescent="0.25">
      <c r="A2354">
        <v>400579472</v>
      </c>
      <c r="B2354">
        <v>2015</v>
      </c>
      <c r="C2354" s="1">
        <v>42104</v>
      </c>
      <c r="D2354" t="s">
        <v>19</v>
      </c>
      <c r="E2354">
        <v>1</v>
      </c>
      <c r="F2354">
        <v>39</v>
      </c>
      <c r="G2354">
        <v>40</v>
      </c>
      <c r="H2354">
        <v>0</v>
      </c>
      <c r="I2354" t="s">
        <v>31</v>
      </c>
      <c r="J2354">
        <v>91</v>
      </c>
      <c r="K2354" t="s">
        <v>19</v>
      </c>
      <c r="L2354">
        <v>99</v>
      </c>
    </row>
    <row r="2355" spans="1:12" x14ac:dyDescent="0.25">
      <c r="A2355">
        <v>400579472</v>
      </c>
      <c r="B2355">
        <v>2015</v>
      </c>
      <c r="C2355" s="1">
        <v>42104</v>
      </c>
      <c r="D2355" t="s">
        <v>31</v>
      </c>
      <c r="E2355">
        <v>0</v>
      </c>
      <c r="F2355">
        <v>15</v>
      </c>
      <c r="G2355">
        <v>64</v>
      </c>
      <c r="H2355">
        <v>1</v>
      </c>
      <c r="I2355" t="s">
        <v>31</v>
      </c>
      <c r="J2355">
        <v>91</v>
      </c>
      <c r="K2355" t="s">
        <v>19</v>
      </c>
      <c r="L2355">
        <v>99</v>
      </c>
    </row>
    <row r="2356" spans="1:12" x14ac:dyDescent="0.25">
      <c r="A2356">
        <v>400579473</v>
      </c>
      <c r="B2356">
        <v>2015</v>
      </c>
      <c r="C2356" s="1">
        <v>42104</v>
      </c>
      <c r="D2356" t="s">
        <v>16</v>
      </c>
      <c r="E2356">
        <v>0</v>
      </c>
      <c r="F2356">
        <v>53</v>
      </c>
      <c r="G2356">
        <v>26</v>
      </c>
      <c r="H2356">
        <v>1</v>
      </c>
      <c r="I2356" t="s">
        <v>16</v>
      </c>
      <c r="J2356">
        <v>103</v>
      </c>
      <c r="K2356" t="s">
        <v>15</v>
      </c>
      <c r="L2356">
        <v>104</v>
      </c>
    </row>
    <row r="2357" spans="1:12" x14ac:dyDescent="0.25">
      <c r="A2357">
        <v>400579473</v>
      </c>
      <c r="B2357">
        <v>2015</v>
      </c>
      <c r="C2357" s="1">
        <v>42104</v>
      </c>
      <c r="D2357" t="s">
        <v>15</v>
      </c>
      <c r="E2357">
        <v>1</v>
      </c>
      <c r="F2357">
        <v>54</v>
      </c>
      <c r="G2357">
        <v>26</v>
      </c>
      <c r="H2357">
        <v>0</v>
      </c>
      <c r="I2357" t="s">
        <v>16</v>
      </c>
      <c r="J2357">
        <v>103</v>
      </c>
      <c r="K2357" t="s">
        <v>15</v>
      </c>
      <c r="L2357">
        <v>104</v>
      </c>
    </row>
    <row r="2358" spans="1:12" x14ac:dyDescent="0.25">
      <c r="A2358">
        <v>400579474</v>
      </c>
      <c r="B2358">
        <v>2015</v>
      </c>
      <c r="C2358" s="1">
        <v>42104</v>
      </c>
      <c r="D2358" t="s">
        <v>12</v>
      </c>
      <c r="E2358">
        <v>1</v>
      </c>
      <c r="F2358">
        <v>43</v>
      </c>
      <c r="G2358">
        <v>36</v>
      </c>
      <c r="H2358">
        <v>1</v>
      </c>
      <c r="I2358" t="s">
        <v>12</v>
      </c>
      <c r="J2358">
        <v>90</v>
      </c>
      <c r="K2358" t="s">
        <v>35</v>
      </c>
      <c r="L2358">
        <v>75</v>
      </c>
    </row>
    <row r="2359" spans="1:12" x14ac:dyDescent="0.25">
      <c r="A2359">
        <v>400579474</v>
      </c>
      <c r="B2359">
        <v>2015</v>
      </c>
      <c r="C2359" s="1">
        <v>42104</v>
      </c>
      <c r="D2359" t="s">
        <v>35</v>
      </c>
      <c r="E2359">
        <v>0</v>
      </c>
      <c r="F2359">
        <v>39</v>
      </c>
      <c r="G2359">
        <v>41</v>
      </c>
      <c r="H2359">
        <v>0</v>
      </c>
      <c r="I2359" t="s">
        <v>12</v>
      </c>
      <c r="J2359">
        <v>90</v>
      </c>
      <c r="K2359" t="s">
        <v>35</v>
      </c>
      <c r="L2359">
        <v>75</v>
      </c>
    </row>
    <row r="2360" spans="1:12" x14ac:dyDescent="0.25">
      <c r="A2360">
        <v>400579475</v>
      </c>
      <c r="B2360">
        <v>2015</v>
      </c>
      <c r="C2360" s="1">
        <v>42104</v>
      </c>
      <c r="D2360" t="s">
        <v>38</v>
      </c>
      <c r="E2360">
        <v>1</v>
      </c>
      <c r="F2360">
        <v>43</v>
      </c>
      <c r="G2360">
        <v>36</v>
      </c>
      <c r="H2360">
        <v>1</v>
      </c>
      <c r="I2360" t="s">
        <v>38</v>
      </c>
      <c r="J2360">
        <v>116</v>
      </c>
      <c r="K2360" t="s">
        <v>37</v>
      </c>
      <c r="L2360">
        <v>103</v>
      </c>
    </row>
    <row r="2361" spans="1:12" x14ac:dyDescent="0.25">
      <c r="A2361">
        <v>400579475</v>
      </c>
      <c r="B2361">
        <v>2015</v>
      </c>
      <c r="C2361" s="1">
        <v>42104</v>
      </c>
      <c r="D2361" t="s">
        <v>37</v>
      </c>
      <c r="E2361">
        <v>0</v>
      </c>
      <c r="F2361">
        <v>27</v>
      </c>
      <c r="G2361">
        <v>52</v>
      </c>
      <c r="H2361">
        <v>0</v>
      </c>
      <c r="I2361" t="s">
        <v>38</v>
      </c>
      <c r="J2361">
        <v>116</v>
      </c>
      <c r="K2361" t="s">
        <v>37</v>
      </c>
      <c r="L2361">
        <v>103</v>
      </c>
    </row>
    <row r="2362" spans="1:12" x14ac:dyDescent="0.25">
      <c r="A2362">
        <v>400579476</v>
      </c>
      <c r="B2362">
        <v>2015</v>
      </c>
      <c r="C2362" s="1">
        <v>42104</v>
      </c>
      <c r="D2362" t="s">
        <v>14</v>
      </c>
      <c r="E2362">
        <v>1</v>
      </c>
      <c r="F2362">
        <v>48</v>
      </c>
      <c r="G2362">
        <v>31</v>
      </c>
      <c r="H2362">
        <v>0</v>
      </c>
      <c r="I2362" t="s">
        <v>32</v>
      </c>
      <c r="J2362">
        <v>143</v>
      </c>
      <c r="K2362" t="s">
        <v>14</v>
      </c>
      <c r="L2362">
        <v>144</v>
      </c>
    </row>
    <row r="2363" spans="1:12" x14ac:dyDescent="0.25">
      <c r="A2363">
        <v>400579476</v>
      </c>
      <c r="B2363">
        <v>2015</v>
      </c>
      <c r="C2363" s="1">
        <v>42104</v>
      </c>
      <c r="D2363" t="s">
        <v>32</v>
      </c>
      <c r="E2363">
        <v>0</v>
      </c>
      <c r="F2363">
        <v>29</v>
      </c>
      <c r="G2363">
        <v>50</v>
      </c>
      <c r="H2363">
        <v>1</v>
      </c>
      <c r="I2363" t="s">
        <v>32</v>
      </c>
      <c r="J2363">
        <v>143</v>
      </c>
      <c r="K2363" t="s">
        <v>14</v>
      </c>
      <c r="L2363">
        <v>144</v>
      </c>
    </row>
    <row r="2364" spans="1:12" x14ac:dyDescent="0.25">
      <c r="A2364">
        <v>400579477</v>
      </c>
      <c r="B2364">
        <v>2015</v>
      </c>
      <c r="C2364" s="1">
        <v>42104</v>
      </c>
      <c r="D2364" t="s">
        <v>28</v>
      </c>
      <c r="E2364">
        <v>1</v>
      </c>
      <c r="F2364">
        <v>54</v>
      </c>
      <c r="G2364">
        <v>25</v>
      </c>
      <c r="H2364">
        <v>0</v>
      </c>
      <c r="I2364" t="s">
        <v>34</v>
      </c>
      <c r="J2364">
        <v>88</v>
      </c>
      <c r="K2364" t="s">
        <v>28</v>
      </c>
      <c r="L2364">
        <v>89</v>
      </c>
    </row>
    <row r="2365" spans="1:12" x14ac:dyDescent="0.25">
      <c r="A2365">
        <v>400579477</v>
      </c>
      <c r="B2365">
        <v>2015</v>
      </c>
      <c r="C2365" s="1">
        <v>42104</v>
      </c>
      <c r="D2365" t="s">
        <v>34</v>
      </c>
      <c r="E2365">
        <v>0</v>
      </c>
      <c r="F2365">
        <v>36</v>
      </c>
      <c r="G2365">
        <v>43</v>
      </c>
      <c r="H2365">
        <v>1</v>
      </c>
      <c r="I2365" t="s">
        <v>34</v>
      </c>
      <c r="J2365">
        <v>88</v>
      </c>
      <c r="K2365" t="s">
        <v>28</v>
      </c>
      <c r="L2365">
        <v>89</v>
      </c>
    </row>
    <row r="2366" spans="1:12" x14ac:dyDescent="0.25">
      <c r="A2366">
        <v>400579478</v>
      </c>
      <c r="B2366">
        <v>2015</v>
      </c>
      <c r="C2366" s="1">
        <v>42104</v>
      </c>
      <c r="D2366" t="s">
        <v>17</v>
      </c>
      <c r="E2366">
        <v>1</v>
      </c>
      <c r="F2366">
        <v>21</v>
      </c>
      <c r="G2366">
        <v>58</v>
      </c>
      <c r="H2366">
        <v>1</v>
      </c>
      <c r="I2366" t="s">
        <v>17</v>
      </c>
      <c r="J2366">
        <v>106</v>
      </c>
      <c r="K2366" t="s">
        <v>29</v>
      </c>
      <c r="L2366">
        <v>98</v>
      </c>
    </row>
    <row r="2367" spans="1:12" x14ac:dyDescent="0.25">
      <c r="A2367">
        <v>400579478</v>
      </c>
      <c r="B2367">
        <v>2015</v>
      </c>
      <c r="C2367" s="1">
        <v>42104</v>
      </c>
      <c r="D2367" t="s">
        <v>29</v>
      </c>
      <c r="E2367">
        <v>0</v>
      </c>
      <c r="F2367">
        <v>16</v>
      </c>
      <c r="G2367">
        <v>63</v>
      </c>
      <c r="H2367">
        <v>0</v>
      </c>
      <c r="I2367" t="s">
        <v>17</v>
      </c>
      <c r="J2367">
        <v>106</v>
      </c>
      <c r="K2367" t="s">
        <v>29</v>
      </c>
      <c r="L2367">
        <v>98</v>
      </c>
    </row>
    <row r="2368" spans="1:12" x14ac:dyDescent="0.25">
      <c r="A2368">
        <v>400579479</v>
      </c>
      <c r="B2368">
        <v>2015</v>
      </c>
      <c r="C2368" s="1">
        <v>42105</v>
      </c>
      <c r="D2368" t="s">
        <v>31</v>
      </c>
      <c r="E2368">
        <v>1</v>
      </c>
      <c r="F2368">
        <v>16</v>
      </c>
      <c r="G2368">
        <v>64</v>
      </c>
      <c r="H2368">
        <v>0</v>
      </c>
      <c r="I2368" t="s">
        <v>13</v>
      </c>
      <c r="J2368">
        <v>79</v>
      </c>
      <c r="K2368" t="s">
        <v>31</v>
      </c>
      <c r="L2368">
        <v>80</v>
      </c>
    </row>
    <row r="2369" spans="1:12" x14ac:dyDescent="0.25">
      <c r="A2369">
        <v>400579479</v>
      </c>
      <c r="B2369">
        <v>2015</v>
      </c>
      <c r="C2369" s="1">
        <v>42105</v>
      </c>
      <c r="D2369" t="s">
        <v>13</v>
      </c>
      <c r="E2369">
        <v>0</v>
      </c>
      <c r="F2369">
        <v>25</v>
      </c>
      <c r="G2369">
        <v>55</v>
      </c>
      <c r="H2369">
        <v>1</v>
      </c>
      <c r="I2369" t="s">
        <v>13</v>
      </c>
      <c r="J2369">
        <v>79</v>
      </c>
      <c r="K2369" t="s">
        <v>31</v>
      </c>
      <c r="L2369">
        <v>80</v>
      </c>
    </row>
    <row r="2370" spans="1:12" x14ac:dyDescent="0.25">
      <c r="A2370">
        <v>400579481</v>
      </c>
      <c r="B2370">
        <v>2015</v>
      </c>
      <c r="C2370" s="1">
        <v>42105</v>
      </c>
      <c r="D2370" t="s">
        <v>30</v>
      </c>
      <c r="E2370">
        <v>1</v>
      </c>
      <c r="F2370">
        <v>48</v>
      </c>
      <c r="G2370">
        <v>32</v>
      </c>
      <c r="H2370">
        <v>1</v>
      </c>
      <c r="I2370" t="s">
        <v>30</v>
      </c>
      <c r="J2370">
        <v>114</v>
      </c>
      <c r="K2370" t="s">
        <v>21</v>
      </c>
      <c r="L2370">
        <v>107</v>
      </c>
    </row>
    <row r="2371" spans="1:12" x14ac:dyDescent="0.25">
      <c r="A2371">
        <v>400579481</v>
      </c>
      <c r="B2371">
        <v>2015</v>
      </c>
      <c r="C2371" s="1">
        <v>42105</v>
      </c>
      <c r="D2371" t="s">
        <v>21</v>
      </c>
      <c r="E2371">
        <v>0</v>
      </c>
      <c r="F2371">
        <v>18</v>
      </c>
      <c r="G2371">
        <v>62</v>
      </c>
      <c r="H2371">
        <v>0</v>
      </c>
      <c r="I2371" t="s">
        <v>30</v>
      </c>
      <c r="J2371">
        <v>114</v>
      </c>
      <c r="K2371" t="s">
        <v>21</v>
      </c>
      <c r="L2371">
        <v>107</v>
      </c>
    </row>
    <row r="2372" spans="1:12" x14ac:dyDescent="0.25">
      <c r="A2372">
        <v>400579482</v>
      </c>
      <c r="B2372">
        <v>2015</v>
      </c>
      <c r="C2372" s="1">
        <v>42105</v>
      </c>
      <c r="D2372" t="s">
        <v>41</v>
      </c>
      <c r="E2372">
        <v>1</v>
      </c>
      <c r="F2372">
        <v>54</v>
      </c>
      <c r="G2372">
        <v>26</v>
      </c>
      <c r="H2372">
        <v>1</v>
      </c>
      <c r="I2372" t="s">
        <v>41</v>
      </c>
      <c r="J2372">
        <v>94</v>
      </c>
      <c r="K2372" t="s">
        <v>28</v>
      </c>
      <c r="L2372">
        <v>86</v>
      </c>
    </row>
    <row r="2373" spans="1:12" x14ac:dyDescent="0.25">
      <c r="A2373">
        <v>400579482</v>
      </c>
      <c r="B2373">
        <v>2015</v>
      </c>
      <c r="C2373" s="1">
        <v>42105</v>
      </c>
      <c r="D2373" t="s">
        <v>28</v>
      </c>
      <c r="E2373">
        <v>0</v>
      </c>
      <c r="F2373">
        <v>54</v>
      </c>
      <c r="G2373">
        <v>26</v>
      </c>
      <c r="H2373">
        <v>0</v>
      </c>
      <c r="I2373" t="s">
        <v>41</v>
      </c>
      <c r="J2373">
        <v>94</v>
      </c>
      <c r="K2373" t="s">
        <v>28</v>
      </c>
      <c r="L2373">
        <v>86</v>
      </c>
    </row>
    <row r="2374" spans="1:12" x14ac:dyDescent="0.25">
      <c r="A2374">
        <v>400579483</v>
      </c>
      <c r="B2374">
        <v>2015</v>
      </c>
      <c r="C2374" s="1">
        <v>42105</v>
      </c>
      <c r="D2374" t="s">
        <v>39</v>
      </c>
      <c r="E2374">
        <v>0</v>
      </c>
      <c r="F2374">
        <v>51</v>
      </c>
      <c r="G2374">
        <v>29</v>
      </c>
      <c r="H2374">
        <v>1</v>
      </c>
      <c r="I2374" t="s">
        <v>39</v>
      </c>
      <c r="J2374">
        <v>105</v>
      </c>
      <c r="K2374" t="s">
        <v>34</v>
      </c>
      <c r="L2374">
        <v>111</v>
      </c>
    </row>
    <row r="2375" spans="1:12" x14ac:dyDescent="0.25">
      <c r="A2375">
        <v>400579483</v>
      </c>
      <c r="B2375">
        <v>2015</v>
      </c>
      <c r="C2375" s="1">
        <v>42105</v>
      </c>
      <c r="D2375" t="s">
        <v>34</v>
      </c>
      <c r="E2375">
        <v>1</v>
      </c>
      <c r="F2375">
        <v>37</v>
      </c>
      <c r="G2375">
        <v>43</v>
      </c>
      <c r="H2375">
        <v>0</v>
      </c>
      <c r="I2375" t="s">
        <v>39</v>
      </c>
      <c r="J2375">
        <v>105</v>
      </c>
      <c r="K2375" t="s">
        <v>34</v>
      </c>
      <c r="L2375">
        <v>111</v>
      </c>
    </row>
    <row r="2376" spans="1:12" x14ac:dyDescent="0.25">
      <c r="A2376">
        <v>400579484</v>
      </c>
      <c r="B2376">
        <v>2015</v>
      </c>
      <c r="C2376" s="1">
        <v>42105</v>
      </c>
      <c r="D2376" t="s">
        <v>36</v>
      </c>
      <c r="E2376">
        <v>1</v>
      </c>
      <c r="F2376">
        <v>65</v>
      </c>
      <c r="G2376">
        <v>15</v>
      </c>
      <c r="H2376">
        <v>1</v>
      </c>
      <c r="I2376" t="s">
        <v>36</v>
      </c>
      <c r="J2376">
        <v>110</v>
      </c>
      <c r="K2376" t="s">
        <v>29</v>
      </c>
      <c r="L2376">
        <v>101</v>
      </c>
    </row>
    <row r="2377" spans="1:12" x14ac:dyDescent="0.25">
      <c r="A2377">
        <v>400579484</v>
      </c>
      <c r="B2377">
        <v>2015</v>
      </c>
      <c r="C2377" s="1">
        <v>42105</v>
      </c>
      <c r="D2377" t="s">
        <v>29</v>
      </c>
      <c r="E2377">
        <v>0</v>
      </c>
      <c r="F2377">
        <v>16</v>
      </c>
      <c r="G2377">
        <v>64</v>
      </c>
      <c r="H2377">
        <v>0</v>
      </c>
      <c r="I2377" t="s">
        <v>36</v>
      </c>
      <c r="J2377">
        <v>110</v>
      </c>
      <c r="K2377" t="s">
        <v>29</v>
      </c>
      <c r="L2377">
        <v>101</v>
      </c>
    </row>
    <row r="2378" spans="1:12" x14ac:dyDescent="0.25">
      <c r="A2378">
        <v>400579485</v>
      </c>
      <c r="B2378">
        <v>2015</v>
      </c>
      <c r="C2378" s="1">
        <v>42106</v>
      </c>
      <c r="D2378" t="s">
        <v>23</v>
      </c>
      <c r="E2378">
        <v>0</v>
      </c>
      <c r="F2378">
        <v>37</v>
      </c>
      <c r="G2378">
        <v>43</v>
      </c>
      <c r="H2378">
        <v>0</v>
      </c>
      <c r="I2378" t="s">
        <v>19</v>
      </c>
      <c r="J2378">
        <v>96</v>
      </c>
      <c r="K2378" t="s">
        <v>23</v>
      </c>
      <c r="L2378">
        <v>73</v>
      </c>
    </row>
    <row r="2379" spans="1:12" x14ac:dyDescent="0.25">
      <c r="A2379">
        <v>400579485</v>
      </c>
      <c r="B2379">
        <v>2015</v>
      </c>
      <c r="C2379" s="1">
        <v>42106</v>
      </c>
      <c r="D2379" t="s">
        <v>19</v>
      </c>
      <c r="E2379">
        <v>1</v>
      </c>
      <c r="F2379">
        <v>40</v>
      </c>
      <c r="G2379">
        <v>40</v>
      </c>
      <c r="H2379">
        <v>1</v>
      </c>
      <c r="I2379" t="s">
        <v>19</v>
      </c>
      <c r="J2379">
        <v>96</v>
      </c>
      <c r="K2379" t="s">
        <v>23</v>
      </c>
      <c r="L2379">
        <v>73</v>
      </c>
    </row>
    <row r="2380" spans="1:12" x14ac:dyDescent="0.25">
      <c r="A2380">
        <v>400579486</v>
      </c>
      <c r="B2380">
        <v>2015</v>
      </c>
      <c r="C2380" s="1">
        <v>42106</v>
      </c>
      <c r="D2380" t="s">
        <v>22</v>
      </c>
      <c r="E2380">
        <v>1</v>
      </c>
      <c r="F2380">
        <v>38</v>
      </c>
      <c r="G2380">
        <v>42</v>
      </c>
      <c r="H2380">
        <v>1</v>
      </c>
      <c r="I2380" t="s">
        <v>22</v>
      </c>
      <c r="J2380">
        <v>117</v>
      </c>
      <c r="K2380" t="s">
        <v>40</v>
      </c>
      <c r="L2380">
        <v>78</v>
      </c>
    </row>
    <row r="2381" spans="1:12" x14ac:dyDescent="0.25">
      <c r="A2381">
        <v>400579486</v>
      </c>
      <c r="B2381">
        <v>2015</v>
      </c>
      <c r="C2381" s="1">
        <v>42106</v>
      </c>
      <c r="D2381" t="s">
        <v>40</v>
      </c>
      <c r="E2381">
        <v>0</v>
      </c>
      <c r="F2381">
        <v>51</v>
      </c>
      <c r="G2381">
        <v>29</v>
      </c>
      <c r="H2381">
        <v>0</v>
      </c>
      <c r="I2381" t="s">
        <v>22</v>
      </c>
      <c r="J2381">
        <v>117</v>
      </c>
      <c r="K2381" t="s">
        <v>40</v>
      </c>
      <c r="L2381">
        <v>78</v>
      </c>
    </row>
    <row r="2382" spans="1:12" x14ac:dyDescent="0.25">
      <c r="A2382">
        <v>400579487</v>
      </c>
      <c r="B2382">
        <v>2015</v>
      </c>
      <c r="C2382" s="1">
        <v>42106</v>
      </c>
      <c r="D2382" t="s">
        <v>18</v>
      </c>
      <c r="E2382">
        <v>0</v>
      </c>
      <c r="F2382">
        <v>33</v>
      </c>
      <c r="G2382">
        <v>47</v>
      </c>
      <c r="H2382">
        <v>0</v>
      </c>
      <c r="I2382" t="s">
        <v>33</v>
      </c>
      <c r="J2382">
        <v>116</v>
      </c>
      <c r="K2382" t="s">
        <v>18</v>
      </c>
      <c r="L2382">
        <v>77</v>
      </c>
    </row>
    <row r="2383" spans="1:12" x14ac:dyDescent="0.25">
      <c r="A2383">
        <v>400579487</v>
      </c>
      <c r="B2383">
        <v>2015</v>
      </c>
      <c r="C2383" s="1">
        <v>42106</v>
      </c>
      <c r="D2383" t="s">
        <v>33</v>
      </c>
      <c r="E2383">
        <v>1</v>
      </c>
      <c r="F2383">
        <v>31</v>
      </c>
      <c r="G2383">
        <v>49</v>
      </c>
      <c r="H2383">
        <v>1</v>
      </c>
      <c r="I2383" t="s">
        <v>33</v>
      </c>
      <c r="J2383">
        <v>116</v>
      </c>
      <c r="K2383" t="s">
        <v>18</v>
      </c>
      <c r="L2383">
        <v>77</v>
      </c>
    </row>
    <row r="2384" spans="1:12" x14ac:dyDescent="0.25">
      <c r="A2384">
        <v>400579488</v>
      </c>
      <c r="B2384">
        <v>2015</v>
      </c>
      <c r="C2384" s="1">
        <v>42106</v>
      </c>
      <c r="D2384" t="s">
        <v>32</v>
      </c>
      <c r="E2384">
        <v>1</v>
      </c>
      <c r="F2384">
        <v>30</v>
      </c>
      <c r="G2384">
        <v>50</v>
      </c>
      <c r="H2384">
        <v>1</v>
      </c>
      <c r="I2384" t="s">
        <v>32</v>
      </c>
      <c r="J2384">
        <v>122</v>
      </c>
      <c r="K2384" t="s">
        <v>37</v>
      </c>
      <c r="L2384">
        <v>111</v>
      </c>
    </row>
    <row r="2385" spans="1:12" x14ac:dyDescent="0.25">
      <c r="A2385">
        <v>400579488</v>
      </c>
      <c r="B2385">
        <v>2015</v>
      </c>
      <c r="C2385" s="1">
        <v>42106</v>
      </c>
      <c r="D2385" t="s">
        <v>37</v>
      </c>
      <c r="E2385">
        <v>0</v>
      </c>
      <c r="F2385">
        <v>27</v>
      </c>
      <c r="G2385">
        <v>53</v>
      </c>
      <c r="H2385">
        <v>0</v>
      </c>
      <c r="I2385" t="s">
        <v>32</v>
      </c>
      <c r="J2385">
        <v>122</v>
      </c>
      <c r="K2385" t="s">
        <v>37</v>
      </c>
      <c r="L2385">
        <v>111</v>
      </c>
    </row>
    <row r="2386" spans="1:12" x14ac:dyDescent="0.25">
      <c r="A2386">
        <v>400579489</v>
      </c>
      <c r="B2386">
        <v>2015</v>
      </c>
      <c r="C2386" s="1">
        <v>42106</v>
      </c>
      <c r="D2386" t="s">
        <v>20</v>
      </c>
      <c r="E2386">
        <v>1</v>
      </c>
      <c r="F2386">
        <v>37</v>
      </c>
      <c r="G2386">
        <v>43</v>
      </c>
      <c r="H2386">
        <v>1</v>
      </c>
      <c r="I2386" t="s">
        <v>20</v>
      </c>
      <c r="J2386">
        <v>116</v>
      </c>
      <c r="K2386" t="s">
        <v>38</v>
      </c>
      <c r="L2386">
        <v>104</v>
      </c>
    </row>
    <row r="2387" spans="1:12" x14ac:dyDescent="0.25">
      <c r="A2387">
        <v>400579489</v>
      </c>
      <c r="B2387">
        <v>2015</v>
      </c>
      <c r="C2387" s="1">
        <v>42106</v>
      </c>
      <c r="D2387" t="s">
        <v>38</v>
      </c>
      <c r="E2387">
        <v>0</v>
      </c>
      <c r="F2387">
        <v>43</v>
      </c>
      <c r="G2387">
        <v>37</v>
      </c>
      <c r="H2387">
        <v>0</v>
      </c>
      <c r="I2387" t="s">
        <v>20</v>
      </c>
      <c r="J2387">
        <v>116</v>
      </c>
      <c r="K2387" t="s">
        <v>38</v>
      </c>
      <c r="L2387">
        <v>104</v>
      </c>
    </row>
    <row r="2388" spans="1:12" x14ac:dyDescent="0.25">
      <c r="A2388">
        <v>400579490</v>
      </c>
      <c r="B2388">
        <v>2015</v>
      </c>
      <c r="C2388" s="1">
        <v>42106</v>
      </c>
      <c r="D2388" t="s">
        <v>26</v>
      </c>
      <c r="E2388">
        <v>0</v>
      </c>
      <c r="F2388">
        <v>60</v>
      </c>
      <c r="G2388">
        <v>20</v>
      </c>
      <c r="H2388">
        <v>0</v>
      </c>
      <c r="I2388" t="s">
        <v>25</v>
      </c>
      <c r="J2388">
        <v>108</v>
      </c>
      <c r="K2388" t="s">
        <v>26</v>
      </c>
      <c r="L2388">
        <v>99</v>
      </c>
    </row>
    <row r="2389" spans="1:12" x14ac:dyDescent="0.25">
      <c r="A2389">
        <v>400579490</v>
      </c>
      <c r="B2389">
        <v>2015</v>
      </c>
      <c r="C2389" s="1">
        <v>42106</v>
      </c>
      <c r="D2389" t="s">
        <v>25</v>
      </c>
      <c r="E2389">
        <v>1</v>
      </c>
      <c r="F2389">
        <v>46</v>
      </c>
      <c r="G2389">
        <v>34</v>
      </c>
      <c r="H2389">
        <v>1</v>
      </c>
      <c r="I2389" t="s">
        <v>25</v>
      </c>
      <c r="J2389">
        <v>108</v>
      </c>
      <c r="K2389" t="s">
        <v>26</v>
      </c>
      <c r="L2389">
        <v>99</v>
      </c>
    </row>
    <row r="2390" spans="1:12" x14ac:dyDescent="0.25">
      <c r="A2390">
        <v>400579491</v>
      </c>
      <c r="B2390">
        <v>2015</v>
      </c>
      <c r="C2390" s="1">
        <v>42106</v>
      </c>
      <c r="D2390" t="s">
        <v>16</v>
      </c>
      <c r="E2390">
        <v>1</v>
      </c>
      <c r="F2390">
        <v>54</v>
      </c>
      <c r="G2390">
        <v>26</v>
      </c>
      <c r="H2390">
        <v>1</v>
      </c>
      <c r="I2390" t="s">
        <v>16</v>
      </c>
      <c r="J2390">
        <v>121</v>
      </c>
      <c r="K2390" t="s">
        <v>12</v>
      </c>
      <c r="L2390">
        <v>114</v>
      </c>
    </row>
    <row r="2391" spans="1:12" x14ac:dyDescent="0.25">
      <c r="A2391">
        <v>400579491</v>
      </c>
      <c r="B2391">
        <v>2015</v>
      </c>
      <c r="C2391" s="1">
        <v>42106</v>
      </c>
      <c r="D2391" t="s">
        <v>12</v>
      </c>
      <c r="E2391">
        <v>0</v>
      </c>
      <c r="F2391">
        <v>43</v>
      </c>
      <c r="G2391">
        <v>37</v>
      </c>
      <c r="H2391">
        <v>0</v>
      </c>
      <c r="I2391" t="s">
        <v>16</v>
      </c>
      <c r="J2391">
        <v>121</v>
      </c>
      <c r="K2391" t="s">
        <v>12</v>
      </c>
      <c r="L2391">
        <v>114</v>
      </c>
    </row>
    <row r="2392" spans="1:12" x14ac:dyDescent="0.25">
      <c r="A2392">
        <v>400579492</v>
      </c>
      <c r="B2392">
        <v>2015</v>
      </c>
      <c r="C2392" s="1">
        <v>42106</v>
      </c>
      <c r="D2392" t="s">
        <v>35</v>
      </c>
      <c r="E2392">
        <v>0</v>
      </c>
      <c r="F2392">
        <v>39</v>
      </c>
      <c r="G2392">
        <v>42</v>
      </c>
      <c r="H2392">
        <v>0</v>
      </c>
      <c r="I2392" t="s">
        <v>15</v>
      </c>
      <c r="J2392">
        <v>107</v>
      </c>
      <c r="K2392" t="s">
        <v>35</v>
      </c>
      <c r="L2392">
        <v>91</v>
      </c>
    </row>
    <row r="2393" spans="1:12" x14ac:dyDescent="0.25">
      <c r="A2393">
        <v>400579492</v>
      </c>
      <c r="B2393">
        <v>2015</v>
      </c>
      <c r="C2393" s="1">
        <v>42106</v>
      </c>
      <c r="D2393" t="s">
        <v>15</v>
      </c>
      <c r="E2393">
        <v>1</v>
      </c>
      <c r="F2393">
        <v>55</v>
      </c>
      <c r="G2393">
        <v>26</v>
      </c>
      <c r="H2393">
        <v>1</v>
      </c>
      <c r="I2393" t="s">
        <v>15</v>
      </c>
      <c r="J2393">
        <v>107</v>
      </c>
      <c r="K2393" t="s">
        <v>35</v>
      </c>
      <c r="L2393">
        <v>91</v>
      </c>
    </row>
    <row r="2394" spans="1:12" x14ac:dyDescent="0.25">
      <c r="A2394">
        <v>400579493</v>
      </c>
      <c r="B2394">
        <v>2015</v>
      </c>
      <c r="C2394" s="1">
        <v>42106</v>
      </c>
      <c r="D2394" t="s">
        <v>14</v>
      </c>
      <c r="E2394">
        <v>1</v>
      </c>
      <c r="F2394">
        <v>49</v>
      </c>
      <c r="G2394">
        <v>31</v>
      </c>
      <c r="H2394">
        <v>0</v>
      </c>
      <c r="I2394" t="s">
        <v>17</v>
      </c>
      <c r="J2394">
        <v>106</v>
      </c>
      <c r="K2394" t="s">
        <v>14</v>
      </c>
      <c r="L2394">
        <v>120</v>
      </c>
    </row>
    <row r="2395" spans="1:12" x14ac:dyDescent="0.25">
      <c r="A2395">
        <v>400579493</v>
      </c>
      <c r="B2395">
        <v>2015</v>
      </c>
      <c r="C2395" s="1">
        <v>42106</v>
      </c>
      <c r="D2395" t="s">
        <v>17</v>
      </c>
      <c r="E2395">
        <v>0</v>
      </c>
      <c r="F2395">
        <v>21</v>
      </c>
      <c r="G2395">
        <v>59</v>
      </c>
      <c r="H2395">
        <v>1</v>
      </c>
      <c r="I2395" t="s">
        <v>17</v>
      </c>
      <c r="J2395">
        <v>106</v>
      </c>
      <c r="K2395" t="s">
        <v>14</v>
      </c>
      <c r="L2395">
        <v>120</v>
      </c>
    </row>
    <row r="2396" spans="1:12" x14ac:dyDescent="0.25">
      <c r="A2396">
        <v>400579494</v>
      </c>
      <c r="B2396">
        <v>2015</v>
      </c>
      <c r="C2396" s="1">
        <v>42107</v>
      </c>
      <c r="D2396" t="s">
        <v>18</v>
      </c>
      <c r="E2396">
        <v>0</v>
      </c>
      <c r="F2396">
        <v>33</v>
      </c>
      <c r="G2396">
        <v>48</v>
      </c>
      <c r="H2396">
        <v>1</v>
      </c>
      <c r="I2396" t="s">
        <v>18</v>
      </c>
      <c r="J2396">
        <v>90</v>
      </c>
      <c r="K2396" t="s">
        <v>16</v>
      </c>
      <c r="L2396">
        <v>100</v>
      </c>
    </row>
    <row r="2397" spans="1:12" x14ac:dyDescent="0.25">
      <c r="A2397">
        <v>400579494</v>
      </c>
      <c r="B2397">
        <v>2015</v>
      </c>
      <c r="C2397" s="1">
        <v>42107</v>
      </c>
      <c r="D2397" t="s">
        <v>16</v>
      </c>
      <c r="E2397">
        <v>1</v>
      </c>
      <c r="F2397">
        <v>55</v>
      </c>
      <c r="G2397">
        <v>26</v>
      </c>
      <c r="H2397">
        <v>0</v>
      </c>
      <c r="I2397" t="s">
        <v>18</v>
      </c>
      <c r="J2397">
        <v>90</v>
      </c>
      <c r="K2397" t="s">
        <v>16</v>
      </c>
      <c r="L2397">
        <v>100</v>
      </c>
    </row>
    <row r="2398" spans="1:12" x14ac:dyDescent="0.25">
      <c r="A2398">
        <v>400579495</v>
      </c>
      <c r="B2398">
        <v>2015</v>
      </c>
      <c r="C2398" s="1">
        <v>42107</v>
      </c>
      <c r="D2398" t="s">
        <v>40</v>
      </c>
      <c r="E2398">
        <v>1</v>
      </c>
      <c r="F2398">
        <v>52</v>
      </c>
      <c r="G2398">
        <v>29</v>
      </c>
      <c r="H2398">
        <v>1</v>
      </c>
      <c r="I2398" t="s">
        <v>40</v>
      </c>
      <c r="J2398">
        <v>109</v>
      </c>
      <c r="K2398" t="s">
        <v>33</v>
      </c>
      <c r="L2398">
        <v>97</v>
      </c>
    </row>
    <row r="2399" spans="1:12" x14ac:dyDescent="0.25">
      <c r="A2399">
        <v>400579495</v>
      </c>
      <c r="B2399">
        <v>2015</v>
      </c>
      <c r="C2399" s="1">
        <v>42107</v>
      </c>
      <c r="D2399" t="s">
        <v>33</v>
      </c>
      <c r="E2399">
        <v>0</v>
      </c>
      <c r="F2399">
        <v>31</v>
      </c>
      <c r="G2399">
        <v>50</v>
      </c>
      <c r="H2399">
        <v>0</v>
      </c>
      <c r="I2399" t="s">
        <v>40</v>
      </c>
      <c r="J2399">
        <v>109</v>
      </c>
      <c r="K2399" t="s">
        <v>33</v>
      </c>
      <c r="L2399">
        <v>97</v>
      </c>
    </row>
    <row r="2400" spans="1:12" x14ac:dyDescent="0.25">
      <c r="A2400">
        <v>400579496</v>
      </c>
      <c r="B2400">
        <v>2015</v>
      </c>
      <c r="C2400" s="1">
        <v>42107</v>
      </c>
      <c r="D2400" t="s">
        <v>19</v>
      </c>
      <c r="E2400">
        <v>1</v>
      </c>
      <c r="F2400">
        <v>41</v>
      </c>
      <c r="G2400">
        <v>40</v>
      </c>
      <c r="H2400">
        <v>0</v>
      </c>
      <c r="I2400" t="s">
        <v>21</v>
      </c>
      <c r="J2400">
        <v>97</v>
      </c>
      <c r="K2400" t="s">
        <v>19</v>
      </c>
      <c r="L2400">
        <v>107</v>
      </c>
    </row>
    <row r="2401" spans="1:12" x14ac:dyDescent="0.25">
      <c r="A2401">
        <v>400579496</v>
      </c>
      <c r="B2401">
        <v>2015</v>
      </c>
      <c r="C2401" s="1">
        <v>42107</v>
      </c>
      <c r="D2401" t="s">
        <v>21</v>
      </c>
      <c r="E2401">
        <v>0</v>
      </c>
      <c r="F2401">
        <v>18</v>
      </c>
      <c r="G2401">
        <v>63</v>
      </c>
      <c r="H2401">
        <v>1</v>
      </c>
      <c r="I2401" t="s">
        <v>21</v>
      </c>
      <c r="J2401">
        <v>97</v>
      </c>
      <c r="K2401" t="s">
        <v>19</v>
      </c>
      <c r="L2401">
        <v>107</v>
      </c>
    </row>
    <row r="2402" spans="1:12" x14ac:dyDescent="0.25">
      <c r="A2402">
        <v>400579497</v>
      </c>
      <c r="B2402">
        <v>2015</v>
      </c>
      <c r="C2402" s="1">
        <v>42107</v>
      </c>
      <c r="D2402" t="s">
        <v>26</v>
      </c>
      <c r="E2402">
        <v>0</v>
      </c>
      <c r="F2402">
        <v>60</v>
      </c>
      <c r="G2402">
        <v>21</v>
      </c>
      <c r="H2402">
        <v>1</v>
      </c>
      <c r="I2402" t="s">
        <v>26</v>
      </c>
      <c r="J2402">
        <v>108</v>
      </c>
      <c r="K2402" t="s">
        <v>31</v>
      </c>
      <c r="L2402">
        <v>112</v>
      </c>
    </row>
    <row r="2403" spans="1:12" x14ac:dyDescent="0.25">
      <c r="A2403">
        <v>400579497</v>
      </c>
      <c r="B2403">
        <v>2015</v>
      </c>
      <c r="C2403" s="1">
        <v>42107</v>
      </c>
      <c r="D2403" t="s">
        <v>31</v>
      </c>
      <c r="E2403">
        <v>1</v>
      </c>
      <c r="F2403">
        <v>17</v>
      </c>
      <c r="G2403">
        <v>64</v>
      </c>
      <c r="H2403">
        <v>0</v>
      </c>
      <c r="I2403" t="s">
        <v>26</v>
      </c>
      <c r="J2403">
        <v>108</v>
      </c>
      <c r="K2403" t="s">
        <v>31</v>
      </c>
      <c r="L2403">
        <v>112</v>
      </c>
    </row>
    <row r="2404" spans="1:12" x14ac:dyDescent="0.25">
      <c r="A2404">
        <v>400579498</v>
      </c>
      <c r="B2404">
        <v>2015</v>
      </c>
      <c r="C2404" s="1">
        <v>42107</v>
      </c>
      <c r="D2404" t="s">
        <v>23</v>
      </c>
      <c r="E2404">
        <v>0</v>
      </c>
      <c r="F2404">
        <v>37</v>
      </c>
      <c r="G2404">
        <v>44</v>
      </c>
      <c r="H2404">
        <v>1</v>
      </c>
      <c r="I2404" t="s">
        <v>23</v>
      </c>
      <c r="J2404">
        <v>86</v>
      </c>
      <c r="K2404" t="s">
        <v>30</v>
      </c>
      <c r="L2404">
        <v>113</v>
      </c>
    </row>
    <row r="2405" spans="1:12" x14ac:dyDescent="0.25">
      <c r="A2405">
        <v>400579498</v>
      </c>
      <c r="B2405">
        <v>2015</v>
      </c>
      <c r="C2405" s="1">
        <v>42107</v>
      </c>
      <c r="D2405" t="s">
        <v>30</v>
      </c>
      <c r="E2405">
        <v>1</v>
      </c>
      <c r="F2405">
        <v>49</v>
      </c>
      <c r="G2405">
        <v>32</v>
      </c>
      <c r="H2405">
        <v>0</v>
      </c>
      <c r="I2405" t="s">
        <v>23</v>
      </c>
      <c r="J2405">
        <v>86</v>
      </c>
      <c r="K2405" t="s">
        <v>30</v>
      </c>
      <c r="L2405">
        <v>113</v>
      </c>
    </row>
    <row r="2406" spans="1:12" x14ac:dyDescent="0.25">
      <c r="A2406">
        <v>400579499</v>
      </c>
      <c r="B2406">
        <v>2015</v>
      </c>
      <c r="C2406" s="1">
        <v>42107</v>
      </c>
      <c r="D2406" t="s">
        <v>24</v>
      </c>
      <c r="E2406">
        <v>1</v>
      </c>
      <c r="F2406">
        <v>36</v>
      </c>
      <c r="G2406">
        <v>45</v>
      </c>
      <c r="H2406">
        <v>1</v>
      </c>
      <c r="I2406" t="s">
        <v>24</v>
      </c>
      <c r="J2406">
        <v>100</v>
      </c>
      <c r="K2406" t="s">
        <v>13</v>
      </c>
      <c r="L2406">
        <v>93</v>
      </c>
    </row>
    <row r="2407" spans="1:12" x14ac:dyDescent="0.25">
      <c r="A2407">
        <v>400579499</v>
      </c>
      <c r="B2407">
        <v>2015</v>
      </c>
      <c r="C2407" s="1">
        <v>42107</v>
      </c>
      <c r="D2407" t="s">
        <v>13</v>
      </c>
      <c r="E2407">
        <v>0</v>
      </c>
      <c r="F2407">
        <v>25</v>
      </c>
      <c r="G2407">
        <v>56</v>
      </c>
      <c r="H2407">
        <v>0</v>
      </c>
      <c r="I2407" t="s">
        <v>24</v>
      </c>
      <c r="J2407">
        <v>100</v>
      </c>
      <c r="K2407" t="s">
        <v>13</v>
      </c>
      <c r="L2407">
        <v>93</v>
      </c>
    </row>
    <row r="2408" spans="1:12" x14ac:dyDescent="0.25">
      <c r="A2408">
        <v>400579500</v>
      </c>
      <c r="B2408">
        <v>2015</v>
      </c>
      <c r="C2408" s="1">
        <v>42107</v>
      </c>
      <c r="D2408" t="s">
        <v>29</v>
      </c>
      <c r="E2408">
        <v>0</v>
      </c>
      <c r="F2408">
        <v>16</v>
      </c>
      <c r="G2408">
        <v>65</v>
      </c>
      <c r="H2408">
        <v>1</v>
      </c>
      <c r="I2408" t="s">
        <v>29</v>
      </c>
      <c r="J2408">
        <v>88</v>
      </c>
      <c r="K2408" t="s">
        <v>12</v>
      </c>
      <c r="L2408">
        <v>100</v>
      </c>
    </row>
    <row r="2409" spans="1:12" x14ac:dyDescent="0.25">
      <c r="A2409">
        <v>400579500</v>
      </c>
      <c r="B2409">
        <v>2015</v>
      </c>
      <c r="C2409" s="1">
        <v>42107</v>
      </c>
      <c r="D2409" t="s">
        <v>12</v>
      </c>
      <c r="E2409">
        <v>1</v>
      </c>
      <c r="F2409">
        <v>44</v>
      </c>
      <c r="G2409">
        <v>37</v>
      </c>
      <c r="H2409">
        <v>0</v>
      </c>
      <c r="I2409" t="s">
        <v>29</v>
      </c>
      <c r="J2409">
        <v>88</v>
      </c>
      <c r="K2409" t="s">
        <v>12</v>
      </c>
      <c r="L2409">
        <v>100</v>
      </c>
    </row>
    <row r="2410" spans="1:12" x14ac:dyDescent="0.25">
      <c r="A2410">
        <v>400579501</v>
      </c>
      <c r="B2410">
        <v>2015</v>
      </c>
      <c r="C2410" s="1">
        <v>42107</v>
      </c>
      <c r="D2410" t="s">
        <v>38</v>
      </c>
      <c r="E2410">
        <v>1</v>
      </c>
      <c r="F2410">
        <v>44</v>
      </c>
      <c r="G2410">
        <v>37</v>
      </c>
      <c r="H2410">
        <v>1</v>
      </c>
      <c r="I2410" t="s">
        <v>38</v>
      </c>
      <c r="J2410">
        <v>101</v>
      </c>
      <c r="K2410" t="s">
        <v>39</v>
      </c>
      <c r="L2410">
        <v>90</v>
      </c>
    </row>
    <row r="2411" spans="1:12" x14ac:dyDescent="0.25">
      <c r="A2411">
        <v>400579501</v>
      </c>
      <c r="B2411">
        <v>2015</v>
      </c>
      <c r="C2411" s="1">
        <v>42107</v>
      </c>
      <c r="D2411" t="s">
        <v>39</v>
      </c>
      <c r="E2411">
        <v>0</v>
      </c>
      <c r="F2411">
        <v>51</v>
      </c>
      <c r="G2411">
        <v>30</v>
      </c>
      <c r="H2411">
        <v>0</v>
      </c>
      <c r="I2411" t="s">
        <v>38</v>
      </c>
      <c r="J2411">
        <v>101</v>
      </c>
      <c r="K2411" t="s">
        <v>39</v>
      </c>
      <c r="L2411">
        <v>90</v>
      </c>
    </row>
    <row r="2412" spans="1:12" x14ac:dyDescent="0.25">
      <c r="A2412">
        <v>400579502</v>
      </c>
      <c r="B2412">
        <v>2015</v>
      </c>
      <c r="C2412" s="1">
        <v>42107</v>
      </c>
      <c r="D2412" t="s">
        <v>14</v>
      </c>
      <c r="E2412">
        <v>0</v>
      </c>
      <c r="F2412">
        <v>49</v>
      </c>
      <c r="G2412">
        <v>32</v>
      </c>
      <c r="H2412">
        <v>0</v>
      </c>
      <c r="I2412" t="s">
        <v>34</v>
      </c>
      <c r="J2412">
        <v>109</v>
      </c>
      <c r="K2412" t="s">
        <v>14</v>
      </c>
      <c r="L2412">
        <v>92</v>
      </c>
    </row>
    <row r="2413" spans="1:12" x14ac:dyDescent="0.25">
      <c r="A2413">
        <v>400579502</v>
      </c>
      <c r="B2413">
        <v>2015</v>
      </c>
      <c r="C2413" s="1">
        <v>42107</v>
      </c>
      <c r="D2413" t="s">
        <v>34</v>
      </c>
      <c r="E2413">
        <v>1</v>
      </c>
      <c r="F2413">
        <v>38</v>
      </c>
      <c r="G2413">
        <v>43</v>
      </c>
      <c r="H2413">
        <v>1</v>
      </c>
      <c r="I2413" t="s">
        <v>34</v>
      </c>
      <c r="J2413">
        <v>109</v>
      </c>
      <c r="K2413" t="s">
        <v>14</v>
      </c>
      <c r="L2413">
        <v>92</v>
      </c>
    </row>
    <row r="2414" spans="1:12" x14ac:dyDescent="0.25">
      <c r="A2414">
        <v>400579503</v>
      </c>
      <c r="B2414">
        <v>2015</v>
      </c>
      <c r="C2414" s="1">
        <v>42107</v>
      </c>
      <c r="D2414" t="s">
        <v>17</v>
      </c>
      <c r="E2414">
        <v>0</v>
      </c>
      <c r="F2414">
        <v>21</v>
      </c>
      <c r="G2414">
        <v>60</v>
      </c>
      <c r="H2414">
        <v>0</v>
      </c>
      <c r="I2414" t="s">
        <v>37</v>
      </c>
      <c r="J2414">
        <v>102</v>
      </c>
      <c r="K2414" t="s">
        <v>17</v>
      </c>
      <c r="L2414">
        <v>92</v>
      </c>
    </row>
    <row r="2415" spans="1:12" x14ac:dyDescent="0.25">
      <c r="A2415">
        <v>400579503</v>
      </c>
      <c r="B2415">
        <v>2015</v>
      </c>
      <c r="C2415" s="1">
        <v>42107</v>
      </c>
      <c r="D2415" t="s">
        <v>37</v>
      </c>
      <c r="E2415">
        <v>1</v>
      </c>
      <c r="F2415">
        <v>28</v>
      </c>
      <c r="G2415">
        <v>53</v>
      </c>
      <c r="H2415">
        <v>1</v>
      </c>
      <c r="I2415" t="s">
        <v>37</v>
      </c>
      <c r="J2415">
        <v>102</v>
      </c>
      <c r="K2415" t="s">
        <v>17</v>
      </c>
      <c r="L2415">
        <v>92</v>
      </c>
    </row>
    <row r="2416" spans="1:12" x14ac:dyDescent="0.25">
      <c r="A2416">
        <v>400579504</v>
      </c>
      <c r="B2416">
        <v>2015</v>
      </c>
      <c r="C2416" s="1">
        <v>42107</v>
      </c>
      <c r="D2416" t="s">
        <v>36</v>
      </c>
      <c r="E2416">
        <v>1</v>
      </c>
      <c r="F2416">
        <v>66</v>
      </c>
      <c r="G2416">
        <v>15</v>
      </c>
      <c r="H2416">
        <v>1</v>
      </c>
      <c r="I2416" t="s">
        <v>36</v>
      </c>
      <c r="J2416">
        <v>111</v>
      </c>
      <c r="K2416" t="s">
        <v>28</v>
      </c>
      <c r="L2416">
        <v>107</v>
      </c>
    </row>
    <row r="2417" spans="1:12" x14ac:dyDescent="0.25">
      <c r="A2417">
        <v>400579504</v>
      </c>
      <c r="B2417">
        <v>2015</v>
      </c>
      <c r="C2417" s="1">
        <v>42107</v>
      </c>
      <c r="D2417" t="s">
        <v>28</v>
      </c>
      <c r="E2417">
        <v>0</v>
      </c>
      <c r="F2417">
        <v>54</v>
      </c>
      <c r="G2417">
        <v>27</v>
      </c>
      <c r="H2417">
        <v>0</v>
      </c>
      <c r="I2417" t="s">
        <v>36</v>
      </c>
      <c r="J2417">
        <v>111</v>
      </c>
      <c r="K2417" t="s">
        <v>28</v>
      </c>
      <c r="L2417">
        <v>107</v>
      </c>
    </row>
    <row r="2418" spans="1:12" x14ac:dyDescent="0.25">
      <c r="A2418">
        <v>400579505</v>
      </c>
      <c r="B2418">
        <v>2015</v>
      </c>
      <c r="C2418" s="1">
        <v>42107</v>
      </c>
      <c r="D2418" t="s">
        <v>32</v>
      </c>
      <c r="E2418">
        <v>0</v>
      </c>
      <c r="F2418">
        <v>30</v>
      </c>
      <c r="G2418">
        <v>51</v>
      </c>
      <c r="H2418">
        <v>0</v>
      </c>
      <c r="I2418" t="s">
        <v>41</v>
      </c>
      <c r="J2418">
        <v>110</v>
      </c>
      <c r="K2418" t="s">
        <v>32</v>
      </c>
      <c r="L2418">
        <v>103</v>
      </c>
    </row>
    <row r="2419" spans="1:12" x14ac:dyDescent="0.25">
      <c r="A2419">
        <v>400579505</v>
      </c>
      <c r="B2419">
        <v>2015</v>
      </c>
      <c r="C2419" s="1">
        <v>42107</v>
      </c>
      <c r="D2419" t="s">
        <v>41</v>
      </c>
      <c r="E2419">
        <v>1</v>
      </c>
      <c r="F2419">
        <v>55</v>
      </c>
      <c r="G2419">
        <v>26</v>
      </c>
      <c r="H2419">
        <v>1</v>
      </c>
      <c r="I2419" t="s">
        <v>41</v>
      </c>
      <c r="J2419">
        <v>110</v>
      </c>
      <c r="K2419" t="s">
        <v>32</v>
      </c>
      <c r="L2419">
        <v>103</v>
      </c>
    </row>
    <row r="2420" spans="1:12" x14ac:dyDescent="0.25">
      <c r="A2420">
        <v>400579506</v>
      </c>
      <c r="B2420">
        <v>2015</v>
      </c>
      <c r="C2420" s="1">
        <v>42108</v>
      </c>
      <c r="D2420" t="s">
        <v>22</v>
      </c>
      <c r="E2420">
        <v>1</v>
      </c>
      <c r="F2420">
        <v>39</v>
      </c>
      <c r="G2420">
        <v>42</v>
      </c>
      <c r="H2420">
        <v>1</v>
      </c>
      <c r="I2420" t="s">
        <v>22</v>
      </c>
      <c r="J2420">
        <v>95</v>
      </c>
      <c r="K2420" t="s">
        <v>27</v>
      </c>
      <c r="L2420">
        <v>93</v>
      </c>
    </row>
    <row r="2421" spans="1:12" x14ac:dyDescent="0.25">
      <c r="A2421">
        <v>400579506</v>
      </c>
      <c r="B2421">
        <v>2015</v>
      </c>
      <c r="C2421" s="1">
        <v>42108</v>
      </c>
      <c r="D2421" t="s">
        <v>27</v>
      </c>
      <c r="E2421">
        <v>0</v>
      </c>
      <c r="F2421">
        <v>48</v>
      </c>
      <c r="G2421">
        <v>33</v>
      </c>
      <c r="H2421">
        <v>0</v>
      </c>
      <c r="I2421" t="s">
        <v>22</v>
      </c>
      <c r="J2421">
        <v>95</v>
      </c>
      <c r="K2421" t="s">
        <v>27</v>
      </c>
      <c r="L2421">
        <v>93</v>
      </c>
    </row>
    <row r="2422" spans="1:12" x14ac:dyDescent="0.25">
      <c r="A2422">
        <v>400579507</v>
      </c>
      <c r="B2422">
        <v>2015</v>
      </c>
      <c r="C2422" s="1">
        <v>42108</v>
      </c>
      <c r="D2422" t="s">
        <v>20</v>
      </c>
      <c r="E2422">
        <v>1</v>
      </c>
      <c r="F2422">
        <v>38</v>
      </c>
      <c r="G2422">
        <v>43</v>
      </c>
      <c r="H2422">
        <v>1</v>
      </c>
      <c r="I2422" t="s">
        <v>20</v>
      </c>
      <c r="J2422">
        <v>99</v>
      </c>
      <c r="K2422" t="s">
        <v>25</v>
      </c>
      <c r="L2422">
        <v>95</v>
      </c>
    </row>
    <row r="2423" spans="1:12" x14ac:dyDescent="0.25">
      <c r="A2423">
        <v>400579507</v>
      </c>
      <c r="B2423">
        <v>2015</v>
      </c>
      <c r="C2423" s="1">
        <v>42108</v>
      </c>
      <c r="D2423" t="s">
        <v>25</v>
      </c>
      <c r="E2423">
        <v>0</v>
      </c>
      <c r="F2423">
        <v>46</v>
      </c>
      <c r="G2423">
        <v>35</v>
      </c>
      <c r="H2423">
        <v>0</v>
      </c>
      <c r="I2423" t="s">
        <v>20</v>
      </c>
      <c r="J2423">
        <v>99</v>
      </c>
      <c r="K2423" t="s">
        <v>25</v>
      </c>
      <c r="L2423">
        <v>95</v>
      </c>
    </row>
    <row r="2424" spans="1:12" x14ac:dyDescent="0.25">
      <c r="A2424">
        <v>400579508</v>
      </c>
      <c r="B2424">
        <v>2015</v>
      </c>
      <c r="C2424" s="1">
        <v>42108</v>
      </c>
      <c r="D2424" t="s">
        <v>41</v>
      </c>
      <c r="E2424">
        <v>1</v>
      </c>
      <c r="F2424">
        <v>56</v>
      </c>
      <c r="G2424">
        <v>26</v>
      </c>
      <c r="H2424">
        <v>0</v>
      </c>
      <c r="I2424" t="s">
        <v>35</v>
      </c>
      <c r="J2424">
        <v>101</v>
      </c>
      <c r="K2424" t="s">
        <v>41</v>
      </c>
      <c r="L2424">
        <v>112</v>
      </c>
    </row>
    <row r="2425" spans="1:12" x14ac:dyDescent="0.25">
      <c r="A2425">
        <v>400579508</v>
      </c>
      <c r="B2425">
        <v>2015</v>
      </c>
      <c r="C2425" s="1">
        <v>42108</v>
      </c>
      <c r="D2425" t="s">
        <v>35</v>
      </c>
      <c r="E2425">
        <v>0</v>
      </c>
      <c r="F2425">
        <v>39</v>
      </c>
      <c r="G2425">
        <v>43</v>
      </c>
      <c r="H2425">
        <v>1</v>
      </c>
      <c r="I2425" t="s">
        <v>35</v>
      </c>
      <c r="J2425">
        <v>101</v>
      </c>
      <c r="K2425" t="s">
        <v>41</v>
      </c>
      <c r="L2425">
        <v>112</v>
      </c>
    </row>
    <row r="2426" spans="1:12" x14ac:dyDescent="0.25">
      <c r="A2426">
        <v>400579509</v>
      </c>
      <c r="B2426">
        <v>2015</v>
      </c>
      <c r="C2426" s="1">
        <v>42109</v>
      </c>
      <c r="D2426" t="s">
        <v>26</v>
      </c>
      <c r="E2426">
        <v>0</v>
      </c>
      <c r="F2426">
        <v>60</v>
      </c>
      <c r="G2426">
        <v>22</v>
      </c>
      <c r="H2426">
        <v>0</v>
      </c>
      <c r="I2426" t="s">
        <v>30</v>
      </c>
      <c r="J2426">
        <v>91</v>
      </c>
      <c r="K2426" t="s">
        <v>26</v>
      </c>
      <c r="L2426">
        <v>85</v>
      </c>
    </row>
    <row r="2427" spans="1:12" x14ac:dyDescent="0.25">
      <c r="A2427">
        <v>400579509</v>
      </c>
      <c r="B2427">
        <v>2015</v>
      </c>
      <c r="C2427" s="1">
        <v>42109</v>
      </c>
      <c r="D2427" t="s">
        <v>30</v>
      </c>
      <c r="E2427">
        <v>1</v>
      </c>
      <c r="F2427">
        <v>50</v>
      </c>
      <c r="G2427">
        <v>32</v>
      </c>
      <c r="H2427">
        <v>1</v>
      </c>
      <c r="I2427" t="s">
        <v>30</v>
      </c>
      <c r="J2427">
        <v>91</v>
      </c>
      <c r="K2427" t="s">
        <v>26</v>
      </c>
      <c r="L2427">
        <v>85</v>
      </c>
    </row>
    <row r="2428" spans="1:12" x14ac:dyDescent="0.25">
      <c r="A2428">
        <v>400579510</v>
      </c>
      <c r="B2428">
        <v>2015</v>
      </c>
      <c r="C2428" s="1">
        <v>42109</v>
      </c>
      <c r="D2428" t="s">
        <v>14</v>
      </c>
      <c r="E2428">
        <v>1</v>
      </c>
      <c r="F2428">
        <v>50</v>
      </c>
      <c r="G2428">
        <v>32</v>
      </c>
      <c r="H2428">
        <v>1</v>
      </c>
      <c r="I2428" t="s">
        <v>14</v>
      </c>
      <c r="J2428">
        <v>114</v>
      </c>
      <c r="K2428" t="s">
        <v>39</v>
      </c>
      <c r="L2428">
        <v>98</v>
      </c>
    </row>
    <row r="2429" spans="1:12" x14ac:dyDescent="0.25">
      <c r="A2429">
        <v>400579510</v>
      </c>
      <c r="B2429">
        <v>2015</v>
      </c>
      <c r="C2429" s="1">
        <v>42109</v>
      </c>
      <c r="D2429" t="s">
        <v>39</v>
      </c>
      <c r="E2429">
        <v>0</v>
      </c>
      <c r="F2429">
        <v>51</v>
      </c>
      <c r="G2429">
        <v>31</v>
      </c>
      <c r="H2429">
        <v>0</v>
      </c>
      <c r="I2429" t="s">
        <v>14</v>
      </c>
      <c r="J2429">
        <v>114</v>
      </c>
      <c r="K2429" t="s">
        <v>39</v>
      </c>
      <c r="L2429">
        <v>98</v>
      </c>
    </row>
    <row r="2430" spans="1:12" x14ac:dyDescent="0.25">
      <c r="A2430">
        <v>400579511</v>
      </c>
      <c r="B2430">
        <v>2015</v>
      </c>
      <c r="C2430" s="1">
        <v>42109</v>
      </c>
      <c r="D2430" t="s">
        <v>16</v>
      </c>
      <c r="E2430">
        <v>1</v>
      </c>
      <c r="F2430">
        <v>56</v>
      </c>
      <c r="G2430">
        <v>26</v>
      </c>
      <c r="H2430">
        <v>1</v>
      </c>
      <c r="I2430" t="s">
        <v>16</v>
      </c>
      <c r="J2430">
        <v>117</v>
      </c>
      <c r="K2430" t="s">
        <v>34</v>
      </c>
      <c r="L2430">
        <v>91</v>
      </c>
    </row>
    <row r="2431" spans="1:12" x14ac:dyDescent="0.25">
      <c r="A2431">
        <v>400579511</v>
      </c>
      <c r="B2431">
        <v>2015</v>
      </c>
      <c r="C2431" s="1">
        <v>42109</v>
      </c>
      <c r="D2431" t="s">
        <v>34</v>
      </c>
      <c r="E2431">
        <v>0</v>
      </c>
      <c r="F2431">
        <v>38</v>
      </c>
      <c r="G2431">
        <v>44</v>
      </c>
      <c r="H2431">
        <v>0</v>
      </c>
      <c r="I2431" t="s">
        <v>16</v>
      </c>
      <c r="J2431">
        <v>117</v>
      </c>
      <c r="K2431" t="s">
        <v>34</v>
      </c>
      <c r="L2431">
        <v>91</v>
      </c>
    </row>
    <row r="2432" spans="1:12" x14ac:dyDescent="0.25">
      <c r="A2432">
        <v>400579512</v>
      </c>
      <c r="B2432">
        <v>2015</v>
      </c>
      <c r="C2432" s="1">
        <v>42109</v>
      </c>
      <c r="D2432" t="s">
        <v>20</v>
      </c>
      <c r="E2432">
        <v>0</v>
      </c>
      <c r="F2432">
        <v>38</v>
      </c>
      <c r="G2432">
        <v>44</v>
      </c>
      <c r="H2432">
        <v>0</v>
      </c>
      <c r="I2432" t="s">
        <v>28</v>
      </c>
      <c r="J2432">
        <v>95</v>
      </c>
      <c r="K2432" t="s">
        <v>20</v>
      </c>
      <c r="L2432">
        <v>83</v>
      </c>
    </row>
    <row r="2433" spans="1:12" x14ac:dyDescent="0.25">
      <c r="A2433">
        <v>400579512</v>
      </c>
      <c r="B2433">
        <v>2015</v>
      </c>
      <c r="C2433" s="1">
        <v>42109</v>
      </c>
      <c r="D2433" t="s">
        <v>28</v>
      </c>
      <c r="E2433">
        <v>1</v>
      </c>
      <c r="F2433">
        <v>55</v>
      </c>
      <c r="G2433">
        <v>27</v>
      </c>
      <c r="H2433">
        <v>1</v>
      </c>
      <c r="I2433" t="s">
        <v>28</v>
      </c>
      <c r="J2433">
        <v>95</v>
      </c>
      <c r="K2433" t="s">
        <v>20</v>
      </c>
      <c r="L2433">
        <v>83</v>
      </c>
    </row>
    <row r="2434" spans="1:12" x14ac:dyDescent="0.25">
      <c r="A2434">
        <v>400579513</v>
      </c>
      <c r="B2434">
        <v>2015</v>
      </c>
      <c r="C2434" s="1">
        <v>42109</v>
      </c>
      <c r="D2434" t="s">
        <v>22</v>
      </c>
      <c r="E2434">
        <v>1</v>
      </c>
      <c r="F2434">
        <v>40</v>
      </c>
      <c r="G2434">
        <v>42</v>
      </c>
      <c r="H2434">
        <v>0</v>
      </c>
      <c r="I2434" t="s">
        <v>19</v>
      </c>
      <c r="J2434">
        <v>100</v>
      </c>
      <c r="K2434" t="s">
        <v>22</v>
      </c>
      <c r="L2434">
        <v>105</v>
      </c>
    </row>
    <row r="2435" spans="1:12" x14ac:dyDescent="0.25">
      <c r="A2435">
        <v>400579513</v>
      </c>
      <c r="B2435">
        <v>2015</v>
      </c>
      <c r="C2435" s="1">
        <v>42109</v>
      </c>
      <c r="D2435" t="s">
        <v>19</v>
      </c>
      <c r="E2435">
        <v>0</v>
      </c>
      <c r="F2435">
        <v>41</v>
      </c>
      <c r="G2435">
        <v>41</v>
      </c>
      <c r="H2435">
        <v>1</v>
      </c>
      <c r="I2435" t="s">
        <v>19</v>
      </c>
      <c r="J2435">
        <v>100</v>
      </c>
      <c r="K2435" t="s">
        <v>22</v>
      </c>
      <c r="L2435">
        <v>105</v>
      </c>
    </row>
    <row r="2436" spans="1:12" x14ac:dyDescent="0.25">
      <c r="A2436">
        <v>400579514</v>
      </c>
      <c r="B2436">
        <v>2015</v>
      </c>
      <c r="C2436" s="1">
        <v>42109</v>
      </c>
      <c r="D2436" t="s">
        <v>29</v>
      </c>
      <c r="E2436">
        <v>0</v>
      </c>
      <c r="F2436">
        <v>16</v>
      </c>
      <c r="G2436">
        <v>66</v>
      </c>
      <c r="H2436">
        <v>1</v>
      </c>
      <c r="I2436" t="s">
        <v>29</v>
      </c>
      <c r="J2436">
        <v>113</v>
      </c>
      <c r="K2436" t="s">
        <v>38</v>
      </c>
      <c r="L2436">
        <v>138</v>
      </c>
    </row>
    <row r="2437" spans="1:12" x14ac:dyDescent="0.25">
      <c r="A2437">
        <v>400579514</v>
      </c>
      <c r="B2437">
        <v>2015</v>
      </c>
      <c r="C2437" s="1">
        <v>42109</v>
      </c>
      <c r="D2437" t="s">
        <v>38</v>
      </c>
      <c r="E2437">
        <v>1</v>
      </c>
      <c r="F2437">
        <v>45</v>
      </c>
      <c r="G2437">
        <v>37</v>
      </c>
      <c r="H2437">
        <v>0</v>
      </c>
      <c r="I2437" t="s">
        <v>29</v>
      </c>
      <c r="J2437">
        <v>113</v>
      </c>
      <c r="K2437" t="s">
        <v>38</v>
      </c>
      <c r="L2437">
        <v>138</v>
      </c>
    </row>
    <row r="2438" spans="1:12" x14ac:dyDescent="0.25">
      <c r="A2438">
        <v>400579515</v>
      </c>
      <c r="B2438">
        <v>2015</v>
      </c>
      <c r="C2438" s="1">
        <v>42109</v>
      </c>
      <c r="D2438" t="s">
        <v>12</v>
      </c>
      <c r="E2438">
        <v>1</v>
      </c>
      <c r="F2438">
        <v>45</v>
      </c>
      <c r="G2438">
        <v>37</v>
      </c>
      <c r="H2438">
        <v>1</v>
      </c>
      <c r="I2438" t="s">
        <v>12</v>
      </c>
      <c r="J2438">
        <v>108</v>
      </c>
      <c r="K2438" t="s">
        <v>15</v>
      </c>
      <c r="L2438">
        <v>103</v>
      </c>
    </row>
    <row r="2439" spans="1:12" x14ac:dyDescent="0.25">
      <c r="A2439">
        <v>400579515</v>
      </c>
      <c r="B2439">
        <v>2015</v>
      </c>
      <c r="C2439" s="1">
        <v>42109</v>
      </c>
      <c r="D2439" t="s">
        <v>15</v>
      </c>
      <c r="E2439">
        <v>0</v>
      </c>
      <c r="F2439">
        <v>55</v>
      </c>
      <c r="G2439">
        <v>27</v>
      </c>
      <c r="H2439">
        <v>0</v>
      </c>
      <c r="I2439" t="s">
        <v>12</v>
      </c>
      <c r="J2439">
        <v>108</v>
      </c>
      <c r="K2439" t="s">
        <v>15</v>
      </c>
      <c r="L2439">
        <v>103</v>
      </c>
    </row>
    <row r="2440" spans="1:12" x14ac:dyDescent="0.25">
      <c r="A2440">
        <v>400579516</v>
      </c>
      <c r="B2440">
        <v>2015</v>
      </c>
      <c r="C2440" s="1">
        <v>42109</v>
      </c>
      <c r="D2440" t="s">
        <v>23</v>
      </c>
      <c r="E2440">
        <v>1</v>
      </c>
      <c r="F2440">
        <v>38</v>
      </c>
      <c r="G2440">
        <v>44</v>
      </c>
      <c r="H2440">
        <v>1</v>
      </c>
      <c r="I2440" t="s">
        <v>23</v>
      </c>
      <c r="J2440">
        <v>101</v>
      </c>
      <c r="K2440" t="s">
        <v>13</v>
      </c>
      <c r="L2440">
        <v>88</v>
      </c>
    </row>
    <row r="2441" spans="1:12" x14ac:dyDescent="0.25">
      <c r="A2441">
        <v>400579516</v>
      </c>
      <c r="B2441">
        <v>2015</v>
      </c>
      <c r="C2441" s="1">
        <v>42109</v>
      </c>
      <c r="D2441" t="s">
        <v>13</v>
      </c>
      <c r="E2441">
        <v>0</v>
      </c>
      <c r="F2441">
        <v>25</v>
      </c>
      <c r="G2441">
        <v>57</v>
      </c>
      <c r="H2441">
        <v>0</v>
      </c>
      <c r="I2441" t="s">
        <v>23</v>
      </c>
      <c r="J2441">
        <v>101</v>
      </c>
      <c r="K2441" t="s">
        <v>13</v>
      </c>
      <c r="L2441">
        <v>88</v>
      </c>
    </row>
    <row r="2442" spans="1:12" x14ac:dyDescent="0.25">
      <c r="A2442">
        <v>400579517</v>
      </c>
      <c r="B2442">
        <v>2015</v>
      </c>
      <c r="C2442" s="1">
        <v>42109</v>
      </c>
      <c r="D2442" t="s">
        <v>40</v>
      </c>
      <c r="E2442">
        <v>1</v>
      </c>
      <c r="F2442">
        <v>53</v>
      </c>
      <c r="G2442">
        <v>29</v>
      </c>
      <c r="H2442">
        <v>1</v>
      </c>
      <c r="I2442" t="s">
        <v>40</v>
      </c>
      <c r="J2442">
        <v>113</v>
      </c>
      <c r="K2442" t="s">
        <v>25</v>
      </c>
      <c r="L2442">
        <v>108</v>
      </c>
    </row>
    <row r="2443" spans="1:12" x14ac:dyDescent="0.25">
      <c r="A2443">
        <v>400579517</v>
      </c>
      <c r="B2443">
        <v>2015</v>
      </c>
      <c r="C2443" s="1">
        <v>42109</v>
      </c>
      <c r="D2443" t="s">
        <v>25</v>
      </c>
      <c r="E2443">
        <v>0</v>
      </c>
      <c r="F2443">
        <v>46</v>
      </c>
      <c r="G2443">
        <v>36</v>
      </c>
      <c r="H2443">
        <v>0</v>
      </c>
      <c r="I2443" t="s">
        <v>40</v>
      </c>
      <c r="J2443">
        <v>113</v>
      </c>
      <c r="K2443" t="s">
        <v>25</v>
      </c>
      <c r="L2443">
        <v>108</v>
      </c>
    </row>
    <row r="2444" spans="1:12" x14ac:dyDescent="0.25">
      <c r="A2444">
        <v>400579518</v>
      </c>
      <c r="B2444">
        <v>2015</v>
      </c>
      <c r="C2444" s="1">
        <v>42109</v>
      </c>
      <c r="D2444" t="s">
        <v>33</v>
      </c>
      <c r="E2444">
        <v>1</v>
      </c>
      <c r="F2444">
        <v>32</v>
      </c>
      <c r="G2444">
        <v>50</v>
      </c>
      <c r="H2444">
        <v>0</v>
      </c>
      <c r="I2444" t="s">
        <v>31</v>
      </c>
      <c r="J2444">
        <v>90</v>
      </c>
      <c r="K2444" t="s">
        <v>33</v>
      </c>
      <c r="L2444">
        <v>112</v>
      </c>
    </row>
    <row r="2445" spans="1:12" x14ac:dyDescent="0.25">
      <c r="A2445">
        <v>400579518</v>
      </c>
      <c r="B2445">
        <v>2015</v>
      </c>
      <c r="C2445" s="1">
        <v>42109</v>
      </c>
      <c r="D2445" t="s">
        <v>31</v>
      </c>
      <c r="E2445">
        <v>0</v>
      </c>
      <c r="F2445">
        <v>17</v>
      </c>
      <c r="G2445">
        <v>65</v>
      </c>
      <c r="H2445">
        <v>1</v>
      </c>
      <c r="I2445" t="s">
        <v>31</v>
      </c>
      <c r="J2445">
        <v>90</v>
      </c>
      <c r="K2445" t="s">
        <v>33</v>
      </c>
      <c r="L2445">
        <v>112</v>
      </c>
    </row>
    <row r="2446" spans="1:12" x14ac:dyDescent="0.25">
      <c r="A2446">
        <v>400579519</v>
      </c>
      <c r="B2446">
        <v>2015</v>
      </c>
      <c r="C2446" s="1">
        <v>42109</v>
      </c>
      <c r="D2446" t="s">
        <v>24</v>
      </c>
      <c r="E2446">
        <v>1</v>
      </c>
      <c r="F2446">
        <v>37</v>
      </c>
      <c r="G2446">
        <v>45</v>
      </c>
      <c r="H2446">
        <v>0</v>
      </c>
      <c r="I2446" t="s">
        <v>21</v>
      </c>
      <c r="J2446">
        <v>101</v>
      </c>
      <c r="K2446" t="s">
        <v>24</v>
      </c>
      <c r="L2446">
        <v>105</v>
      </c>
    </row>
    <row r="2447" spans="1:12" x14ac:dyDescent="0.25">
      <c r="A2447">
        <v>400579519</v>
      </c>
      <c r="B2447">
        <v>2015</v>
      </c>
      <c r="C2447" s="1">
        <v>42109</v>
      </c>
      <c r="D2447" t="s">
        <v>21</v>
      </c>
      <c r="E2447">
        <v>0</v>
      </c>
      <c r="F2447">
        <v>18</v>
      </c>
      <c r="G2447">
        <v>64</v>
      </c>
      <c r="H2447">
        <v>1</v>
      </c>
      <c r="I2447" t="s">
        <v>21</v>
      </c>
      <c r="J2447">
        <v>101</v>
      </c>
      <c r="K2447" t="s">
        <v>24</v>
      </c>
      <c r="L2447">
        <v>105</v>
      </c>
    </row>
    <row r="2448" spans="1:12" x14ac:dyDescent="0.25">
      <c r="A2448">
        <v>400579520</v>
      </c>
      <c r="B2448">
        <v>2015</v>
      </c>
      <c r="C2448" s="1">
        <v>42109</v>
      </c>
      <c r="D2448" t="s">
        <v>18</v>
      </c>
      <c r="E2448">
        <v>0</v>
      </c>
      <c r="F2448">
        <v>33</v>
      </c>
      <c r="G2448">
        <v>49</v>
      </c>
      <c r="H2448">
        <v>0</v>
      </c>
      <c r="I2448" t="s">
        <v>27</v>
      </c>
      <c r="J2448">
        <v>92</v>
      </c>
      <c r="K2448" t="s">
        <v>18</v>
      </c>
      <c r="L2448">
        <v>87</v>
      </c>
    </row>
    <row r="2449" spans="1:12" x14ac:dyDescent="0.25">
      <c r="A2449">
        <v>400579520</v>
      </c>
      <c r="B2449">
        <v>2015</v>
      </c>
      <c r="C2449" s="1">
        <v>42109</v>
      </c>
      <c r="D2449" t="s">
        <v>27</v>
      </c>
      <c r="E2449">
        <v>1</v>
      </c>
      <c r="F2449">
        <v>49</v>
      </c>
      <c r="G2449">
        <v>33</v>
      </c>
      <c r="H2449">
        <v>1</v>
      </c>
      <c r="I2449" t="s">
        <v>27</v>
      </c>
      <c r="J2449">
        <v>92</v>
      </c>
      <c r="K2449" t="s">
        <v>18</v>
      </c>
      <c r="L2449">
        <v>87</v>
      </c>
    </row>
    <row r="2450" spans="1:12" x14ac:dyDescent="0.25">
      <c r="A2450">
        <v>400579521</v>
      </c>
      <c r="B2450">
        <v>2015</v>
      </c>
      <c r="C2450" s="1">
        <v>42109</v>
      </c>
      <c r="D2450" t="s">
        <v>32</v>
      </c>
      <c r="E2450">
        <v>0</v>
      </c>
      <c r="F2450">
        <v>30</v>
      </c>
      <c r="G2450">
        <v>52</v>
      </c>
      <c r="H2450">
        <v>0</v>
      </c>
      <c r="I2450" t="s">
        <v>36</v>
      </c>
      <c r="J2450">
        <v>133</v>
      </c>
      <c r="K2450" t="s">
        <v>32</v>
      </c>
      <c r="L2450">
        <v>126</v>
      </c>
    </row>
    <row r="2451" spans="1:12" x14ac:dyDescent="0.25">
      <c r="A2451">
        <v>400579521</v>
      </c>
      <c r="B2451">
        <v>2015</v>
      </c>
      <c r="C2451" s="1">
        <v>42109</v>
      </c>
      <c r="D2451" t="s">
        <v>36</v>
      </c>
      <c r="E2451">
        <v>1</v>
      </c>
      <c r="F2451">
        <v>67</v>
      </c>
      <c r="G2451">
        <v>15</v>
      </c>
      <c r="H2451">
        <v>1</v>
      </c>
      <c r="I2451" t="s">
        <v>36</v>
      </c>
      <c r="J2451">
        <v>133</v>
      </c>
      <c r="K2451" t="s">
        <v>32</v>
      </c>
      <c r="L2451">
        <v>126</v>
      </c>
    </row>
    <row r="2452" spans="1:12" x14ac:dyDescent="0.25">
      <c r="A2452">
        <v>400579522</v>
      </c>
      <c r="B2452">
        <v>2015</v>
      </c>
      <c r="C2452" s="1">
        <v>42109</v>
      </c>
      <c r="D2452" t="s">
        <v>17</v>
      </c>
      <c r="E2452">
        <v>0</v>
      </c>
      <c r="F2452">
        <v>21</v>
      </c>
      <c r="G2452">
        <v>61</v>
      </c>
      <c r="H2452">
        <v>1</v>
      </c>
      <c r="I2452" t="s">
        <v>17</v>
      </c>
      <c r="J2452">
        <v>99</v>
      </c>
      <c r="K2452" t="s">
        <v>37</v>
      </c>
      <c r="L2452">
        <v>122</v>
      </c>
    </row>
    <row r="2453" spans="1:12" x14ac:dyDescent="0.25">
      <c r="A2453">
        <v>400579522</v>
      </c>
      <c r="B2453">
        <v>2015</v>
      </c>
      <c r="C2453" s="1">
        <v>42109</v>
      </c>
      <c r="D2453" t="s">
        <v>37</v>
      </c>
      <c r="E2453">
        <v>1</v>
      </c>
      <c r="F2453">
        <v>29</v>
      </c>
      <c r="G2453">
        <v>53</v>
      </c>
      <c r="H2453">
        <v>0</v>
      </c>
      <c r="I2453" t="s">
        <v>17</v>
      </c>
      <c r="J2453">
        <v>99</v>
      </c>
      <c r="K2453" t="s">
        <v>37</v>
      </c>
      <c r="L2453">
        <v>122</v>
      </c>
    </row>
    <row r="2454" spans="1:12" x14ac:dyDescent="0.25">
      <c r="A2454">
        <v>400755860</v>
      </c>
      <c r="B2454">
        <v>2015</v>
      </c>
      <c r="C2454" s="1">
        <v>42066</v>
      </c>
      <c r="D2454" t="s">
        <v>31</v>
      </c>
      <c r="E2454">
        <v>0</v>
      </c>
      <c r="F2454">
        <v>12</v>
      </c>
      <c r="G2454">
        <v>47</v>
      </c>
      <c r="H2454">
        <v>1</v>
      </c>
      <c r="I2454" t="s">
        <v>31</v>
      </c>
      <c r="J2454">
        <v>86</v>
      </c>
      <c r="K2454" t="s">
        <v>37</v>
      </c>
      <c r="L2454">
        <v>124</v>
      </c>
    </row>
    <row r="2455" spans="1:12" x14ac:dyDescent="0.25">
      <c r="A2455">
        <v>400755860</v>
      </c>
      <c r="B2455">
        <v>2015</v>
      </c>
      <c r="C2455" s="1">
        <v>42066</v>
      </c>
      <c r="D2455" t="s">
        <v>37</v>
      </c>
      <c r="E2455">
        <v>1</v>
      </c>
      <c r="F2455">
        <v>21</v>
      </c>
      <c r="G2455">
        <v>37</v>
      </c>
      <c r="H2455">
        <v>0</v>
      </c>
      <c r="I2455" t="s">
        <v>31</v>
      </c>
      <c r="J2455">
        <v>86</v>
      </c>
      <c r="K2455" t="s">
        <v>37</v>
      </c>
      <c r="L2455">
        <v>124</v>
      </c>
    </row>
    <row r="2456" spans="1:12" x14ac:dyDescent="0.25">
      <c r="A2456">
        <v>400755861</v>
      </c>
      <c r="B2456">
        <v>2015</v>
      </c>
      <c r="C2456" s="1">
        <v>42100</v>
      </c>
      <c r="D2456" t="s">
        <v>23</v>
      </c>
      <c r="E2456">
        <v>1</v>
      </c>
      <c r="F2456">
        <v>36</v>
      </c>
      <c r="G2456">
        <v>41</v>
      </c>
      <c r="H2456">
        <v>1</v>
      </c>
      <c r="I2456" t="s">
        <v>23</v>
      </c>
      <c r="J2456">
        <v>106</v>
      </c>
      <c r="K2456" t="s">
        <v>39</v>
      </c>
      <c r="L2456">
        <v>96</v>
      </c>
    </row>
    <row r="2457" spans="1:12" x14ac:dyDescent="0.25">
      <c r="A2457">
        <v>400755861</v>
      </c>
      <c r="B2457">
        <v>2015</v>
      </c>
      <c r="C2457" s="1">
        <v>42100</v>
      </c>
      <c r="D2457" t="s">
        <v>39</v>
      </c>
      <c r="E2457">
        <v>0</v>
      </c>
      <c r="F2457">
        <v>50</v>
      </c>
      <c r="G2457">
        <v>27</v>
      </c>
      <c r="H2457">
        <v>0</v>
      </c>
      <c r="I2457" t="s">
        <v>23</v>
      </c>
      <c r="J2457">
        <v>106</v>
      </c>
      <c r="K2457" t="s">
        <v>39</v>
      </c>
      <c r="L2457">
        <v>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1"/>
  <sheetViews>
    <sheetView tabSelected="1" workbookViewId="0"/>
  </sheetViews>
  <sheetFormatPr defaultRowHeight="15" customHeight="1" x14ac:dyDescent="0.25"/>
  <sheetData>
    <row r="1" spans="1:8" ht="15" customHeight="1" x14ac:dyDescent="0.25">
      <c r="A1" t="s">
        <v>69</v>
      </c>
      <c r="B1" t="s">
        <v>70</v>
      </c>
      <c r="C1" s="2" t="s">
        <v>45</v>
      </c>
      <c r="D1" s="2" t="s">
        <v>71</v>
      </c>
      <c r="E1" s="2" t="s">
        <v>72</v>
      </c>
      <c r="F1" s="2" t="s">
        <v>73</v>
      </c>
      <c r="G1" s="2" t="s">
        <v>74</v>
      </c>
      <c r="H1" s="2"/>
    </row>
    <row r="2" spans="1:8" ht="15" customHeight="1" x14ac:dyDescent="0.25">
      <c r="A2">
        <v>2015</v>
      </c>
      <c r="B2">
        <v>2016</v>
      </c>
      <c r="C2" t="s">
        <v>26</v>
      </c>
      <c r="D2">
        <v>49.5</v>
      </c>
      <c r="E2">
        <v>48</v>
      </c>
      <c r="F2" t="s">
        <v>48</v>
      </c>
      <c r="G2">
        <v>-1</v>
      </c>
    </row>
    <row r="3" spans="1:8" ht="15" customHeight="1" x14ac:dyDescent="0.25">
      <c r="A3">
        <v>2015</v>
      </c>
      <c r="B3">
        <v>2016</v>
      </c>
      <c r="C3" t="s">
        <v>22</v>
      </c>
      <c r="D3">
        <v>42.5</v>
      </c>
      <c r="E3">
        <v>48</v>
      </c>
      <c r="F3" t="s">
        <v>47</v>
      </c>
      <c r="G3">
        <v>1</v>
      </c>
    </row>
    <row r="4" spans="1:8" ht="15" customHeight="1" x14ac:dyDescent="0.25">
      <c r="A4">
        <v>2015</v>
      </c>
      <c r="B4">
        <v>2016</v>
      </c>
      <c r="C4" t="s">
        <v>23</v>
      </c>
      <c r="D4">
        <v>28.5</v>
      </c>
      <c r="E4">
        <v>21</v>
      </c>
      <c r="F4" t="s">
        <v>48</v>
      </c>
      <c r="G4">
        <v>-1</v>
      </c>
    </row>
    <row r="5" spans="1:8" ht="15" customHeight="1" x14ac:dyDescent="0.25">
      <c r="A5">
        <v>2015</v>
      </c>
      <c r="B5">
        <v>2016</v>
      </c>
      <c r="C5" t="s">
        <v>18</v>
      </c>
      <c r="D5">
        <v>32.5</v>
      </c>
      <c r="E5">
        <v>48</v>
      </c>
      <c r="F5" t="s">
        <v>47</v>
      </c>
      <c r="G5">
        <v>1</v>
      </c>
    </row>
    <row r="6" spans="1:8" ht="15" customHeight="1" x14ac:dyDescent="0.25">
      <c r="A6">
        <v>2015</v>
      </c>
      <c r="B6">
        <v>2016</v>
      </c>
      <c r="C6" t="s">
        <v>30</v>
      </c>
      <c r="D6">
        <v>49.5</v>
      </c>
      <c r="E6">
        <v>42</v>
      </c>
      <c r="F6" t="s">
        <v>48</v>
      </c>
      <c r="G6">
        <v>-1</v>
      </c>
    </row>
    <row r="7" spans="1:8" ht="15" customHeight="1" x14ac:dyDescent="0.25">
      <c r="A7">
        <v>2015</v>
      </c>
      <c r="B7">
        <v>2016</v>
      </c>
      <c r="C7" t="s">
        <v>40</v>
      </c>
      <c r="D7">
        <v>56.5</v>
      </c>
      <c r="E7">
        <v>57</v>
      </c>
      <c r="F7" t="s">
        <v>47</v>
      </c>
      <c r="G7">
        <v>1</v>
      </c>
    </row>
    <row r="8" spans="1:8" ht="15" customHeight="1" x14ac:dyDescent="0.25">
      <c r="A8">
        <v>2015</v>
      </c>
      <c r="B8">
        <v>2016</v>
      </c>
      <c r="C8" t="s">
        <v>14</v>
      </c>
      <c r="D8">
        <v>38.5</v>
      </c>
      <c r="E8">
        <v>42</v>
      </c>
      <c r="F8" t="s">
        <v>47</v>
      </c>
      <c r="G8">
        <v>1</v>
      </c>
    </row>
    <row r="9" spans="1:8" ht="15" customHeight="1" x14ac:dyDescent="0.25">
      <c r="A9">
        <v>2015</v>
      </c>
      <c r="B9">
        <v>2016</v>
      </c>
      <c r="C9" t="s">
        <v>32</v>
      </c>
      <c r="D9">
        <v>26.5</v>
      </c>
      <c r="E9">
        <v>33</v>
      </c>
      <c r="F9" t="s">
        <v>47</v>
      </c>
      <c r="G9">
        <v>1</v>
      </c>
    </row>
    <row r="10" spans="1:8" ht="15" customHeight="1" x14ac:dyDescent="0.25">
      <c r="A10">
        <v>2015</v>
      </c>
      <c r="B10">
        <v>2016</v>
      </c>
      <c r="C10" t="s">
        <v>33</v>
      </c>
      <c r="D10">
        <v>33.5</v>
      </c>
      <c r="E10">
        <v>44</v>
      </c>
      <c r="F10" t="s">
        <v>47</v>
      </c>
      <c r="G10">
        <v>1</v>
      </c>
    </row>
    <row r="11" spans="1:8" ht="15" customHeight="1" x14ac:dyDescent="0.25">
      <c r="A11">
        <v>2015</v>
      </c>
      <c r="B11">
        <v>2016</v>
      </c>
      <c r="C11" t="s">
        <v>36</v>
      </c>
      <c r="D11">
        <v>60.5</v>
      </c>
      <c r="E11">
        <v>73</v>
      </c>
      <c r="F11" t="s">
        <v>47</v>
      </c>
      <c r="G11">
        <v>1</v>
      </c>
    </row>
    <row r="12" spans="1:8" ht="15" customHeight="1" x14ac:dyDescent="0.25">
      <c r="A12">
        <v>2015</v>
      </c>
      <c r="B12">
        <v>2016</v>
      </c>
      <c r="C12" t="s">
        <v>16</v>
      </c>
      <c r="D12">
        <v>54.5</v>
      </c>
      <c r="E12">
        <v>41</v>
      </c>
      <c r="F12" t="s">
        <v>48</v>
      </c>
      <c r="G12">
        <v>-1</v>
      </c>
    </row>
    <row r="13" spans="1:8" ht="15" customHeight="1" x14ac:dyDescent="0.25">
      <c r="A13">
        <v>2015</v>
      </c>
      <c r="B13">
        <v>2016</v>
      </c>
      <c r="C13" t="s">
        <v>20</v>
      </c>
      <c r="D13">
        <v>42.5</v>
      </c>
      <c r="E13">
        <v>45</v>
      </c>
      <c r="F13" t="s">
        <v>47</v>
      </c>
      <c r="G13">
        <v>1</v>
      </c>
    </row>
    <row r="14" spans="1:8" ht="15" customHeight="1" x14ac:dyDescent="0.25">
      <c r="A14">
        <v>2015</v>
      </c>
      <c r="B14">
        <v>2016</v>
      </c>
      <c r="C14" t="s">
        <v>41</v>
      </c>
      <c r="D14">
        <v>56.5</v>
      </c>
      <c r="E14">
        <v>53</v>
      </c>
      <c r="F14" t="s">
        <v>48</v>
      </c>
      <c r="G14">
        <v>-1</v>
      </c>
    </row>
    <row r="15" spans="1:8" ht="15" customHeight="1" x14ac:dyDescent="0.25">
      <c r="A15">
        <v>2015</v>
      </c>
      <c r="B15">
        <v>2016</v>
      </c>
      <c r="C15" t="s">
        <v>17</v>
      </c>
      <c r="D15">
        <v>29.5</v>
      </c>
      <c r="E15">
        <v>17</v>
      </c>
      <c r="F15" t="s">
        <v>48</v>
      </c>
      <c r="G15">
        <v>-1</v>
      </c>
    </row>
    <row r="16" spans="1:8" ht="15" customHeight="1" x14ac:dyDescent="0.25">
      <c r="A16">
        <v>2015</v>
      </c>
      <c r="B16">
        <v>2016</v>
      </c>
      <c r="C16" t="s">
        <v>28</v>
      </c>
      <c r="D16">
        <v>50.5</v>
      </c>
      <c r="E16">
        <v>42</v>
      </c>
      <c r="F16" t="s">
        <v>48</v>
      </c>
      <c r="G16">
        <v>-1</v>
      </c>
    </row>
    <row r="17" spans="1:7" ht="15" customHeight="1" x14ac:dyDescent="0.25">
      <c r="A17">
        <v>2015</v>
      </c>
      <c r="B17">
        <v>2016</v>
      </c>
      <c r="C17" t="s">
        <v>24</v>
      </c>
      <c r="D17">
        <v>45.5</v>
      </c>
      <c r="E17">
        <v>48</v>
      </c>
      <c r="F17" t="s">
        <v>47</v>
      </c>
      <c r="G17">
        <v>1</v>
      </c>
    </row>
    <row r="18" spans="1:7" ht="15" customHeight="1" x14ac:dyDescent="0.25">
      <c r="A18">
        <v>2015</v>
      </c>
      <c r="B18">
        <v>2016</v>
      </c>
      <c r="C18" t="s">
        <v>19</v>
      </c>
      <c r="D18">
        <v>43.5</v>
      </c>
      <c r="E18">
        <v>33</v>
      </c>
      <c r="F18" t="s">
        <v>48</v>
      </c>
      <c r="G18">
        <v>-1</v>
      </c>
    </row>
    <row r="19" spans="1:7" ht="15" customHeight="1" x14ac:dyDescent="0.25">
      <c r="A19">
        <v>2015</v>
      </c>
      <c r="B19">
        <v>2016</v>
      </c>
      <c r="C19" t="s">
        <v>29</v>
      </c>
      <c r="D19">
        <v>25.5</v>
      </c>
      <c r="E19">
        <v>29</v>
      </c>
      <c r="F19" t="s">
        <v>47</v>
      </c>
      <c r="G19">
        <v>1</v>
      </c>
    </row>
    <row r="20" spans="1:7" ht="15" customHeight="1" x14ac:dyDescent="0.25">
      <c r="A20">
        <v>2015</v>
      </c>
      <c r="B20">
        <v>2016</v>
      </c>
      <c r="C20" t="s">
        <v>12</v>
      </c>
      <c r="D20">
        <v>47.5</v>
      </c>
      <c r="E20">
        <v>30</v>
      </c>
      <c r="F20" t="s">
        <v>48</v>
      </c>
      <c r="G20">
        <v>-1</v>
      </c>
    </row>
    <row r="21" spans="1:7" ht="15" customHeight="1" x14ac:dyDescent="0.25">
      <c r="A21">
        <v>2015</v>
      </c>
      <c r="B21">
        <v>2016</v>
      </c>
      <c r="C21" t="s">
        <v>31</v>
      </c>
      <c r="D21">
        <v>31.5</v>
      </c>
      <c r="E21">
        <v>32</v>
      </c>
      <c r="F21" t="s">
        <v>47</v>
      </c>
      <c r="G21">
        <v>1</v>
      </c>
    </row>
    <row r="22" spans="1:7" ht="15" customHeight="1" x14ac:dyDescent="0.25">
      <c r="A22">
        <v>2015</v>
      </c>
      <c r="B22">
        <v>2016</v>
      </c>
      <c r="C22" t="s">
        <v>38</v>
      </c>
      <c r="D22">
        <v>57.5</v>
      </c>
      <c r="E22">
        <v>55</v>
      </c>
      <c r="F22" t="s">
        <v>48</v>
      </c>
      <c r="G22">
        <v>-1</v>
      </c>
    </row>
    <row r="23" spans="1:7" ht="15" customHeight="1" x14ac:dyDescent="0.25">
      <c r="A23">
        <v>2015</v>
      </c>
      <c r="B23">
        <v>2016</v>
      </c>
      <c r="C23" t="s">
        <v>13</v>
      </c>
      <c r="D23">
        <v>32.5</v>
      </c>
      <c r="E23">
        <v>35</v>
      </c>
      <c r="F23" t="s">
        <v>47</v>
      </c>
      <c r="G23">
        <v>1</v>
      </c>
    </row>
    <row r="24" spans="1:7" ht="15" customHeight="1" x14ac:dyDescent="0.25">
      <c r="A24">
        <v>2015</v>
      </c>
      <c r="B24">
        <v>2016</v>
      </c>
      <c r="C24" t="s">
        <v>21</v>
      </c>
      <c r="D24">
        <v>21.5</v>
      </c>
      <c r="E24">
        <v>10</v>
      </c>
      <c r="F24" t="s">
        <v>48</v>
      </c>
      <c r="G24">
        <v>-1</v>
      </c>
    </row>
    <row r="25" spans="1:7" ht="15" customHeight="1" x14ac:dyDescent="0.25">
      <c r="A25">
        <v>2015</v>
      </c>
      <c r="B25">
        <v>2016</v>
      </c>
      <c r="C25" t="s">
        <v>35</v>
      </c>
      <c r="D25">
        <v>36.5</v>
      </c>
      <c r="E25">
        <v>23</v>
      </c>
      <c r="F25" t="s">
        <v>48</v>
      </c>
      <c r="G25">
        <v>-1</v>
      </c>
    </row>
    <row r="26" spans="1:7" ht="15" customHeight="1" x14ac:dyDescent="0.25">
      <c r="A26">
        <v>2015</v>
      </c>
      <c r="B26">
        <v>2016</v>
      </c>
      <c r="C26" t="s">
        <v>39</v>
      </c>
      <c r="D26">
        <v>26.5</v>
      </c>
      <c r="E26">
        <v>44</v>
      </c>
      <c r="F26" t="s">
        <v>47</v>
      </c>
      <c r="G26">
        <v>1</v>
      </c>
    </row>
    <row r="27" spans="1:7" ht="15" customHeight="1" x14ac:dyDescent="0.25">
      <c r="A27">
        <v>2015</v>
      </c>
      <c r="B27">
        <v>2016</v>
      </c>
      <c r="C27" t="s">
        <v>37</v>
      </c>
      <c r="D27">
        <v>30.5</v>
      </c>
      <c r="E27">
        <v>33</v>
      </c>
      <c r="F27" t="s">
        <v>47</v>
      </c>
      <c r="G27">
        <v>1</v>
      </c>
    </row>
    <row r="28" spans="1:7" ht="15" customHeight="1" x14ac:dyDescent="0.25">
      <c r="A28">
        <v>2015</v>
      </c>
      <c r="B28">
        <v>2016</v>
      </c>
      <c r="C28" t="s">
        <v>15</v>
      </c>
      <c r="D28">
        <v>58.5</v>
      </c>
      <c r="E28">
        <v>67</v>
      </c>
      <c r="F28" t="s">
        <v>47</v>
      </c>
      <c r="G28">
        <v>1</v>
      </c>
    </row>
    <row r="29" spans="1:7" ht="15" customHeight="1" x14ac:dyDescent="0.25">
      <c r="A29">
        <v>2015</v>
      </c>
      <c r="B29">
        <v>2016</v>
      </c>
      <c r="C29" t="s">
        <v>27</v>
      </c>
      <c r="D29">
        <v>45.5</v>
      </c>
      <c r="E29">
        <v>56</v>
      </c>
      <c r="F29" t="s">
        <v>47</v>
      </c>
      <c r="G29">
        <v>1</v>
      </c>
    </row>
    <row r="30" spans="1:7" ht="15" customHeight="1" x14ac:dyDescent="0.25">
      <c r="A30">
        <v>2015</v>
      </c>
      <c r="B30">
        <v>2016</v>
      </c>
      <c r="C30" t="s">
        <v>34</v>
      </c>
      <c r="D30">
        <v>40.5</v>
      </c>
      <c r="E30">
        <v>40</v>
      </c>
      <c r="F30" t="s">
        <v>48</v>
      </c>
      <c r="G30">
        <v>-1</v>
      </c>
    </row>
    <row r="31" spans="1:7" ht="15" customHeight="1" x14ac:dyDescent="0.25">
      <c r="A31">
        <v>2015</v>
      </c>
      <c r="B31">
        <v>2016</v>
      </c>
      <c r="C31" t="s">
        <v>25</v>
      </c>
      <c r="D31">
        <v>45.5</v>
      </c>
      <c r="E31">
        <v>41</v>
      </c>
      <c r="F31" t="s">
        <v>48</v>
      </c>
      <c r="G31">
        <v>-1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1"/>
  <sheetViews>
    <sheetView workbookViewId="0">
      <selection activeCell="F2" sqref="F2"/>
    </sheetView>
  </sheetViews>
  <sheetFormatPr defaultRowHeight="15" x14ac:dyDescent="0.25"/>
  <sheetData>
    <row r="1" spans="1:7" x14ac:dyDescent="0.25">
      <c r="A1" t="s">
        <v>46</v>
      </c>
      <c r="B1" t="s">
        <v>45</v>
      </c>
      <c r="C1" t="s">
        <v>42</v>
      </c>
      <c r="D1" t="s">
        <v>43</v>
      </c>
      <c r="E1" t="s">
        <v>44</v>
      </c>
      <c r="F1" t="s">
        <v>51</v>
      </c>
      <c r="G1" t="s">
        <v>50</v>
      </c>
    </row>
    <row r="2" spans="1:7" x14ac:dyDescent="0.25">
      <c r="A2">
        <v>1</v>
      </c>
      <c r="B2" t="s">
        <v>26</v>
      </c>
      <c r="C2">
        <v>49.5</v>
      </c>
      <c r="D2" t="s">
        <v>47</v>
      </c>
      <c r="E2">
        <v>22</v>
      </c>
      <c r="F2">
        <f>ROUND(IF(D2="O",C2+(3-E2*1/10),C2-(3-E2*1/10)),0)</f>
        <v>50</v>
      </c>
      <c r="G2">
        <f>RANK(F2,F$2:F$31)</f>
        <v>9</v>
      </c>
    </row>
    <row r="3" spans="1:7" x14ac:dyDescent="0.25">
      <c r="A3">
        <v>2</v>
      </c>
      <c r="B3" t="s">
        <v>22</v>
      </c>
      <c r="C3">
        <v>42.5</v>
      </c>
      <c r="D3" t="s">
        <v>47</v>
      </c>
      <c r="E3">
        <v>2</v>
      </c>
      <c r="F3">
        <f t="shared" ref="F3:F31" si="0">ROUND(IF(D3="O",C3+(3-E3*1/10),C3-(3-E3*1/10)),0)</f>
        <v>45</v>
      </c>
      <c r="G3">
        <f t="shared" ref="G3:G31" si="1">RANK(F3,F$2:F$31)</f>
        <v>13</v>
      </c>
    </row>
    <row r="4" spans="1:7" x14ac:dyDescent="0.25">
      <c r="A4">
        <v>3</v>
      </c>
      <c r="B4" t="s">
        <v>23</v>
      </c>
      <c r="C4">
        <v>28.5</v>
      </c>
      <c r="D4" t="s">
        <v>48</v>
      </c>
      <c r="E4">
        <v>16</v>
      </c>
      <c r="F4">
        <f t="shared" si="0"/>
        <v>27</v>
      </c>
      <c r="G4">
        <f t="shared" si="1"/>
        <v>25</v>
      </c>
    </row>
    <row r="5" spans="1:7" x14ac:dyDescent="0.25">
      <c r="A5">
        <v>4</v>
      </c>
      <c r="B5" t="s">
        <v>18</v>
      </c>
      <c r="C5">
        <v>32.5</v>
      </c>
      <c r="D5" t="s">
        <v>48</v>
      </c>
      <c r="E5">
        <v>1</v>
      </c>
      <c r="F5">
        <f t="shared" si="0"/>
        <v>30</v>
      </c>
      <c r="G5">
        <f t="shared" si="1"/>
        <v>23</v>
      </c>
    </row>
    <row r="6" spans="1:7" x14ac:dyDescent="0.25">
      <c r="A6">
        <v>5</v>
      </c>
      <c r="B6" t="s">
        <v>30</v>
      </c>
      <c r="C6">
        <v>49.5</v>
      </c>
      <c r="D6" t="s">
        <v>47</v>
      </c>
      <c r="E6">
        <v>15</v>
      </c>
      <c r="F6">
        <f t="shared" si="0"/>
        <v>51</v>
      </c>
      <c r="G6">
        <f t="shared" si="1"/>
        <v>8</v>
      </c>
    </row>
    <row r="7" spans="1:7" x14ac:dyDescent="0.25">
      <c r="A7">
        <v>6</v>
      </c>
      <c r="B7" t="s">
        <v>40</v>
      </c>
      <c r="C7">
        <v>56.5</v>
      </c>
      <c r="D7" t="s">
        <v>48</v>
      </c>
      <c r="E7">
        <v>8</v>
      </c>
      <c r="F7">
        <f t="shared" si="0"/>
        <v>54</v>
      </c>
      <c r="G7">
        <f t="shared" si="1"/>
        <v>7</v>
      </c>
    </row>
    <row r="8" spans="1:7" x14ac:dyDescent="0.25">
      <c r="A8">
        <v>7</v>
      </c>
      <c r="B8" t="s">
        <v>14</v>
      </c>
      <c r="C8">
        <v>38.5</v>
      </c>
      <c r="D8" t="s">
        <v>48</v>
      </c>
      <c r="E8">
        <v>13</v>
      </c>
      <c r="F8">
        <f t="shared" si="0"/>
        <v>37</v>
      </c>
      <c r="G8">
        <f t="shared" si="1"/>
        <v>18</v>
      </c>
    </row>
    <row r="9" spans="1:7" x14ac:dyDescent="0.25">
      <c r="A9">
        <v>8</v>
      </c>
      <c r="B9" t="s">
        <v>32</v>
      </c>
      <c r="C9">
        <v>26.5</v>
      </c>
      <c r="D9" t="s">
        <v>48</v>
      </c>
      <c r="E9">
        <v>17</v>
      </c>
      <c r="F9">
        <f t="shared" si="0"/>
        <v>25</v>
      </c>
      <c r="G9">
        <f t="shared" si="1"/>
        <v>28</v>
      </c>
    </row>
    <row r="10" spans="1:7" x14ac:dyDescent="0.25">
      <c r="A10">
        <v>9</v>
      </c>
      <c r="B10" t="s">
        <v>33</v>
      </c>
      <c r="C10">
        <v>33.5</v>
      </c>
      <c r="D10" t="s">
        <v>47</v>
      </c>
      <c r="E10">
        <v>12</v>
      </c>
      <c r="F10">
        <f t="shared" si="0"/>
        <v>35</v>
      </c>
      <c r="G10">
        <f t="shared" si="1"/>
        <v>19</v>
      </c>
    </row>
    <row r="11" spans="1:7" x14ac:dyDescent="0.25">
      <c r="A11">
        <v>10</v>
      </c>
      <c r="B11" t="s">
        <v>36</v>
      </c>
      <c r="C11">
        <v>60.5</v>
      </c>
      <c r="D11" t="s">
        <v>48</v>
      </c>
      <c r="E11">
        <v>20</v>
      </c>
      <c r="F11">
        <f t="shared" si="0"/>
        <v>60</v>
      </c>
      <c r="G11">
        <f t="shared" si="1"/>
        <v>1</v>
      </c>
    </row>
    <row r="12" spans="1:7" x14ac:dyDescent="0.25">
      <c r="A12">
        <v>11</v>
      </c>
      <c r="B12" t="s">
        <v>16</v>
      </c>
      <c r="C12">
        <v>54.5</v>
      </c>
      <c r="D12" t="s">
        <v>47</v>
      </c>
      <c r="E12">
        <v>6</v>
      </c>
      <c r="F12">
        <f t="shared" si="0"/>
        <v>57</v>
      </c>
      <c r="G12">
        <f t="shared" si="1"/>
        <v>3</v>
      </c>
    </row>
    <row r="13" spans="1:7" x14ac:dyDescent="0.25">
      <c r="A13">
        <v>12</v>
      </c>
      <c r="B13" t="s">
        <v>20</v>
      </c>
      <c r="C13">
        <v>42.5</v>
      </c>
      <c r="D13" t="s">
        <v>47</v>
      </c>
      <c r="E13">
        <v>28</v>
      </c>
      <c r="F13">
        <f t="shared" si="0"/>
        <v>43</v>
      </c>
      <c r="G13">
        <f t="shared" si="1"/>
        <v>16</v>
      </c>
    </row>
    <row r="14" spans="1:7" x14ac:dyDescent="0.25">
      <c r="A14">
        <v>13</v>
      </c>
      <c r="B14" t="s">
        <v>41</v>
      </c>
      <c r="C14">
        <v>56.5</v>
      </c>
      <c r="D14" t="s">
        <v>48</v>
      </c>
      <c r="E14">
        <v>25</v>
      </c>
      <c r="F14">
        <f t="shared" si="0"/>
        <v>56</v>
      </c>
      <c r="G14">
        <f t="shared" si="1"/>
        <v>5</v>
      </c>
    </row>
    <row r="15" spans="1:7" x14ac:dyDescent="0.25">
      <c r="A15">
        <v>14</v>
      </c>
      <c r="B15" t="s">
        <v>17</v>
      </c>
      <c r="C15">
        <v>29.5</v>
      </c>
      <c r="D15" t="s">
        <v>48</v>
      </c>
      <c r="E15">
        <v>7</v>
      </c>
      <c r="F15">
        <f t="shared" si="0"/>
        <v>27</v>
      </c>
      <c r="G15">
        <f t="shared" si="1"/>
        <v>25</v>
      </c>
    </row>
    <row r="16" spans="1:7" x14ac:dyDescent="0.25">
      <c r="A16">
        <v>15</v>
      </c>
      <c r="B16" t="s">
        <v>28</v>
      </c>
      <c r="C16">
        <v>50.5</v>
      </c>
      <c r="D16" t="s">
        <v>48</v>
      </c>
      <c r="E16">
        <v>26</v>
      </c>
      <c r="F16">
        <f t="shared" si="0"/>
        <v>50</v>
      </c>
      <c r="G16">
        <f t="shared" si="1"/>
        <v>9</v>
      </c>
    </row>
    <row r="17" spans="1:7" x14ac:dyDescent="0.25">
      <c r="A17">
        <v>16</v>
      </c>
      <c r="B17" t="s">
        <v>24</v>
      </c>
      <c r="C17">
        <v>45.5</v>
      </c>
      <c r="D17" t="s">
        <v>47</v>
      </c>
      <c r="E17">
        <v>14</v>
      </c>
      <c r="F17">
        <f t="shared" si="0"/>
        <v>47</v>
      </c>
      <c r="G17">
        <f t="shared" si="1"/>
        <v>12</v>
      </c>
    </row>
    <row r="18" spans="1:7" x14ac:dyDescent="0.25">
      <c r="A18">
        <v>17</v>
      </c>
      <c r="B18" t="s">
        <v>19</v>
      </c>
      <c r="C18">
        <v>56.5</v>
      </c>
      <c r="D18" t="s">
        <v>47</v>
      </c>
      <c r="E18">
        <v>30</v>
      </c>
      <c r="F18">
        <f t="shared" si="0"/>
        <v>57</v>
      </c>
      <c r="G18">
        <f t="shared" si="1"/>
        <v>3</v>
      </c>
    </row>
    <row r="19" spans="1:7" x14ac:dyDescent="0.25">
      <c r="A19">
        <v>18</v>
      </c>
      <c r="B19" t="s">
        <v>29</v>
      </c>
      <c r="C19">
        <v>25.5</v>
      </c>
      <c r="D19" t="s">
        <v>48</v>
      </c>
      <c r="E19">
        <v>11</v>
      </c>
      <c r="F19">
        <f t="shared" si="0"/>
        <v>24</v>
      </c>
      <c r="G19">
        <f t="shared" si="1"/>
        <v>29</v>
      </c>
    </row>
    <row r="20" spans="1:7" x14ac:dyDescent="0.25">
      <c r="A20">
        <v>19</v>
      </c>
      <c r="B20" t="s">
        <v>12</v>
      </c>
      <c r="C20">
        <v>47.5</v>
      </c>
      <c r="D20" t="s">
        <v>48</v>
      </c>
      <c r="E20">
        <v>4</v>
      </c>
      <c r="F20">
        <f t="shared" si="0"/>
        <v>45</v>
      </c>
      <c r="G20">
        <f t="shared" si="1"/>
        <v>13</v>
      </c>
    </row>
    <row r="21" spans="1:7" x14ac:dyDescent="0.25">
      <c r="A21">
        <v>20</v>
      </c>
      <c r="B21" t="s">
        <v>31</v>
      </c>
      <c r="C21">
        <v>31.5</v>
      </c>
      <c r="D21" t="s">
        <v>48</v>
      </c>
      <c r="E21">
        <v>18</v>
      </c>
      <c r="F21">
        <f t="shared" si="0"/>
        <v>30</v>
      </c>
      <c r="G21">
        <f t="shared" si="1"/>
        <v>23</v>
      </c>
    </row>
    <row r="22" spans="1:7" x14ac:dyDescent="0.25">
      <c r="A22">
        <v>21</v>
      </c>
      <c r="B22" t="s">
        <v>38</v>
      </c>
      <c r="C22">
        <v>57.5</v>
      </c>
      <c r="D22" t="s">
        <v>47</v>
      </c>
      <c r="E22">
        <v>21</v>
      </c>
      <c r="F22">
        <f t="shared" si="0"/>
        <v>58</v>
      </c>
      <c r="G22">
        <f t="shared" si="1"/>
        <v>2</v>
      </c>
    </row>
    <row r="23" spans="1:7" x14ac:dyDescent="0.25">
      <c r="A23">
        <v>22</v>
      </c>
      <c r="B23" t="s">
        <v>13</v>
      </c>
      <c r="C23">
        <v>32.5</v>
      </c>
      <c r="D23" t="s">
        <v>47</v>
      </c>
      <c r="E23">
        <v>9</v>
      </c>
      <c r="F23">
        <f t="shared" si="0"/>
        <v>35</v>
      </c>
      <c r="G23">
        <f t="shared" si="1"/>
        <v>19</v>
      </c>
    </row>
    <row r="24" spans="1:7" x14ac:dyDescent="0.25">
      <c r="A24">
        <v>23</v>
      </c>
      <c r="B24" t="s">
        <v>21</v>
      </c>
      <c r="C24">
        <v>21.5</v>
      </c>
      <c r="D24" t="s">
        <v>48</v>
      </c>
      <c r="E24">
        <v>23</v>
      </c>
      <c r="F24">
        <f t="shared" si="0"/>
        <v>21</v>
      </c>
      <c r="G24">
        <f t="shared" si="1"/>
        <v>30</v>
      </c>
    </row>
    <row r="25" spans="1:7" x14ac:dyDescent="0.25">
      <c r="A25">
        <v>24</v>
      </c>
      <c r="B25" t="s">
        <v>35</v>
      </c>
      <c r="C25">
        <v>36.5</v>
      </c>
      <c r="D25" t="s">
        <v>48</v>
      </c>
      <c r="E25">
        <v>19</v>
      </c>
      <c r="F25">
        <f t="shared" si="0"/>
        <v>35</v>
      </c>
      <c r="G25">
        <f t="shared" si="1"/>
        <v>19</v>
      </c>
    </row>
    <row r="26" spans="1:7" x14ac:dyDescent="0.25">
      <c r="A26">
        <v>25</v>
      </c>
      <c r="B26" t="s">
        <v>39</v>
      </c>
      <c r="C26">
        <v>26.5</v>
      </c>
      <c r="D26" t="s">
        <v>47</v>
      </c>
      <c r="E26">
        <v>24</v>
      </c>
      <c r="F26">
        <f t="shared" si="0"/>
        <v>27</v>
      </c>
      <c r="G26">
        <f t="shared" si="1"/>
        <v>25</v>
      </c>
    </row>
    <row r="27" spans="1:7" x14ac:dyDescent="0.25">
      <c r="A27">
        <v>26</v>
      </c>
      <c r="B27" t="s">
        <v>37</v>
      </c>
      <c r="C27">
        <v>30.5</v>
      </c>
      <c r="D27" t="s">
        <v>47</v>
      </c>
      <c r="E27">
        <v>29</v>
      </c>
      <c r="F27">
        <f t="shared" si="0"/>
        <v>31</v>
      </c>
      <c r="G27">
        <f t="shared" si="1"/>
        <v>22</v>
      </c>
    </row>
    <row r="28" spans="1:7" x14ac:dyDescent="0.25">
      <c r="A28">
        <v>27</v>
      </c>
      <c r="B28" t="s">
        <v>15</v>
      </c>
      <c r="C28">
        <v>58.5</v>
      </c>
      <c r="D28" t="s">
        <v>48</v>
      </c>
      <c r="E28">
        <v>3</v>
      </c>
      <c r="F28">
        <f t="shared" si="0"/>
        <v>56</v>
      </c>
      <c r="G28">
        <f t="shared" si="1"/>
        <v>5</v>
      </c>
    </row>
    <row r="29" spans="1:7" x14ac:dyDescent="0.25">
      <c r="A29">
        <v>28</v>
      </c>
      <c r="B29" t="s">
        <v>27</v>
      </c>
      <c r="C29">
        <v>45.5</v>
      </c>
      <c r="D29" t="s">
        <v>48</v>
      </c>
      <c r="E29">
        <v>27</v>
      </c>
      <c r="F29">
        <f t="shared" si="0"/>
        <v>45</v>
      </c>
      <c r="G29">
        <f t="shared" si="1"/>
        <v>13</v>
      </c>
    </row>
    <row r="30" spans="1:7" x14ac:dyDescent="0.25">
      <c r="A30">
        <v>29</v>
      </c>
      <c r="B30" t="s">
        <v>34</v>
      </c>
      <c r="C30">
        <v>40.5</v>
      </c>
      <c r="D30" t="s">
        <v>47</v>
      </c>
      <c r="E30">
        <v>10</v>
      </c>
      <c r="F30">
        <f t="shared" si="0"/>
        <v>43</v>
      </c>
      <c r="G30">
        <f t="shared" si="1"/>
        <v>16</v>
      </c>
    </row>
    <row r="31" spans="1:7" x14ac:dyDescent="0.25">
      <c r="A31">
        <v>30</v>
      </c>
      <c r="B31" t="s">
        <v>25</v>
      </c>
      <c r="C31">
        <v>45.5</v>
      </c>
      <c r="D31" t="s">
        <v>47</v>
      </c>
      <c r="E31">
        <v>5</v>
      </c>
      <c r="F31">
        <f t="shared" si="0"/>
        <v>48</v>
      </c>
      <c r="G31">
        <f t="shared" si="1"/>
        <v>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49"/>
  <sheetViews>
    <sheetView zoomScaleNormal="100" workbookViewId="0">
      <selection activeCell="S80" sqref="S80"/>
    </sheetView>
  </sheetViews>
  <sheetFormatPr defaultRowHeight="15" x14ac:dyDescent="0.25"/>
  <cols>
    <col min="2" max="32" width="5.7109375" customWidth="1"/>
  </cols>
  <sheetData>
    <row r="1" spans="1:31" x14ac:dyDescent="0.25">
      <c r="A1" t="s">
        <v>78</v>
      </c>
    </row>
    <row r="2" spans="1:31" x14ac:dyDescent="0.25">
      <c r="B2" t="s">
        <v>26</v>
      </c>
      <c r="C2" t="s">
        <v>23</v>
      </c>
      <c r="D2" t="s">
        <v>22</v>
      </c>
      <c r="E2" t="s">
        <v>18</v>
      </c>
      <c r="F2" t="s">
        <v>30</v>
      </c>
      <c r="G2" t="s">
        <v>40</v>
      </c>
      <c r="H2" t="s">
        <v>14</v>
      </c>
      <c r="I2" t="s">
        <v>32</v>
      </c>
      <c r="J2" t="s">
        <v>33</v>
      </c>
      <c r="K2" t="s">
        <v>36</v>
      </c>
      <c r="L2" t="s">
        <v>16</v>
      </c>
      <c r="M2" t="s">
        <v>20</v>
      </c>
      <c r="N2" t="s">
        <v>41</v>
      </c>
      <c r="O2" t="s">
        <v>17</v>
      </c>
      <c r="P2" t="s">
        <v>28</v>
      </c>
      <c r="Q2" t="s">
        <v>24</v>
      </c>
      <c r="R2" t="s">
        <v>19</v>
      </c>
      <c r="S2" t="s">
        <v>29</v>
      </c>
      <c r="T2" t="s">
        <v>12</v>
      </c>
      <c r="U2" t="s">
        <v>31</v>
      </c>
      <c r="V2" t="s">
        <v>38</v>
      </c>
      <c r="W2" t="s">
        <v>13</v>
      </c>
      <c r="X2" t="s">
        <v>21</v>
      </c>
      <c r="Y2" t="s">
        <v>35</v>
      </c>
      <c r="Z2" t="s">
        <v>39</v>
      </c>
      <c r="AA2" t="s">
        <v>15</v>
      </c>
      <c r="AB2" t="s">
        <v>37</v>
      </c>
      <c r="AC2" t="s">
        <v>27</v>
      </c>
      <c r="AD2" t="s">
        <v>34</v>
      </c>
      <c r="AE2" t="s">
        <v>25</v>
      </c>
    </row>
    <row r="3" spans="1:31" x14ac:dyDescent="0.25">
      <c r="A3" t="s">
        <v>26</v>
      </c>
      <c r="B3">
        <v>0</v>
      </c>
      <c r="C3">
        <v>4</v>
      </c>
      <c r="D3">
        <v>2</v>
      </c>
      <c r="E3">
        <v>2</v>
      </c>
      <c r="F3">
        <v>2</v>
      </c>
      <c r="G3">
        <v>3</v>
      </c>
      <c r="H3">
        <v>2</v>
      </c>
      <c r="I3">
        <v>1</v>
      </c>
      <c r="J3">
        <v>3</v>
      </c>
      <c r="K3">
        <v>1</v>
      </c>
      <c r="L3">
        <v>2</v>
      </c>
      <c r="M3">
        <v>3</v>
      </c>
      <c r="N3">
        <v>2</v>
      </c>
      <c r="O3">
        <v>1</v>
      </c>
      <c r="P3">
        <v>1</v>
      </c>
      <c r="Q3">
        <v>4</v>
      </c>
      <c r="R3">
        <v>3</v>
      </c>
      <c r="S3">
        <v>2</v>
      </c>
      <c r="T3">
        <v>1</v>
      </c>
      <c r="U3">
        <v>2</v>
      </c>
      <c r="V3">
        <v>1</v>
      </c>
      <c r="W3">
        <v>3</v>
      </c>
      <c r="X3">
        <v>3</v>
      </c>
      <c r="Y3">
        <v>2</v>
      </c>
      <c r="Z3">
        <v>2</v>
      </c>
      <c r="AA3">
        <v>0</v>
      </c>
      <c r="AB3">
        <v>2</v>
      </c>
      <c r="AC3">
        <v>1</v>
      </c>
      <c r="AD3">
        <v>2</v>
      </c>
      <c r="AE3">
        <v>3</v>
      </c>
    </row>
    <row r="4" spans="1:31" x14ac:dyDescent="0.25">
      <c r="A4" t="s">
        <v>23</v>
      </c>
      <c r="B4">
        <v>0</v>
      </c>
      <c r="C4">
        <v>0</v>
      </c>
      <c r="D4">
        <v>1</v>
      </c>
      <c r="E4">
        <v>2</v>
      </c>
      <c r="F4">
        <v>1</v>
      </c>
      <c r="G4">
        <v>1</v>
      </c>
      <c r="H4">
        <v>1</v>
      </c>
      <c r="I4">
        <v>2</v>
      </c>
      <c r="J4">
        <v>2</v>
      </c>
      <c r="K4">
        <v>1</v>
      </c>
      <c r="L4">
        <v>0</v>
      </c>
      <c r="M4">
        <v>2</v>
      </c>
      <c r="N4">
        <v>1</v>
      </c>
      <c r="O4">
        <v>2</v>
      </c>
      <c r="P4">
        <v>0</v>
      </c>
      <c r="Q4">
        <v>0</v>
      </c>
      <c r="R4">
        <v>1</v>
      </c>
      <c r="S4">
        <v>1</v>
      </c>
      <c r="T4">
        <v>0</v>
      </c>
      <c r="U4">
        <v>4</v>
      </c>
      <c r="V4">
        <v>2</v>
      </c>
      <c r="W4">
        <v>3</v>
      </c>
      <c r="X4">
        <v>3</v>
      </c>
      <c r="Y4">
        <v>0</v>
      </c>
      <c r="Z4">
        <v>1</v>
      </c>
      <c r="AA4">
        <v>1</v>
      </c>
      <c r="AB4">
        <v>2</v>
      </c>
      <c r="AC4">
        <v>2</v>
      </c>
      <c r="AD4">
        <v>0</v>
      </c>
      <c r="AE4">
        <v>2</v>
      </c>
    </row>
    <row r="5" spans="1:31" x14ac:dyDescent="0.25">
      <c r="A5" t="s">
        <v>22</v>
      </c>
      <c r="B5">
        <v>1</v>
      </c>
      <c r="C5">
        <v>3</v>
      </c>
      <c r="D5">
        <v>0</v>
      </c>
      <c r="E5">
        <v>2</v>
      </c>
      <c r="F5">
        <v>1</v>
      </c>
      <c r="G5">
        <v>2</v>
      </c>
      <c r="H5">
        <v>0</v>
      </c>
      <c r="I5">
        <v>2</v>
      </c>
      <c r="J5">
        <v>2</v>
      </c>
      <c r="K5">
        <v>0</v>
      </c>
      <c r="L5">
        <v>0</v>
      </c>
      <c r="M5">
        <v>3</v>
      </c>
      <c r="N5">
        <v>0</v>
      </c>
      <c r="O5">
        <v>1</v>
      </c>
      <c r="P5">
        <v>1</v>
      </c>
      <c r="Q5">
        <v>1</v>
      </c>
      <c r="R5">
        <v>1</v>
      </c>
      <c r="S5">
        <v>1</v>
      </c>
      <c r="T5">
        <v>2</v>
      </c>
      <c r="U5">
        <v>3</v>
      </c>
      <c r="V5">
        <v>0</v>
      </c>
      <c r="W5">
        <v>2</v>
      </c>
      <c r="X5">
        <v>4</v>
      </c>
      <c r="Y5">
        <v>1</v>
      </c>
      <c r="Z5">
        <v>1</v>
      </c>
      <c r="AA5">
        <v>0</v>
      </c>
      <c r="AB5">
        <v>1</v>
      </c>
      <c r="AC5">
        <v>2</v>
      </c>
      <c r="AD5">
        <v>2</v>
      </c>
      <c r="AE5">
        <v>1</v>
      </c>
    </row>
    <row r="6" spans="1:31" x14ac:dyDescent="0.25">
      <c r="A6" t="s">
        <v>18</v>
      </c>
      <c r="B6">
        <v>2</v>
      </c>
      <c r="C6">
        <v>1</v>
      </c>
      <c r="D6">
        <v>2</v>
      </c>
      <c r="E6">
        <v>0</v>
      </c>
      <c r="F6">
        <v>2</v>
      </c>
      <c r="G6">
        <v>0</v>
      </c>
      <c r="H6">
        <v>0</v>
      </c>
      <c r="I6">
        <v>2</v>
      </c>
      <c r="J6">
        <v>2</v>
      </c>
      <c r="K6">
        <v>0</v>
      </c>
      <c r="L6">
        <v>0</v>
      </c>
      <c r="M6">
        <v>1</v>
      </c>
      <c r="N6">
        <v>0</v>
      </c>
      <c r="O6">
        <v>1</v>
      </c>
      <c r="P6">
        <v>0</v>
      </c>
      <c r="Q6">
        <v>2</v>
      </c>
      <c r="R6">
        <v>2</v>
      </c>
      <c r="S6">
        <v>2</v>
      </c>
      <c r="T6">
        <v>1</v>
      </c>
      <c r="U6">
        <v>3</v>
      </c>
      <c r="V6">
        <v>0</v>
      </c>
      <c r="W6">
        <v>2</v>
      </c>
      <c r="X6">
        <v>2</v>
      </c>
      <c r="Y6">
        <v>1</v>
      </c>
      <c r="Z6">
        <v>0</v>
      </c>
      <c r="AA6">
        <v>0</v>
      </c>
      <c r="AB6">
        <v>0</v>
      </c>
      <c r="AC6">
        <v>2</v>
      </c>
      <c r="AD6">
        <v>1</v>
      </c>
      <c r="AE6">
        <v>2</v>
      </c>
    </row>
    <row r="7" spans="1:31" x14ac:dyDescent="0.25">
      <c r="A7" t="s">
        <v>30</v>
      </c>
      <c r="B7">
        <v>1</v>
      </c>
      <c r="C7">
        <v>3</v>
      </c>
      <c r="D7">
        <v>3</v>
      </c>
      <c r="E7">
        <v>2</v>
      </c>
      <c r="F7">
        <v>0</v>
      </c>
      <c r="G7">
        <v>1</v>
      </c>
      <c r="H7">
        <v>1</v>
      </c>
      <c r="I7">
        <v>1</v>
      </c>
      <c r="J7">
        <v>2</v>
      </c>
      <c r="K7">
        <v>1</v>
      </c>
      <c r="L7">
        <v>1</v>
      </c>
      <c r="M7">
        <v>2</v>
      </c>
      <c r="N7">
        <v>1</v>
      </c>
      <c r="O7">
        <v>1</v>
      </c>
      <c r="P7">
        <v>1</v>
      </c>
      <c r="Q7">
        <v>2</v>
      </c>
      <c r="R7">
        <v>3</v>
      </c>
      <c r="S7">
        <v>2</v>
      </c>
      <c r="T7">
        <v>2</v>
      </c>
      <c r="U7">
        <v>3</v>
      </c>
      <c r="V7">
        <v>1</v>
      </c>
      <c r="W7">
        <v>2</v>
      </c>
      <c r="X7">
        <v>3</v>
      </c>
      <c r="Y7">
        <v>1</v>
      </c>
      <c r="Z7">
        <v>1</v>
      </c>
      <c r="AA7">
        <v>1</v>
      </c>
      <c r="AB7">
        <v>1</v>
      </c>
      <c r="AC7">
        <v>4</v>
      </c>
      <c r="AD7">
        <v>1</v>
      </c>
      <c r="AE7">
        <v>2</v>
      </c>
    </row>
    <row r="8" spans="1:31" x14ac:dyDescent="0.25">
      <c r="A8" t="s">
        <v>40</v>
      </c>
      <c r="B8">
        <v>1</v>
      </c>
      <c r="C8">
        <v>3</v>
      </c>
      <c r="D8">
        <v>2</v>
      </c>
      <c r="E8">
        <v>3</v>
      </c>
      <c r="F8">
        <v>3</v>
      </c>
      <c r="G8">
        <v>0</v>
      </c>
      <c r="H8">
        <v>1</v>
      </c>
      <c r="I8">
        <v>1</v>
      </c>
      <c r="J8">
        <v>3</v>
      </c>
      <c r="K8">
        <v>1</v>
      </c>
      <c r="L8">
        <v>0</v>
      </c>
      <c r="M8">
        <v>2</v>
      </c>
      <c r="N8">
        <v>2</v>
      </c>
      <c r="O8">
        <v>2</v>
      </c>
      <c r="P8">
        <v>2</v>
      </c>
      <c r="Q8">
        <v>2</v>
      </c>
      <c r="R8">
        <v>3</v>
      </c>
      <c r="S8">
        <v>2</v>
      </c>
      <c r="T8">
        <v>1</v>
      </c>
      <c r="U8">
        <v>2</v>
      </c>
      <c r="V8">
        <v>1</v>
      </c>
      <c r="W8">
        <v>3</v>
      </c>
      <c r="X8">
        <v>2</v>
      </c>
      <c r="Y8">
        <v>1</v>
      </c>
      <c r="Z8">
        <v>1</v>
      </c>
      <c r="AA8">
        <v>1</v>
      </c>
      <c r="AB8">
        <v>1</v>
      </c>
      <c r="AC8">
        <v>3</v>
      </c>
      <c r="AD8">
        <v>1</v>
      </c>
      <c r="AE8">
        <v>3</v>
      </c>
    </row>
    <row r="9" spans="1:31" x14ac:dyDescent="0.25">
      <c r="A9" t="s">
        <v>14</v>
      </c>
      <c r="B9">
        <v>0</v>
      </c>
      <c r="C9">
        <v>1</v>
      </c>
      <c r="D9">
        <v>2</v>
      </c>
      <c r="E9">
        <v>2</v>
      </c>
      <c r="F9">
        <v>1</v>
      </c>
      <c r="G9">
        <v>1</v>
      </c>
      <c r="H9">
        <v>0</v>
      </c>
      <c r="I9">
        <v>2</v>
      </c>
      <c r="J9">
        <v>1</v>
      </c>
      <c r="K9">
        <v>0</v>
      </c>
      <c r="L9">
        <v>1</v>
      </c>
      <c r="M9">
        <v>0</v>
      </c>
      <c r="N9">
        <v>1</v>
      </c>
      <c r="O9">
        <v>4</v>
      </c>
      <c r="P9">
        <v>1</v>
      </c>
      <c r="Q9">
        <v>1</v>
      </c>
      <c r="R9">
        <v>2</v>
      </c>
      <c r="S9">
        <v>3</v>
      </c>
      <c r="T9">
        <v>3</v>
      </c>
      <c r="U9">
        <v>2</v>
      </c>
      <c r="V9">
        <v>3</v>
      </c>
      <c r="W9">
        <v>2</v>
      </c>
      <c r="X9">
        <v>2</v>
      </c>
      <c r="Y9">
        <v>1</v>
      </c>
      <c r="Z9">
        <v>2</v>
      </c>
      <c r="AA9">
        <v>2</v>
      </c>
      <c r="AB9">
        <v>3</v>
      </c>
      <c r="AC9">
        <v>2</v>
      </c>
      <c r="AD9">
        <v>3</v>
      </c>
      <c r="AE9">
        <v>2</v>
      </c>
    </row>
    <row r="10" spans="1:31" x14ac:dyDescent="0.25">
      <c r="A10" t="s">
        <v>32</v>
      </c>
      <c r="B10">
        <v>1</v>
      </c>
      <c r="C10">
        <v>0</v>
      </c>
      <c r="D10">
        <v>0</v>
      </c>
      <c r="E10">
        <v>0</v>
      </c>
      <c r="F10">
        <v>1</v>
      </c>
      <c r="G10">
        <v>1</v>
      </c>
      <c r="H10">
        <v>1</v>
      </c>
      <c r="I10">
        <v>0</v>
      </c>
      <c r="J10">
        <v>1</v>
      </c>
      <c r="K10">
        <v>1</v>
      </c>
      <c r="L10">
        <v>0</v>
      </c>
      <c r="M10">
        <v>2</v>
      </c>
      <c r="N10">
        <v>1</v>
      </c>
      <c r="O10">
        <v>3</v>
      </c>
      <c r="P10">
        <v>1</v>
      </c>
      <c r="Q10">
        <v>1</v>
      </c>
      <c r="R10">
        <v>1</v>
      </c>
      <c r="S10">
        <v>3</v>
      </c>
      <c r="T10">
        <v>3</v>
      </c>
      <c r="U10">
        <v>1</v>
      </c>
      <c r="V10">
        <v>1</v>
      </c>
      <c r="W10">
        <v>2</v>
      </c>
      <c r="X10">
        <v>0</v>
      </c>
      <c r="Y10">
        <v>1</v>
      </c>
      <c r="Z10">
        <v>0</v>
      </c>
      <c r="AA10">
        <v>0</v>
      </c>
      <c r="AB10">
        <v>2</v>
      </c>
      <c r="AC10">
        <v>0</v>
      </c>
      <c r="AD10">
        <v>2</v>
      </c>
      <c r="AE10">
        <v>0</v>
      </c>
    </row>
    <row r="11" spans="1:31" x14ac:dyDescent="0.25">
      <c r="A11" t="s">
        <v>33</v>
      </c>
      <c r="B11">
        <v>1</v>
      </c>
      <c r="C11">
        <v>1</v>
      </c>
      <c r="D11">
        <v>1</v>
      </c>
      <c r="E11">
        <v>2</v>
      </c>
      <c r="F11">
        <v>2</v>
      </c>
      <c r="G11">
        <v>1</v>
      </c>
      <c r="H11">
        <v>1</v>
      </c>
      <c r="I11">
        <v>1</v>
      </c>
      <c r="J11">
        <v>0</v>
      </c>
      <c r="K11">
        <v>0</v>
      </c>
      <c r="L11">
        <v>1</v>
      </c>
      <c r="M11">
        <v>2</v>
      </c>
      <c r="N11">
        <v>0</v>
      </c>
      <c r="O11">
        <v>0</v>
      </c>
      <c r="P11">
        <v>1</v>
      </c>
      <c r="Q11">
        <v>2</v>
      </c>
      <c r="R11">
        <v>1</v>
      </c>
      <c r="S11">
        <v>0</v>
      </c>
      <c r="T11">
        <v>0</v>
      </c>
      <c r="U11">
        <v>3</v>
      </c>
      <c r="V11">
        <v>1</v>
      </c>
      <c r="W11">
        <v>3</v>
      </c>
      <c r="X11">
        <v>1</v>
      </c>
      <c r="Y11">
        <v>1</v>
      </c>
      <c r="Z11">
        <v>0</v>
      </c>
      <c r="AA11">
        <v>1</v>
      </c>
      <c r="AB11">
        <v>2</v>
      </c>
      <c r="AC11">
        <v>2</v>
      </c>
      <c r="AD11">
        <v>0</v>
      </c>
      <c r="AE11">
        <v>1</v>
      </c>
    </row>
    <row r="12" spans="1:31" x14ac:dyDescent="0.25">
      <c r="A12" t="s">
        <v>36</v>
      </c>
      <c r="B12">
        <v>1</v>
      </c>
      <c r="C12">
        <v>1</v>
      </c>
      <c r="D12">
        <v>2</v>
      </c>
      <c r="E12">
        <v>2</v>
      </c>
      <c r="F12">
        <v>1</v>
      </c>
      <c r="G12">
        <v>1</v>
      </c>
      <c r="H12">
        <v>4</v>
      </c>
      <c r="I12">
        <v>2</v>
      </c>
      <c r="J12">
        <v>2</v>
      </c>
      <c r="K12">
        <v>0</v>
      </c>
      <c r="L12">
        <v>4</v>
      </c>
      <c r="M12">
        <v>1</v>
      </c>
      <c r="N12">
        <v>3</v>
      </c>
      <c r="O12">
        <v>3</v>
      </c>
      <c r="P12">
        <v>2</v>
      </c>
      <c r="Q12">
        <v>2</v>
      </c>
      <c r="R12">
        <v>2</v>
      </c>
      <c r="S12">
        <v>4</v>
      </c>
      <c r="T12">
        <v>3</v>
      </c>
      <c r="U12">
        <v>2</v>
      </c>
      <c r="V12">
        <v>3</v>
      </c>
      <c r="W12">
        <v>2</v>
      </c>
      <c r="X12">
        <v>2</v>
      </c>
      <c r="Y12">
        <v>3</v>
      </c>
      <c r="Z12">
        <v>3</v>
      </c>
      <c r="AA12">
        <v>1</v>
      </c>
      <c r="AB12">
        <v>4</v>
      </c>
      <c r="AC12">
        <v>2</v>
      </c>
      <c r="AD12">
        <v>3</v>
      </c>
      <c r="AE12">
        <v>2</v>
      </c>
    </row>
    <row r="13" spans="1:31" x14ac:dyDescent="0.25">
      <c r="A13" t="s">
        <v>16</v>
      </c>
      <c r="B13">
        <v>0</v>
      </c>
      <c r="C13">
        <v>2</v>
      </c>
      <c r="D13">
        <v>2</v>
      </c>
      <c r="E13">
        <v>2</v>
      </c>
      <c r="F13">
        <v>1</v>
      </c>
      <c r="G13">
        <v>2</v>
      </c>
      <c r="H13">
        <v>3</v>
      </c>
      <c r="I13">
        <v>4</v>
      </c>
      <c r="J13">
        <v>1</v>
      </c>
      <c r="K13">
        <v>0</v>
      </c>
      <c r="L13">
        <v>0</v>
      </c>
      <c r="M13">
        <v>2</v>
      </c>
      <c r="N13">
        <v>2</v>
      </c>
      <c r="O13">
        <v>2</v>
      </c>
      <c r="P13">
        <v>2</v>
      </c>
      <c r="Q13">
        <v>2</v>
      </c>
      <c r="R13">
        <v>2</v>
      </c>
      <c r="S13">
        <v>4</v>
      </c>
      <c r="T13">
        <v>2</v>
      </c>
      <c r="U13">
        <v>2</v>
      </c>
      <c r="V13">
        <v>3</v>
      </c>
      <c r="W13">
        <v>1</v>
      </c>
      <c r="X13">
        <v>2</v>
      </c>
      <c r="Y13">
        <v>3</v>
      </c>
      <c r="Z13">
        <v>1</v>
      </c>
      <c r="AA13">
        <v>1</v>
      </c>
      <c r="AB13">
        <v>3</v>
      </c>
      <c r="AC13">
        <v>1</v>
      </c>
      <c r="AD13">
        <v>3</v>
      </c>
      <c r="AE13">
        <v>1</v>
      </c>
    </row>
    <row r="14" spans="1:31" x14ac:dyDescent="0.25">
      <c r="A14" t="s">
        <v>20</v>
      </c>
      <c r="B14">
        <v>0</v>
      </c>
      <c r="C14">
        <v>1</v>
      </c>
      <c r="D14">
        <v>1</v>
      </c>
      <c r="E14">
        <v>3</v>
      </c>
      <c r="F14">
        <v>2</v>
      </c>
      <c r="G14">
        <v>2</v>
      </c>
      <c r="H14">
        <v>2</v>
      </c>
      <c r="I14">
        <v>0</v>
      </c>
      <c r="J14">
        <v>2</v>
      </c>
      <c r="K14">
        <v>1</v>
      </c>
      <c r="L14">
        <v>0</v>
      </c>
      <c r="M14">
        <v>0</v>
      </c>
      <c r="N14">
        <v>0</v>
      </c>
      <c r="O14">
        <v>1</v>
      </c>
      <c r="P14">
        <v>0</v>
      </c>
      <c r="Q14">
        <v>3</v>
      </c>
      <c r="R14">
        <v>2</v>
      </c>
      <c r="S14">
        <v>1</v>
      </c>
      <c r="T14">
        <v>2</v>
      </c>
      <c r="U14">
        <v>4</v>
      </c>
      <c r="V14">
        <v>1</v>
      </c>
      <c r="W14">
        <v>3</v>
      </c>
      <c r="X14">
        <v>3</v>
      </c>
      <c r="Y14">
        <v>0</v>
      </c>
      <c r="Z14">
        <v>0</v>
      </c>
      <c r="AA14">
        <v>0</v>
      </c>
      <c r="AB14">
        <v>0</v>
      </c>
      <c r="AC14">
        <v>0</v>
      </c>
      <c r="AD14">
        <v>2</v>
      </c>
      <c r="AE14">
        <v>2</v>
      </c>
    </row>
    <row r="15" spans="1:31" x14ac:dyDescent="0.25">
      <c r="A15" t="s">
        <v>41</v>
      </c>
      <c r="B15">
        <v>0</v>
      </c>
      <c r="C15">
        <v>1</v>
      </c>
      <c r="D15">
        <v>2</v>
      </c>
      <c r="E15">
        <v>2</v>
      </c>
      <c r="F15">
        <v>1</v>
      </c>
      <c r="G15">
        <v>0</v>
      </c>
      <c r="H15">
        <v>2</v>
      </c>
      <c r="I15">
        <v>3</v>
      </c>
      <c r="J15">
        <v>2</v>
      </c>
      <c r="K15">
        <v>1</v>
      </c>
      <c r="L15">
        <v>2</v>
      </c>
      <c r="M15">
        <v>2</v>
      </c>
      <c r="N15">
        <v>0</v>
      </c>
      <c r="O15">
        <v>4</v>
      </c>
      <c r="P15">
        <v>2</v>
      </c>
      <c r="Q15">
        <v>1</v>
      </c>
      <c r="R15">
        <v>1</v>
      </c>
      <c r="S15">
        <v>3</v>
      </c>
      <c r="T15">
        <v>2</v>
      </c>
      <c r="U15">
        <v>2</v>
      </c>
      <c r="V15">
        <v>2</v>
      </c>
      <c r="W15">
        <v>2</v>
      </c>
      <c r="X15">
        <v>2</v>
      </c>
      <c r="Y15">
        <v>4</v>
      </c>
      <c r="Z15">
        <v>3</v>
      </c>
      <c r="AA15">
        <v>2</v>
      </c>
      <c r="AB15">
        <v>3</v>
      </c>
      <c r="AC15">
        <v>0</v>
      </c>
      <c r="AD15">
        <v>4</v>
      </c>
      <c r="AE15">
        <v>1</v>
      </c>
    </row>
    <row r="16" spans="1:31" x14ac:dyDescent="0.25">
      <c r="A16" t="s">
        <v>17</v>
      </c>
      <c r="B16">
        <v>1</v>
      </c>
      <c r="C16">
        <v>0</v>
      </c>
      <c r="D16">
        <v>1</v>
      </c>
      <c r="E16">
        <v>1</v>
      </c>
      <c r="F16">
        <v>1</v>
      </c>
      <c r="G16">
        <v>0</v>
      </c>
      <c r="H16">
        <v>0</v>
      </c>
      <c r="I16">
        <v>1</v>
      </c>
      <c r="J16">
        <v>2</v>
      </c>
      <c r="K16">
        <v>1</v>
      </c>
      <c r="L16">
        <v>1</v>
      </c>
      <c r="M16">
        <v>1</v>
      </c>
      <c r="N16">
        <v>0</v>
      </c>
      <c r="O16">
        <v>0</v>
      </c>
      <c r="P16">
        <v>0</v>
      </c>
      <c r="Q16">
        <v>0</v>
      </c>
      <c r="R16">
        <v>1</v>
      </c>
      <c r="S16">
        <v>3</v>
      </c>
      <c r="T16">
        <v>0</v>
      </c>
      <c r="U16">
        <v>0</v>
      </c>
      <c r="V16">
        <v>0</v>
      </c>
      <c r="W16">
        <v>1</v>
      </c>
      <c r="X16">
        <v>2</v>
      </c>
      <c r="Y16">
        <v>0</v>
      </c>
      <c r="Z16">
        <v>0</v>
      </c>
      <c r="AA16">
        <v>1</v>
      </c>
      <c r="AB16">
        <v>1</v>
      </c>
      <c r="AC16">
        <v>1</v>
      </c>
      <c r="AD16">
        <v>1</v>
      </c>
      <c r="AE16">
        <v>0</v>
      </c>
    </row>
    <row r="17" spans="1:31" x14ac:dyDescent="0.25">
      <c r="A17" t="s">
        <v>28</v>
      </c>
      <c r="B17">
        <v>1</v>
      </c>
      <c r="C17">
        <v>2</v>
      </c>
      <c r="D17">
        <v>1</v>
      </c>
      <c r="E17">
        <v>2</v>
      </c>
      <c r="F17">
        <v>1</v>
      </c>
      <c r="G17">
        <v>0</v>
      </c>
      <c r="H17">
        <v>3</v>
      </c>
      <c r="I17">
        <v>2</v>
      </c>
      <c r="J17">
        <v>1</v>
      </c>
      <c r="K17">
        <v>1</v>
      </c>
      <c r="L17">
        <v>2</v>
      </c>
      <c r="M17">
        <v>2</v>
      </c>
      <c r="N17">
        <v>2</v>
      </c>
      <c r="O17">
        <v>4</v>
      </c>
      <c r="P17">
        <v>0</v>
      </c>
      <c r="Q17">
        <v>2</v>
      </c>
      <c r="R17">
        <v>1</v>
      </c>
      <c r="S17">
        <v>2</v>
      </c>
      <c r="T17">
        <v>2</v>
      </c>
      <c r="U17">
        <v>2</v>
      </c>
      <c r="V17">
        <v>3</v>
      </c>
      <c r="W17">
        <v>2</v>
      </c>
      <c r="X17">
        <v>2</v>
      </c>
      <c r="Y17">
        <v>3</v>
      </c>
      <c r="Z17">
        <v>4</v>
      </c>
      <c r="AA17">
        <v>2</v>
      </c>
      <c r="AB17">
        <v>3</v>
      </c>
      <c r="AC17">
        <v>1</v>
      </c>
      <c r="AD17">
        <v>2</v>
      </c>
      <c r="AE17">
        <v>0</v>
      </c>
    </row>
    <row r="18" spans="1:31" x14ac:dyDescent="0.25">
      <c r="A18" t="s">
        <v>24</v>
      </c>
      <c r="B18">
        <v>0</v>
      </c>
      <c r="C18">
        <v>4</v>
      </c>
      <c r="D18">
        <v>3</v>
      </c>
      <c r="E18">
        <v>2</v>
      </c>
      <c r="F18">
        <v>1</v>
      </c>
      <c r="G18">
        <v>2</v>
      </c>
      <c r="H18">
        <v>1</v>
      </c>
      <c r="I18">
        <v>1</v>
      </c>
      <c r="J18">
        <v>1</v>
      </c>
      <c r="K18">
        <v>0</v>
      </c>
      <c r="L18">
        <v>0</v>
      </c>
      <c r="M18">
        <v>1</v>
      </c>
      <c r="N18">
        <v>1</v>
      </c>
      <c r="O18">
        <v>2</v>
      </c>
      <c r="P18">
        <v>0</v>
      </c>
      <c r="Q18">
        <v>0</v>
      </c>
      <c r="R18">
        <v>0</v>
      </c>
      <c r="S18">
        <v>1</v>
      </c>
      <c r="T18">
        <v>0</v>
      </c>
      <c r="U18">
        <v>3</v>
      </c>
      <c r="V18">
        <v>0</v>
      </c>
      <c r="W18">
        <v>3</v>
      </c>
      <c r="X18">
        <v>3</v>
      </c>
      <c r="Y18">
        <v>2</v>
      </c>
      <c r="Z18">
        <v>1</v>
      </c>
      <c r="AA18">
        <v>0</v>
      </c>
      <c r="AB18">
        <v>2</v>
      </c>
      <c r="AC18">
        <v>1</v>
      </c>
      <c r="AD18">
        <v>1</v>
      </c>
      <c r="AE18">
        <v>1</v>
      </c>
    </row>
    <row r="19" spans="1:31" x14ac:dyDescent="0.25">
      <c r="A19" t="s">
        <v>19</v>
      </c>
      <c r="B19">
        <v>1</v>
      </c>
      <c r="C19">
        <v>3</v>
      </c>
      <c r="D19">
        <v>2</v>
      </c>
      <c r="E19">
        <v>1</v>
      </c>
      <c r="F19">
        <v>1</v>
      </c>
      <c r="G19">
        <v>1</v>
      </c>
      <c r="H19">
        <v>0</v>
      </c>
      <c r="I19">
        <v>1</v>
      </c>
      <c r="J19">
        <v>3</v>
      </c>
      <c r="K19">
        <v>0</v>
      </c>
      <c r="L19">
        <v>0</v>
      </c>
      <c r="M19">
        <v>2</v>
      </c>
      <c r="N19">
        <v>1</v>
      </c>
      <c r="O19">
        <v>1</v>
      </c>
      <c r="P19">
        <v>1</v>
      </c>
      <c r="Q19">
        <v>4</v>
      </c>
      <c r="R19">
        <v>0</v>
      </c>
      <c r="S19">
        <v>2</v>
      </c>
      <c r="T19">
        <v>0</v>
      </c>
      <c r="U19">
        <v>4</v>
      </c>
      <c r="V19">
        <v>1</v>
      </c>
      <c r="W19">
        <v>2</v>
      </c>
      <c r="X19">
        <v>4</v>
      </c>
      <c r="Y19">
        <v>1</v>
      </c>
      <c r="Z19">
        <v>1</v>
      </c>
      <c r="AA19">
        <v>0</v>
      </c>
      <c r="AB19">
        <v>2</v>
      </c>
      <c r="AC19">
        <v>1</v>
      </c>
      <c r="AD19">
        <v>0</v>
      </c>
      <c r="AE19">
        <v>1</v>
      </c>
    </row>
    <row r="20" spans="1:31" x14ac:dyDescent="0.25">
      <c r="A20" t="s">
        <v>29</v>
      </c>
      <c r="B20">
        <v>0</v>
      </c>
      <c r="C20">
        <v>1</v>
      </c>
      <c r="D20">
        <v>1</v>
      </c>
      <c r="E20">
        <v>0</v>
      </c>
      <c r="F20">
        <v>0</v>
      </c>
      <c r="G20">
        <v>0</v>
      </c>
      <c r="H20">
        <v>0</v>
      </c>
      <c r="I20">
        <v>1</v>
      </c>
      <c r="J20">
        <v>2</v>
      </c>
      <c r="K20">
        <v>0</v>
      </c>
      <c r="L20">
        <v>0</v>
      </c>
      <c r="M20">
        <v>1</v>
      </c>
      <c r="N20">
        <v>0</v>
      </c>
      <c r="O20">
        <v>1</v>
      </c>
      <c r="P20">
        <v>1</v>
      </c>
      <c r="Q20">
        <v>1</v>
      </c>
      <c r="R20">
        <v>0</v>
      </c>
      <c r="S20">
        <v>0</v>
      </c>
      <c r="T20">
        <v>0</v>
      </c>
      <c r="U20">
        <v>2</v>
      </c>
      <c r="V20">
        <v>0</v>
      </c>
      <c r="W20">
        <v>0</v>
      </c>
      <c r="X20">
        <v>0</v>
      </c>
      <c r="Y20">
        <v>1</v>
      </c>
      <c r="Z20">
        <v>2</v>
      </c>
      <c r="AA20">
        <v>0</v>
      </c>
      <c r="AB20">
        <v>0</v>
      </c>
      <c r="AC20">
        <v>0</v>
      </c>
      <c r="AD20">
        <v>1</v>
      </c>
      <c r="AE20">
        <v>1</v>
      </c>
    </row>
    <row r="21" spans="1:31" x14ac:dyDescent="0.25">
      <c r="A21" t="s">
        <v>12</v>
      </c>
      <c r="B21">
        <v>1</v>
      </c>
      <c r="C21">
        <v>2</v>
      </c>
      <c r="D21">
        <v>0</v>
      </c>
      <c r="E21">
        <v>1</v>
      </c>
      <c r="F21">
        <v>0</v>
      </c>
      <c r="G21">
        <v>1</v>
      </c>
      <c r="H21">
        <v>1</v>
      </c>
      <c r="I21">
        <v>1</v>
      </c>
      <c r="J21">
        <v>2</v>
      </c>
      <c r="K21">
        <v>1</v>
      </c>
      <c r="L21">
        <v>2</v>
      </c>
      <c r="M21">
        <v>0</v>
      </c>
      <c r="N21">
        <v>1</v>
      </c>
      <c r="O21">
        <v>4</v>
      </c>
      <c r="P21">
        <v>2</v>
      </c>
      <c r="Q21">
        <v>2</v>
      </c>
      <c r="R21">
        <v>2</v>
      </c>
      <c r="S21">
        <v>4</v>
      </c>
      <c r="T21">
        <v>0</v>
      </c>
      <c r="U21">
        <v>1</v>
      </c>
      <c r="V21">
        <v>3</v>
      </c>
      <c r="W21">
        <v>1</v>
      </c>
      <c r="X21">
        <v>1</v>
      </c>
      <c r="Y21">
        <v>2</v>
      </c>
      <c r="Z21">
        <v>0</v>
      </c>
      <c r="AA21">
        <v>3</v>
      </c>
      <c r="AB21">
        <v>3</v>
      </c>
      <c r="AC21">
        <v>2</v>
      </c>
      <c r="AD21">
        <v>2</v>
      </c>
      <c r="AE21">
        <v>0</v>
      </c>
    </row>
    <row r="22" spans="1:31" x14ac:dyDescent="0.25">
      <c r="A22" t="s">
        <v>31</v>
      </c>
      <c r="B22">
        <v>1</v>
      </c>
      <c r="C22">
        <v>0</v>
      </c>
      <c r="D22">
        <v>1</v>
      </c>
      <c r="E22">
        <v>1</v>
      </c>
      <c r="F22">
        <v>0</v>
      </c>
      <c r="G22">
        <v>1</v>
      </c>
      <c r="H22">
        <v>0</v>
      </c>
      <c r="I22">
        <v>1</v>
      </c>
      <c r="J22">
        <v>1</v>
      </c>
      <c r="K22">
        <v>0</v>
      </c>
      <c r="L22">
        <v>0</v>
      </c>
      <c r="M22">
        <v>0</v>
      </c>
      <c r="N22">
        <v>0</v>
      </c>
      <c r="O22">
        <v>2</v>
      </c>
      <c r="P22">
        <v>0</v>
      </c>
      <c r="Q22">
        <v>0</v>
      </c>
      <c r="R22">
        <v>0</v>
      </c>
      <c r="S22">
        <v>0</v>
      </c>
      <c r="T22">
        <v>1</v>
      </c>
      <c r="U22">
        <v>0</v>
      </c>
      <c r="V22">
        <v>1</v>
      </c>
      <c r="W22">
        <v>2</v>
      </c>
      <c r="X22">
        <v>3</v>
      </c>
      <c r="Y22">
        <v>0</v>
      </c>
      <c r="Z22">
        <v>0</v>
      </c>
      <c r="AA22">
        <v>1</v>
      </c>
      <c r="AB22">
        <v>0</v>
      </c>
      <c r="AC22">
        <v>1</v>
      </c>
      <c r="AD22">
        <v>0</v>
      </c>
      <c r="AE22">
        <v>0</v>
      </c>
    </row>
    <row r="23" spans="1:31" x14ac:dyDescent="0.25">
      <c r="A23" t="s">
        <v>38</v>
      </c>
      <c r="B23">
        <v>1</v>
      </c>
      <c r="C23">
        <v>0</v>
      </c>
      <c r="D23">
        <v>2</v>
      </c>
      <c r="E23">
        <v>2</v>
      </c>
      <c r="F23">
        <v>1</v>
      </c>
      <c r="G23">
        <v>1</v>
      </c>
      <c r="H23">
        <v>1</v>
      </c>
      <c r="I23">
        <v>3</v>
      </c>
      <c r="J23">
        <v>1</v>
      </c>
      <c r="K23">
        <v>1</v>
      </c>
      <c r="L23">
        <v>0</v>
      </c>
      <c r="M23">
        <v>1</v>
      </c>
      <c r="N23">
        <v>1</v>
      </c>
      <c r="O23">
        <v>3</v>
      </c>
      <c r="P23">
        <v>1</v>
      </c>
      <c r="Q23">
        <v>2</v>
      </c>
      <c r="R23">
        <v>1</v>
      </c>
      <c r="S23">
        <v>4</v>
      </c>
      <c r="T23">
        <v>1</v>
      </c>
      <c r="U23">
        <v>1</v>
      </c>
      <c r="V23">
        <v>0</v>
      </c>
      <c r="W23">
        <v>2</v>
      </c>
      <c r="X23">
        <v>2</v>
      </c>
      <c r="Y23">
        <v>3</v>
      </c>
      <c r="Z23">
        <v>1</v>
      </c>
      <c r="AA23">
        <v>1</v>
      </c>
      <c r="AB23">
        <v>3</v>
      </c>
      <c r="AC23">
        <v>1</v>
      </c>
      <c r="AD23">
        <v>2</v>
      </c>
      <c r="AE23">
        <v>2</v>
      </c>
    </row>
    <row r="24" spans="1:31" x14ac:dyDescent="0.25">
      <c r="A24" t="s">
        <v>13</v>
      </c>
      <c r="B24">
        <v>1</v>
      </c>
      <c r="C24">
        <v>0</v>
      </c>
      <c r="D24">
        <v>2</v>
      </c>
      <c r="E24">
        <v>2</v>
      </c>
      <c r="F24">
        <v>2</v>
      </c>
      <c r="G24">
        <v>0</v>
      </c>
      <c r="H24">
        <v>0</v>
      </c>
      <c r="I24">
        <v>0</v>
      </c>
      <c r="J24">
        <v>1</v>
      </c>
      <c r="K24">
        <v>0</v>
      </c>
      <c r="L24">
        <v>1</v>
      </c>
      <c r="M24">
        <v>0</v>
      </c>
      <c r="N24">
        <v>0</v>
      </c>
      <c r="O24">
        <v>1</v>
      </c>
      <c r="P24">
        <v>0</v>
      </c>
      <c r="Q24">
        <v>1</v>
      </c>
      <c r="R24">
        <v>2</v>
      </c>
      <c r="S24">
        <v>2</v>
      </c>
      <c r="T24">
        <v>1</v>
      </c>
      <c r="U24">
        <v>2</v>
      </c>
      <c r="V24">
        <v>0</v>
      </c>
      <c r="W24">
        <v>0</v>
      </c>
      <c r="X24">
        <v>2</v>
      </c>
      <c r="Y24">
        <v>1</v>
      </c>
      <c r="Z24">
        <v>1</v>
      </c>
      <c r="AA24">
        <v>0</v>
      </c>
      <c r="AB24">
        <v>2</v>
      </c>
      <c r="AC24">
        <v>0</v>
      </c>
      <c r="AD24">
        <v>1</v>
      </c>
      <c r="AE24">
        <v>0</v>
      </c>
    </row>
    <row r="25" spans="1:31" x14ac:dyDescent="0.25">
      <c r="A25" t="s">
        <v>21</v>
      </c>
      <c r="B25">
        <v>1</v>
      </c>
      <c r="C25">
        <v>1</v>
      </c>
      <c r="D25">
        <v>0</v>
      </c>
      <c r="E25">
        <v>1</v>
      </c>
      <c r="F25">
        <v>0</v>
      </c>
      <c r="G25">
        <v>1</v>
      </c>
      <c r="H25">
        <v>0</v>
      </c>
      <c r="I25">
        <v>2</v>
      </c>
      <c r="J25">
        <v>3</v>
      </c>
      <c r="K25">
        <v>0</v>
      </c>
      <c r="L25">
        <v>0</v>
      </c>
      <c r="M25">
        <v>1</v>
      </c>
      <c r="N25">
        <v>0</v>
      </c>
      <c r="O25">
        <v>0</v>
      </c>
      <c r="P25">
        <v>0</v>
      </c>
      <c r="Q25">
        <v>1</v>
      </c>
      <c r="R25">
        <v>0</v>
      </c>
      <c r="S25">
        <v>2</v>
      </c>
      <c r="T25">
        <v>1</v>
      </c>
      <c r="U25">
        <v>1</v>
      </c>
      <c r="V25">
        <v>0</v>
      </c>
      <c r="W25">
        <v>1</v>
      </c>
      <c r="X25">
        <v>0</v>
      </c>
      <c r="Y25">
        <v>0</v>
      </c>
      <c r="Z25">
        <v>0</v>
      </c>
      <c r="AA25">
        <v>0</v>
      </c>
      <c r="AB25">
        <v>1</v>
      </c>
      <c r="AC25">
        <v>0</v>
      </c>
      <c r="AD25">
        <v>0</v>
      </c>
      <c r="AE25">
        <v>1</v>
      </c>
    </row>
    <row r="26" spans="1:31" x14ac:dyDescent="0.25">
      <c r="A26" t="s">
        <v>35</v>
      </c>
      <c r="B26">
        <v>0</v>
      </c>
      <c r="C26">
        <v>2</v>
      </c>
      <c r="D26">
        <v>1</v>
      </c>
      <c r="E26">
        <v>1</v>
      </c>
      <c r="F26">
        <v>1</v>
      </c>
      <c r="G26">
        <v>1</v>
      </c>
      <c r="H26">
        <v>3</v>
      </c>
      <c r="I26">
        <v>2</v>
      </c>
      <c r="J26">
        <v>1</v>
      </c>
      <c r="K26">
        <v>1</v>
      </c>
      <c r="L26">
        <v>1</v>
      </c>
      <c r="M26">
        <v>1</v>
      </c>
      <c r="N26">
        <v>0</v>
      </c>
      <c r="O26">
        <v>4</v>
      </c>
      <c r="P26">
        <v>0</v>
      </c>
      <c r="Q26">
        <v>0</v>
      </c>
      <c r="R26">
        <v>1</v>
      </c>
      <c r="S26">
        <v>3</v>
      </c>
      <c r="T26">
        <v>1</v>
      </c>
      <c r="U26">
        <v>2</v>
      </c>
      <c r="V26">
        <v>1</v>
      </c>
      <c r="W26">
        <v>1</v>
      </c>
      <c r="X26">
        <v>2</v>
      </c>
      <c r="Y26">
        <v>0</v>
      </c>
      <c r="Z26">
        <v>1</v>
      </c>
      <c r="AA26">
        <v>1</v>
      </c>
      <c r="AB26">
        <v>1</v>
      </c>
      <c r="AC26">
        <v>1</v>
      </c>
      <c r="AD26">
        <v>2</v>
      </c>
      <c r="AE26">
        <v>2</v>
      </c>
    </row>
    <row r="27" spans="1:31" x14ac:dyDescent="0.25">
      <c r="A27" t="s">
        <v>39</v>
      </c>
      <c r="B27">
        <v>0</v>
      </c>
      <c r="C27">
        <v>1</v>
      </c>
      <c r="D27">
        <v>1</v>
      </c>
      <c r="E27">
        <v>2</v>
      </c>
      <c r="F27">
        <v>1</v>
      </c>
      <c r="G27">
        <v>1</v>
      </c>
      <c r="H27">
        <v>2</v>
      </c>
      <c r="I27">
        <v>4</v>
      </c>
      <c r="J27">
        <v>2</v>
      </c>
      <c r="K27">
        <v>0</v>
      </c>
      <c r="L27">
        <v>2</v>
      </c>
      <c r="M27">
        <v>2</v>
      </c>
      <c r="N27">
        <v>1</v>
      </c>
      <c r="O27">
        <v>4</v>
      </c>
      <c r="P27">
        <v>0</v>
      </c>
      <c r="Q27">
        <v>1</v>
      </c>
      <c r="R27">
        <v>1</v>
      </c>
      <c r="S27">
        <v>2</v>
      </c>
      <c r="T27">
        <v>3</v>
      </c>
      <c r="U27">
        <v>2</v>
      </c>
      <c r="V27">
        <v>3</v>
      </c>
      <c r="W27">
        <v>1</v>
      </c>
      <c r="X27">
        <v>2</v>
      </c>
      <c r="Y27">
        <v>3</v>
      </c>
      <c r="Z27">
        <v>0</v>
      </c>
      <c r="AA27">
        <v>3</v>
      </c>
      <c r="AB27">
        <v>2</v>
      </c>
      <c r="AC27">
        <v>2</v>
      </c>
      <c r="AD27">
        <v>2</v>
      </c>
      <c r="AE27">
        <v>1</v>
      </c>
    </row>
    <row r="28" spans="1:31" x14ac:dyDescent="0.25">
      <c r="A28" t="s">
        <v>15</v>
      </c>
      <c r="B28">
        <v>2</v>
      </c>
      <c r="C28">
        <v>1</v>
      </c>
      <c r="D28">
        <v>2</v>
      </c>
      <c r="E28">
        <v>2</v>
      </c>
      <c r="F28">
        <v>1</v>
      </c>
      <c r="G28">
        <v>1</v>
      </c>
      <c r="H28">
        <v>2</v>
      </c>
      <c r="I28">
        <v>4</v>
      </c>
      <c r="J28">
        <v>1</v>
      </c>
      <c r="K28">
        <v>2</v>
      </c>
      <c r="L28">
        <v>3</v>
      </c>
      <c r="M28">
        <v>2</v>
      </c>
      <c r="N28">
        <v>2</v>
      </c>
      <c r="O28">
        <v>2</v>
      </c>
      <c r="P28">
        <v>2</v>
      </c>
      <c r="Q28">
        <v>2</v>
      </c>
      <c r="R28">
        <v>2</v>
      </c>
      <c r="S28">
        <v>4</v>
      </c>
      <c r="T28">
        <v>1</v>
      </c>
      <c r="U28">
        <v>1</v>
      </c>
      <c r="V28">
        <v>2</v>
      </c>
      <c r="W28">
        <v>2</v>
      </c>
      <c r="X28">
        <v>2</v>
      </c>
      <c r="Y28">
        <v>3</v>
      </c>
      <c r="Z28">
        <v>1</v>
      </c>
      <c r="AA28">
        <v>0</v>
      </c>
      <c r="AB28">
        <v>3</v>
      </c>
      <c r="AC28">
        <v>1</v>
      </c>
      <c r="AD28">
        <v>1</v>
      </c>
      <c r="AE28">
        <v>1</v>
      </c>
    </row>
    <row r="29" spans="1:31" x14ac:dyDescent="0.25">
      <c r="A29" t="s">
        <v>37</v>
      </c>
      <c r="B29">
        <v>0</v>
      </c>
      <c r="C29">
        <v>0</v>
      </c>
      <c r="D29">
        <v>1</v>
      </c>
      <c r="E29">
        <v>2</v>
      </c>
      <c r="F29">
        <v>1</v>
      </c>
      <c r="G29">
        <v>1</v>
      </c>
      <c r="H29">
        <v>0</v>
      </c>
      <c r="I29">
        <v>2</v>
      </c>
      <c r="J29">
        <v>0</v>
      </c>
      <c r="K29">
        <v>0</v>
      </c>
      <c r="L29">
        <v>0</v>
      </c>
      <c r="M29">
        <v>2</v>
      </c>
      <c r="N29">
        <v>1</v>
      </c>
      <c r="O29">
        <v>3</v>
      </c>
      <c r="P29">
        <v>1</v>
      </c>
      <c r="Q29">
        <v>0</v>
      </c>
      <c r="R29">
        <v>0</v>
      </c>
      <c r="S29">
        <v>3</v>
      </c>
      <c r="T29">
        <v>1</v>
      </c>
      <c r="U29">
        <v>2</v>
      </c>
      <c r="V29">
        <v>1</v>
      </c>
      <c r="W29">
        <v>0</v>
      </c>
      <c r="X29">
        <v>1</v>
      </c>
      <c r="Y29">
        <v>3</v>
      </c>
      <c r="Z29">
        <v>1</v>
      </c>
      <c r="AA29">
        <v>1</v>
      </c>
      <c r="AB29">
        <v>0</v>
      </c>
      <c r="AC29">
        <v>0</v>
      </c>
      <c r="AD29">
        <v>1</v>
      </c>
      <c r="AE29">
        <v>1</v>
      </c>
    </row>
    <row r="30" spans="1:31" x14ac:dyDescent="0.25">
      <c r="A30" t="s">
        <v>27</v>
      </c>
      <c r="B30">
        <v>3</v>
      </c>
      <c r="C30">
        <v>2</v>
      </c>
      <c r="D30">
        <v>2</v>
      </c>
      <c r="E30">
        <v>2</v>
      </c>
      <c r="F30">
        <v>0</v>
      </c>
      <c r="G30">
        <v>1</v>
      </c>
      <c r="H30">
        <v>0</v>
      </c>
      <c r="I30">
        <v>2</v>
      </c>
      <c r="J30">
        <v>2</v>
      </c>
      <c r="K30">
        <v>0</v>
      </c>
      <c r="L30">
        <v>1</v>
      </c>
      <c r="M30">
        <v>3</v>
      </c>
      <c r="N30">
        <v>2</v>
      </c>
      <c r="O30">
        <v>1</v>
      </c>
      <c r="P30">
        <v>1</v>
      </c>
      <c r="Q30">
        <v>1</v>
      </c>
      <c r="R30">
        <v>2</v>
      </c>
      <c r="S30">
        <v>2</v>
      </c>
      <c r="T30">
        <v>0</v>
      </c>
      <c r="U30">
        <v>3</v>
      </c>
      <c r="V30">
        <v>1</v>
      </c>
      <c r="W30">
        <v>4</v>
      </c>
      <c r="X30">
        <v>4</v>
      </c>
      <c r="Y30">
        <v>1</v>
      </c>
      <c r="Z30">
        <v>0</v>
      </c>
      <c r="AA30">
        <v>1</v>
      </c>
      <c r="AB30">
        <v>2</v>
      </c>
      <c r="AC30">
        <v>0</v>
      </c>
      <c r="AD30">
        <v>2</v>
      </c>
      <c r="AE30">
        <v>3</v>
      </c>
    </row>
    <row r="31" spans="1:31" x14ac:dyDescent="0.25">
      <c r="A31" t="s">
        <v>34</v>
      </c>
      <c r="B31">
        <v>0</v>
      </c>
      <c r="C31">
        <v>2</v>
      </c>
      <c r="D31">
        <v>0</v>
      </c>
      <c r="E31">
        <v>1</v>
      </c>
      <c r="F31">
        <v>1</v>
      </c>
      <c r="G31">
        <v>1</v>
      </c>
      <c r="H31">
        <v>1</v>
      </c>
      <c r="I31">
        <v>2</v>
      </c>
      <c r="J31">
        <v>2</v>
      </c>
      <c r="K31">
        <v>1</v>
      </c>
      <c r="L31">
        <v>1</v>
      </c>
      <c r="M31">
        <v>0</v>
      </c>
      <c r="N31">
        <v>0</v>
      </c>
      <c r="O31">
        <v>2</v>
      </c>
      <c r="P31">
        <v>2</v>
      </c>
      <c r="Q31">
        <v>1</v>
      </c>
      <c r="R31">
        <v>2</v>
      </c>
      <c r="S31">
        <v>3</v>
      </c>
      <c r="T31">
        <v>1</v>
      </c>
      <c r="U31">
        <v>2</v>
      </c>
      <c r="V31">
        <v>2</v>
      </c>
      <c r="W31">
        <v>1</v>
      </c>
      <c r="X31">
        <v>2</v>
      </c>
      <c r="Y31">
        <v>1</v>
      </c>
      <c r="Z31">
        <v>2</v>
      </c>
      <c r="AA31">
        <v>2</v>
      </c>
      <c r="AB31">
        <v>3</v>
      </c>
      <c r="AC31">
        <v>0</v>
      </c>
      <c r="AD31">
        <v>0</v>
      </c>
      <c r="AE31">
        <v>0</v>
      </c>
    </row>
    <row r="32" spans="1:31" x14ac:dyDescent="0.25">
      <c r="A32" t="s">
        <v>25</v>
      </c>
      <c r="B32">
        <v>1</v>
      </c>
      <c r="C32">
        <v>2</v>
      </c>
      <c r="D32">
        <v>2</v>
      </c>
      <c r="E32">
        <v>2</v>
      </c>
      <c r="F32">
        <v>2</v>
      </c>
      <c r="G32">
        <v>1</v>
      </c>
      <c r="H32">
        <v>0</v>
      </c>
      <c r="I32">
        <v>2</v>
      </c>
      <c r="J32">
        <v>2</v>
      </c>
      <c r="K32">
        <v>0</v>
      </c>
      <c r="L32">
        <v>1</v>
      </c>
      <c r="M32">
        <v>2</v>
      </c>
      <c r="N32">
        <v>1</v>
      </c>
      <c r="O32">
        <v>2</v>
      </c>
      <c r="P32">
        <v>2</v>
      </c>
      <c r="Q32">
        <v>3</v>
      </c>
      <c r="R32">
        <v>2</v>
      </c>
      <c r="S32">
        <v>1</v>
      </c>
      <c r="T32">
        <v>2</v>
      </c>
      <c r="U32">
        <v>4</v>
      </c>
      <c r="V32">
        <v>0</v>
      </c>
      <c r="W32">
        <v>4</v>
      </c>
      <c r="X32">
        <v>3</v>
      </c>
      <c r="Y32">
        <v>0</v>
      </c>
      <c r="Z32">
        <v>1</v>
      </c>
      <c r="AA32">
        <v>1</v>
      </c>
      <c r="AB32">
        <v>1</v>
      </c>
      <c r="AC32">
        <v>0</v>
      </c>
      <c r="AD32">
        <v>2</v>
      </c>
      <c r="AE32">
        <v>0</v>
      </c>
    </row>
    <row r="34" spans="1:36" x14ac:dyDescent="0.25">
      <c r="G34" t="s">
        <v>85</v>
      </c>
      <c r="H34">
        <v>1</v>
      </c>
      <c r="I34">
        <v>1</v>
      </c>
      <c r="J34">
        <v>1</v>
      </c>
      <c r="K34">
        <v>1</v>
      </c>
      <c r="L34">
        <v>1</v>
      </c>
      <c r="M34">
        <v>2</v>
      </c>
      <c r="N34">
        <v>2</v>
      </c>
      <c r="O34">
        <v>2</v>
      </c>
      <c r="P34">
        <v>2</v>
      </c>
      <c r="Q34">
        <v>3</v>
      </c>
      <c r="R34">
        <v>3</v>
      </c>
      <c r="S34">
        <v>3</v>
      </c>
      <c r="T34">
        <v>3</v>
      </c>
      <c r="U34">
        <v>4</v>
      </c>
    </row>
    <row r="35" spans="1:36" x14ac:dyDescent="0.25">
      <c r="A35" t="s">
        <v>45</v>
      </c>
      <c r="B35" t="s">
        <v>75</v>
      </c>
      <c r="C35" t="s">
        <v>76</v>
      </c>
      <c r="D35" t="s">
        <v>105</v>
      </c>
      <c r="E35" t="s">
        <v>72</v>
      </c>
      <c r="H35" t="s">
        <v>86</v>
      </c>
      <c r="I35" t="s">
        <v>87</v>
      </c>
      <c r="J35" t="s">
        <v>88</v>
      </c>
      <c r="K35" t="s">
        <v>89</v>
      </c>
      <c r="L35" t="s">
        <v>86</v>
      </c>
      <c r="M35" t="s">
        <v>86</v>
      </c>
      <c r="N35" t="s">
        <v>87</v>
      </c>
      <c r="O35" t="s">
        <v>88</v>
      </c>
      <c r="P35" t="s">
        <v>89</v>
      </c>
      <c r="Q35" t="s">
        <v>86</v>
      </c>
      <c r="R35" t="s">
        <v>87</v>
      </c>
      <c r="S35" t="s">
        <v>88</v>
      </c>
      <c r="T35" t="s">
        <v>89</v>
      </c>
      <c r="U35" t="s">
        <v>80</v>
      </c>
    </row>
    <row r="36" spans="1:36" x14ac:dyDescent="0.25">
      <c r="A36" t="s">
        <v>26</v>
      </c>
      <c r="B36">
        <v>0.49280671986753993</v>
      </c>
      <c r="C36">
        <f>RANK(B36,$B$36:$B$65)</f>
        <v>2</v>
      </c>
      <c r="D36">
        <v>62.197954702855306</v>
      </c>
      <c r="E36">
        <f>(30-C36)/(30-1)*82</f>
        <v>79.172413793103445</v>
      </c>
      <c r="H36">
        <v>1</v>
      </c>
      <c r="I36">
        <v>1</v>
      </c>
      <c r="J36">
        <v>1</v>
      </c>
      <c r="K36">
        <v>2</v>
      </c>
      <c r="L36">
        <v>79.172413793103445</v>
      </c>
      <c r="M36">
        <v>1</v>
      </c>
      <c r="N36">
        <v>1</v>
      </c>
      <c r="O36">
        <v>0.49280671986753993</v>
      </c>
      <c r="P36">
        <v>2</v>
      </c>
      <c r="Q36">
        <v>1</v>
      </c>
      <c r="R36">
        <v>1</v>
      </c>
      <c r="S36">
        <v>14.844041241646794</v>
      </c>
      <c r="T36">
        <v>2</v>
      </c>
      <c r="U36">
        <f>VLOOKUP($A36,p_rs_win_totals!$B$2:$G$31,5,0)</f>
        <v>50</v>
      </c>
      <c r="V36">
        <v>9</v>
      </c>
      <c r="W36">
        <v>50</v>
      </c>
      <c r="X36">
        <v>2</v>
      </c>
      <c r="AH36" t="b">
        <f>$E$66=1230</f>
        <v>1</v>
      </c>
      <c r="AJ36" t="b">
        <f>$A$136=0</f>
        <v>0</v>
      </c>
    </row>
    <row r="37" spans="1:36" x14ac:dyDescent="0.25">
      <c r="A37" t="s">
        <v>23</v>
      </c>
      <c r="B37">
        <v>0.12326671541129978</v>
      </c>
      <c r="C37">
        <f>RANK(B37,$B$36:$B$65)</f>
        <v>21</v>
      </c>
      <c r="D37">
        <v>11.730265956003288</v>
      </c>
      <c r="E37">
        <v>25.448275862068968</v>
      </c>
      <c r="H37">
        <v>1</v>
      </c>
      <c r="I37">
        <v>1</v>
      </c>
      <c r="J37">
        <v>0.25014651564787588</v>
      </c>
      <c r="K37">
        <v>21</v>
      </c>
      <c r="L37">
        <v>25.448275862068968</v>
      </c>
      <c r="M37">
        <v>1</v>
      </c>
      <c r="N37">
        <v>1</v>
      </c>
      <c r="O37">
        <v>0.12326671541129978</v>
      </c>
      <c r="P37">
        <v>21</v>
      </c>
      <c r="Q37">
        <v>1</v>
      </c>
      <c r="R37">
        <v>1</v>
      </c>
      <c r="S37">
        <v>3.7195250919061467</v>
      </c>
      <c r="T37">
        <v>21</v>
      </c>
      <c r="U37">
        <f>VLOOKUP($A37,p_rs_win_totals!$B$2:$G$31,5,0)</f>
        <v>27</v>
      </c>
      <c r="V37">
        <v>25</v>
      </c>
      <c r="W37">
        <v>12.510792163627714</v>
      </c>
      <c r="X37">
        <v>21</v>
      </c>
      <c r="AH37">
        <f>COUNT($E$36:$E$65)</f>
        <v>30</v>
      </c>
      <c r="AJ37">
        <f>COUNT($B$37:$B$65)</f>
        <v>29</v>
      </c>
    </row>
    <row r="38" spans="1:36" x14ac:dyDescent="0.25">
      <c r="A38" t="s">
        <v>22</v>
      </c>
      <c r="B38">
        <v>0.15517381793052887</v>
      </c>
      <c r="C38">
        <f>RANK(B38,$B$36:$B$65)</f>
        <v>16</v>
      </c>
      <c r="D38">
        <v>39.915365636555187</v>
      </c>
      <c r="E38">
        <v>39.586206896551722</v>
      </c>
      <c r="H38">
        <v>1</v>
      </c>
      <c r="I38">
        <v>1</v>
      </c>
      <c r="J38">
        <v>0.31489120266608039</v>
      </c>
      <c r="K38">
        <v>16</v>
      </c>
      <c r="L38">
        <v>39.586206896551722</v>
      </c>
      <c r="M38">
        <v>1</v>
      </c>
      <c r="N38">
        <v>1</v>
      </c>
      <c r="O38">
        <v>0.15517381793052887</v>
      </c>
      <c r="P38">
        <v>16</v>
      </c>
      <c r="Q38">
        <v>1</v>
      </c>
      <c r="R38">
        <v>1</v>
      </c>
      <c r="S38">
        <v>4.6703257580714306</v>
      </c>
      <c r="T38">
        <v>16</v>
      </c>
      <c r="U38">
        <f>VLOOKUP($A38,p_rs_win_totals!$B$2:$G$31,5,0)</f>
        <v>45</v>
      </c>
      <c r="V38">
        <v>13</v>
      </c>
      <c r="W38">
        <v>15.756655128151424</v>
      </c>
      <c r="X38">
        <v>16</v>
      </c>
      <c r="AH38" t="b">
        <f t="array" ref="AH38">$E$36:$E$65&lt;=66</f>
        <v>0</v>
      </c>
      <c r="AJ38">
        <f>{32767,32767,0.000001,0.01,FALSE,FALSE,TRUE,1,1,1,0.0001,TRUE}</f>
        <v>32767</v>
      </c>
    </row>
    <row r="39" spans="1:36" x14ac:dyDescent="0.25">
      <c r="A39" t="s">
        <v>18</v>
      </c>
      <c r="B39">
        <v>0.11428190495664908</v>
      </c>
      <c r="C39">
        <f>RANK(B39,$B$36:$B$65)</f>
        <v>22</v>
      </c>
      <c r="D39">
        <v>15.577550522539479</v>
      </c>
      <c r="E39">
        <v>22.620689655172413</v>
      </c>
      <c r="H39">
        <v>1</v>
      </c>
      <c r="I39">
        <v>1</v>
      </c>
      <c r="J39">
        <v>0.23194621123808754</v>
      </c>
      <c r="K39">
        <v>22</v>
      </c>
      <c r="L39">
        <v>22.620689655172413</v>
      </c>
      <c r="M39">
        <v>1</v>
      </c>
      <c r="N39">
        <v>1</v>
      </c>
      <c r="O39">
        <v>0.11428190495664908</v>
      </c>
      <c r="P39">
        <v>22</v>
      </c>
      <c r="Q39">
        <v>1</v>
      </c>
      <c r="R39">
        <v>1</v>
      </c>
      <c r="S39">
        <v>3.4480568929955466</v>
      </c>
      <c r="T39">
        <v>22</v>
      </c>
      <c r="U39">
        <f>VLOOKUP($A39,p_rs_win_totals!$B$2:$G$31,5,0)</f>
        <v>30</v>
      </c>
      <c r="V39">
        <v>23</v>
      </c>
      <c r="W39">
        <v>11.594717987396194</v>
      </c>
      <c r="X39">
        <v>22</v>
      </c>
      <c r="AH39" t="b">
        <f t="array" ref="AH39">$E$36:$E$65&gt;=20</f>
        <v>1</v>
      </c>
      <c r="AJ39">
        <f>{0,0,1,100,0,FALSE,TRUE,0.075,0,0,FALSE,30}</f>
        <v>0</v>
      </c>
    </row>
    <row r="40" spans="1:36" x14ac:dyDescent="0.25">
      <c r="A40" t="s">
        <v>30</v>
      </c>
      <c r="B40">
        <v>0.26077741514682179</v>
      </c>
      <c r="C40">
        <f>RANK(B40,$B$36:$B$65)</f>
        <v>10</v>
      </c>
      <c r="D40">
        <v>72.418861248034929</v>
      </c>
      <c r="E40">
        <v>56.551724137931039</v>
      </c>
      <c r="H40">
        <v>1</v>
      </c>
      <c r="I40">
        <v>1</v>
      </c>
      <c r="J40">
        <v>0.52946542311963796</v>
      </c>
      <c r="K40">
        <v>10</v>
      </c>
      <c r="L40">
        <v>56.551724137931039</v>
      </c>
      <c r="M40">
        <v>1</v>
      </c>
      <c r="N40">
        <v>1</v>
      </c>
      <c r="O40">
        <v>0.26077741514682179</v>
      </c>
      <c r="P40">
        <v>10</v>
      </c>
      <c r="Q40">
        <v>1</v>
      </c>
      <c r="R40">
        <v>1</v>
      </c>
      <c r="S40">
        <v>7.9656479838278775</v>
      </c>
      <c r="T40">
        <v>10</v>
      </c>
      <c r="U40">
        <f>VLOOKUP($A40,p_rs_win_totals!$B$2:$G$31,5,0)</f>
        <v>51</v>
      </c>
      <c r="V40">
        <v>8</v>
      </c>
      <c r="W40">
        <v>26.464542765584632</v>
      </c>
      <c r="X40">
        <v>10</v>
      </c>
      <c r="AH40">
        <f>{32767,32767,0.000001,0.01,FALSE,FALSE,TRUE,1,1,1,0.0001,TRUE}</f>
        <v>32767</v>
      </c>
    </row>
    <row r="41" spans="1:36" x14ac:dyDescent="0.25">
      <c r="A41" t="s">
        <v>40</v>
      </c>
      <c r="B41">
        <v>0.32612998935483944</v>
      </c>
      <c r="C41">
        <f>RANK(B41,$B$36:$B$65)</f>
        <v>7</v>
      </c>
      <c r="D41">
        <v>73</v>
      </c>
      <c r="E41">
        <v>65.034482758620697</v>
      </c>
      <c r="H41">
        <v>1</v>
      </c>
      <c r="I41">
        <v>1</v>
      </c>
      <c r="J41">
        <v>0.66220498477993961</v>
      </c>
      <c r="K41">
        <v>7</v>
      </c>
      <c r="L41">
        <v>65.034482758620697</v>
      </c>
      <c r="M41">
        <v>1</v>
      </c>
      <c r="N41">
        <v>1</v>
      </c>
      <c r="O41">
        <v>0.32612998935483944</v>
      </c>
      <c r="P41">
        <v>7</v>
      </c>
      <c r="Q41">
        <v>1</v>
      </c>
      <c r="R41">
        <v>1</v>
      </c>
      <c r="S41">
        <v>9.7625941797956113</v>
      </c>
      <c r="T41">
        <v>7</v>
      </c>
      <c r="U41">
        <f>VLOOKUP($A41,p_rs_win_totals!$B$2:$G$31,5,0)</f>
        <v>54</v>
      </c>
      <c r="V41">
        <v>7</v>
      </c>
      <c r="W41">
        <v>33.110175500475123</v>
      </c>
      <c r="X41">
        <v>7</v>
      </c>
      <c r="AH41">
        <f>{0,0,1,100,0,FALSE,TRUE,0.075,0,0,FALSE,30}</f>
        <v>0</v>
      </c>
    </row>
    <row r="42" spans="1:36" x14ac:dyDescent="0.25">
      <c r="A42" t="s">
        <v>14</v>
      </c>
      <c r="B42">
        <v>0.28180420010593932</v>
      </c>
      <c r="C42">
        <f>RANK(B42,$B$36:$B$65)</f>
        <v>9</v>
      </c>
      <c r="D42">
        <v>28.787878478583686</v>
      </c>
      <c r="E42">
        <v>59.379310344827587</v>
      </c>
      <c r="H42">
        <v>1</v>
      </c>
      <c r="I42">
        <v>1</v>
      </c>
      <c r="J42">
        <v>0.57254632407945649</v>
      </c>
      <c r="K42">
        <v>9</v>
      </c>
      <c r="L42">
        <v>59.379310344827587</v>
      </c>
      <c r="M42">
        <v>1</v>
      </c>
      <c r="N42">
        <v>1</v>
      </c>
      <c r="O42">
        <v>0.28180420010593932</v>
      </c>
      <c r="P42">
        <v>9</v>
      </c>
      <c r="Q42">
        <v>1</v>
      </c>
      <c r="R42">
        <v>1</v>
      </c>
      <c r="S42">
        <v>8.4926163303682927</v>
      </c>
      <c r="T42">
        <v>9</v>
      </c>
      <c r="U42">
        <f>VLOOKUP($A42,p_rs_win_totals!$B$2:$G$31,5,0)</f>
        <v>37</v>
      </c>
      <c r="V42">
        <v>18</v>
      </c>
      <c r="W42">
        <v>28.63484048557579</v>
      </c>
      <c r="X42">
        <v>9</v>
      </c>
    </row>
    <row r="43" spans="1:36" x14ac:dyDescent="0.25">
      <c r="A43" t="s">
        <v>32</v>
      </c>
      <c r="B43">
        <v>9.6041910586016521E-2</v>
      </c>
      <c r="C43">
        <f>RANK(B43,$B$36:$B$65)</f>
        <v>25</v>
      </c>
      <c r="D43">
        <v>11</v>
      </c>
      <c r="E43">
        <v>14.13793103448276</v>
      </c>
      <c r="H43">
        <v>1</v>
      </c>
      <c r="I43">
        <v>1</v>
      </c>
      <c r="J43">
        <v>0.19498734270007739</v>
      </c>
      <c r="K43">
        <v>25</v>
      </c>
      <c r="L43">
        <v>14.13793103448276</v>
      </c>
      <c r="M43">
        <v>1</v>
      </c>
      <c r="N43">
        <v>1</v>
      </c>
      <c r="O43">
        <v>9.6041910586016521E-2</v>
      </c>
      <c r="P43">
        <v>25</v>
      </c>
      <c r="Q43">
        <v>1</v>
      </c>
      <c r="R43">
        <v>1</v>
      </c>
      <c r="S43">
        <v>2.9037724129983866</v>
      </c>
      <c r="T43">
        <v>25</v>
      </c>
      <c r="U43">
        <f>VLOOKUP($A43,p_rs_win_totals!$B$2:$G$31,5,0)</f>
        <v>25</v>
      </c>
      <c r="V43">
        <v>28</v>
      </c>
      <c r="W43">
        <v>9.7507541298970644</v>
      </c>
      <c r="X43">
        <v>25</v>
      </c>
    </row>
    <row r="44" spans="1:36" x14ac:dyDescent="0.25">
      <c r="A44" t="s">
        <v>33</v>
      </c>
      <c r="B44">
        <v>0.10247960749972754</v>
      </c>
      <c r="C44">
        <f>RANK(B44,$B$36:$B$65)</f>
        <v>23</v>
      </c>
      <c r="D44">
        <v>20.341939505586261</v>
      </c>
      <c r="E44">
        <v>19.793103448275861</v>
      </c>
      <c r="H44">
        <v>1</v>
      </c>
      <c r="I44">
        <v>1</v>
      </c>
      <c r="J44">
        <v>0.20797979680876644</v>
      </c>
      <c r="K44">
        <v>23</v>
      </c>
      <c r="L44">
        <v>19.793103448275861</v>
      </c>
      <c r="M44">
        <v>1</v>
      </c>
      <c r="N44">
        <v>1</v>
      </c>
      <c r="O44">
        <v>0.10247960749972754</v>
      </c>
      <c r="P44">
        <v>23</v>
      </c>
      <c r="Q44">
        <v>1</v>
      </c>
      <c r="R44">
        <v>1</v>
      </c>
      <c r="S44">
        <v>3.0800922781678293</v>
      </c>
      <c r="T44">
        <v>23</v>
      </c>
      <c r="U44">
        <f>VLOOKUP($A44,p_rs_win_totals!$B$2:$G$31,5,0)</f>
        <v>35</v>
      </c>
      <c r="V44">
        <v>19</v>
      </c>
      <c r="W44">
        <v>10.396595009344411</v>
      </c>
      <c r="X44">
        <v>23</v>
      </c>
    </row>
    <row r="45" spans="1:36" x14ac:dyDescent="0.25">
      <c r="A45" t="s">
        <v>36</v>
      </c>
      <c r="B45">
        <v>1</v>
      </c>
      <c r="C45">
        <f>RANK(B45,$B$36:$B$65)</f>
        <v>1</v>
      </c>
      <c r="D45">
        <v>73</v>
      </c>
      <c r="E45">
        <v>82</v>
      </c>
      <c r="H45">
        <v>1</v>
      </c>
      <c r="I45">
        <v>1</v>
      </c>
      <c r="J45">
        <v>2.0274698013462968</v>
      </c>
      <c r="K45">
        <v>1</v>
      </c>
      <c r="L45">
        <v>82</v>
      </c>
      <c r="M45">
        <v>1</v>
      </c>
      <c r="N45">
        <v>1</v>
      </c>
      <c r="O45">
        <v>1</v>
      </c>
      <c r="P45">
        <v>1</v>
      </c>
      <c r="Q45">
        <v>1</v>
      </c>
      <c r="R45">
        <v>1</v>
      </c>
      <c r="S45">
        <v>28.902891175124964</v>
      </c>
      <c r="T45">
        <v>1</v>
      </c>
      <c r="U45">
        <f>VLOOKUP($A45,p_rs_win_totals!$B$2:$G$31,5,0)</f>
        <v>60</v>
      </c>
      <c r="V45">
        <v>1</v>
      </c>
      <c r="W45">
        <v>101.53214125799595</v>
      </c>
      <c r="X45">
        <v>1</v>
      </c>
    </row>
    <row r="46" spans="1:36" x14ac:dyDescent="0.25">
      <c r="A46" t="s">
        <v>16</v>
      </c>
      <c r="B46">
        <v>0.39288747619508113</v>
      </c>
      <c r="C46">
        <f>RANK(B46,$B$36:$B$65)</f>
        <v>5</v>
      </c>
      <c r="D46">
        <v>73</v>
      </c>
      <c r="E46">
        <v>70.689655172413794</v>
      </c>
      <c r="H46">
        <v>1</v>
      </c>
      <c r="I46">
        <v>1</v>
      </c>
      <c r="J46">
        <v>0.79834984241511631</v>
      </c>
      <c r="K46">
        <v>5</v>
      </c>
      <c r="L46">
        <v>70.689655172413794</v>
      </c>
      <c r="M46">
        <v>1</v>
      </c>
      <c r="N46">
        <v>1</v>
      </c>
      <c r="O46">
        <v>0.39288747619508113</v>
      </c>
      <c r="P46">
        <v>5</v>
      </c>
      <c r="Q46">
        <v>1</v>
      </c>
      <c r="R46">
        <v>1</v>
      </c>
      <c r="S46">
        <v>11.83262076628972</v>
      </c>
      <c r="T46">
        <v>5</v>
      </c>
      <c r="U46">
        <f>VLOOKUP($A46,p_rs_win_totals!$B$2:$G$31,5,0)</f>
        <v>57</v>
      </c>
      <c r="V46">
        <v>3</v>
      </c>
      <c r="W46">
        <v>39.857016277321627</v>
      </c>
      <c r="X46">
        <v>5</v>
      </c>
    </row>
    <row r="47" spans="1:36" x14ac:dyDescent="0.25">
      <c r="A47" t="s">
        <v>20</v>
      </c>
      <c r="B47">
        <v>0.15154557858938489</v>
      </c>
      <c r="C47">
        <f>RANK(B47,$B$36:$B$65)</f>
        <v>18</v>
      </c>
      <c r="D47">
        <v>32.310202090157908</v>
      </c>
      <c r="E47">
        <v>33.931034482758619</v>
      </c>
      <c r="H47">
        <v>1</v>
      </c>
      <c r="I47">
        <v>1</v>
      </c>
      <c r="J47">
        <v>0.30757164248393182</v>
      </c>
      <c r="K47">
        <v>18</v>
      </c>
      <c r="L47">
        <v>33.931034482758619</v>
      </c>
      <c r="M47">
        <v>1</v>
      </c>
      <c r="N47">
        <v>1</v>
      </c>
      <c r="O47">
        <v>0.15154557858938489</v>
      </c>
      <c r="P47">
        <v>18</v>
      </c>
      <c r="Q47">
        <v>1</v>
      </c>
      <c r="R47">
        <v>1</v>
      </c>
      <c r="S47">
        <v>4.5734233153512704</v>
      </c>
      <c r="T47">
        <v>18</v>
      </c>
      <c r="U47">
        <f>VLOOKUP($A47,p_rs_win_totals!$B$2:$G$31,5,0)</f>
        <v>43</v>
      </c>
      <c r="V47">
        <v>16</v>
      </c>
      <c r="W47">
        <v>15.386564792486389</v>
      </c>
      <c r="X47">
        <v>18</v>
      </c>
    </row>
    <row r="48" spans="1:36" x14ac:dyDescent="0.25">
      <c r="A48" t="s">
        <v>41</v>
      </c>
      <c r="B48">
        <v>0.43705580048077131</v>
      </c>
      <c r="C48">
        <f>RANK(B48,$B$36:$B$65)</f>
        <v>3</v>
      </c>
      <c r="D48">
        <v>73</v>
      </c>
      <c r="E48">
        <v>76.34482758620689</v>
      </c>
      <c r="H48">
        <v>1</v>
      </c>
      <c r="I48">
        <v>1</v>
      </c>
      <c r="J48">
        <v>0.88409046388660839</v>
      </c>
      <c r="K48">
        <v>3</v>
      </c>
      <c r="L48">
        <v>76.34482758620689</v>
      </c>
      <c r="M48">
        <v>1</v>
      </c>
      <c r="N48">
        <v>1</v>
      </c>
      <c r="O48">
        <v>0.43705580048077131</v>
      </c>
      <c r="P48">
        <v>3</v>
      </c>
      <c r="Q48">
        <v>1</v>
      </c>
      <c r="R48">
        <v>1</v>
      </c>
      <c r="S48">
        <v>13.340587159730504</v>
      </c>
      <c r="T48">
        <v>3</v>
      </c>
      <c r="U48">
        <f>VLOOKUP($A48,p_rs_win_totals!$B$2:$G$31,5,0)</f>
        <v>56</v>
      </c>
      <c r="V48">
        <v>5</v>
      </c>
      <c r="W48">
        <v>44.183972365573325</v>
      </c>
      <c r="X48">
        <v>3</v>
      </c>
    </row>
    <row r="49" spans="1:24" x14ac:dyDescent="0.25">
      <c r="A49" t="s">
        <v>17</v>
      </c>
      <c r="B49">
        <v>4.6060034342003467E-2</v>
      </c>
      <c r="C49">
        <f>RANK(B49,$B$36:$B$65)</f>
        <v>27</v>
      </c>
      <c r="D49">
        <v>11.730265956003288</v>
      </c>
      <c r="E49">
        <v>8.4827586206896548</v>
      </c>
      <c r="H49">
        <v>1</v>
      </c>
      <c r="I49">
        <v>1</v>
      </c>
      <c r="J49">
        <v>9.3443551008829034E-2</v>
      </c>
      <c r="K49">
        <v>27</v>
      </c>
      <c r="L49">
        <v>8.4827586206896548</v>
      </c>
      <c r="M49">
        <v>1</v>
      </c>
      <c r="N49">
        <v>1</v>
      </c>
      <c r="O49">
        <v>4.6060034342003467E-2</v>
      </c>
      <c r="P49">
        <v>27</v>
      </c>
      <c r="Q49">
        <v>1</v>
      </c>
      <c r="R49">
        <v>1</v>
      </c>
      <c r="S49">
        <v>1.3923275611845138</v>
      </c>
      <c r="T49">
        <v>27</v>
      </c>
      <c r="U49">
        <f>VLOOKUP($A49,p_rs_win_totals!$B$2:$G$31,5,0)</f>
        <v>27</v>
      </c>
      <c r="V49">
        <v>25</v>
      </c>
      <c r="W49">
        <v>4.673751760999675</v>
      </c>
      <c r="X49">
        <v>27</v>
      </c>
    </row>
    <row r="50" spans="1:24" x14ac:dyDescent="0.25">
      <c r="A50" t="s">
        <v>28</v>
      </c>
      <c r="B50">
        <v>0.42608770104826288</v>
      </c>
      <c r="C50">
        <f>RANK(B50,$B$36:$B$65)</f>
        <v>4</v>
      </c>
      <c r="D50">
        <v>62.197954702855306</v>
      </c>
      <c r="E50">
        <v>73.517241379310349</v>
      </c>
      <c r="H50">
        <v>1</v>
      </c>
      <c r="I50">
        <v>1</v>
      </c>
      <c r="J50">
        <v>0.86716388418585333</v>
      </c>
      <c r="K50">
        <v>4</v>
      </c>
      <c r="L50">
        <v>73.517241379310349</v>
      </c>
      <c r="M50">
        <v>1</v>
      </c>
      <c r="N50">
        <v>1</v>
      </c>
      <c r="O50">
        <v>0.42608770104826288</v>
      </c>
      <c r="P50">
        <v>4</v>
      </c>
      <c r="Q50">
        <v>1</v>
      </c>
      <c r="R50">
        <v>1</v>
      </c>
      <c r="S50">
        <v>12.904436527870168</v>
      </c>
      <c r="T50">
        <v>4</v>
      </c>
      <c r="U50">
        <f>VLOOKUP($A50,p_rs_win_totals!$B$2:$G$31,5,0)</f>
        <v>50</v>
      </c>
      <c r="V50">
        <v>9</v>
      </c>
      <c r="W50">
        <v>43.36993436220046</v>
      </c>
      <c r="X50">
        <v>4</v>
      </c>
    </row>
    <row r="51" spans="1:24" x14ac:dyDescent="0.25">
      <c r="A51" t="s">
        <v>24</v>
      </c>
      <c r="B51">
        <v>0.13364049688919283</v>
      </c>
      <c r="C51">
        <f>RANK(B51,$B$36:$B$65)</f>
        <v>20</v>
      </c>
      <c r="D51">
        <v>52.724403255340768</v>
      </c>
      <c r="E51">
        <v>28.27586206896552</v>
      </c>
      <c r="H51">
        <v>1</v>
      </c>
      <c r="I51">
        <v>1</v>
      </c>
      <c r="J51">
        <v>0.27116683974396016</v>
      </c>
      <c r="K51">
        <v>20</v>
      </c>
      <c r="L51">
        <v>28.27586206896552</v>
      </c>
      <c r="M51">
        <v>1</v>
      </c>
      <c r="N51">
        <v>1</v>
      </c>
      <c r="O51">
        <v>0.13364049688919283</v>
      </c>
      <c r="P51">
        <v>20</v>
      </c>
      <c r="Q51">
        <v>1</v>
      </c>
      <c r="R51">
        <v>1</v>
      </c>
      <c r="S51">
        <v>4.067787184635387</v>
      </c>
      <c r="T51">
        <v>20</v>
      </c>
      <c r="U51">
        <f>VLOOKUP($A51,p_rs_win_totals!$B$2:$G$31,5,0)</f>
        <v>47</v>
      </c>
      <c r="V51">
        <v>12</v>
      </c>
      <c r="W51">
        <v>13.56093513892448</v>
      </c>
      <c r="X51">
        <v>20</v>
      </c>
    </row>
    <row r="52" spans="1:24" x14ac:dyDescent="0.25">
      <c r="A52" t="s">
        <v>19</v>
      </c>
      <c r="B52">
        <v>0.16959940231094095</v>
      </c>
      <c r="C52">
        <f>RANK(B52,$B$36:$B$65)</f>
        <v>15</v>
      </c>
      <c r="D52">
        <v>73</v>
      </c>
      <c r="E52">
        <v>42.413793103448278</v>
      </c>
      <c r="H52">
        <v>1</v>
      </c>
      <c r="I52">
        <v>1</v>
      </c>
      <c r="J52">
        <v>0.34426279523602787</v>
      </c>
      <c r="K52">
        <v>15</v>
      </c>
      <c r="L52">
        <v>42.413793103448278</v>
      </c>
      <c r="M52">
        <v>1</v>
      </c>
      <c r="N52">
        <v>1</v>
      </c>
      <c r="O52">
        <v>0.16959940231094095</v>
      </c>
      <c r="P52">
        <v>15</v>
      </c>
      <c r="Q52">
        <v>1</v>
      </c>
      <c r="R52">
        <v>1</v>
      </c>
      <c r="S52">
        <v>5.1435410185622885</v>
      </c>
      <c r="T52">
        <v>15</v>
      </c>
      <c r="U52">
        <f>VLOOKUP($A52,p_rs_win_totals!$B$2:$G$31,5,0)</f>
        <v>57</v>
      </c>
      <c r="V52">
        <v>3</v>
      </c>
      <c r="W52">
        <v>17.194478680413045</v>
      </c>
      <c r="X52">
        <v>15</v>
      </c>
    </row>
    <row r="53" spans="1:24" x14ac:dyDescent="0.25">
      <c r="A53" t="s">
        <v>29</v>
      </c>
      <c r="B53">
        <v>3.2965718463167815E-2</v>
      </c>
      <c r="C53">
        <f>RANK(B53,$B$36:$B$65)</f>
        <v>30</v>
      </c>
      <c r="D53">
        <v>11</v>
      </c>
      <c r="E53">
        <v>0</v>
      </c>
      <c r="H53">
        <v>1</v>
      </c>
      <c r="I53">
        <v>1</v>
      </c>
      <c r="J53">
        <v>6.6912031414692111E-2</v>
      </c>
      <c r="K53">
        <v>30</v>
      </c>
      <c r="L53">
        <v>0</v>
      </c>
      <c r="M53">
        <v>1</v>
      </c>
      <c r="N53">
        <v>1</v>
      </c>
      <c r="O53">
        <v>3.2965718463167815E-2</v>
      </c>
      <c r="P53">
        <v>30</v>
      </c>
      <c r="Q53">
        <v>1</v>
      </c>
      <c r="R53">
        <v>1</v>
      </c>
      <c r="S53">
        <v>1</v>
      </c>
      <c r="T53">
        <v>30</v>
      </c>
      <c r="U53">
        <f>VLOOKUP($A53,p_rs_win_totals!$B$2:$G$31,5,0)</f>
        <v>24</v>
      </c>
      <c r="V53">
        <v>29</v>
      </c>
      <c r="W53">
        <v>3.3454714641214602</v>
      </c>
      <c r="X53">
        <v>30</v>
      </c>
    </row>
    <row r="54" spans="1:24" x14ac:dyDescent="0.25">
      <c r="A54" t="s">
        <v>12</v>
      </c>
      <c r="B54">
        <v>0.23875876923236161</v>
      </c>
      <c r="C54">
        <f>RANK(B54,$B$36:$B$65)</f>
        <v>11</v>
      </c>
      <c r="D54">
        <v>39.915365636555187</v>
      </c>
      <c r="E54">
        <v>53.724137931034484</v>
      </c>
      <c r="H54">
        <v>1</v>
      </c>
      <c r="I54">
        <v>1</v>
      </c>
      <c r="J54">
        <v>0.48366101640935577</v>
      </c>
      <c r="K54">
        <v>11</v>
      </c>
      <c r="L54">
        <v>53.724137931034484</v>
      </c>
      <c r="M54">
        <v>1</v>
      </c>
      <c r="N54">
        <v>1</v>
      </c>
      <c r="O54">
        <v>0.23875876923236161</v>
      </c>
      <c r="P54">
        <v>11</v>
      </c>
      <c r="Q54">
        <v>1</v>
      </c>
      <c r="R54">
        <v>1</v>
      </c>
      <c r="S54">
        <v>7.1949487646385117</v>
      </c>
      <c r="T54">
        <v>11</v>
      </c>
      <c r="U54">
        <f>VLOOKUP($A54,p_rs_win_totals!$B$2:$G$31,5,0)</f>
        <v>45</v>
      </c>
      <c r="V54">
        <v>13</v>
      </c>
      <c r="W54">
        <v>24.279913268555969</v>
      </c>
      <c r="X54">
        <v>11</v>
      </c>
    </row>
    <row r="55" spans="1:24" x14ac:dyDescent="0.25">
      <c r="A55" t="s">
        <v>31</v>
      </c>
      <c r="B55">
        <v>3.6589762157162566E-2</v>
      </c>
      <c r="C55">
        <f>RANK(B55,$B$36:$B$65)</f>
        <v>29</v>
      </c>
      <c r="D55">
        <v>15.577550522539479</v>
      </c>
      <c r="E55">
        <v>2.8275862068965516</v>
      </c>
      <c r="H55">
        <v>1</v>
      </c>
      <c r="I55">
        <v>1</v>
      </c>
      <c r="J55">
        <v>7.4280476366190409E-2</v>
      </c>
      <c r="K55">
        <v>29</v>
      </c>
      <c r="L55">
        <v>2.8275862068965516</v>
      </c>
      <c r="M55">
        <v>1</v>
      </c>
      <c r="N55">
        <v>1</v>
      </c>
      <c r="O55">
        <v>3.6589762157162566E-2</v>
      </c>
      <c r="P55">
        <v>29</v>
      </c>
      <c r="Q55">
        <v>1</v>
      </c>
      <c r="R55">
        <v>1</v>
      </c>
      <c r="S55">
        <v>1.1012073420685042</v>
      </c>
      <c r="T55">
        <v>29</v>
      </c>
      <c r="U55">
        <f>VLOOKUP($A55,p_rs_win_totals!$B$2:$G$31,5,0)</f>
        <v>30</v>
      </c>
      <c r="V55">
        <v>23</v>
      </c>
      <c r="W55">
        <v>3.7133560518256341</v>
      </c>
      <c r="X55">
        <v>29</v>
      </c>
    </row>
    <row r="56" spans="1:24" x14ac:dyDescent="0.25">
      <c r="A56" t="s">
        <v>38</v>
      </c>
      <c r="B56">
        <v>0.20046296369980787</v>
      </c>
      <c r="C56">
        <f>RANK(B56,$B$36:$B$65)</f>
        <v>13</v>
      </c>
      <c r="D56">
        <v>73</v>
      </c>
      <c r="E56">
        <v>48.068965517241374</v>
      </c>
      <c r="H56">
        <v>1</v>
      </c>
      <c r="I56">
        <v>1</v>
      </c>
      <c r="J56">
        <v>0.40685615368250755</v>
      </c>
      <c r="K56">
        <v>13</v>
      </c>
      <c r="L56">
        <v>48.068965517241374</v>
      </c>
      <c r="M56">
        <v>1</v>
      </c>
      <c r="N56">
        <v>1</v>
      </c>
      <c r="O56">
        <v>0.20046296369980787</v>
      </c>
      <c r="P56">
        <v>13</v>
      </c>
      <c r="Q56">
        <v>1</v>
      </c>
      <c r="R56">
        <v>1</v>
      </c>
      <c r="S56">
        <v>6.0928627297435725</v>
      </c>
      <c r="T56">
        <v>13</v>
      </c>
      <c r="U56">
        <f>VLOOKUP($A56,p_rs_win_totals!$B$2:$G$31,5,0)</f>
        <v>58</v>
      </c>
      <c r="V56">
        <v>2</v>
      </c>
      <c r="W56">
        <v>20.343820399253111</v>
      </c>
      <c r="X56">
        <v>13</v>
      </c>
    </row>
    <row r="57" spans="1:24" x14ac:dyDescent="0.25">
      <c r="A57" t="s">
        <v>13</v>
      </c>
      <c r="B57">
        <v>6.2478212187101645E-2</v>
      </c>
      <c r="C57">
        <f>RANK(B57,$B$36:$B$65)</f>
        <v>26</v>
      </c>
      <c r="D57">
        <v>20.341939505586261</v>
      </c>
      <c r="E57">
        <v>11.310344827586206</v>
      </c>
      <c r="H57">
        <v>1</v>
      </c>
      <c r="I57">
        <v>1</v>
      </c>
      <c r="J57">
        <v>0.12681730495280349</v>
      </c>
      <c r="K57">
        <v>26</v>
      </c>
      <c r="L57">
        <v>11.310344827586206</v>
      </c>
      <c r="M57">
        <v>1</v>
      </c>
      <c r="N57">
        <v>1</v>
      </c>
      <c r="O57">
        <v>6.2478212187101645E-2</v>
      </c>
      <c r="P57">
        <v>26</v>
      </c>
      <c r="Q57">
        <v>1</v>
      </c>
      <c r="R57">
        <v>1</v>
      </c>
      <c r="S57">
        <v>1.9110084210563261</v>
      </c>
      <c r="T57">
        <v>26</v>
      </c>
      <c r="U57">
        <f>VLOOKUP($A57,p_rs_win_totals!$B$2:$G$31,5,0)</f>
        <v>35</v>
      </c>
      <c r="V57">
        <v>19</v>
      </c>
      <c r="W57">
        <v>6.3414304433195472</v>
      </c>
      <c r="X57">
        <v>26</v>
      </c>
    </row>
    <row r="58" spans="1:24" x14ac:dyDescent="0.25">
      <c r="A58" t="s">
        <v>21</v>
      </c>
      <c r="B58">
        <v>4.0297973824672748E-2</v>
      </c>
      <c r="C58">
        <f>RANK(B58,$B$36:$B$65)</f>
        <v>28</v>
      </c>
      <c r="D58">
        <v>11</v>
      </c>
      <c r="E58">
        <v>5.6551724137931032</v>
      </c>
      <c r="H58">
        <v>1</v>
      </c>
      <c r="I58">
        <v>1</v>
      </c>
      <c r="J58">
        <v>8.177550929665936E-2</v>
      </c>
      <c r="K58">
        <v>28</v>
      </c>
      <c r="L58">
        <v>5.6551724137931032</v>
      </c>
      <c r="M58">
        <v>1</v>
      </c>
      <c r="N58">
        <v>1</v>
      </c>
      <c r="O58">
        <v>4.0297973824672748E-2</v>
      </c>
      <c r="P58">
        <v>28</v>
      </c>
      <c r="Q58">
        <v>1</v>
      </c>
      <c r="R58">
        <v>1</v>
      </c>
      <c r="S58">
        <v>1.2080509290463146</v>
      </c>
      <c r="T58">
        <v>28</v>
      </c>
      <c r="U58">
        <f>VLOOKUP($A58,p_rs_win_totals!$B$2:$G$31,5,0)</f>
        <v>21</v>
      </c>
      <c r="V58">
        <v>30</v>
      </c>
      <c r="W58">
        <v>4.090284646326892</v>
      </c>
      <c r="X58">
        <v>28</v>
      </c>
    </row>
    <row r="59" spans="1:24" x14ac:dyDescent="0.25">
      <c r="A59" t="s">
        <v>35</v>
      </c>
      <c r="B59">
        <v>0.1451129437646469</v>
      </c>
      <c r="C59">
        <f>RANK(B59,$B$36:$B$65)</f>
        <v>19</v>
      </c>
      <c r="D59">
        <v>20.341939505586261</v>
      </c>
      <c r="E59">
        <v>31.103448275862068</v>
      </c>
      <c r="H59">
        <v>1</v>
      </c>
      <c r="I59">
        <v>1</v>
      </c>
      <c r="J59">
        <v>0.29442095405356583</v>
      </c>
      <c r="K59">
        <v>19</v>
      </c>
      <c r="L59">
        <v>31.103448275862068</v>
      </c>
      <c r="M59">
        <v>1</v>
      </c>
      <c r="N59">
        <v>1</v>
      </c>
      <c r="O59">
        <v>0.1451129437646469</v>
      </c>
      <c r="P59">
        <v>19</v>
      </c>
      <c r="Q59">
        <v>1</v>
      </c>
      <c r="R59">
        <v>1</v>
      </c>
      <c r="S59">
        <v>4.3692635150070869</v>
      </c>
      <c r="T59">
        <v>19</v>
      </c>
      <c r="U59">
        <f>VLOOKUP($A59,p_rs_win_totals!$B$2:$G$31,5,0)</f>
        <v>35</v>
      </c>
      <c r="V59">
        <v>19</v>
      </c>
      <c r="W59">
        <v>14.713546406884396</v>
      </c>
      <c r="X59">
        <v>19</v>
      </c>
    </row>
    <row r="60" spans="1:24" x14ac:dyDescent="0.25">
      <c r="A60" t="s">
        <v>39</v>
      </c>
      <c r="B60">
        <v>0.31300553517884933</v>
      </c>
      <c r="C60">
        <f>RANK(B60,$B$36:$B$65)</f>
        <v>8</v>
      </c>
      <c r="D60">
        <v>11.730265956003288</v>
      </c>
      <c r="E60">
        <v>62.206896551724135</v>
      </c>
      <c r="H60">
        <v>1</v>
      </c>
      <c r="I60">
        <v>1</v>
      </c>
      <c r="J60">
        <v>0.63482229705919779</v>
      </c>
      <c r="K60">
        <v>8</v>
      </c>
      <c r="L60">
        <v>62.206896551724135</v>
      </c>
      <c r="M60">
        <v>1</v>
      </c>
      <c r="N60">
        <v>1</v>
      </c>
      <c r="O60">
        <v>0.31300553517884933</v>
      </c>
      <c r="P60">
        <v>8</v>
      </c>
      <c r="Q60">
        <v>1</v>
      </c>
      <c r="R60">
        <v>1</v>
      </c>
      <c r="S60">
        <v>9.4462971430556149</v>
      </c>
      <c r="T60">
        <v>8</v>
      </c>
      <c r="U60">
        <f>VLOOKUP($A60,p_rs_win_totals!$B$2:$G$31,5,0)</f>
        <v>27</v>
      </c>
      <c r="V60">
        <v>25</v>
      </c>
      <c r="W60">
        <v>31.750254447305419</v>
      </c>
      <c r="X60">
        <v>8</v>
      </c>
    </row>
    <row r="61" spans="1:24" x14ac:dyDescent="0.25">
      <c r="A61" t="s">
        <v>15</v>
      </c>
      <c r="B61">
        <v>0.36872340622441696</v>
      </c>
      <c r="C61">
        <f>RANK(B61,$B$36:$B$65)</f>
        <v>6</v>
      </c>
      <c r="D61">
        <v>73</v>
      </c>
      <c r="E61">
        <v>67.862068965517238</v>
      </c>
      <c r="H61">
        <v>1</v>
      </c>
      <c r="I61">
        <v>1</v>
      </c>
      <c r="J61">
        <v>0.74773488441654934</v>
      </c>
      <c r="K61">
        <v>6</v>
      </c>
      <c r="L61">
        <v>67.862068965517238</v>
      </c>
      <c r="M61">
        <v>1</v>
      </c>
      <c r="N61">
        <v>1</v>
      </c>
      <c r="O61">
        <v>0.36872340622441696</v>
      </c>
      <c r="P61">
        <v>6</v>
      </c>
      <c r="Q61">
        <v>1</v>
      </c>
      <c r="R61">
        <v>1</v>
      </c>
      <c r="S61">
        <v>11.233768458550037</v>
      </c>
      <c r="T61">
        <v>6</v>
      </c>
      <c r="U61">
        <f>VLOOKUP($A61,p_rs_win_totals!$B$2:$G$31,5,0)</f>
        <v>56</v>
      </c>
      <c r="V61">
        <v>5</v>
      </c>
      <c r="W61">
        <v>37.393762672038349</v>
      </c>
      <c r="X61">
        <v>6</v>
      </c>
    </row>
    <row r="62" spans="1:24" x14ac:dyDescent="0.25">
      <c r="A62" t="s">
        <v>37</v>
      </c>
      <c r="B62">
        <v>9.7531501989488123E-2</v>
      </c>
      <c r="C62">
        <f>RANK(B62,$B$36:$B$65)</f>
        <v>24</v>
      </c>
      <c r="D62">
        <v>18.566971070154395</v>
      </c>
      <c r="E62">
        <v>16.96551724137931</v>
      </c>
      <c r="H62">
        <v>1</v>
      </c>
      <c r="I62">
        <v>1</v>
      </c>
      <c r="J62">
        <v>0.19792342767564522</v>
      </c>
      <c r="K62">
        <v>24</v>
      </c>
      <c r="L62">
        <v>16.96551724137931</v>
      </c>
      <c r="M62">
        <v>1</v>
      </c>
      <c r="N62">
        <v>1</v>
      </c>
      <c r="O62">
        <v>9.7531501989488123E-2</v>
      </c>
      <c r="P62">
        <v>24</v>
      </c>
      <c r="Q62">
        <v>1</v>
      </c>
      <c r="R62">
        <v>1</v>
      </c>
      <c r="S62">
        <v>2.9356518871769106</v>
      </c>
      <c r="T62">
        <v>24</v>
      </c>
      <c r="U62">
        <f>VLOOKUP($A62,p_rs_win_totals!$B$2:$G$31,5,0)</f>
        <v>31</v>
      </c>
      <c r="V62">
        <v>22</v>
      </c>
      <c r="W62">
        <v>9.901661527591358</v>
      </c>
      <c r="X62">
        <v>24</v>
      </c>
    </row>
    <row r="63" spans="1:24" x14ac:dyDescent="0.25">
      <c r="A63" t="s">
        <v>27</v>
      </c>
      <c r="B63">
        <v>0.22131731246983058</v>
      </c>
      <c r="C63">
        <f>RANK(B63,$B$36:$B$65)</f>
        <v>12</v>
      </c>
      <c r="D63">
        <v>39.915365636555187</v>
      </c>
      <c r="E63">
        <v>50.896551724137936</v>
      </c>
      <c r="H63">
        <v>1</v>
      </c>
      <c r="I63">
        <v>1</v>
      </c>
      <c r="J63">
        <v>0.44931036278660286</v>
      </c>
      <c r="K63">
        <v>12</v>
      </c>
      <c r="L63">
        <v>50.896551724137936</v>
      </c>
      <c r="M63">
        <v>1</v>
      </c>
      <c r="N63">
        <v>1</v>
      </c>
      <c r="O63">
        <v>0.22131731246983058</v>
      </c>
      <c r="P63">
        <v>12</v>
      </c>
      <c r="Q63">
        <v>1</v>
      </c>
      <c r="R63">
        <v>1</v>
      </c>
      <c r="S63">
        <v>6.6220490038898614</v>
      </c>
      <c r="T63">
        <v>12</v>
      </c>
      <c r="U63">
        <f>VLOOKUP($A63,p_rs_win_totals!$B$2:$G$31,5,0)</f>
        <v>45</v>
      </c>
      <c r="V63">
        <v>13</v>
      </c>
      <c r="W63">
        <v>22.451562548553763</v>
      </c>
      <c r="X63">
        <v>12</v>
      </c>
    </row>
    <row r="64" spans="1:24" x14ac:dyDescent="0.25">
      <c r="A64" t="s">
        <v>34</v>
      </c>
      <c r="B64">
        <v>0.15436610877004825</v>
      </c>
      <c r="C64">
        <f>RANK(B64,$B$36:$B$65)</f>
        <v>17</v>
      </c>
      <c r="D64">
        <v>32.310202090157908</v>
      </c>
      <c r="E64">
        <v>36.758620689655174</v>
      </c>
      <c r="H64">
        <v>1</v>
      </c>
      <c r="I64">
        <v>1</v>
      </c>
      <c r="J64">
        <v>0.31322873343352264</v>
      </c>
      <c r="K64">
        <v>17</v>
      </c>
      <c r="L64">
        <v>36.758620689655174</v>
      </c>
      <c r="M64">
        <v>1</v>
      </c>
      <c r="N64">
        <v>1</v>
      </c>
      <c r="O64">
        <v>0.15436610877004825</v>
      </c>
      <c r="P64">
        <v>17</v>
      </c>
      <c r="Q64">
        <v>1</v>
      </c>
      <c r="R64">
        <v>1</v>
      </c>
      <c r="S64">
        <v>4.6543773547569565</v>
      </c>
      <c r="T64">
        <v>17</v>
      </c>
      <c r="U64">
        <f>VLOOKUP($A64,p_rs_win_totals!$B$2:$G$31,5,0)</f>
        <v>43</v>
      </c>
      <c r="V64">
        <v>16</v>
      </c>
      <c r="W64">
        <v>15.665513578187214</v>
      </c>
      <c r="X64">
        <v>17</v>
      </c>
    </row>
    <row r="65" spans="1:35" x14ac:dyDescent="0.25">
      <c r="A65" t="s">
        <v>25</v>
      </c>
      <c r="B65">
        <v>0.19842757437575348</v>
      </c>
      <c r="C65">
        <f>RANK(B65,$B$36:$B$65)</f>
        <v>14</v>
      </c>
      <c r="D65">
        <v>57.367758022345058</v>
      </c>
      <c r="E65">
        <v>45.241379310344826</v>
      </c>
      <c r="H65">
        <v>1</v>
      </c>
      <c r="I65">
        <v>1</v>
      </c>
      <c r="J65">
        <v>0.40272458118742654</v>
      </c>
      <c r="K65">
        <v>14</v>
      </c>
      <c r="L65">
        <v>45.241379310344826</v>
      </c>
      <c r="M65">
        <v>1</v>
      </c>
      <c r="N65">
        <v>1</v>
      </c>
      <c r="O65">
        <v>0.19842757437575348</v>
      </c>
      <c r="P65">
        <v>14</v>
      </c>
      <c r="Q65">
        <v>1</v>
      </c>
      <c r="R65">
        <v>1</v>
      </c>
      <c r="S65">
        <v>6.0082630484804556</v>
      </c>
      <c r="T65">
        <v>14</v>
      </c>
      <c r="U65">
        <f>VLOOKUP($A65,p_rs_win_totals!$B$2:$G$31,5,0)</f>
        <v>48</v>
      </c>
      <c r="V65">
        <v>11</v>
      </c>
      <c r="W65">
        <v>20.12557713539988</v>
      </c>
      <c r="X65">
        <v>14</v>
      </c>
    </row>
    <row r="66" spans="1:35" x14ac:dyDescent="0.25">
      <c r="D66">
        <f>SUM(D36:D65)</f>
        <v>1209.9999999999986</v>
      </c>
      <c r="E66">
        <f>SUM(E36:E65)</f>
        <v>1230</v>
      </c>
    </row>
    <row r="67" spans="1:35" x14ac:dyDescent="0.25">
      <c r="A67" t="s">
        <v>90</v>
      </c>
      <c r="H67">
        <v>796</v>
      </c>
      <c r="J67">
        <v>391.52928254564472</v>
      </c>
      <c r="L67">
        <v>796</v>
      </c>
      <c r="M67">
        <v>796</v>
      </c>
      <c r="O67">
        <v>391.52879264640603</v>
      </c>
      <c r="Q67">
        <v>796</v>
      </c>
      <c r="S67">
        <v>391.57031213544178</v>
      </c>
      <c r="U67">
        <v>591.70970423303186</v>
      </c>
      <c r="W67">
        <v>391.52934138881528</v>
      </c>
    </row>
    <row r="69" spans="1:35" x14ac:dyDescent="0.25">
      <c r="A69" t="s">
        <v>79</v>
      </c>
      <c r="AG69" t="s">
        <v>107</v>
      </c>
      <c r="AH69" t="s">
        <v>106</v>
      </c>
    </row>
    <row r="70" spans="1:35" x14ac:dyDescent="0.25">
      <c r="B70" t="s">
        <v>26</v>
      </c>
      <c r="C70" t="s">
        <v>23</v>
      </c>
      <c r="D70" t="s">
        <v>22</v>
      </c>
      <c r="E70" t="s">
        <v>18</v>
      </c>
      <c r="F70" t="s">
        <v>30</v>
      </c>
      <c r="G70" t="s">
        <v>40</v>
      </c>
      <c r="H70" t="s">
        <v>14</v>
      </c>
      <c r="I70" t="s">
        <v>32</v>
      </c>
      <c r="J70" t="s">
        <v>33</v>
      </c>
      <c r="K70" t="s">
        <v>36</v>
      </c>
      <c r="L70" t="s">
        <v>16</v>
      </c>
      <c r="M70" t="s">
        <v>20</v>
      </c>
      <c r="N70" t="s">
        <v>41</v>
      </c>
      <c r="O70" t="s">
        <v>17</v>
      </c>
      <c r="P70" t="s">
        <v>28</v>
      </c>
      <c r="Q70" t="s">
        <v>24</v>
      </c>
      <c r="R70" t="s">
        <v>19</v>
      </c>
      <c r="S70" t="s">
        <v>29</v>
      </c>
      <c r="T70" t="s">
        <v>12</v>
      </c>
      <c r="U70" t="s">
        <v>31</v>
      </c>
      <c r="V70" t="s">
        <v>38</v>
      </c>
      <c r="W70" t="s">
        <v>13</v>
      </c>
      <c r="X70" t="s">
        <v>21</v>
      </c>
      <c r="Y70" t="s">
        <v>35</v>
      </c>
      <c r="Z70" t="s">
        <v>39</v>
      </c>
      <c r="AA70" t="s">
        <v>15</v>
      </c>
      <c r="AB70" t="s">
        <v>37</v>
      </c>
      <c r="AC70" t="s">
        <v>27</v>
      </c>
      <c r="AD70" t="s">
        <v>34</v>
      </c>
      <c r="AE70" t="s">
        <v>25</v>
      </c>
    </row>
    <row r="71" spans="1:35" x14ac:dyDescent="0.25">
      <c r="A71" t="s">
        <v>26</v>
      </c>
      <c r="B71">
        <f>IFERROR(VLOOKUP($A71,power_rankings,2,0)/(VLOOKUP($A71,power_rankings,2,0)+VLOOKUP(B$70,power_rankings,2,0))*(B3+HLOOKUP($A71,table_wins_h2h,MATCH(B$70,$A$2:$A$32,0),0)),0)</f>
        <v>0</v>
      </c>
      <c r="C71">
        <f>IFERROR(VLOOKUP($A71,power_rankings,2,0)/(VLOOKUP($A71,power_rankings,2,0)+VLOOKUP(C$70,power_rankings,2,0))*(C3+HLOOKUP($A71,table_wins_h2h,MATCH(C$70,$A$2:$A$32,0),0)),0)</f>
        <v>3.1996621938064362</v>
      </c>
      <c r="D71">
        <f>IFERROR(VLOOKUP($A71,power_rankings,2,0)/(VLOOKUP($A71,power_rankings,2,0)+VLOOKUP(D$70,power_rankings,2,0))*(D3+HLOOKUP($A71,table_wins_h2h,MATCH(D$70,$A$2:$A$32,0),0)),0)</f>
        <v>2.2815811175849579</v>
      </c>
      <c r="E71">
        <f>IFERROR(VLOOKUP($A71,power_rankings,2,0)/(VLOOKUP($A71,power_rankings,2,0)+VLOOKUP(E$70,power_rankings,2,0))*(E3+HLOOKUP($A71,table_wins_h2h,MATCH(E$70,$A$2:$A$32,0),0)),0)</f>
        <v>3.2470166609381308</v>
      </c>
      <c r="F71">
        <f>IFERROR(VLOOKUP($A71,power_rankings,2,0)/(VLOOKUP($A71,power_rankings,2,0)+VLOOKUP(F$70,power_rankings,2,0))*(F3+HLOOKUP($A71,table_wins_h2h,MATCH(F$70,$A$2:$A$32,0),0)),0)</f>
        <v>1.9618514919696979</v>
      </c>
      <c r="G71">
        <f>IFERROR(VLOOKUP($A71,power_rankings,2,0)/(VLOOKUP($A71,power_rankings,2,0)+VLOOKUP(G$70,power_rankings,2,0))*(G3+HLOOKUP($A71,table_wins_h2h,MATCH(G$70,$A$2:$A$32,0),0)),0)</f>
        <v>2.4070564394920537</v>
      </c>
      <c r="H71">
        <f>IFERROR(VLOOKUP($A71,power_rankings,2,0)/(VLOOKUP($A71,power_rankings,2,0)+VLOOKUP(H$70,power_rankings,2,0))*(H3+HLOOKUP($A71,table_wins_h2h,MATCH(H$70,$A$2:$A$32,0),0)),0)</f>
        <v>1.2723980702064268</v>
      </c>
      <c r="I71">
        <f>IFERROR(VLOOKUP($A71,power_rankings,2,0)/(VLOOKUP($A71,power_rankings,2,0)+VLOOKUP(I$70,power_rankings,2,0))*(I3+HLOOKUP($A71,table_wins_h2h,MATCH(I$70,$A$2:$A$32,0),0)),0)</f>
        <v>1.6737976260145464</v>
      </c>
      <c r="J71">
        <f>IFERROR(VLOOKUP($A71,power_rankings,2,0)/(VLOOKUP($A71,power_rankings,2,0)+VLOOKUP(J$70,power_rankings,2,0))*(J3+HLOOKUP($A71,table_wins_h2h,MATCH(J$70,$A$2:$A$32,0),0)),0)</f>
        <v>3.3113928354245448</v>
      </c>
      <c r="K71">
        <f>IFERROR(VLOOKUP($A71,power_rankings,2,0)/(VLOOKUP($A71,power_rankings,2,0)+VLOOKUP(K$70,power_rankings,2,0))*(K3+HLOOKUP($A71,table_wins_h2h,MATCH(K$70,$A$2:$A$32,0),0)),0)</f>
        <v>0.66024182944630339</v>
      </c>
      <c r="L71">
        <f>IFERROR(VLOOKUP($A71,power_rankings,2,0)/(VLOOKUP($A71,power_rankings,2,0)+VLOOKUP(L$70,power_rankings,2,0))*(L3+HLOOKUP($A71,table_wins_h2h,MATCH(L$70,$A$2:$A$32,0),0)),0)</f>
        <v>1.1128146081533026</v>
      </c>
      <c r="M71">
        <f>IFERROR(VLOOKUP($A71,power_rankings,2,0)/(VLOOKUP($A71,power_rankings,2,0)+VLOOKUP(M$70,power_rankings,2,0))*(M3+HLOOKUP($A71,table_wins_h2h,MATCH(M$70,$A$2:$A$32,0),0)),0)</f>
        <v>2.2944283168432786</v>
      </c>
      <c r="N71">
        <f>IFERROR(VLOOKUP($A71,power_rankings,2,0)/(VLOOKUP($A71,power_rankings,2,0)+VLOOKUP(N$70,power_rankings,2,0))*(N3+HLOOKUP($A71,table_wins_h2h,MATCH(N$70,$A$2:$A$32,0),0)),0)</f>
        <v>1.0599560883106518</v>
      </c>
      <c r="O71">
        <f>IFERROR(VLOOKUP($A71,power_rankings,2,0)/(VLOOKUP($A71,power_rankings,2,0)+VLOOKUP(O$70,power_rankings,2,0))*(O3+HLOOKUP($A71,table_wins_h2h,MATCH(O$70,$A$2:$A$32,0),0)),0)</f>
        <v>1.8290485208738907</v>
      </c>
      <c r="P71">
        <f>IFERROR(VLOOKUP($A71,power_rankings,2,0)/(VLOOKUP($A71,power_rankings,2,0)+VLOOKUP(P$70,power_rankings,2,0))*(P3+HLOOKUP($A71,table_wins_h2h,MATCH(P$70,$A$2:$A$32,0),0)),0)</f>
        <v>1.0726079267657134</v>
      </c>
      <c r="Q71">
        <f>IFERROR(VLOOKUP($A71,power_rankings,2,0)/(VLOOKUP($A71,power_rankings,2,0)+VLOOKUP(Q$70,power_rankings,2,0))*(Q3+HLOOKUP($A71,table_wins_h2h,MATCH(Q$70,$A$2:$A$32,0),0)),0)</f>
        <v>3.1466767298858365</v>
      </c>
      <c r="R71">
        <f>IFERROR(VLOOKUP($A71,power_rankings,2,0)/(VLOOKUP($A71,power_rankings,2,0)+VLOOKUP(R$70,power_rankings,2,0))*(R3+HLOOKUP($A71,table_wins_h2h,MATCH(R$70,$A$2:$A$32,0),0)),0)</f>
        <v>2.9758584854066696</v>
      </c>
      <c r="S71">
        <f>IFERROR(VLOOKUP($A71,power_rankings,2,0)/(VLOOKUP($A71,power_rankings,2,0)+VLOOKUP(S$70,power_rankings,2,0))*(S3+HLOOKUP($A71,table_wins_h2h,MATCH(S$70,$A$2:$A$32,0),0)),0)</f>
        <v>1.8746008118347484</v>
      </c>
      <c r="T71">
        <f>IFERROR(VLOOKUP($A71,power_rankings,2,0)/(VLOOKUP($A71,power_rankings,2,0)+VLOOKUP(T$70,power_rankings,2,0))*(T3+HLOOKUP($A71,table_wins_h2h,MATCH(T$70,$A$2:$A$32,0),0)),0)</f>
        <v>1.3472661770141072</v>
      </c>
      <c r="U71">
        <f>IFERROR(VLOOKUP($A71,power_rankings,2,0)/(VLOOKUP($A71,power_rankings,2,0)+VLOOKUP(U$70,power_rankings,2,0))*(U3+HLOOKUP($A71,table_wins_h2h,MATCH(U$70,$A$2:$A$32,0),0)),0)</f>
        <v>2.7926520288694219</v>
      </c>
      <c r="V71">
        <f>IFERROR(VLOOKUP($A71,power_rankings,2,0)/(VLOOKUP($A71,power_rankings,2,0)+VLOOKUP(V$70,power_rankings,2,0))*(V3+HLOOKUP($A71,table_wins_h2h,MATCH(V$70,$A$2:$A$32,0),0)),0)</f>
        <v>1.4216883603844079</v>
      </c>
      <c r="W71">
        <f>IFERROR(VLOOKUP($A71,power_rankings,2,0)/(VLOOKUP($A71,power_rankings,2,0)+VLOOKUP(W$70,power_rankings,2,0))*(W3+HLOOKUP($A71,table_wins_h2h,MATCH(W$70,$A$2:$A$32,0),0)),0)</f>
        <v>3.5499376368386413</v>
      </c>
      <c r="X71">
        <f>IFERROR(VLOOKUP($A71,power_rankings,2,0)/(VLOOKUP($A71,power_rankings,2,0)+VLOOKUP(X$70,power_rankings,2,0))*(X3+HLOOKUP($A71,table_wins_h2h,MATCH(X$70,$A$2:$A$32,0),0)),0)</f>
        <v>3.6976355728885122</v>
      </c>
      <c r="Y71">
        <f>IFERROR(VLOOKUP($A71,power_rankings,2,0)/(VLOOKUP($A71,power_rankings,2,0)+VLOOKUP(Y$70,power_rankings,2,0))*(Y3+HLOOKUP($A71,table_wins_h2h,MATCH(Y$70,$A$2:$A$32,0),0)),0)</f>
        <v>1.545043202028284</v>
      </c>
      <c r="Z71">
        <f>IFERROR(VLOOKUP($A71,power_rankings,2,0)/(VLOOKUP($A71,power_rankings,2,0)+VLOOKUP(Z$70,power_rankings,2,0))*(Z3+HLOOKUP($A71,table_wins_h2h,MATCH(Z$70,$A$2:$A$32,0),0)),0)</f>
        <v>1.2231303676044734</v>
      </c>
      <c r="AA71">
        <f>IFERROR(VLOOKUP($A71,power_rankings,2,0)/(VLOOKUP($A71,power_rankings,2,0)+VLOOKUP(AA$70,power_rankings,2,0))*(AA3+HLOOKUP($A71,table_wins_h2h,MATCH(AA$70,$A$2:$A$32,0),0)),0)</f>
        <v>1.1440266682327005</v>
      </c>
      <c r="AB71">
        <f>IFERROR(VLOOKUP($A71,power_rankings,2,0)/(VLOOKUP($A71,power_rankings,2,0)+VLOOKUP(AB$70,power_rankings,2,0))*(AB3+HLOOKUP($A71,table_wins_h2h,MATCH(AB$70,$A$2:$A$32,0),0)),0)</f>
        <v>1.6695741580726955</v>
      </c>
      <c r="AC71">
        <f>IFERROR(VLOOKUP($A71,power_rankings,2,0)/(VLOOKUP($A71,power_rankings,2,0)+VLOOKUP(AC$70,power_rankings,2,0))*(AC3+HLOOKUP($A71,table_wins_h2h,MATCH(AC$70,$A$2:$A$32,0),0)),0)</f>
        <v>2.7603424478213072</v>
      </c>
      <c r="AD71">
        <f>IFERROR(VLOOKUP($A71,power_rankings,2,0)/(VLOOKUP($A71,power_rankings,2,0)+VLOOKUP(AD$70,power_rankings,2,0))*(AD3+HLOOKUP($A71,table_wins_h2h,MATCH(AD$70,$A$2:$A$32,0),0)),0)</f>
        <v>1.5229524419465637</v>
      </c>
      <c r="AE71">
        <f>IFERROR(VLOOKUP($A71,power_rankings,2,0)/(VLOOKUP($A71,power_rankings,2,0)+VLOOKUP(AE$70,power_rankings,2,0))*(AE3+HLOOKUP($A71,table_wins_h2h,MATCH(AE$70,$A$2:$A$32,0),0)),0)</f>
        <v>2.8517492489693343</v>
      </c>
      <c r="AG71">
        <f>ROUND(SUM(B71:AE71),2)</f>
        <v>60.91</v>
      </c>
      <c r="AH71">
        <f>VLOOKUP(A71,d_win_totals!$C$2:$E$31,3,0)</f>
        <v>48</v>
      </c>
      <c r="AI71">
        <f>AH71-AG71</f>
        <v>-12.909999999999997</v>
      </c>
    </row>
    <row r="72" spans="1:35" x14ac:dyDescent="0.25">
      <c r="A72" t="s">
        <v>23</v>
      </c>
      <c r="B72">
        <f>IFERROR(VLOOKUP($A72,power_rankings,2,0)/(VLOOKUP($A72,power_rankings,2,0)+VLOOKUP(B$70,power_rankings,2,0))*(B4+HLOOKUP($A72,table_wins_h2h,MATCH(B$70,$A$2:$A$32,0),0)),0)</f>
        <v>0.80033780619356387</v>
      </c>
      <c r="C72">
        <f>IFERROR(VLOOKUP($A72,power_rankings,2,0)/(VLOOKUP($A72,power_rankings,2,0)+VLOOKUP(C$70,power_rankings,2,0))*(C4+HLOOKUP($A72,table_wins_h2h,MATCH(C$70,$A$2:$A$32,0),0)),0)</f>
        <v>0</v>
      </c>
      <c r="D72">
        <f>IFERROR(VLOOKUP($A72,power_rankings,2,0)/(VLOOKUP($A72,power_rankings,2,0)+VLOOKUP(D$70,power_rankings,2,0))*(D4+HLOOKUP($A72,table_wins_h2h,MATCH(D$70,$A$2:$A$32,0),0)),0)</f>
        <v>1.7708156773277099</v>
      </c>
      <c r="E72">
        <f>IFERROR(VLOOKUP($A72,power_rankings,2,0)/(VLOOKUP($A72,power_rankings,2,0)+VLOOKUP(E$70,power_rankings,2,0))*(E4+HLOOKUP($A72,table_wins_h2h,MATCH(E$70,$A$2:$A$32,0),0)),0)</f>
        <v>1.5567345567450595</v>
      </c>
      <c r="F72">
        <f>IFERROR(VLOOKUP($A72,power_rankings,2,0)/(VLOOKUP($A72,power_rankings,2,0)+VLOOKUP(F$70,power_rankings,2,0))*(F4+HLOOKUP($A72,table_wins_h2h,MATCH(F$70,$A$2:$A$32,0),0)),0)</f>
        <v>1.2838807376866757</v>
      </c>
      <c r="G72">
        <f>IFERROR(VLOOKUP($A72,power_rankings,2,0)/(VLOOKUP($A72,power_rankings,2,0)+VLOOKUP(G$70,power_rankings,2,0))*(G4+HLOOKUP($A72,table_wins_h2h,MATCH(G$70,$A$2:$A$32,0),0)),0)</f>
        <v>1.0971750714144317</v>
      </c>
      <c r="H72">
        <f>IFERROR(VLOOKUP($A72,power_rankings,2,0)/(VLOOKUP($A72,power_rankings,2,0)+VLOOKUP(H$70,power_rankings,2,0))*(H4+HLOOKUP($A72,table_wins_h2h,MATCH(H$70,$A$2:$A$32,0),0)),0)</f>
        <v>0.60861795152041109</v>
      </c>
      <c r="I72">
        <f>IFERROR(VLOOKUP($A72,power_rankings,2,0)/(VLOOKUP($A72,power_rankings,2,0)+VLOOKUP(I$70,power_rankings,2,0))*(I4+HLOOKUP($A72,table_wins_h2h,MATCH(I$70,$A$2:$A$32,0),0)),0)</f>
        <v>1.1241392339287941</v>
      </c>
      <c r="J72">
        <f>IFERROR(VLOOKUP($A72,power_rankings,2,0)/(VLOOKUP($A72,power_rankings,2,0)+VLOOKUP(J$70,power_rankings,2,0))*(J4+HLOOKUP($A72,table_wins_h2h,MATCH(J$70,$A$2:$A$32,0),0)),0)</f>
        <v>1.6381225681343548</v>
      </c>
      <c r="K72">
        <f>IFERROR(VLOOKUP($A72,power_rankings,2,0)/(VLOOKUP($A72,power_rankings,2,0)+VLOOKUP(K$70,power_rankings,2,0))*(K4+HLOOKUP($A72,table_wins_h2h,MATCH(K$70,$A$2:$A$32,0),0)),0)</f>
        <v>0.21947897809143921</v>
      </c>
      <c r="L72">
        <f>IFERROR(VLOOKUP($A72,power_rankings,2,0)/(VLOOKUP($A72,power_rankings,2,0)+VLOOKUP(L$70,power_rankings,2,0))*(L4+HLOOKUP($A72,table_wins_h2h,MATCH(L$70,$A$2:$A$32,0),0)),0)</f>
        <v>0.47763523929803892</v>
      </c>
      <c r="M72">
        <f>IFERROR(VLOOKUP($A72,power_rankings,2,0)/(VLOOKUP($A72,power_rankings,2,0)+VLOOKUP(M$70,power_rankings,2,0))*(M4+HLOOKUP($A72,table_wins_h2h,MATCH(M$70,$A$2:$A$32,0),0)),0)</f>
        <v>1.3456462986076525</v>
      </c>
      <c r="N72">
        <f>IFERROR(VLOOKUP($A72,power_rankings,2,0)/(VLOOKUP($A72,power_rankings,2,0)+VLOOKUP(N$70,power_rankings,2,0))*(N4+HLOOKUP($A72,table_wins_h2h,MATCH(N$70,$A$2:$A$32,0),0)),0)</f>
        <v>0.43998487269443709</v>
      </c>
      <c r="O72">
        <f>IFERROR(VLOOKUP($A72,power_rankings,2,0)/(VLOOKUP($A72,power_rankings,2,0)+VLOOKUP(O$70,power_rankings,2,0))*(O4+HLOOKUP($A72,table_wins_h2h,MATCH(O$70,$A$2:$A$32,0),0)),0)</f>
        <v>1.4559626945050372</v>
      </c>
      <c r="P72">
        <f>IFERROR(VLOOKUP($A72,power_rankings,2,0)/(VLOOKUP($A72,power_rankings,2,0)+VLOOKUP(P$70,power_rankings,2,0))*(P4+HLOOKUP($A72,table_wins_h2h,MATCH(P$70,$A$2:$A$32,0),0)),0)</f>
        <v>0.44876936170175785</v>
      </c>
      <c r="Q72">
        <f>IFERROR(VLOOKUP($A72,power_rankings,2,0)/(VLOOKUP($A72,power_rankings,2,0)+VLOOKUP(Q$70,power_rankings,2,0))*(Q4+HLOOKUP($A72,table_wins_h2h,MATCH(Q$70,$A$2:$A$32,0),0)),0)</f>
        <v>1.9192410256995096</v>
      </c>
      <c r="R72">
        <f>IFERROR(VLOOKUP($A72,power_rankings,2,0)/(VLOOKUP($A72,power_rankings,2,0)+VLOOKUP(R$70,power_rankings,2,0))*(R4+HLOOKUP($A72,table_wins_h2h,MATCH(R$70,$A$2:$A$32,0),0)),0)</f>
        <v>1.6835913470633439</v>
      </c>
      <c r="S72">
        <f>IFERROR(VLOOKUP($A72,power_rankings,2,0)/(VLOOKUP($A72,power_rankings,2,0)+VLOOKUP(S$70,power_rankings,2,0))*(S4+HLOOKUP($A72,table_wins_h2h,MATCH(S$70,$A$2:$A$32,0),0)),0)</f>
        <v>1.5779913601082896</v>
      </c>
      <c r="T72">
        <f>IFERROR(VLOOKUP($A72,power_rankings,2,0)/(VLOOKUP($A72,power_rankings,2,0)+VLOOKUP(T$70,power_rankings,2,0))*(T4+HLOOKUP($A72,table_wins_h2h,MATCH(T$70,$A$2:$A$32,0),0)),0)</f>
        <v>0.68098363590414168</v>
      </c>
      <c r="U72">
        <f>IFERROR(VLOOKUP($A72,power_rankings,2,0)/(VLOOKUP($A72,power_rankings,2,0)+VLOOKUP(U$70,power_rankings,2,0))*(U4+HLOOKUP($A72,table_wins_h2h,MATCH(U$70,$A$2:$A$32,0),0)),0)</f>
        <v>3.0844346700560288</v>
      </c>
      <c r="V72">
        <f>IFERROR(VLOOKUP($A72,power_rankings,2,0)/(VLOOKUP($A72,power_rankings,2,0)+VLOOKUP(V$70,power_rankings,2,0))*(V4+HLOOKUP($A72,table_wins_h2h,MATCH(V$70,$A$2:$A$32,0),0)),0)</f>
        <v>0.76154102243429622</v>
      </c>
      <c r="W72">
        <f>IFERROR(VLOOKUP($A72,power_rankings,2,0)/(VLOOKUP($A72,power_rankings,2,0)+VLOOKUP(W$70,power_rankings,2,0))*(W4+HLOOKUP($A72,table_wins_h2h,MATCH(W$70,$A$2:$A$32,0),0)),0)</f>
        <v>1.9909030680689335</v>
      </c>
      <c r="X72">
        <f>IFERROR(VLOOKUP($A72,power_rankings,2,0)/(VLOOKUP($A72,power_rankings,2,0)+VLOOKUP(X$70,power_rankings,2,0))*(X4+HLOOKUP($A72,table_wins_h2h,MATCH(X$70,$A$2:$A$32,0),0)),0)</f>
        <v>3.014506761504363</v>
      </c>
      <c r="Y72">
        <f>IFERROR(VLOOKUP($A72,power_rankings,2,0)/(VLOOKUP($A72,power_rankings,2,0)+VLOOKUP(Y$70,power_rankings,2,0))*(Y4+HLOOKUP($A72,table_wins_h2h,MATCH(Y$70,$A$2:$A$32,0),0)),0)</f>
        <v>0.9185995376086793</v>
      </c>
      <c r="Z72">
        <f>IFERROR(VLOOKUP($A72,power_rankings,2,0)/(VLOOKUP($A72,power_rankings,2,0)+VLOOKUP(Z$70,power_rankings,2,0))*(Z4+HLOOKUP($A72,table_wins_h2h,MATCH(Z$70,$A$2:$A$32,0),0)),0)</f>
        <v>0.56509079018688846</v>
      </c>
      <c r="AA72">
        <f>IFERROR(VLOOKUP($A72,power_rankings,2,0)/(VLOOKUP($A72,power_rankings,2,0)+VLOOKUP(AA$70,power_rankings,2,0))*(AA4+HLOOKUP($A72,table_wins_h2h,MATCH(AA$70,$A$2:$A$32,0),0)),0)</f>
        <v>0.50109426994784223</v>
      </c>
      <c r="AB72">
        <f>IFERROR(VLOOKUP($A72,power_rankings,2,0)/(VLOOKUP($A72,power_rankings,2,0)+VLOOKUP(AB$70,power_rankings,2,0))*(AB4+HLOOKUP($A72,table_wins_h2h,MATCH(AB$70,$A$2:$A$32,0),0)),0)</f>
        <v>1.1165553496072735</v>
      </c>
      <c r="AC72">
        <f>IFERROR(VLOOKUP($A72,power_rankings,2,0)/(VLOOKUP($A72,power_rankings,2,0)+VLOOKUP(AC$70,power_rankings,2,0))*(AC4+HLOOKUP($A72,table_wins_h2h,MATCH(AC$70,$A$2:$A$32,0),0)),0)</f>
        <v>1.4309045740660107</v>
      </c>
      <c r="AD72">
        <f>IFERROR(VLOOKUP($A72,power_rankings,2,0)/(VLOOKUP($A72,power_rankings,2,0)+VLOOKUP(AD$70,power_rankings,2,0))*(AD4+HLOOKUP($A72,table_wins_h2h,MATCH(AD$70,$A$2:$A$32,0),0)),0)</f>
        <v>0.88798373012826992</v>
      </c>
      <c r="AE72">
        <f>IFERROR(VLOOKUP($A72,power_rankings,2,0)/(VLOOKUP($A72,power_rankings,2,0)+VLOOKUP(AE$70,power_rankings,2,0))*(AE4+HLOOKUP($A72,table_wins_h2h,MATCH(AE$70,$A$2:$A$32,0),0)),0)</f>
        <v>1.5327187248850036</v>
      </c>
      <c r="AG72">
        <f t="shared" ref="AG72:AG100" si="0">ROUND(SUM(B72:AE72),2)</f>
        <v>35.93</v>
      </c>
      <c r="AH72">
        <f>VLOOKUP(A72,d_win_totals!$C$2:$E$31,3,0)</f>
        <v>21</v>
      </c>
      <c r="AI72">
        <f t="shared" ref="AI72:AI100" si="1">AH72-AG72</f>
        <v>-14.93</v>
      </c>
    </row>
    <row r="73" spans="1:35" x14ac:dyDescent="0.25">
      <c r="A73" t="s">
        <v>22</v>
      </c>
      <c r="B73">
        <f>IFERROR(VLOOKUP($A73,power_rankings,2,0)/(VLOOKUP($A73,power_rankings,2,0)+VLOOKUP(B$70,power_rankings,2,0))*(B5+HLOOKUP($A73,table_wins_h2h,MATCH(B$70,$A$2:$A$32,0),0)),0)</f>
        <v>0.71841888241504226</v>
      </c>
      <c r="C73">
        <f>IFERROR(VLOOKUP($A73,power_rankings,2,0)/(VLOOKUP($A73,power_rankings,2,0)+VLOOKUP(C$70,power_rankings,2,0))*(C5+HLOOKUP($A73,table_wins_h2h,MATCH(C$70,$A$2:$A$32,0),0)),0)</f>
        <v>2.2291843226722898</v>
      </c>
      <c r="D73">
        <f>IFERROR(VLOOKUP($A73,power_rankings,2,0)/(VLOOKUP($A73,power_rankings,2,0)+VLOOKUP(D$70,power_rankings,2,0))*(D5+HLOOKUP($A73,table_wins_h2h,MATCH(D$70,$A$2:$A$32,0),0)),0)</f>
        <v>0</v>
      </c>
      <c r="E73">
        <f>IFERROR(VLOOKUP($A73,power_rankings,2,0)/(VLOOKUP($A73,power_rankings,2,0)+VLOOKUP(E$70,power_rankings,2,0))*(E5+HLOOKUP($A73,table_wins_h2h,MATCH(E$70,$A$2:$A$32,0),0)),0)</f>
        <v>2.3035148968871697</v>
      </c>
      <c r="F73">
        <f>IFERROR(VLOOKUP($A73,power_rankings,2,0)/(VLOOKUP($A73,power_rankings,2,0)+VLOOKUP(F$70,power_rankings,2,0))*(F5+HLOOKUP($A73,table_wins_h2h,MATCH(F$70,$A$2:$A$32,0),0)),0)</f>
        <v>1.4922308731482723</v>
      </c>
      <c r="G73">
        <f>IFERROR(VLOOKUP($A73,power_rankings,2,0)/(VLOOKUP($A73,power_rankings,2,0)+VLOOKUP(G$70,power_rankings,2,0))*(G5+HLOOKUP($A73,table_wins_h2h,MATCH(G$70,$A$2:$A$32,0),0)),0)</f>
        <v>1.289612220653183</v>
      </c>
      <c r="H73">
        <f>IFERROR(VLOOKUP($A73,power_rankings,2,0)/(VLOOKUP($A73,power_rankings,2,0)+VLOOKUP(H$70,power_rankings,2,0))*(H5+HLOOKUP($A73,table_wins_h2h,MATCH(H$70,$A$2:$A$32,0),0)),0)</f>
        <v>0.71021338156913316</v>
      </c>
      <c r="I73">
        <f>IFERROR(VLOOKUP($A73,power_rankings,2,0)/(VLOOKUP($A73,power_rankings,2,0)+VLOOKUP(I$70,power_rankings,2,0))*(I5+HLOOKUP($A73,table_wins_h2h,MATCH(I$70,$A$2:$A$32,0),0)),0)</f>
        <v>1.2353829821631483</v>
      </c>
      <c r="J73">
        <f>IFERROR(VLOOKUP($A73,power_rankings,2,0)/(VLOOKUP($A73,power_rankings,2,0)+VLOOKUP(J$70,power_rankings,2,0))*(J5+HLOOKUP($A73,table_wins_h2h,MATCH(J$70,$A$2:$A$32,0),0)),0)</f>
        <v>1.8067737815408844</v>
      </c>
      <c r="K73">
        <f>IFERROR(VLOOKUP($A73,power_rankings,2,0)/(VLOOKUP($A73,power_rankings,2,0)+VLOOKUP(K$70,power_rankings,2,0))*(K5+HLOOKUP($A73,table_wins_h2h,MATCH(K$70,$A$2:$A$32,0),0)),0)</f>
        <v>0.2686588209011172</v>
      </c>
      <c r="L73">
        <f>IFERROR(VLOOKUP($A73,power_rankings,2,0)/(VLOOKUP($A73,power_rankings,2,0)+VLOOKUP(L$70,power_rankings,2,0))*(L5+HLOOKUP($A73,table_wins_h2h,MATCH(L$70,$A$2:$A$32,0),0)),0)</f>
        <v>0.56626446564921851</v>
      </c>
      <c r="M73">
        <f>IFERROR(VLOOKUP($A73,power_rankings,2,0)/(VLOOKUP($A73,power_rankings,2,0)+VLOOKUP(M$70,power_rankings,2,0))*(M5+HLOOKUP($A73,table_wins_h2h,MATCH(M$70,$A$2:$A$32,0),0)),0)</f>
        <v>2.0236583625444662</v>
      </c>
      <c r="N73">
        <f>IFERROR(VLOOKUP($A73,power_rankings,2,0)/(VLOOKUP($A73,power_rankings,2,0)+VLOOKUP(N$70,power_rankings,2,0))*(N5+HLOOKUP($A73,table_wins_h2h,MATCH(N$70,$A$2:$A$32,0),0)),0)</f>
        <v>0.52403261541290058</v>
      </c>
      <c r="O73">
        <f>IFERROR(VLOOKUP($A73,power_rankings,2,0)/(VLOOKUP($A73,power_rankings,2,0)+VLOOKUP(O$70,power_rankings,2,0))*(O5+HLOOKUP($A73,table_wins_h2h,MATCH(O$70,$A$2:$A$32,0),0)),0)</f>
        <v>1.5422237976180664</v>
      </c>
      <c r="P73">
        <f>IFERROR(VLOOKUP($A73,power_rankings,2,0)/(VLOOKUP($A73,power_rankings,2,0)+VLOOKUP(P$70,power_rankings,2,0))*(P5+HLOOKUP($A73,table_wins_h2h,MATCH(P$70,$A$2:$A$32,0),0)),0)</f>
        <v>0.53392083550671321</v>
      </c>
      <c r="Q73">
        <f>IFERROR(VLOOKUP($A73,power_rankings,2,0)/(VLOOKUP($A73,power_rankings,2,0)+VLOOKUP(Q$70,power_rankings,2,0))*(Q5+HLOOKUP($A73,table_wins_h2h,MATCH(Q$70,$A$2:$A$32,0),0)),0)</f>
        <v>2.149115330760369</v>
      </c>
      <c r="R73">
        <f>IFERROR(VLOOKUP($A73,power_rankings,2,0)/(VLOOKUP($A73,power_rankings,2,0)+VLOOKUP(R$70,power_rankings,2,0))*(R5+HLOOKUP($A73,table_wins_h2h,MATCH(R$70,$A$2:$A$32,0),0)),0)</f>
        <v>1.4333738891570866</v>
      </c>
      <c r="S73">
        <f>IFERROR(VLOOKUP($A73,power_rankings,2,0)/(VLOOKUP($A73,power_rankings,2,0)+VLOOKUP(S$70,power_rankings,2,0))*(S5+HLOOKUP($A73,table_wins_h2h,MATCH(S$70,$A$2:$A$32,0),0)),0)</f>
        <v>1.6495609684698651</v>
      </c>
      <c r="T73">
        <f>IFERROR(VLOOKUP($A73,power_rankings,2,0)/(VLOOKUP($A73,power_rankings,2,0)+VLOOKUP(T$70,power_rankings,2,0))*(T5+HLOOKUP($A73,table_wins_h2h,MATCH(T$70,$A$2:$A$32,0),0)),0)</f>
        <v>0.78781914970829636</v>
      </c>
      <c r="U73">
        <f>IFERROR(VLOOKUP($A73,power_rankings,2,0)/(VLOOKUP($A73,power_rankings,2,0)+VLOOKUP(U$70,power_rankings,2,0))*(U5+HLOOKUP($A73,table_wins_h2h,MATCH(U$70,$A$2:$A$32,0),0)),0)</f>
        <v>3.2367734865936386</v>
      </c>
      <c r="V73">
        <f>IFERROR(VLOOKUP($A73,power_rankings,2,0)/(VLOOKUP($A73,power_rankings,2,0)+VLOOKUP(V$70,power_rankings,2,0))*(V5+HLOOKUP($A73,table_wins_h2h,MATCH(V$70,$A$2:$A$32,0),0)),0)</f>
        <v>0.87265336964961526</v>
      </c>
      <c r="W73">
        <f>IFERROR(VLOOKUP($A73,power_rankings,2,0)/(VLOOKUP($A73,power_rankings,2,0)+VLOOKUP(W$70,power_rankings,2,0))*(W5+HLOOKUP($A73,table_wins_h2h,MATCH(W$70,$A$2:$A$32,0),0)),0)</f>
        <v>2.8517780026524879</v>
      </c>
      <c r="X73">
        <f>IFERROR(VLOOKUP($A73,power_rankings,2,0)/(VLOOKUP($A73,power_rankings,2,0)+VLOOKUP(X$70,power_rankings,2,0))*(X5+HLOOKUP($A73,table_wins_h2h,MATCH(X$70,$A$2:$A$32,0),0)),0)</f>
        <v>3.1753700426475904</v>
      </c>
      <c r="Y73">
        <f>IFERROR(VLOOKUP($A73,power_rankings,2,0)/(VLOOKUP($A73,power_rankings,2,0)+VLOOKUP(Y$70,power_rankings,2,0))*(Y5+HLOOKUP($A73,table_wins_h2h,MATCH(Y$70,$A$2:$A$32,0),0)),0)</f>
        <v>1.0335042214618002</v>
      </c>
      <c r="Z73">
        <f>IFERROR(VLOOKUP($A73,power_rankings,2,0)/(VLOOKUP($A73,power_rankings,2,0)+VLOOKUP(Z$70,power_rankings,2,0))*(Z5+HLOOKUP($A73,table_wins_h2h,MATCH(Z$70,$A$2:$A$32,0),0)),0)</f>
        <v>0.66288193573660836</v>
      </c>
      <c r="AA73">
        <f>IFERROR(VLOOKUP($A73,power_rankings,2,0)/(VLOOKUP($A73,power_rankings,2,0)+VLOOKUP(AA$70,power_rankings,2,0))*(AA5+HLOOKUP($A73,table_wins_h2h,MATCH(AA$70,$A$2:$A$32,0),0)),0)</f>
        <v>0.59238266887489854</v>
      </c>
      <c r="AB73">
        <f>IFERROR(VLOOKUP($A73,power_rankings,2,0)/(VLOOKUP($A73,power_rankings,2,0)+VLOOKUP(AB$70,power_rankings,2,0))*(AB5+HLOOKUP($A73,table_wins_h2h,MATCH(AB$70,$A$2:$A$32,0),0)),0)</f>
        <v>1.2281009199144874</v>
      </c>
      <c r="AC73">
        <f>IFERROR(VLOOKUP($A73,power_rankings,2,0)/(VLOOKUP($A73,power_rankings,2,0)+VLOOKUP(AC$70,power_rankings,2,0))*(AC5+HLOOKUP($A73,table_wins_h2h,MATCH(AC$70,$A$2:$A$32,0),0)),0)</f>
        <v>1.6486318577069006</v>
      </c>
      <c r="AD73">
        <f>IFERROR(VLOOKUP($A73,power_rankings,2,0)/(VLOOKUP($A73,power_rankings,2,0)+VLOOKUP(AD$70,power_rankings,2,0))*(AD5+HLOOKUP($A73,table_wins_h2h,MATCH(AD$70,$A$2:$A$32,0),0)),0)</f>
        <v>1.0026093860300676</v>
      </c>
      <c r="AE73">
        <f>IFERROR(VLOOKUP($A73,power_rankings,2,0)/(VLOOKUP($A73,power_rankings,2,0)+VLOOKUP(AE$70,power_rankings,2,0))*(AE5+HLOOKUP($A73,table_wins_h2h,MATCH(AE$70,$A$2:$A$32,0),0)),0)</f>
        <v>1.3165147647053419</v>
      </c>
      <c r="AG73">
        <f t="shared" si="0"/>
        <v>40.89</v>
      </c>
      <c r="AH73">
        <f>VLOOKUP(A73,d_win_totals!$C$2:$E$31,3,0)</f>
        <v>48</v>
      </c>
      <c r="AI73">
        <f t="shared" si="1"/>
        <v>7.1099999999999994</v>
      </c>
    </row>
    <row r="74" spans="1:35" x14ac:dyDescent="0.25">
      <c r="A74" t="s">
        <v>18</v>
      </c>
      <c r="B74">
        <f>IFERROR(VLOOKUP($A74,power_rankings,2,0)/(VLOOKUP($A74,power_rankings,2,0)+VLOOKUP(B$70,power_rankings,2,0))*(B6+HLOOKUP($A74,table_wins_h2h,MATCH(B$70,$A$2:$A$32,0),0)),0)</f>
        <v>0.75298333906186943</v>
      </c>
      <c r="C74">
        <f>IFERROR(VLOOKUP($A74,power_rankings,2,0)/(VLOOKUP($A74,power_rankings,2,0)+VLOOKUP(C$70,power_rankings,2,0))*(C6+HLOOKUP($A74,table_wins_h2h,MATCH(C$70,$A$2:$A$32,0),0)),0)</f>
        <v>1.4432654432549401</v>
      </c>
      <c r="D74">
        <f>IFERROR(VLOOKUP($A74,power_rankings,2,0)/(VLOOKUP($A74,power_rankings,2,0)+VLOOKUP(D$70,power_rankings,2,0))*(D6+HLOOKUP($A74,table_wins_h2h,MATCH(D$70,$A$2:$A$32,0),0)),0)</f>
        <v>1.6964851031128303</v>
      </c>
      <c r="E74">
        <f>IFERROR(VLOOKUP($A74,power_rankings,2,0)/(VLOOKUP($A74,power_rankings,2,0)+VLOOKUP(E$70,power_rankings,2,0))*(E6+HLOOKUP($A74,table_wins_h2h,MATCH(E$70,$A$2:$A$32,0),0)),0)</f>
        <v>0</v>
      </c>
      <c r="F74">
        <f>IFERROR(VLOOKUP($A74,power_rankings,2,0)/(VLOOKUP($A74,power_rankings,2,0)+VLOOKUP(F$70,power_rankings,2,0))*(F6+HLOOKUP($A74,table_wins_h2h,MATCH(F$70,$A$2:$A$32,0),0)),0)</f>
        <v>1.2188141857146346</v>
      </c>
      <c r="G74">
        <f>IFERROR(VLOOKUP($A74,power_rankings,2,0)/(VLOOKUP($A74,power_rankings,2,0)+VLOOKUP(G$70,power_rankings,2,0))*(G6+HLOOKUP($A74,table_wins_h2h,MATCH(G$70,$A$2:$A$32,0),0)),0)</f>
        <v>0.77846606619453373</v>
      </c>
      <c r="H74">
        <f>IFERROR(VLOOKUP($A74,power_rankings,2,0)/(VLOOKUP($A74,power_rankings,2,0)+VLOOKUP(H$70,power_rankings,2,0))*(H6+HLOOKUP($A74,table_wins_h2h,MATCH(H$70,$A$2:$A$32,0),0)),0)</f>
        <v>0.57705586485337867</v>
      </c>
      <c r="I74">
        <f>IFERROR(VLOOKUP($A74,power_rankings,2,0)/(VLOOKUP($A74,power_rankings,2,0)+VLOOKUP(I$70,power_rankings,2,0))*(I6+HLOOKUP($A74,table_wins_h2h,MATCH(I$70,$A$2:$A$32,0),0)),0)</f>
        <v>1.0867233904233373</v>
      </c>
      <c r="J74">
        <f>IFERROR(VLOOKUP($A74,power_rankings,2,0)/(VLOOKUP($A74,power_rankings,2,0)+VLOOKUP(J$70,power_rankings,2,0))*(J6+HLOOKUP($A74,table_wins_h2h,MATCH(J$70,$A$2:$A$32,0),0)),0)</f>
        <v>2.1088966147465573</v>
      </c>
      <c r="K74">
        <f>IFERROR(VLOOKUP($A74,power_rankings,2,0)/(VLOOKUP($A74,power_rankings,2,0)+VLOOKUP(K$70,power_rankings,2,0))*(K6+HLOOKUP($A74,table_wins_h2h,MATCH(K$70,$A$2:$A$32,0),0)),0)</f>
        <v>0.20512206910709047</v>
      </c>
      <c r="L74">
        <f>IFERROR(VLOOKUP($A74,power_rankings,2,0)/(VLOOKUP($A74,power_rankings,2,0)+VLOOKUP(L$70,power_rankings,2,0))*(L6+HLOOKUP($A74,table_wins_h2h,MATCH(L$70,$A$2:$A$32,0),0)),0)</f>
        <v>0.45066563244463409</v>
      </c>
      <c r="M74">
        <f>IFERROR(VLOOKUP($A74,power_rankings,2,0)/(VLOOKUP($A74,power_rankings,2,0)+VLOOKUP(M$70,power_rankings,2,0))*(M6+HLOOKUP($A74,table_wins_h2h,MATCH(M$70,$A$2:$A$32,0),0)),0)</f>
        <v>1.7196401731254189</v>
      </c>
      <c r="N74">
        <f>IFERROR(VLOOKUP($A74,power_rankings,2,0)/(VLOOKUP($A74,power_rankings,2,0)+VLOOKUP(N$70,power_rankings,2,0))*(N6+HLOOKUP($A74,table_wins_h2h,MATCH(N$70,$A$2:$A$32,0),0)),0)</f>
        <v>0.41456226856815487</v>
      </c>
      <c r="O74">
        <f>IFERROR(VLOOKUP($A74,power_rankings,2,0)/(VLOOKUP($A74,power_rankings,2,0)+VLOOKUP(O$70,power_rankings,2,0))*(O6+HLOOKUP($A74,table_wins_h2h,MATCH(O$70,$A$2:$A$32,0),0)),0)</f>
        <v>1.4254773948291577</v>
      </c>
      <c r="P74">
        <f>IFERROR(VLOOKUP($A74,power_rankings,2,0)/(VLOOKUP($A74,power_rankings,2,0)+VLOOKUP(P$70,power_rankings,2,0))*(P6+HLOOKUP($A74,table_wins_h2h,MATCH(P$70,$A$2:$A$32,0),0)),0)</f>
        <v>0.42297680582578978</v>
      </c>
      <c r="Q74">
        <f>IFERROR(VLOOKUP($A74,power_rankings,2,0)/(VLOOKUP($A74,power_rankings,2,0)+VLOOKUP(Q$70,power_rankings,2,0))*(Q6+HLOOKUP($A74,table_wins_h2h,MATCH(Q$70,$A$2:$A$32,0),0)),0)</f>
        <v>1.8438334592726242</v>
      </c>
      <c r="R74">
        <f>IFERROR(VLOOKUP($A74,power_rankings,2,0)/(VLOOKUP($A74,power_rankings,2,0)+VLOOKUP(R$70,power_rankings,2,0))*(R6+HLOOKUP($A74,table_wins_h2h,MATCH(R$70,$A$2:$A$32,0),0)),0)</f>
        <v>1.2077079613656161</v>
      </c>
      <c r="S74">
        <f>IFERROR(VLOOKUP($A74,power_rankings,2,0)/(VLOOKUP($A74,power_rankings,2,0)+VLOOKUP(S$70,power_rankings,2,0))*(S6+HLOOKUP($A74,table_wins_h2h,MATCH(S$70,$A$2:$A$32,0),0)),0)</f>
        <v>1.5522410793798764</v>
      </c>
      <c r="T74">
        <f>IFERROR(VLOOKUP($A74,power_rankings,2,0)/(VLOOKUP($A74,power_rankings,2,0)+VLOOKUP(T$70,power_rankings,2,0))*(T6+HLOOKUP($A74,table_wins_h2h,MATCH(T$70,$A$2:$A$32,0),0)),0)</f>
        <v>0.64741494854196269</v>
      </c>
      <c r="U74">
        <f>IFERROR(VLOOKUP($A74,power_rankings,2,0)/(VLOOKUP($A74,power_rankings,2,0)+VLOOKUP(U$70,power_rankings,2,0))*(U6+HLOOKUP($A74,table_wins_h2h,MATCH(U$70,$A$2:$A$32,0),0)),0)</f>
        <v>3.0299103110046319</v>
      </c>
      <c r="V74">
        <f>IFERROR(VLOOKUP($A74,power_rankings,2,0)/(VLOOKUP($A74,power_rankings,2,0)+VLOOKUP(V$70,power_rankings,2,0))*(V6+HLOOKUP($A74,table_wins_h2h,MATCH(V$70,$A$2:$A$32,0),0)),0)</f>
        <v>0.72618756546838215</v>
      </c>
      <c r="W74">
        <f>IFERROR(VLOOKUP($A74,power_rankings,2,0)/(VLOOKUP($A74,power_rankings,2,0)+VLOOKUP(W$70,power_rankings,2,0))*(W6+HLOOKUP($A74,table_wins_h2h,MATCH(W$70,$A$2:$A$32,0),0)),0)</f>
        <v>2.5861468481311078</v>
      </c>
      <c r="X74">
        <f>IFERROR(VLOOKUP($A74,power_rankings,2,0)/(VLOOKUP($A74,power_rankings,2,0)+VLOOKUP(X$70,power_rankings,2,0))*(X6+HLOOKUP($A74,table_wins_h2h,MATCH(X$70,$A$2:$A$32,0),0)),0)</f>
        <v>2.2179194185742492</v>
      </c>
      <c r="Y74">
        <f>IFERROR(VLOOKUP($A74,power_rankings,2,0)/(VLOOKUP($A74,power_rankings,2,0)+VLOOKUP(Y$70,power_rankings,2,0))*(Y6+HLOOKUP($A74,table_wins_h2h,MATCH(Y$70,$A$2:$A$32,0),0)),0)</f>
        <v>0.88114243995213681</v>
      </c>
      <c r="Z74">
        <f>IFERROR(VLOOKUP($A74,power_rankings,2,0)/(VLOOKUP($A74,power_rankings,2,0)+VLOOKUP(Z$70,power_rankings,2,0))*(Z6+HLOOKUP($A74,table_wins_h2h,MATCH(Z$70,$A$2:$A$32,0),0)),0)</f>
        <v>0.53491815682861543</v>
      </c>
      <c r="AA74">
        <f>IFERROR(VLOOKUP($A74,power_rankings,2,0)/(VLOOKUP($A74,power_rankings,2,0)+VLOOKUP(AA$70,power_rankings,2,0))*(AA6+HLOOKUP($A74,table_wins_h2h,MATCH(AA$70,$A$2:$A$32,0),0)),0)</f>
        <v>0.47321179420243598</v>
      </c>
      <c r="AB74">
        <f>IFERROR(VLOOKUP($A74,power_rankings,2,0)/(VLOOKUP($A74,power_rankings,2,0)+VLOOKUP(AB$70,power_rankings,2,0))*(AB6+HLOOKUP($A74,table_wins_h2h,MATCH(AB$70,$A$2:$A$32,0),0)),0)</f>
        <v>1.0790809383063296</v>
      </c>
      <c r="AC74">
        <f>IFERROR(VLOOKUP($A74,power_rankings,2,0)/(VLOOKUP($A74,power_rankings,2,0)+VLOOKUP(AC$70,power_rankings,2,0))*(AC6+HLOOKUP($A74,table_wins_h2h,MATCH(AC$70,$A$2:$A$32,0),0)),0)</f>
        <v>1.3621236167713653</v>
      </c>
      <c r="AD74">
        <f>IFERROR(VLOOKUP($A74,power_rankings,2,0)/(VLOOKUP($A74,power_rankings,2,0)+VLOOKUP(AD$70,power_rankings,2,0))*(AD6+HLOOKUP($A74,table_wins_h2h,MATCH(AD$70,$A$2:$A$32,0),0)),0)</f>
        <v>0.85079285248623548</v>
      </c>
      <c r="AE74">
        <f>IFERROR(VLOOKUP($A74,power_rankings,2,0)/(VLOOKUP($A74,power_rankings,2,0)+VLOOKUP(AE$70,power_rankings,2,0))*(AE6+HLOOKUP($A74,table_wins_h2h,MATCH(AE$70,$A$2:$A$32,0),0)),0)</f>
        <v>1.4618284703185502</v>
      </c>
      <c r="AG74">
        <f t="shared" si="0"/>
        <v>34.76</v>
      </c>
      <c r="AH74">
        <f>VLOOKUP(A74,d_win_totals!$C$2:$E$31,3,0)</f>
        <v>48</v>
      </c>
      <c r="AI74">
        <f t="shared" si="1"/>
        <v>13.240000000000002</v>
      </c>
    </row>
    <row r="75" spans="1:35" x14ac:dyDescent="0.25">
      <c r="A75" t="s">
        <v>30</v>
      </c>
      <c r="B75">
        <f>IFERROR(VLOOKUP($A75,power_rankings,2,0)/(VLOOKUP($A75,power_rankings,2,0)+VLOOKUP(B$70,power_rankings,2,0))*(B7+HLOOKUP($A75,table_wins_h2h,MATCH(B$70,$A$2:$A$32,0),0)),0)</f>
        <v>1.0381485080303021</v>
      </c>
      <c r="C75">
        <f>IFERROR(VLOOKUP($A75,power_rankings,2,0)/(VLOOKUP($A75,power_rankings,2,0)+VLOOKUP(C$70,power_rankings,2,0))*(C7+HLOOKUP($A75,table_wins_h2h,MATCH(C$70,$A$2:$A$32,0),0)),0)</f>
        <v>2.7161192623133243</v>
      </c>
      <c r="D75">
        <f>IFERROR(VLOOKUP($A75,power_rankings,2,0)/(VLOOKUP($A75,power_rankings,2,0)+VLOOKUP(D$70,power_rankings,2,0))*(D7+HLOOKUP($A75,table_wins_h2h,MATCH(D$70,$A$2:$A$32,0),0)),0)</f>
        <v>2.5077691268517279</v>
      </c>
      <c r="E75">
        <f>IFERROR(VLOOKUP($A75,power_rankings,2,0)/(VLOOKUP($A75,power_rankings,2,0)+VLOOKUP(E$70,power_rankings,2,0))*(E7+HLOOKUP($A75,table_wins_h2h,MATCH(E$70,$A$2:$A$32,0),0)),0)</f>
        <v>2.7811858142853656</v>
      </c>
      <c r="F75">
        <f>IFERROR(VLOOKUP($A75,power_rankings,2,0)/(VLOOKUP($A75,power_rankings,2,0)+VLOOKUP(F$70,power_rankings,2,0))*(F7+HLOOKUP($A75,table_wins_h2h,MATCH(F$70,$A$2:$A$32,0),0)),0)</f>
        <v>0</v>
      </c>
      <c r="G75">
        <f>IFERROR(VLOOKUP($A75,power_rankings,2,0)/(VLOOKUP($A75,power_rankings,2,0)+VLOOKUP(G$70,power_rankings,2,0))*(G7+HLOOKUP($A75,table_wins_h2h,MATCH(G$70,$A$2:$A$32,0),0)),0)</f>
        <v>1.7772985186189361</v>
      </c>
      <c r="H75">
        <f>IFERROR(VLOOKUP($A75,power_rankings,2,0)/(VLOOKUP($A75,power_rankings,2,0)+VLOOKUP(H$70,power_rankings,2,0))*(H7+HLOOKUP($A75,table_wins_h2h,MATCH(H$70,$A$2:$A$32,0),0)),0)</f>
        <v>0.96124677952952331</v>
      </c>
      <c r="I75">
        <f>IFERROR(VLOOKUP($A75,power_rankings,2,0)/(VLOOKUP($A75,power_rankings,2,0)+VLOOKUP(I$70,power_rankings,2,0))*(I7+HLOOKUP($A75,table_wins_h2h,MATCH(I$70,$A$2:$A$32,0),0)),0)</f>
        <v>1.461677640981105</v>
      </c>
      <c r="J75">
        <f>IFERROR(VLOOKUP($A75,power_rankings,2,0)/(VLOOKUP($A75,power_rankings,2,0)+VLOOKUP(J$70,power_rankings,2,0))*(J7+HLOOKUP($A75,table_wins_h2h,MATCH(J$70,$A$2:$A$32,0),0)),0)</f>
        <v>2.8715471293234636</v>
      </c>
      <c r="K75">
        <f>IFERROR(VLOOKUP($A75,power_rankings,2,0)/(VLOOKUP($A75,power_rankings,2,0)+VLOOKUP(K$70,power_rankings,2,0))*(K7+HLOOKUP($A75,table_wins_h2h,MATCH(K$70,$A$2:$A$32,0),0)),0)</f>
        <v>0.41367716777580976</v>
      </c>
      <c r="L75">
        <f>IFERROR(VLOOKUP($A75,power_rankings,2,0)/(VLOOKUP($A75,power_rankings,2,0)+VLOOKUP(L$70,power_rankings,2,0))*(L7+HLOOKUP($A75,table_wins_h2h,MATCH(L$70,$A$2:$A$32,0),0)),0)</f>
        <v>0.79789328936260928</v>
      </c>
      <c r="M75">
        <f>IFERROR(VLOOKUP($A75,power_rankings,2,0)/(VLOOKUP($A75,power_rankings,2,0)+VLOOKUP(M$70,power_rankings,2,0))*(M7+HLOOKUP($A75,table_wins_h2h,MATCH(M$70,$A$2:$A$32,0),0)),0)</f>
        <v>2.5298362604891276</v>
      </c>
      <c r="N75">
        <f>IFERROR(VLOOKUP($A75,power_rankings,2,0)/(VLOOKUP($A75,power_rankings,2,0)+VLOOKUP(N$70,power_rankings,2,0))*(N7+HLOOKUP($A75,table_wins_h2h,MATCH(N$70,$A$2:$A$32,0),0)),0)</f>
        <v>0.74739181026885582</v>
      </c>
      <c r="O75">
        <f>IFERROR(VLOOKUP($A75,power_rankings,2,0)/(VLOOKUP($A75,power_rankings,2,0)+VLOOKUP(O$70,power_rankings,2,0))*(O7+HLOOKUP($A75,table_wins_h2h,MATCH(O$70,$A$2:$A$32,0),0)),0)</f>
        <v>1.6997756667659896</v>
      </c>
      <c r="P75">
        <f>IFERROR(VLOOKUP($A75,power_rankings,2,0)/(VLOOKUP($A75,power_rankings,2,0)+VLOOKUP(P$70,power_rankings,2,0))*(P7+HLOOKUP($A75,table_wins_h2h,MATCH(P$70,$A$2:$A$32,0),0)),0)</f>
        <v>0.75932642085947866</v>
      </c>
      <c r="Q75">
        <f>IFERROR(VLOOKUP($A75,power_rankings,2,0)/(VLOOKUP($A75,power_rankings,2,0)+VLOOKUP(Q$70,power_rankings,2,0))*(Q7+HLOOKUP($A75,table_wins_h2h,MATCH(Q$70,$A$2:$A$32,0),0)),0)</f>
        <v>1.9835109450329174</v>
      </c>
      <c r="R75">
        <f>IFERROR(VLOOKUP($A75,power_rankings,2,0)/(VLOOKUP($A75,power_rankings,2,0)+VLOOKUP(R$70,power_rankings,2,0))*(R7+HLOOKUP($A75,table_wins_h2h,MATCH(R$70,$A$2:$A$32,0),0)),0)</f>
        <v>2.4237124730577713</v>
      </c>
      <c r="S75">
        <f>IFERROR(VLOOKUP($A75,power_rankings,2,0)/(VLOOKUP($A75,power_rankings,2,0)+VLOOKUP(S$70,power_rankings,2,0))*(S7+HLOOKUP($A75,table_wins_h2h,MATCH(S$70,$A$2:$A$32,0),0)),0)</f>
        <v>1.7755473085751359</v>
      </c>
      <c r="T75">
        <f>IFERROR(VLOOKUP($A75,power_rankings,2,0)/(VLOOKUP($A75,power_rankings,2,0)+VLOOKUP(T$70,power_rankings,2,0))*(T7+HLOOKUP($A75,table_wins_h2h,MATCH(T$70,$A$2:$A$32,0),0)),0)</f>
        <v>1.0440781801258794</v>
      </c>
      <c r="U75">
        <f>IFERROR(VLOOKUP($A75,power_rankings,2,0)/(VLOOKUP($A75,power_rankings,2,0)+VLOOKUP(U$70,power_rankings,2,0))*(U7+HLOOKUP($A75,table_wins_h2h,MATCH(U$70,$A$2:$A$32,0),0)),0)</f>
        <v>2.6308628024562513</v>
      </c>
      <c r="V75">
        <f>IFERROR(VLOOKUP($A75,power_rankings,2,0)/(VLOOKUP($A75,power_rankings,2,0)+VLOOKUP(V$70,power_rankings,2,0))*(V7+HLOOKUP($A75,table_wins_h2h,MATCH(V$70,$A$2:$A$32,0),0)),0)</f>
        <v>1.1307657659935049</v>
      </c>
      <c r="W75">
        <f>IFERROR(VLOOKUP($A75,power_rankings,2,0)/(VLOOKUP($A75,power_rankings,2,0)+VLOOKUP(W$70,power_rankings,2,0))*(W7+HLOOKUP($A75,table_wins_h2h,MATCH(W$70,$A$2:$A$32,0),0)),0)</f>
        <v>3.2268878633000679</v>
      </c>
      <c r="X75">
        <f>IFERROR(VLOOKUP($A75,power_rankings,2,0)/(VLOOKUP($A75,power_rankings,2,0)+VLOOKUP(X$70,power_rankings,2,0))*(X7+HLOOKUP($A75,table_wins_h2h,MATCH(X$70,$A$2:$A$32,0),0)),0)</f>
        <v>2.5984596353524454</v>
      </c>
      <c r="Y75">
        <f>IFERROR(VLOOKUP($A75,power_rankings,2,0)/(VLOOKUP($A75,power_rankings,2,0)+VLOOKUP(Y$70,power_rankings,2,0))*(Y7+HLOOKUP($A75,table_wins_h2h,MATCH(Y$70,$A$2:$A$32,0),0)),0)</f>
        <v>1.2849648158492062</v>
      </c>
      <c r="Z75">
        <f>IFERROR(VLOOKUP($A75,power_rankings,2,0)/(VLOOKUP($A75,power_rankings,2,0)+VLOOKUP(Z$70,power_rankings,2,0))*(Z7+HLOOKUP($A75,table_wins_h2h,MATCH(Z$70,$A$2:$A$32,0),0)),0)</f>
        <v>0.90897582439076741</v>
      </c>
      <c r="AA75">
        <f>IFERROR(VLOOKUP($A75,power_rankings,2,0)/(VLOOKUP($A75,power_rankings,2,0)+VLOOKUP(AA$70,power_rankings,2,0))*(AA7+HLOOKUP($A75,table_wins_h2h,MATCH(AA$70,$A$2:$A$32,0),0)),0)</f>
        <v>0.82852128637027522</v>
      </c>
      <c r="AB75">
        <f>IFERROR(VLOOKUP($A75,power_rankings,2,0)/(VLOOKUP($A75,power_rankings,2,0)+VLOOKUP(AB$70,power_rankings,2,0))*(AB7+HLOOKUP($A75,table_wins_h2h,MATCH(AB$70,$A$2:$A$32,0),0)),0)</f>
        <v>1.4556010340519399</v>
      </c>
      <c r="AC75">
        <f>IFERROR(VLOOKUP($A75,power_rankings,2,0)/(VLOOKUP($A75,power_rankings,2,0)+VLOOKUP(AC$70,power_rankings,2,0))*(AC7+HLOOKUP($A75,table_wins_h2h,MATCH(AC$70,$A$2:$A$32,0),0)),0)</f>
        <v>2.1637026933361061</v>
      </c>
      <c r="AD75">
        <f>IFERROR(VLOOKUP($A75,power_rankings,2,0)/(VLOOKUP($A75,power_rankings,2,0)+VLOOKUP(AD$70,power_rankings,2,0))*(AD7+HLOOKUP($A75,table_wins_h2h,MATCH(AD$70,$A$2:$A$32,0),0)),0)</f>
        <v>1.2563241391140711</v>
      </c>
      <c r="AE75">
        <f>IFERROR(VLOOKUP($A75,power_rankings,2,0)/(VLOOKUP($A75,power_rankings,2,0)+VLOOKUP(AE$70,power_rankings,2,0))*(AE7+HLOOKUP($A75,table_wins_h2h,MATCH(AE$70,$A$2:$A$32,0),0)),0)</f>
        <v>2.2715555893061703</v>
      </c>
      <c r="AG75">
        <f t="shared" si="0"/>
        <v>50.05</v>
      </c>
      <c r="AH75">
        <f>VLOOKUP(A75,d_win_totals!$C$2:$E$31,3,0)</f>
        <v>42</v>
      </c>
      <c r="AI75">
        <f t="shared" si="1"/>
        <v>-8.0499999999999972</v>
      </c>
    </row>
    <row r="76" spans="1:35" x14ac:dyDescent="0.25">
      <c r="A76" t="s">
        <v>40</v>
      </c>
      <c r="B76">
        <f>IFERROR(VLOOKUP($A76,power_rankings,2,0)/(VLOOKUP($A76,power_rankings,2,0)+VLOOKUP(B$70,power_rankings,2,0))*(B8+HLOOKUP($A76,table_wins_h2h,MATCH(B$70,$A$2:$A$32,0),0)),0)</f>
        <v>1.5929435605079463</v>
      </c>
      <c r="C76">
        <f>IFERROR(VLOOKUP($A76,power_rankings,2,0)/(VLOOKUP($A76,power_rankings,2,0)+VLOOKUP(C$70,power_rankings,2,0))*(C8+HLOOKUP($A76,table_wins_h2h,MATCH(C$70,$A$2:$A$32,0),0)),0)</f>
        <v>2.9028249285855683</v>
      </c>
      <c r="D76">
        <f>IFERROR(VLOOKUP($A76,power_rankings,2,0)/(VLOOKUP($A76,power_rankings,2,0)+VLOOKUP(D$70,power_rankings,2,0))*(D8+HLOOKUP($A76,table_wins_h2h,MATCH(D$70,$A$2:$A$32,0),0)),0)</f>
        <v>2.7103877793468172</v>
      </c>
      <c r="E76">
        <f>IFERROR(VLOOKUP($A76,power_rankings,2,0)/(VLOOKUP($A76,power_rankings,2,0)+VLOOKUP(E$70,power_rankings,2,0))*(E8+HLOOKUP($A76,table_wins_h2h,MATCH(E$70,$A$2:$A$32,0),0)),0)</f>
        <v>2.2215339338054658</v>
      </c>
      <c r="F76">
        <f>IFERROR(VLOOKUP($A76,power_rankings,2,0)/(VLOOKUP($A76,power_rankings,2,0)+VLOOKUP(F$70,power_rankings,2,0))*(F8+HLOOKUP($A76,table_wins_h2h,MATCH(F$70,$A$2:$A$32,0),0)),0)</f>
        <v>2.2227014813810642</v>
      </c>
      <c r="G76">
        <f>IFERROR(VLOOKUP($A76,power_rankings,2,0)/(VLOOKUP($A76,power_rankings,2,0)+VLOOKUP(G$70,power_rankings,2,0))*(G8+HLOOKUP($A76,table_wins_h2h,MATCH(G$70,$A$2:$A$32,0),0)),0)</f>
        <v>0</v>
      </c>
      <c r="H76">
        <f>IFERROR(VLOOKUP($A76,power_rankings,2,0)/(VLOOKUP($A76,power_rankings,2,0)+VLOOKUP(H$70,power_rankings,2,0))*(H8+HLOOKUP($A76,table_wins_h2h,MATCH(H$70,$A$2:$A$32,0),0)),0)</f>
        <v>1.0729121507185109</v>
      </c>
      <c r="I76">
        <f>IFERROR(VLOOKUP($A76,power_rankings,2,0)/(VLOOKUP($A76,power_rankings,2,0)+VLOOKUP(I$70,power_rankings,2,0))*(I8+HLOOKUP($A76,table_wins_h2h,MATCH(I$70,$A$2:$A$32,0),0)),0)</f>
        <v>1.5450104064269958</v>
      </c>
      <c r="J76">
        <f>IFERROR(VLOOKUP($A76,power_rankings,2,0)/(VLOOKUP($A76,power_rankings,2,0)+VLOOKUP(J$70,power_rankings,2,0))*(J8+HLOOKUP($A76,table_wins_h2h,MATCH(J$70,$A$2:$A$32,0),0)),0)</f>
        <v>3.0436088388893423</v>
      </c>
      <c r="K76">
        <f>IFERROR(VLOOKUP($A76,power_rankings,2,0)/(VLOOKUP($A76,power_rankings,2,0)+VLOOKUP(K$70,power_rankings,2,0))*(K8+HLOOKUP($A76,table_wins_h2h,MATCH(K$70,$A$2:$A$32,0),0)),0)</f>
        <v>0.49185221957539965</v>
      </c>
      <c r="L76">
        <f>IFERROR(VLOOKUP($A76,power_rankings,2,0)/(VLOOKUP($A76,power_rankings,2,0)+VLOOKUP(L$70,power_rankings,2,0))*(L8+HLOOKUP($A76,table_wins_h2h,MATCH(L$70,$A$2:$A$32,0),0)),0)</f>
        <v>0.90715456850664378</v>
      </c>
      <c r="M76">
        <f>IFERROR(VLOOKUP($A76,power_rankings,2,0)/(VLOOKUP($A76,power_rankings,2,0)+VLOOKUP(M$70,power_rankings,2,0))*(M8+HLOOKUP($A76,table_wins_h2h,MATCH(M$70,$A$2:$A$32,0),0)),0)</f>
        <v>2.7309748393321214</v>
      </c>
      <c r="N76">
        <f>IFERROR(VLOOKUP($A76,power_rankings,2,0)/(VLOOKUP($A76,power_rankings,2,0)+VLOOKUP(N$70,power_rankings,2,0))*(N8+HLOOKUP($A76,table_wins_h2h,MATCH(N$70,$A$2:$A$32,0),0)),0)</f>
        <v>0.85465424985202476</v>
      </c>
      <c r="O76">
        <f>IFERROR(VLOOKUP($A76,power_rankings,2,0)/(VLOOKUP($A76,power_rankings,2,0)+VLOOKUP(O$70,power_rankings,2,0))*(O8+HLOOKUP($A76,table_wins_h2h,MATCH(O$70,$A$2:$A$32,0),0)),0)</f>
        <v>1.7524918379890786</v>
      </c>
      <c r="P76">
        <f>IFERROR(VLOOKUP($A76,power_rankings,2,0)/(VLOOKUP($A76,power_rankings,2,0)+VLOOKUP(P$70,power_rankings,2,0))*(P8+HLOOKUP($A76,table_wins_h2h,MATCH(P$70,$A$2:$A$32,0),0)),0)</f>
        <v>0.86711597856751066</v>
      </c>
      <c r="Q76">
        <f>IFERROR(VLOOKUP($A76,power_rankings,2,0)/(VLOOKUP($A76,power_rankings,2,0)+VLOOKUP(Q$70,power_rankings,2,0))*(Q8+HLOOKUP($A76,table_wins_h2h,MATCH(Q$70,$A$2:$A$32,0),0)),0)</f>
        <v>2.8373286160150744</v>
      </c>
      <c r="R76">
        <f>IFERROR(VLOOKUP($A76,power_rankings,2,0)/(VLOOKUP($A76,power_rankings,2,0)+VLOOKUP(R$70,power_rankings,2,0))*(R8+HLOOKUP($A76,table_wins_h2h,MATCH(R$70,$A$2:$A$32,0),0)),0)</f>
        <v>2.6315162654282602</v>
      </c>
      <c r="S76">
        <f>IFERROR(VLOOKUP($A76,power_rankings,2,0)/(VLOOKUP($A76,power_rankings,2,0)+VLOOKUP(S$70,power_rankings,2,0))*(S8+HLOOKUP($A76,table_wins_h2h,MATCH(S$70,$A$2:$A$32,0),0)),0)</f>
        <v>1.8163959203885827</v>
      </c>
      <c r="T76">
        <f>IFERROR(VLOOKUP($A76,power_rankings,2,0)/(VLOOKUP($A76,power_rankings,2,0)+VLOOKUP(T$70,power_rankings,2,0))*(T8+HLOOKUP($A76,table_wins_h2h,MATCH(T$70,$A$2:$A$32,0),0)),0)</f>
        <v>1.1546697801899883</v>
      </c>
      <c r="U76">
        <f>IFERROR(VLOOKUP($A76,power_rankings,2,0)/(VLOOKUP($A76,power_rankings,2,0)+VLOOKUP(U$70,power_rankings,2,0))*(U8+HLOOKUP($A76,table_wins_h2h,MATCH(U$70,$A$2:$A$32,0),0)),0)</f>
        <v>2.697371631917167</v>
      </c>
      <c r="V76">
        <f>IFERROR(VLOOKUP($A76,power_rankings,2,0)/(VLOOKUP($A76,power_rankings,2,0)+VLOOKUP(V$70,power_rankings,2,0))*(V8+HLOOKUP($A76,table_wins_h2h,MATCH(V$70,$A$2:$A$32,0),0)),0)</f>
        <v>1.2386416774589659</v>
      </c>
      <c r="W76">
        <f>IFERROR(VLOOKUP($A76,power_rankings,2,0)/(VLOOKUP($A76,power_rankings,2,0)+VLOOKUP(W$70,power_rankings,2,0))*(W8+HLOOKUP($A76,table_wins_h2h,MATCH(W$70,$A$2:$A$32,0),0)),0)</f>
        <v>2.5176770952913721</v>
      </c>
      <c r="X76">
        <f>IFERROR(VLOOKUP($A76,power_rankings,2,0)/(VLOOKUP($A76,power_rankings,2,0)+VLOOKUP(X$70,power_rankings,2,0))*(X8+HLOOKUP($A76,table_wins_h2h,MATCH(X$70,$A$2:$A$32,0),0)),0)</f>
        <v>2.6700745204459393</v>
      </c>
      <c r="Y76">
        <f>IFERROR(VLOOKUP($A76,power_rankings,2,0)/(VLOOKUP($A76,power_rankings,2,0)+VLOOKUP(Y$70,power_rankings,2,0))*(Y8+HLOOKUP($A76,table_wins_h2h,MATCH(Y$70,$A$2:$A$32,0),0)),0)</f>
        <v>1.3841268120285948</v>
      </c>
      <c r="Z76">
        <f>IFERROR(VLOOKUP($A76,power_rankings,2,0)/(VLOOKUP($A76,power_rankings,2,0)+VLOOKUP(Z$70,power_rankings,2,0))*(Z8+HLOOKUP($A76,table_wins_h2h,MATCH(Z$70,$A$2:$A$32,0),0)),0)</f>
        <v>1.0205346967461491</v>
      </c>
      <c r="AA76">
        <f>IFERROR(VLOOKUP($A76,power_rankings,2,0)/(VLOOKUP($A76,power_rankings,2,0)+VLOOKUP(AA$70,power_rankings,2,0))*(AA8+HLOOKUP($A76,table_wins_h2h,MATCH(AA$70,$A$2:$A$32,0),0)),0)</f>
        <v>0.93870157771328155</v>
      </c>
      <c r="AB76">
        <f>IFERROR(VLOOKUP($A76,power_rankings,2,0)/(VLOOKUP($A76,power_rankings,2,0)+VLOOKUP(AB$70,power_rankings,2,0))*(AB8+HLOOKUP($A76,table_wins_h2h,MATCH(AB$70,$A$2:$A$32,0),0)),0)</f>
        <v>1.5395781585906747</v>
      </c>
      <c r="AC76">
        <f>IFERROR(VLOOKUP($A76,power_rankings,2,0)/(VLOOKUP($A76,power_rankings,2,0)+VLOOKUP(AC$70,power_rankings,2,0))*(AC8+HLOOKUP($A76,table_wins_h2h,MATCH(AC$70,$A$2:$A$32,0),0)),0)</f>
        <v>2.3829142148866667</v>
      </c>
      <c r="AD76">
        <f>IFERROR(VLOOKUP($A76,power_rankings,2,0)/(VLOOKUP($A76,power_rankings,2,0)+VLOOKUP(AD$70,power_rankings,2,0))*(AD8+HLOOKUP($A76,table_wins_h2h,MATCH(AD$70,$A$2:$A$32,0),0)),0)</f>
        <v>1.3574719571190927</v>
      </c>
      <c r="AE76">
        <f>IFERROR(VLOOKUP($A76,power_rankings,2,0)/(VLOOKUP($A76,power_rankings,2,0)+VLOOKUP(AE$70,power_rankings,2,0))*(AE8+HLOOKUP($A76,table_wins_h2h,MATCH(AE$70,$A$2:$A$32,0),0)),0)</f>
        <v>2.4868957148225301</v>
      </c>
      <c r="AG76">
        <f t="shared" si="0"/>
        <v>53.59</v>
      </c>
      <c r="AH76">
        <f>VLOOKUP(A76,d_win_totals!$C$2:$E$31,3,0)</f>
        <v>57</v>
      </c>
      <c r="AI76">
        <f t="shared" si="1"/>
        <v>3.4099999999999966</v>
      </c>
    </row>
    <row r="77" spans="1:35" x14ac:dyDescent="0.25">
      <c r="A77" t="s">
        <v>14</v>
      </c>
      <c r="B77">
        <f>IFERROR(VLOOKUP($A77,power_rankings,2,0)/(VLOOKUP($A77,power_rankings,2,0)+VLOOKUP(B$70,power_rankings,2,0))*(B9+HLOOKUP($A77,table_wins_h2h,MATCH(B$70,$A$2:$A$32,0),0)),0)</f>
        <v>0.7276019297935733</v>
      </c>
      <c r="C77">
        <f>IFERROR(VLOOKUP($A77,power_rankings,2,0)/(VLOOKUP($A77,power_rankings,2,0)+VLOOKUP(C$70,power_rankings,2,0))*(C9+HLOOKUP($A77,table_wins_h2h,MATCH(C$70,$A$2:$A$32,0),0)),0)</f>
        <v>1.3913820484795889</v>
      </c>
      <c r="D77">
        <f>IFERROR(VLOOKUP($A77,power_rankings,2,0)/(VLOOKUP($A77,power_rankings,2,0)+VLOOKUP(D$70,power_rankings,2,0))*(D9+HLOOKUP($A77,table_wins_h2h,MATCH(D$70,$A$2:$A$32,0),0)),0)</f>
        <v>1.2897866184308668</v>
      </c>
      <c r="E77">
        <f>IFERROR(VLOOKUP($A77,power_rankings,2,0)/(VLOOKUP($A77,power_rankings,2,0)+VLOOKUP(E$70,power_rankings,2,0))*(E9+HLOOKUP($A77,table_wins_h2h,MATCH(E$70,$A$2:$A$32,0),0)),0)</f>
        <v>1.4229441351466212</v>
      </c>
      <c r="F77">
        <f>IFERROR(VLOOKUP($A77,power_rankings,2,0)/(VLOOKUP($A77,power_rankings,2,0)+VLOOKUP(F$70,power_rankings,2,0))*(F9+HLOOKUP($A77,table_wins_h2h,MATCH(F$70,$A$2:$A$32,0),0)),0)</f>
        <v>1.0387532204704764</v>
      </c>
      <c r="G77">
        <f>IFERROR(VLOOKUP($A77,power_rankings,2,0)/(VLOOKUP($A77,power_rankings,2,0)+VLOOKUP(G$70,power_rankings,2,0))*(G9+HLOOKUP($A77,table_wins_h2h,MATCH(G$70,$A$2:$A$32,0),0)),0)</f>
        <v>0.92708784928148891</v>
      </c>
      <c r="H77">
        <f>IFERROR(VLOOKUP($A77,power_rankings,2,0)/(VLOOKUP($A77,power_rankings,2,0)+VLOOKUP(H$70,power_rankings,2,0))*(H9+HLOOKUP($A77,table_wins_h2h,MATCH(H$70,$A$2:$A$32,0),0)),0)</f>
        <v>0</v>
      </c>
      <c r="I77">
        <f>IFERROR(VLOOKUP($A77,power_rankings,2,0)/(VLOOKUP($A77,power_rankings,2,0)+VLOOKUP(I$70,power_rankings,2,0))*(I9+HLOOKUP($A77,table_wins_h2h,MATCH(I$70,$A$2:$A$32,0),0)),0)</f>
        <v>2.237452170063627</v>
      </c>
      <c r="J77">
        <f>IFERROR(VLOOKUP($A77,power_rankings,2,0)/(VLOOKUP($A77,power_rankings,2,0)+VLOOKUP(J$70,power_rankings,2,0))*(J9+HLOOKUP($A77,table_wins_h2h,MATCH(J$70,$A$2:$A$32,0),0)),0)</f>
        <v>1.4666462366018449</v>
      </c>
      <c r="K77">
        <f>IFERROR(VLOOKUP($A77,power_rankings,2,0)/(VLOOKUP($A77,power_rankings,2,0)+VLOOKUP(K$70,power_rankings,2,0))*(K9+HLOOKUP($A77,table_wins_h2h,MATCH(K$70,$A$2:$A$32,0),0)),0)</f>
        <v>0.87939858547084993</v>
      </c>
      <c r="L77">
        <f>IFERROR(VLOOKUP($A77,power_rankings,2,0)/(VLOOKUP($A77,power_rankings,2,0)+VLOOKUP(L$70,power_rankings,2,0))*(L9+HLOOKUP($A77,table_wins_h2h,MATCH(L$70,$A$2:$A$32,0),0)),0)</f>
        <v>1.6707139572310927</v>
      </c>
      <c r="M77">
        <f>IFERROR(VLOOKUP($A77,power_rankings,2,0)/(VLOOKUP($A77,power_rankings,2,0)+VLOOKUP(M$70,power_rankings,2,0))*(M9+HLOOKUP($A77,table_wins_h2h,MATCH(M$70,$A$2:$A$32,0),0)),0)</f>
        <v>1.3005854114168951</v>
      </c>
      <c r="N77">
        <f>IFERROR(VLOOKUP($A77,power_rankings,2,0)/(VLOOKUP($A77,power_rankings,2,0)+VLOOKUP(N$70,power_rankings,2,0))*(N9+HLOOKUP($A77,table_wins_h2h,MATCH(N$70,$A$2:$A$32,0),0)),0)</f>
        <v>1.1760462393620721</v>
      </c>
      <c r="O77">
        <f>IFERROR(VLOOKUP($A77,power_rankings,2,0)/(VLOOKUP($A77,power_rankings,2,0)+VLOOKUP(O$70,power_rankings,2,0))*(O9+HLOOKUP($A77,table_wins_h2h,MATCH(O$70,$A$2:$A$32,0),0)),0)</f>
        <v>3.4380596661351701</v>
      </c>
      <c r="P77">
        <f>IFERROR(VLOOKUP($A77,power_rankings,2,0)/(VLOOKUP($A77,power_rankings,2,0)+VLOOKUP(P$70,power_rankings,2,0))*(P9+HLOOKUP($A77,table_wins_h2h,MATCH(P$70,$A$2:$A$32,0),0)),0)</f>
        <v>1.5923572491588829</v>
      </c>
      <c r="Q77">
        <f>IFERROR(VLOOKUP($A77,power_rankings,2,0)/(VLOOKUP($A77,power_rankings,2,0)+VLOOKUP(Q$70,power_rankings,2,0))*(Q9+HLOOKUP($A77,table_wins_h2h,MATCH(Q$70,$A$2:$A$32,0),0)),0)</f>
        <v>1.3566388120690889</v>
      </c>
      <c r="R77">
        <f>IFERROR(VLOOKUP($A77,power_rankings,2,0)/(VLOOKUP($A77,power_rankings,2,0)+VLOOKUP(R$70,power_rankings,2,0))*(R9+HLOOKUP($A77,table_wins_h2h,MATCH(R$70,$A$2:$A$32,0),0)),0)</f>
        <v>1.2485686804319629</v>
      </c>
      <c r="S77">
        <f>IFERROR(VLOOKUP($A77,power_rankings,2,0)/(VLOOKUP($A77,power_rankings,2,0)+VLOOKUP(S$70,power_rankings,2,0))*(S9+HLOOKUP($A77,table_wins_h2h,MATCH(S$70,$A$2:$A$32,0),0)),0)</f>
        <v>2.6858112876888813</v>
      </c>
      <c r="T77">
        <f>IFERROR(VLOOKUP($A77,power_rankings,2,0)/(VLOOKUP($A77,power_rankings,2,0)+VLOOKUP(T$70,power_rankings,2,0))*(T9+HLOOKUP($A77,table_wins_h2h,MATCH(T$70,$A$2:$A$32,0),0)),0)</f>
        <v>2.1653803032831695</v>
      </c>
      <c r="U77">
        <f>IFERROR(VLOOKUP($A77,power_rankings,2,0)/(VLOOKUP($A77,power_rankings,2,0)+VLOOKUP(U$70,power_rankings,2,0))*(U9+HLOOKUP($A77,table_wins_h2h,MATCH(U$70,$A$2:$A$32,0),0)),0)</f>
        <v>1.7701604521826517</v>
      </c>
      <c r="V77">
        <f>IFERROR(VLOOKUP($A77,power_rankings,2,0)/(VLOOKUP($A77,power_rankings,2,0)+VLOOKUP(V$70,power_rankings,2,0))*(V9+HLOOKUP($A77,table_wins_h2h,MATCH(V$70,$A$2:$A$32,0),0)),0)</f>
        <v>2.3373285287110899</v>
      </c>
      <c r="W77">
        <f>IFERROR(VLOOKUP($A77,power_rankings,2,0)/(VLOOKUP($A77,power_rankings,2,0)+VLOOKUP(W$70,power_rankings,2,0))*(W9+HLOOKUP($A77,table_wins_h2h,MATCH(W$70,$A$2:$A$32,0),0)),0)</f>
        <v>1.6370525478140172</v>
      </c>
      <c r="X77">
        <f>IFERROR(VLOOKUP($A77,power_rankings,2,0)/(VLOOKUP($A77,power_rankings,2,0)+VLOOKUP(X$70,power_rankings,2,0))*(X9+HLOOKUP($A77,table_wins_h2h,MATCH(X$70,$A$2:$A$32,0),0)),0)</f>
        <v>1.7497814228763706</v>
      </c>
      <c r="Y77">
        <f>IFERROR(VLOOKUP($A77,power_rankings,2,0)/(VLOOKUP($A77,power_rankings,2,0)+VLOOKUP(Y$70,power_rankings,2,0))*(Y9+HLOOKUP($A77,table_wins_h2h,MATCH(Y$70,$A$2:$A$32,0),0)),0)</f>
        <v>2.6403643344092473</v>
      </c>
      <c r="Z77">
        <f>IFERROR(VLOOKUP($A77,power_rankings,2,0)/(VLOOKUP($A77,power_rankings,2,0)+VLOOKUP(Z$70,power_rankings,2,0))*(Z9+HLOOKUP($A77,table_wins_h2h,MATCH(Z$70,$A$2:$A$32,0),0)),0)</f>
        <v>1.8950880147986444</v>
      </c>
      <c r="AA77">
        <f>IFERROR(VLOOKUP($A77,power_rankings,2,0)/(VLOOKUP($A77,power_rankings,2,0)+VLOOKUP(AA$70,power_rankings,2,0))*(AA9+HLOOKUP($A77,table_wins_h2h,MATCH(AA$70,$A$2:$A$32,0),0)),0)</f>
        <v>1.7327731974088196</v>
      </c>
      <c r="AB77">
        <f>IFERROR(VLOOKUP($A77,power_rankings,2,0)/(VLOOKUP($A77,power_rankings,2,0)+VLOOKUP(AB$70,power_rankings,2,0))*(AB9+HLOOKUP($A77,table_wins_h2h,MATCH(AB$70,$A$2:$A$32,0),0)),0)</f>
        <v>2.2286660486946257</v>
      </c>
      <c r="AC77">
        <f>IFERROR(VLOOKUP($A77,power_rankings,2,0)/(VLOOKUP($A77,power_rankings,2,0)+VLOOKUP(AC$70,power_rankings,2,0))*(AC9+HLOOKUP($A77,table_wins_h2h,MATCH(AC$70,$A$2:$A$32,0),0)),0)</f>
        <v>1.1202232186941112</v>
      </c>
      <c r="AD77">
        <f>IFERROR(VLOOKUP($A77,power_rankings,2,0)/(VLOOKUP($A77,power_rankings,2,0)+VLOOKUP(AD$70,power_rankings,2,0))*(AD9+HLOOKUP($A77,table_wins_h2h,MATCH(AD$70,$A$2:$A$32,0),0)),0)</f>
        <v>2.5843501437055609</v>
      </c>
      <c r="AE77">
        <f>IFERROR(VLOOKUP($A77,power_rankings,2,0)/(VLOOKUP($A77,power_rankings,2,0)+VLOOKUP(AE$70,power_rankings,2,0))*(AE9+HLOOKUP($A77,table_wins_h2h,MATCH(AE$70,$A$2:$A$32,0),0)),0)</f>
        <v>1.1736174700646849</v>
      </c>
      <c r="AG77">
        <f t="shared" si="0"/>
        <v>48.88</v>
      </c>
      <c r="AH77">
        <f>VLOOKUP(A77,d_win_totals!$C$2:$E$31,3,0)</f>
        <v>42</v>
      </c>
      <c r="AI77">
        <f t="shared" si="1"/>
        <v>-6.8800000000000026</v>
      </c>
    </row>
    <row r="78" spans="1:35" x14ac:dyDescent="0.25">
      <c r="A78" t="s">
        <v>32</v>
      </c>
      <c r="B78">
        <f>IFERROR(VLOOKUP($A78,power_rankings,2,0)/(VLOOKUP($A78,power_rankings,2,0)+VLOOKUP(B$70,power_rankings,2,0))*(B10+HLOOKUP($A78,table_wins_h2h,MATCH(B$70,$A$2:$A$32,0),0)),0)</f>
        <v>0.32620237398545332</v>
      </c>
      <c r="C78">
        <f>IFERROR(VLOOKUP($A78,power_rankings,2,0)/(VLOOKUP($A78,power_rankings,2,0)+VLOOKUP(C$70,power_rankings,2,0))*(C10+HLOOKUP($A78,table_wins_h2h,MATCH(C$70,$A$2:$A$32,0),0)),0)</f>
        <v>0.87586076607120589</v>
      </c>
      <c r="D78">
        <f>IFERROR(VLOOKUP($A78,power_rankings,2,0)/(VLOOKUP($A78,power_rankings,2,0)+VLOOKUP(D$70,power_rankings,2,0))*(D10+HLOOKUP($A78,table_wins_h2h,MATCH(D$70,$A$2:$A$32,0),0)),0)</f>
        <v>0.76461701783685154</v>
      </c>
      <c r="E78">
        <f>IFERROR(VLOOKUP($A78,power_rankings,2,0)/(VLOOKUP($A78,power_rankings,2,0)+VLOOKUP(E$70,power_rankings,2,0))*(E10+HLOOKUP($A78,table_wins_h2h,MATCH(E$70,$A$2:$A$32,0),0)),0)</f>
        <v>0.91327660957666268</v>
      </c>
      <c r="F78">
        <f>IFERROR(VLOOKUP($A78,power_rankings,2,0)/(VLOOKUP($A78,power_rankings,2,0)+VLOOKUP(F$70,power_rankings,2,0))*(F10+HLOOKUP($A78,table_wins_h2h,MATCH(F$70,$A$2:$A$32,0),0)),0)</f>
        <v>0.53832235901889502</v>
      </c>
      <c r="G78">
        <f>IFERROR(VLOOKUP($A78,power_rankings,2,0)/(VLOOKUP($A78,power_rankings,2,0)+VLOOKUP(G$70,power_rankings,2,0))*(G10+HLOOKUP($A78,table_wins_h2h,MATCH(G$70,$A$2:$A$32,0),0)),0)</f>
        <v>0.45498959357300417</v>
      </c>
      <c r="H78">
        <f>IFERROR(VLOOKUP($A78,power_rankings,2,0)/(VLOOKUP($A78,power_rankings,2,0)+VLOOKUP(H$70,power_rankings,2,0))*(H10+HLOOKUP($A78,table_wins_h2h,MATCH(H$70,$A$2:$A$32,0),0)),0)</f>
        <v>0.76254782993637316</v>
      </c>
      <c r="I78">
        <f>IFERROR(VLOOKUP($A78,power_rankings,2,0)/(VLOOKUP($A78,power_rankings,2,0)+VLOOKUP(I$70,power_rankings,2,0))*(I10+HLOOKUP($A78,table_wins_h2h,MATCH(I$70,$A$2:$A$32,0),0)),0)</f>
        <v>0</v>
      </c>
      <c r="J78">
        <f>IFERROR(VLOOKUP($A78,power_rankings,2,0)/(VLOOKUP($A78,power_rankings,2,0)+VLOOKUP(J$70,power_rankings,2,0))*(J10+HLOOKUP($A78,table_wins_h2h,MATCH(J$70,$A$2:$A$32,0),0)),0)</f>
        <v>0.96757179284247419</v>
      </c>
      <c r="K78">
        <f>IFERROR(VLOOKUP($A78,power_rankings,2,0)/(VLOOKUP($A78,power_rankings,2,0)+VLOOKUP(K$70,power_rankings,2,0))*(K10+HLOOKUP($A78,table_wins_h2h,MATCH(K$70,$A$2:$A$32,0),0)),0)</f>
        <v>0.26287838902437455</v>
      </c>
      <c r="L78">
        <f>IFERROR(VLOOKUP($A78,power_rankings,2,0)/(VLOOKUP($A78,power_rankings,2,0)+VLOOKUP(L$70,power_rankings,2,0))*(L10+HLOOKUP($A78,table_wins_h2h,MATCH(L$70,$A$2:$A$32,0),0)),0)</f>
        <v>0.78573236285358472</v>
      </c>
      <c r="M78">
        <f>IFERROR(VLOOKUP($A78,power_rankings,2,0)/(VLOOKUP($A78,power_rankings,2,0)+VLOOKUP(M$70,power_rankings,2,0))*(M10+HLOOKUP($A78,table_wins_h2h,MATCH(M$70,$A$2:$A$32,0),0)),0)</f>
        <v>0.77582200058563044</v>
      </c>
      <c r="N78">
        <f>IFERROR(VLOOKUP($A78,power_rankings,2,0)/(VLOOKUP($A78,power_rankings,2,0)+VLOOKUP(N$70,power_rankings,2,0))*(N10+HLOOKUP($A78,table_wins_h2h,MATCH(N$70,$A$2:$A$32,0),0)),0)</f>
        <v>0.72063269897614812</v>
      </c>
      <c r="O78">
        <f>IFERROR(VLOOKUP($A78,power_rankings,2,0)/(VLOOKUP($A78,power_rankings,2,0)+VLOOKUP(O$70,power_rankings,2,0))*(O10+HLOOKUP($A78,table_wins_h2h,MATCH(O$70,$A$2:$A$32,0),0)),0)</f>
        <v>2.703465054884798</v>
      </c>
      <c r="P78">
        <f>IFERROR(VLOOKUP($A78,power_rankings,2,0)/(VLOOKUP($A78,power_rankings,2,0)+VLOOKUP(P$70,power_rankings,2,0))*(P10+HLOOKUP($A78,table_wins_h2h,MATCH(P$70,$A$2:$A$32,0),0)),0)</f>
        <v>0.55182798550001499</v>
      </c>
      <c r="Q78">
        <f>IFERROR(VLOOKUP($A78,power_rankings,2,0)/(VLOOKUP($A78,power_rankings,2,0)+VLOOKUP(Q$70,power_rankings,2,0))*(Q10+HLOOKUP($A78,table_wins_h2h,MATCH(Q$70,$A$2:$A$32,0),0)),0)</f>
        <v>0.83630184515880046</v>
      </c>
      <c r="R78">
        <f>IFERROR(VLOOKUP($A78,power_rankings,2,0)/(VLOOKUP($A78,power_rankings,2,0)+VLOOKUP(R$70,power_rankings,2,0))*(R10+HLOOKUP($A78,table_wins_h2h,MATCH(R$70,$A$2:$A$32,0),0)),0)</f>
        <v>0.72309468386998432</v>
      </c>
      <c r="S78">
        <f>IFERROR(VLOOKUP($A78,power_rankings,2,0)/(VLOOKUP($A78,power_rankings,2,0)+VLOOKUP(S$70,power_rankings,2,0))*(S10+HLOOKUP($A78,table_wins_h2h,MATCH(S$70,$A$2:$A$32,0),0)),0)</f>
        <v>2.9778676282594239</v>
      </c>
      <c r="T78">
        <f>IFERROR(VLOOKUP($A78,power_rankings,2,0)/(VLOOKUP($A78,power_rankings,2,0)+VLOOKUP(T$70,power_rankings,2,0))*(T10+HLOOKUP($A78,table_wins_h2h,MATCH(T$70,$A$2:$A$32,0),0)),0)</f>
        <v>1.1474517989403976</v>
      </c>
      <c r="U78">
        <f>IFERROR(VLOOKUP($A78,power_rankings,2,0)/(VLOOKUP($A78,power_rankings,2,0)+VLOOKUP(U$70,power_rankings,2,0))*(U10+HLOOKUP($A78,table_wins_h2h,MATCH(U$70,$A$2:$A$32,0),0)),0)</f>
        <v>1.4482500084574363</v>
      </c>
      <c r="V78">
        <f>IFERROR(VLOOKUP($A78,power_rankings,2,0)/(VLOOKUP($A78,power_rankings,2,0)+VLOOKUP(V$70,power_rankings,2,0))*(V10+HLOOKUP($A78,table_wins_h2h,MATCH(V$70,$A$2:$A$32,0),0)),0)</f>
        <v>1.2956537165515081</v>
      </c>
      <c r="W78">
        <f>IFERROR(VLOOKUP($A78,power_rankings,2,0)/(VLOOKUP($A78,power_rankings,2,0)+VLOOKUP(W$70,power_rankings,2,0))*(W10+HLOOKUP($A78,table_wins_h2h,MATCH(W$70,$A$2:$A$32,0),0)),0)</f>
        <v>1.2117314686095273</v>
      </c>
      <c r="X78">
        <f>IFERROR(VLOOKUP($A78,power_rankings,2,0)/(VLOOKUP($A78,power_rankings,2,0)+VLOOKUP(X$70,power_rankings,2,0))*(X10+HLOOKUP($A78,table_wins_h2h,MATCH(X$70,$A$2:$A$32,0),0)),0)</f>
        <v>1.4088600852369018</v>
      </c>
      <c r="Y78">
        <f>IFERROR(VLOOKUP($A78,power_rankings,2,0)/(VLOOKUP($A78,power_rankings,2,0)+VLOOKUP(Y$70,power_rankings,2,0))*(Y10+HLOOKUP($A78,table_wins_h2h,MATCH(Y$70,$A$2:$A$32,0),0)),0)</f>
        <v>1.1947747538977</v>
      </c>
      <c r="Z78">
        <f>IFERROR(VLOOKUP($A78,power_rankings,2,0)/(VLOOKUP($A78,power_rankings,2,0)+VLOOKUP(Z$70,power_rankings,2,0))*(Z10+HLOOKUP($A78,table_wins_h2h,MATCH(Z$70,$A$2:$A$32,0),0)),0)</f>
        <v>0.93917624060876914</v>
      </c>
      <c r="AA78">
        <f>IFERROR(VLOOKUP($A78,power_rankings,2,0)/(VLOOKUP($A78,power_rankings,2,0)+VLOOKUP(AA$70,power_rankings,2,0))*(AA10+HLOOKUP($A78,table_wins_h2h,MATCH(AA$70,$A$2:$A$32,0),0)),0)</f>
        <v>0.82658414569424243</v>
      </c>
      <c r="AB78">
        <f>IFERROR(VLOOKUP($A78,power_rankings,2,0)/(VLOOKUP($A78,power_rankings,2,0)+VLOOKUP(AB$70,power_rankings,2,0))*(AB10+HLOOKUP($A78,table_wins_h2h,MATCH(AB$70,$A$2:$A$32,0),0)),0)</f>
        <v>1.9846095454571731</v>
      </c>
      <c r="AC78">
        <f>IFERROR(VLOOKUP($A78,power_rankings,2,0)/(VLOOKUP($A78,power_rankings,2,0)+VLOOKUP(AC$70,power_rankings,2,0))*(AC10+HLOOKUP($A78,table_wins_h2h,MATCH(AC$70,$A$2:$A$32,0),0)),0)</f>
        <v>0.60525677912386122</v>
      </c>
      <c r="AD78">
        <f>IFERROR(VLOOKUP($A78,power_rankings,2,0)/(VLOOKUP($A78,power_rankings,2,0)+VLOOKUP(AD$70,power_rankings,2,0))*(AD10+HLOOKUP($A78,table_wins_h2h,MATCH(AD$70,$A$2:$A$32,0),0)),0)</f>
        <v>1.5341666905555584</v>
      </c>
      <c r="AE78">
        <f>IFERROR(VLOOKUP($A78,power_rankings,2,0)/(VLOOKUP($A78,power_rankings,2,0)+VLOOKUP(AE$70,power_rankings,2,0))*(AE10+HLOOKUP($A78,table_wins_h2h,MATCH(AE$70,$A$2:$A$32,0),0)),0)</f>
        <v>0.65230467325662167</v>
      </c>
      <c r="AG78">
        <f t="shared" si="0"/>
        <v>30.19</v>
      </c>
      <c r="AH78">
        <f>VLOOKUP(A78,d_win_totals!$C$2:$E$31,3,0)</f>
        <v>33</v>
      </c>
      <c r="AI78">
        <f t="shared" si="1"/>
        <v>2.8099999999999987</v>
      </c>
    </row>
    <row r="79" spans="1:35" x14ac:dyDescent="0.25">
      <c r="A79" t="s">
        <v>33</v>
      </c>
      <c r="B79">
        <f>IFERROR(VLOOKUP($A79,power_rankings,2,0)/(VLOOKUP($A79,power_rankings,2,0)+VLOOKUP(B$70,power_rankings,2,0))*(B11+HLOOKUP($A79,table_wins_h2h,MATCH(B$70,$A$2:$A$32,0),0)),0)</f>
        <v>0.68860716457545501</v>
      </c>
      <c r="C79">
        <f>IFERROR(VLOOKUP($A79,power_rankings,2,0)/(VLOOKUP($A79,power_rankings,2,0)+VLOOKUP(C$70,power_rankings,2,0))*(C11+HLOOKUP($A79,table_wins_h2h,MATCH(C$70,$A$2:$A$32,0),0)),0)</f>
        <v>1.3618774318656457</v>
      </c>
      <c r="D79">
        <f>IFERROR(VLOOKUP($A79,power_rankings,2,0)/(VLOOKUP($A79,power_rankings,2,0)+VLOOKUP(D$70,power_rankings,2,0))*(D11+HLOOKUP($A79,table_wins_h2h,MATCH(D$70,$A$2:$A$32,0),0)),0)</f>
        <v>1.1932262184591158</v>
      </c>
      <c r="E79">
        <f>IFERROR(VLOOKUP($A79,power_rankings,2,0)/(VLOOKUP($A79,power_rankings,2,0)+VLOOKUP(E$70,power_rankings,2,0))*(E11+HLOOKUP($A79,table_wins_h2h,MATCH(E$70,$A$2:$A$32,0),0)),0)</f>
        <v>1.8911033852534429</v>
      </c>
      <c r="F79">
        <f>IFERROR(VLOOKUP($A79,power_rankings,2,0)/(VLOOKUP($A79,power_rankings,2,0)+VLOOKUP(F$70,power_rankings,2,0))*(F11+HLOOKUP($A79,table_wins_h2h,MATCH(F$70,$A$2:$A$32,0),0)),0)</f>
        <v>1.1284528706765362</v>
      </c>
      <c r="G79">
        <f>IFERROR(VLOOKUP($A79,power_rankings,2,0)/(VLOOKUP($A79,power_rankings,2,0)+VLOOKUP(G$70,power_rankings,2,0))*(G11+HLOOKUP($A79,table_wins_h2h,MATCH(G$70,$A$2:$A$32,0),0)),0)</f>
        <v>0.95639116111065747</v>
      </c>
      <c r="H79">
        <f>IFERROR(VLOOKUP($A79,power_rankings,2,0)/(VLOOKUP($A79,power_rankings,2,0)+VLOOKUP(H$70,power_rankings,2,0))*(H11+HLOOKUP($A79,table_wins_h2h,MATCH(H$70,$A$2:$A$32,0),0)),0)</f>
        <v>0.53335376339815532</v>
      </c>
      <c r="I79">
        <f>IFERROR(VLOOKUP($A79,power_rankings,2,0)/(VLOOKUP($A79,power_rankings,2,0)+VLOOKUP(I$70,power_rankings,2,0))*(I11+HLOOKUP($A79,table_wins_h2h,MATCH(I$70,$A$2:$A$32,0),0)),0)</f>
        <v>1.0324282071575259</v>
      </c>
      <c r="J79">
        <f>IFERROR(VLOOKUP($A79,power_rankings,2,0)/(VLOOKUP($A79,power_rankings,2,0)+VLOOKUP(J$70,power_rankings,2,0))*(J11+HLOOKUP($A79,table_wins_h2h,MATCH(J$70,$A$2:$A$32,0),0)),0)</f>
        <v>0</v>
      </c>
      <c r="K79">
        <f>IFERROR(VLOOKUP($A79,power_rankings,2,0)/(VLOOKUP($A79,power_rankings,2,0)+VLOOKUP(K$70,power_rankings,2,0))*(K11+HLOOKUP($A79,table_wins_h2h,MATCH(K$70,$A$2:$A$32,0),0)),0)</f>
        <v>0.18590748854237263</v>
      </c>
      <c r="L79">
        <f>IFERROR(VLOOKUP($A79,power_rankings,2,0)/(VLOOKUP($A79,power_rankings,2,0)+VLOOKUP(L$70,power_rankings,2,0))*(L11+HLOOKUP($A79,table_wins_h2h,MATCH(L$70,$A$2:$A$32,0),0)),0)</f>
        <v>0.41375218851991519</v>
      </c>
      <c r="M79">
        <f>IFERROR(VLOOKUP($A79,power_rankings,2,0)/(VLOOKUP($A79,power_rankings,2,0)+VLOOKUP(M$70,power_rankings,2,0))*(M11+HLOOKUP($A79,table_wins_h2h,MATCH(M$70,$A$2:$A$32,0),0)),0)</f>
        <v>1.6136920764034406</v>
      </c>
      <c r="N79">
        <f>IFERROR(VLOOKUP($A79,power_rankings,2,0)/(VLOOKUP($A79,power_rankings,2,0)+VLOOKUP(N$70,power_rankings,2,0))*(N11+HLOOKUP($A79,table_wins_h2h,MATCH(N$70,$A$2:$A$32,0),0)),0)</f>
        <v>0.37988093453704008</v>
      </c>
      <c r="O79">
        <f>IFERROR(VLOOKUP($A79,power_rankings,2,0)/(VLOOKUP($A79,power_rankings,2,0)+VLOOKUP(O$70,power_rankings,2,0))*(O11+HLOOKUP($A79,table_wins_h2h,MATCH(O$70,$A$2:$A$32,0),0)),0)</f>
        <v>1.3798283909815745</v>
      </c>
      <c r="P79">
        <f>IFERROR(VLOOKUP($A79,power_rankings,2,0)/(VLOOKUP($A79,power_rankings,2,0)+VLOOKUP(P$70,power_rankings,2,0))*(P11+HLOOKUP($A79,table_wins_h2h,MATCH(P$70,$A$2:$A$32,0),0)),0)</f>
        <v>0.38776369950402662</v>
      </c>
      <c r="Q79">
        <f>IFERROR(VLOOKUP($A79,power_rankings,2,0)/(VLOOKUP($A79,power_rankings,2,0)+VLOOKUP(Q$70,power_rankings,2,0))*(Q11+HLOOKUP($A79,table_wins_h2h,MATCH(Q$70,$A$2:$A$32,0),0)),0)</f>
        <v>1.3020442426740211</v>
      </c>
      <c r="R79">
        <f>IFERROR(VLOOKUP($A79,power_rankings,2,0)/(VLOOKUP($A79,power_rankings,2,0)+VLOOKUP(R$70,power_rankings,2,0))*(R11+HLOOKUP($A79,table_wins_h2h,MATCH(R$70,$A$2:$A$32,0),0)),0)</f>
        <v>1.5066154139716987</v>
      </c>
      <c r="S79">
        <f>IFERROR(VLOOKUP($A79,power_rankings,2,0)/(VLOOKUP($A79,power_rankings,2,0)+VLOOKUP(S$70,power_rankings,2,0))*(S11+HLOOKUP($A79,table_wins_h2h,MATCH(S$70,$A$2:$A$32,0),0)),0)</f>
        <v>1.5132247166329147</v>
      </c>
      <c r="T79">
        <f>IFERROR(VLOOKUP($A79,power_rankings,2,0)/(VLOOKUP($A79,power_rankings,2,0)+VLOOKUP(T$70,power_rankings,2,0))*(T11+HLOOKUP($A79,table_wins_h2h,MATCH(T$70,$A$2:$A$32,0),0)),0)</f>
        <v>0.60063354234149147</v>
      </c>
      <c r="U79">
        <f>IFERROR(VLOOKUP($A79,power_rankings,2,0)/(VLOOKUP($A79,power_rankings,2,0)+VLOOKUP(U$70,power_rankings,2,0))*(U11+HLOOKUP($A79,table_wins_h2h,MATCH(U$70,$A$2:$A$32,0),0)),0)</f>
        <v>2.9475824260241841</v>
      </c>
      <c r="V79">
        <f>IFERROR(VLOOKUP($A79,power_rankings,2,0)/(VLOOKUP($A79,power_rankings,2,0)+VLOOKUP(V$70,power_rankings,2,0))*(V11+HLOOKUP($A79,table_wins_h2h,MATCH(V$70,$A$2:$A$32,0),0)),0)</f>
        <v>0.67656128416648698</v>
      </c>
      <c r="W79">
        <f>IFERROR(VLOOKUP($A79,power_rankings,2,0)/(VLOOKUP($A79,power_rankings,2,0)+VLOOKUP(W$70,power_rankings,2,0))*(W11+HLOOKUP($A79,table_wins_h2h,MATCH(W$70,$A$2:$A$32,0),0)),0)</f>
        <v>2.4849893795707065</v>
      </c>
      <c r="X79">
        <f>IFERROR(VLOOKUP($A79,power_rankings,2,0)/(VLOOKUP($A79,power_rankings,2,0)+VLOOKUP(X$70,power_rankings,2,0))*(X11+HLOOKUP($A79,table_wins_h2h,MATCH(X$70,$A$2:$A$32,0),0)),0)</f>
        <v>2.8710279736953095</v>
      </c>
      <c r="Y79">
        <f>IFERROR(VLOOKUP($A79,power_rankings,2,0)/(VLOOKUP($A79,power_rankings,2,0)+VLOOKUP(Y$70,power_rankings,2,0))*(Y11+HLOOKUP($A79,table_wins_h2h,MATCH(Y$70,$A$2:$A$32,0),0)),0)</f>
        <v>0.82780848596936862</v>
      </c>
      <c r="Z79">
        <f>IFERROR(VLOOKUP($A79,power_rankings,2,0)/(VLOOKUP($A79,power_rankings,2,0)+VLOOKUP(Z$70,power_rankings,2,0))*(Z11+HLOOKUP($A79,table_wins_h2h,MATCH(Z$70,$A$2:$A$32,0),0)),0)</f>
        <v>0.49330094856848689</v>
      </c>
      <c r="AA79">
        <f>IFERROR(VLOOKUP($A79,power_rankings,2,0)/(VLOOKUP($A79,power_rankings,2,0)+VLOOKUP(AA$70,power_rankings,2,0))*(AA11+HLOOKUP($A79,table_wins_h2h,MATCH(AA$70,$A$2:$A$32,0),0)),0)</f>
        <v>0.43497008514347907</v>
      </c>
      <c r="AB79">
        <f>IFERROR(VLOOKUP($A79,power_rankings,2,0)/(VLOOKUP($A79,power_rankings,2,0)+VLOOKUP(AB$70,power_rankings,2,0))*(AB11+HLOOKUP($A79,table_wins_h2h,MATCH(AB$70,$A$2:$A$32,0),0)),0)</f>
        <v>1.0247391533544101</v>
      </c>
      <c r="AC79">
        <f>IFERROR(VLOOKUP($A79,power_rankings,2,0)/(VLOOKUP($A79,power_rankings,2,0)+VLOOKUP(AC$70,power_rankings,2,0))*(AC11+HLOOKUP($A79,table_wins_h2h,MATCH(AC$70,$A$2:$A$32,0),0)),0)</f>
        <v>1.2659738395209219</v>
      </c>
      <c r="AD79">
        <f>IFERROR(VLOOKUP($A79,power_rankings,2,0)/(VLOOKUP($A79,power_rankings,2,0)+VLOOKUP(AD$70,power_rankings,2,0))*(AD11+HLOOKUP($A79,table_wins_h2h,MATCH(AD$70,$A$2:$A$32,0),0)),0)</f>
        <v>0.79798572456695294</v>
      </c>
      <c r="AE79">
        <f>IFERROR(VLOOKUP($A79,power_rankings,2,0)/(VLOOKUP($A79,power_rankings,2,0)+VLOOKUP(AE$70,power_rankings,2,0))*(AE11+HLOOKUP($A79,table_wins_h2h,MATCH(AE$70,$A$2:$A$32,0),0)),0)</f>
        <v>1.0217064962789904</v>
      </c>
      <c r="AG79">
        <f t="shared" si="0"/>
        <v>32.92</v>
      </c>
      <c r="AH79">
        <f>VLOOKUP(A79,d_win_totals!$C$2:$E$31,3,0)</f>
        <v>44</v>
      </c>
      <c r="AI79">
        <f t="shared" si="1"/>
        <v>11.079999999999998</v>
      </c>
    </row>
    <row r="80" spans="1:35" x14ac:dyDescent="0.25">
      <c r="A80" t="s">
        <v>36</v>
      </c>
      <c r="B80">
        <f>IFERROR(VLOOKUP($A80,power_rankings,2,0)/(VLOOKUP($A80,power_rankings,2,0)+VLOOKUP(B$70,power_rankings,2,0))*(B12+HLOOKUP($A80,table_wins_h2h,MATCH(B$70,$A$2:$A$32,0),0)),0)</f>
        <v>1.3397581705536967</v>
      </c>
      <c r="C80">
        <f>IFERROR(VLOOKUP($A80,power_rankings,2,0)/(VLOOKUP($A80,power_rankings,2,0)+VLOOKUP(C$70,power_rankings,2,0))*(C12+HLOOKUP($A80,table_wins_h2h,MATCH(C$70,$A$2:$A$32,0),0)),0)</f>
        <v>1.7805210219085608</v>
      </c>
      <c r="D80">
        <f>IFERROR(VLOOKUP($A80,power_rankings,2,0)/(VLOOKUP($A80,power_rankings,2,0)+VLOOKUP(D$70,power_rankings,2,0))*(D12+HLOOKUP($A80,table_wins_h2h,MATCH(D$70,$A$2:$A$32,0),0)),0)</f>
        <v>1.7313411790988829</v>
      </c>
      <c r="E80">
        <f>IFERROR(VLOOKUP($A80,power_rankings,2,0)/(VLOOKUP($A80,power_rankings,2,0)+VLOOKUP(E$70,power_rankings,2,0))*(E12+HLOOKUP($A80,table_wins_h2h,MATCH(E$70,$A$2:$A$32,0),0)),0)</f>
        <v>1.7948779308929097</v>
      </c>
      <c r="F80">
        <f>IFERROR(VLOOKUP($A80,power_rankings,2,0)/(VLOOKUP($A80,power_rankings,2,0)+VLOOKUP(F$70,power_rankings,2,0))*(F12+HLOOKUP($A80,table_wins_h2h,MATCH(F$70,$A$2:$A$32,0),0)),0)</f>
        <v>1.5863228322241902</v>
      </c>
      <c r="G80">
        <f>IFERROR(VLOOKUP($A80,power_rankings,2,0)/(VLOOKUP($A80,power_rankings,2,0)+VLOOKUP(G$70,power_rankings,2,0))*(G12+HLOOKUP($A80,table_wins_h2h,MATCH(G$70,$A$2:$A$32,0),0)),0)</f>
        <v>1.5081477804246002</v>
      </c>
      <c r="H80">
        <f>IFERROR(VLOOKUP($A80,power_rankings,2,0)/(VLOOKUP($A80,power_rankings,2,0)+VLOOKUP(H$70,power_rankings,2,0))*(H12+HLOOKUP($A80,table_wins_h2h,MATCH(H$70,$A$2:$A$32,0),0)),0)</f>
        <v>3.1206014145291503</v>
      </c>
      <c r="I80">
        <f>IFERROR(VLOOKUP($A80,power_rankings,2,0)/(VLOOKUP($A80,power_rankings,2,0)+VLOOKUP(I$70,power_rankings,2,0))*(I12+HLOOKUP($A80,table_wins_h2h,MATCH(I$70,$A$2:$A$32,0),0)),0)</f>
        <v>2.7371216109756258</v>
      </c>
      <c r="J80">
        <f>IFERROR(VLOOKUP($A80,power_rankings,2,0)/(VLOOKUP($A80,power_rankings,2,0)+VLOOKUP(J$70,power_rankings,2,0))*(J12+HLOOKUP($A80,table_wins_h2h,MATCH(J$70,$A$2:$A$32,0),0)),0)</f>
        <v>1.8140925114576272</v>
      </c>
      <c r="K80">
        <f>IFERROR(VLOOKUP($A80,power_rankings,2,0)/(VLOOKUP($A80,power_rankings,2,0)+VLOOKUP(K$70,power_rankings,2,0))*(K12+HLOOKUP($A80,table_wins_h2h,MATCH(K$70,$A$2:$A$32,0),0)),0)</f>
        <v>0</v>
      </c>
      <c r="L80">
        <f>IFERROR(VLOOKUP($A80,power_rankings,2,0)/(VLOOKUP($A80,power_rankings,2,0)+VLOOKUP(L$70,power_rankings,2,0))*(L12+HLOOKUP($A80,table_wins_h2h,MATCH(L$70,$A$2:$A$32,0),0)),0)</f>
        <v>2.8717323318368173</v>
      </c>
      <c r="M80">
        <f>IFERROR(VLOOKUP($A80,power_rankings,2,0)/(VLOOKUP($A80,power_rankings,2,0)+VLOOKUP(M$70,power_rankings,2,0))*(M12+HLOOKUP($A80,table_wins_h2h,MATCH(M$70,$A$2:$A$32,0),0)),0)</f>
        <v>1.7367962130078698</v>
      </c>
      <c r="N80">
        <f>IFERROR(VLOOKUP($A80,power_rankings,2,0)/(VLOOKUP($A80,power_rankings,2,0)+VLOOKUP(N$70,power_rankings,2,0))*(N12+HLOOKUP($A80,table_wins_h2h,MATCH(N$70,$A$2:$A$32,0),0)),0)</f>
        <v>2.7834688107878538</v>
      </c>
      <c r="O80">
        <f>IFERROR(VLOOKUP($A80,power_rankings,2,0)/(VLOOKUP($A80,power_rankings,2,0)+VLOOKUP(O$70,power_rankings,2,0))*(O12+HLOOKUP($A80,table_wins_h2h,MATCH(O$70,$A$2:$A$32,0),0)),0)</f>
        <v>3.8238723100783547</v>
      </c>
      <c r="P80">
        <f>IFERROR(VLOOKUP($A80,power_rankings,2,0)/(VLOOKUP($A80,power_rankings,2,0)+VLOOKUP(P$70,power_rankings,2,0))*(P12+HLOOKUP($A80,table_wins_h2h,MATCH(P$70,$A$2:$A$32,0),0)),0)</f>
        <v>2.1036574383151989</v>
      </c>
      <c r="Q80">
        <f>IFERROR(VLOOKUP($A80,power_rankings,2,0)/(VLOOKUP($A80,power_rankings,2,0)+VLOOKUP(Q$70,power_rankings,2,0))*(Q12+HLOOKUP($A80,table_wins_h2h,MATCH(Q$70,$A$2:$A$32,0),0)),0)</f>
        <v>1.7642277295916757</v>
      </c>
      <c r="R80">
        <f>IFERROR(VLOOKUP($A80,power_rankings,2,0)/(VLOOKUP($A80,power_rankings,2,0)+VLOOKUP(R$70,power_rankings,2,0))*(R12+HLOOKUP($A80,table_wins_h2h,MATCH(R$70,$A$2:$A$32,0),0)),0)</f>
        <v>1.7099871939471931</v>
      </c>
      <c r="S80">
        <f>IFERROR(VLOOKUP($A80,power_rankings,2,0)/(VLOOKUP($A80,power_rankings,2,0)+VLOOKUP(S$70,power_rankings,2,0))*(S12+HLOOKUP($A80,table_wins_h2h,MATCH(S$70,$A$2:$A$32,0),0)),0)</f>
        <v>3.8723453532912449</v>
      </c>
      <c r="T80">
        <f>IFERROR(VLOOKUP($A80,power_rankings,2,0)/(VLOOKUP($A80,power_rankings,2,0)+VLOOKUP(T$70,power_rankings,2,0))*(T12+HLOOKUP($A80,table_wins_h2h,MATCH(T$70,$A$2:$A$32,0),0)),0)</f>
        <v>3.2290386953052481</v>
      </c>
      <c r="U80">
        <f>IFERROR(VLOOKUP($A80,power_rankings,2,0)/(VLOOKUP($A80,power_rankings,2,0)+VLOOKUP(U$70,power_rankings,2,0))*(U12+HLOOKUP($A80,table_wins_h2h,MATCH(U$70,$A$2:$A$32,0),0)),0)</f>
        <v>1.9294035818354631</v>
      </c>
      <c r="V80">
        <f>IFERROR(VLOOKUP($A80,power_rankings,2,0)/(VLOOKUP($A80,power_rankings,2,0)+VLOOKUP(V$70,power_rankings,2,0))*(V12+HLOOKUP($A80,table_wins_h2h,MATCH(V$70,$A$2:$A$32,0),0)),0)</f>
        <v>3.332047819011478</v>
      </c>
      <c r="W80">
        <f>IFERROR(VLOOKUP($A80,power_rankings,2,0)/(VLOOKUP($A80,power_rankings,2,0)+VLOOKUP(W$70,power_rankings,2,0))*(W12+HLOOKUP($A80,table_wins_h2h,MATCH(W$70,$A$2:$A$32,0),0)),0)</f>
        <v>1.8823915418303196</v>
      </c>
      <c r="X80">
        <f>IFERROR(VLOOKUP($A80,power_rankings,2,0)/(VLOOKUP($A80,power_rankings,2,0)+VLOOKUP(X$70,power_rankings,2,0))*(X12+HLOOKUP($A80,table_wins_h2h,MATCH(X$70,$A$2:$A$32,0),0)),0)</f>
        <v>1.9225260937949988</v>
      </c>
      <c r="Y80">
        <f>IFERROR(VLOOKUP($A80,power_rankings,2,0)/(VLOOKUP($A80,power_rankings,2,0)+VLOOKUP(Y$70,power_rankings,2,0))*(Y12+HLOOKUP($A80,table_wins_h2h,MATCH(Y$70,$A$2:$A$32,0),0)),0)</f>
        <v>3.4931052188177105</v>
      </c>
      <c r="Z80">
        <f>IFERROR(VLOOKUP($A80,power_rankings,2,0)/(VLOOKUP($A80,power_rankings,2,0)+VLOOKUP(Z$70,power_rankings,2,0))*(Z12+HLOOKUP($A80,table_wins_h2h,MATCH(Z$70,$A$2:$A$32,0),0)),0)</f>
        <v>2.2848342368879346</v>
      </c>
      <c r="AA80">
        <f>IFERROR(VLOOKUP($A80,power_rankings,2,0)/(VLOOKUP($A80,power_rankings,2,0)+VLOOKUP(AA$70,power_rankings,2,0))*(AA12+HLOOKUP($A80,table_wins_h2h,MATCH(AA$70,$A$2:$A$32,0),0)),0)</f>
        <v>2.1918234073861655</v>
      </c>
      <c r="AB80">
        <f>IFERROR(VLOOKUP($A80,power_rankings,2,0)/(VLOOKUP($A80,power_rankings,2,0)+VLOOKUP(AB$70,power_rankings,2,0))*(AB12+HLOOKUP($A80,table_wins_h2h,MATCH(AB$70,$A$2:$A$32,0),0)),0)</f>
        <v>3.644542314046773</v>
      </c>
      <c r="AC80">
        <f>IFERROR(VLOOKUP($A80,power_rankings,2,0)/(VLOOKUP($A80,power_rankings,2,0)+VLOOKUP(AC$70,power_rankings,2,0))*(AC12+HLOOKUP($A80,table_wins_h2h,MATCH(AC$70,$A$2:$A$32,0),0)),0)</f>
        <v>1.637576066088398</v>
      </c>
      <c r="AD80">
        <f>IFERROR(VLOOKUP($A80,power_rankings,2,0)/(VLOOKUP($A80,power_rankings,2,0)+VLOOKUP(AD$70,power_rankings,2,0))*(AD12+HLOOKUP($A80,table_wins_h2h,MATCH(AD$70,$A$2:$A$32,0),0)),0)</f>
        <v>3.4651051946266094</v>
      </c>
      <c r="AE80">
        <f>IFERROR(VLOOKUP($A80,power_rankings,2,0)/(VLOOKUP($A80,power_rankings,2,0)+VLOOKUP(AE$70,power_rankings,2,0))*(AE12+HLOOKUP($A80,table_wins_h2h,MATCH(AE$70,$A$2:$A$32,0),0)),0)</f>
        <v>1.6688534566152451</v>
      </c>
      <c r="AG80">
        <f t="shared" si="0"/>
        <v>68.760000000000005</v>
      </c>
      <c r="AH80">
        <f>VLOOKUP(A80,d_win_totals!$C$2:$E$31,3,0)</f>
        <v>73</v>
      </c>
      <c r="AI80">
        <f t="shared" si="1"/>
        <v>4.2399999999999949</v>
      </c>
    </row>
    <row r="81" spans="1:35" x14ac:dyDescent="0.25">
      <c r="A81" t="s">
        <v>16</v>
      </c>
      <c r="B81">
        <f>IFERROR(VLOOKUP($A81,power_rankings,2,0)/(VLOOKUP($A81,power_rankings,2,0)+VLOOKUP(B$70,power_rankings,2,0))*(B13+HLOOKUP($A81,table_wins_h2h,MATCH(B$70,$A$2:$A$32,0),0)),0)</f>
        <v>0.88718539184669765</v>
      </c>
      <c r="C81">
        <f>IFERROR(VLOOKUP($A81,power_rankings,2,0)/(VLOOKUP($A81,power_rankings,2,0)+VLOOKUP(C$70,power_rankings,2,0))*(C13+HLOOKUP($A81,table_wins_h2h,MATCH(C$70,$A$2:$A$32,0),0)),0)</f>
        <v>1.5223647607019613</v>
      </c>
      <c r="D81">
        <f>IFERROR(VLOOKUP($A81,power_rankings,2,0)/(VLOOKUP($A81,power_rankings,2,0)+VLOOKUP(D$70,power_rankings,2,0))*(D13+HLOOKUP($A81,table_wins_h2h,MATCH(D$70,$A$2:$A$32,0),0)),0)</f>
        <v>1.4337355343507814</v>
      </c>
      <c r="E81">
        <f>IFERROR(VLOOKUP($A81,power_rankings,2,0)/(VLOOKUP($A81,power_rankings,2,0)+VLOOKUP(E$70,power_rankings,2,0))*(E13+HLOOKUP($A81,table_wins_h2h,MATCH(E$70,$A$2:$A$32,0),0)),0)</f>
        <v>1.5493343675553661</v>
      </c>
      <c r="F81">
        <f>IFERROR(VLOOKUP($A81,power_rankings,2,0)/(VLOOKUP($A81,power_rankings,2,0)+VLOOKUP(F$70,power_rankings,2,0))*(F13+HLOOKUP($A81,table_wins_h2h,MATCH(F$70,$A$2:$A$32,0),0)),0)</f>
        <v>1.2021067106373906</v>
      </c>
      <c r="G81">
        <f>IFERROR(VLOOKUP($A81,power_rankings,2,0)/(VLOOKUP($A81,power_rankings,2,0)+VLOOKUP(G$70,power_rankings,2,0))*(G13+HLOOKUP($A81,table_wins_h2h,MATCH(G$70,$A$2:$A$32,0),0)),0)</f>
        <v>1.092845431493356</v>
      </c>
      <c r="H81">
        <f>IFERROR(VLOOKUP($A81,power_rankings,2,0)/(VLOOKUP($A81,power_rankings,2,0)+VLOOKUP(H$70,power_rankings,2,0))*(H13+HLOOKUP($A81,table_wins_h2h,MATCH(H$70,$A$2:$A$32,0),0)),0)</f>
        <v>2.3292860427689073</v>
      </c>
      <c r="I81">
        <f>IFERROR(VLOOKUP($A81,power_rankings,2,0)/(VLOOKUP($A81,power_rankings,2,0)+VLOOKUP(I$70,power_rankings,2,0))*(I13+HLOOKUP($A81,table_wins_h2h,MATCH(I$70,$A$2:$A$32,0),0)),0)</f>
        <v>3.2142676371464152</v>
      </c>
      <c r="J81">
        <f>IFERROR(VLOOKUP($A81,power_rankings,2,0)/(VLOOKUP($A81,power_rankings,2,0)+VLOOKUP(J$70,power_rankings,2,0))*(J13+HLOOKUP($A81,table_wins_h2h,MATCH(J$70,$A$2:$A$32,0),0)),0)</f>
        <v>1.5862478114800849</v>
      </c>
      <c r="K81">
        <f>IFERROR(VLOOKUP($A81,power_rankings,2,0)/(VLOOKUP($A81,power_rankings,2,0)+VLOOKUP(K$70,power_rankings,2,0))*(K13+HLOOKUP($A81,table_wins_h2h,MATCH(K$70,$A$2:$A$32,0),0)),0)</f>
        <v>1.1282676681631825</v>
      </c>
      <c r="L81">
        <f>IFERROR(VLOOKUP($A81,power_rankings,2,0)/(VLOOKUP($A81,power_rankings,2,0)+VLOOKUP(L$70,power_rankings,2,0))*(L13+HLOOKUP($A81,table_wins_h2h,MATCH(L$70,$A$2:$A$32,0),0)),0)</f>
        <v>0</v>
      </c>
      <c r="M81">
        <f>IFERROR(VLOOKUP($A81,power_rankings,2,0)/(VLOOKUP($A81,power_rankings,2,0)+VLOOKUP(M$70,power_rankings,2,0))*(M13+HLOOKUP($A81,table_wins_h2h,MATCH(M$70,$A$2:$A$32,0),0)),0)</f>
        <v>1.4432903099559971</v>
      </c>
      <c r="N81">
        <f>IFERROR(VLOOKUP($A81,power_rankings,2,0)/(VLOOKUP($A81,power_rankings,2,0)+VLOOKUP(N$70,power_rankings,2,0))*(N13+HLOOKUP($A81,table_wins_h2h,MATCH(N$70,$A$2:$A$32,0),0)),0)</f>
        <v>1.8935630288792837</v>
      </c>
      <c r="O81">
        <f>IFERROR(VLOOKUP($A81,power_rankings,2,0)/(VLOOKUP($A81,power_rankings,2,0)+VLOOKUP(O$70,power_rankings,2,0))*(O13+HLOOKUP($A81,table_wins_h2h,MATCH(O$70,$A$2:$A$32,0),0)),0)</f>
        <v>2.6852013060583557</v>
      </c>
      <c r="P81">
        <f>IFERROR(VLOOKUP($A81,power_rankings,2,0)/(VLOOKUP($A81,power_rankings,2,0)+VLOOKUP(P$70,power_rankings,2,0))*(P13+HLOOKUP($A81,table_wins_h2h,MATCH(P$70,$A$2:$A$32,0),0)),0)</f>
        <v>1.9189225124870497</v>
      </c>
      <c r="Q81">
        <f>IFERROR(VLOOKUP($A81,power_rankings,2,0)/(VLOOKUP($A81,power_rankings,2,0)+VLOOKUP(Q$70,power_rankings,2,0))*(Q13+HLOOKUP($A81,table_wins_h2h,MATCH(Q$70,$A$2:$A$32,0),0)),0)</f>
        <v>1.4923707619697428</v>
      </c>
      <c r="R81">
        <f>IFERROR(VLOOKUP($A81,power_rankings,2,0)/(VLOOKUP($A81,power_rankings,2,0)+VLOOKUP(R$70,power_rankings,2,0))*(R13+HLOOKUP($A81,table_wins_h2h,MATCH(R$70,$A$2:$A$32,0),0)),0)</f>
        <v>1.3969658358559374</v>
      </c>
      <c r="S81">
        <f>IFERROR(VLOOKUP($A81,power_rankings,2,0)/(VLOOKUP($A81,power_rankings,2,0)+VLOOKUP(S$70,power_rankings,2,0))*(S13+HLOOKUP($A81,table_wins_h2h,MATCH(S$70,$A$2:$A$32,0),0)),0)</f>
        <v>3.6903560299494935</v>
      </c>
      <c r="T81">
        <f>IFERROR(VLOOKUP($A81,power_rankings,2,0)/(VLOOKUP($A81,power_rankings,2,0)+VLOOKUP(T$70,power_rankings,2,0))*(T13+HLOOKUP($A81,table_wins_h2h,MATCH(T$70,$A$2:$A$32,0),0)),0)</f>
        <v>2.4880222373788312</v>
      </c>
      <c r="U81">
        <f>IFERROR(VLOOKUP($A81,power_rankings,2,0)/(VLOOKUP($A81,power_rankings,2,0)+VLOOKUP(U$70,power_rankings,2,0))*(U13+HLOOKUP($A81,table_wins_h2h,MATCH(U$70,$A$2:$A$32,0),0)),0)</f>
        <v>1.829607909850846</v>
      </c>
      <c r="V81">
        <f>IFERROR(VLOOKUP($A81,power_rankings,2,0)/(VLOOKUP($A81,power_rankings,2,0)+VLOOKUP(V$70,power_rankings,2,0))*(V13+HLOOKUP($A81,table_wins_h2h,MATCH(V$70,$A$2:$A$32,0),0)),0)</f>
        <v>1.9864524391252518</v>
      </c>
      <c r="W81">
        <f>IFERROR(VLOOKUP($A81,power_rankings,2,0)/(VLOOKUP($A81,power_rankings,2,0)+VLOOKUP(W$70,power_rankings,2,0))*(W13+HLOOKUP($A81,table_wins_h2h,MATCH(W$70,$A$2:$A$32,0),0)),0)</f>
        <v>1.7255910413054025</v>
      </c>
      <c r="X81">
        <f>IFERROR(VLOOKUP($A81,power_rankings,2,0)/(VLOOKUP($A81,power_rankings,2,0)+VLOOKUP(X$70,power_rankings,2,0))*(X13+HLOOKUP($A81,table_wins_h2h,MATCH(X$70,$A$2:$A$32,0),0)),0)</f>
        <v>1.813945857032663</v>
      </c>
      <c r="Y81">
        <f>IFERROR(VLOOKUP($A81,power_rankings,2,0)/(VLOOKUP($A81,power_rankings,2,0)+VLOOKUP(Y$70,power_rankings,2,0))*(Y13+HLOOKUP($A81,table_wins_h2h,MATCH(Y$70,$A$2:$A$32,0),0)),0)</f>
        <v>2.9210941970973976</v>
      </c>
      <c r="Z81">
        <f>IFERROR(VLOOKUP($A81,power_rankings,2,0)/(VLOOKUP($A81,power_rankings,2,0)+VLOOKUP(Z$70,power_rankings,2,0))*(Z13+HLOOKUP($A81,table_wins_h2h,MATCH(Z$70,$A$2:$A$32,0),0)),0)</f>
        <v>1.6697465615803844</v>
      </c>
      <c r="AA81">
        <f>IFERROR(VLOOKUP($A81,power_rankings,2,0)/(VLOOKUP($A81,power_rankings,2,0)+VLOOKUP(AA$70,power_rankings,2,0))*(AA13+HLOOKUP($A81,table_wins_h2h,MATCH(AA$70,$A$2:$A$32,0),0)),0)</f>
        <v>2.0634551593955681</v>
      </c>
      <c r="AB81">
        <f>IFERROR(VLOOKUP($A81,power_rankings,2,0)/(VLOOKUP($A81,power_rankings,2,0)+VLOOKUP(AB$70,power_rankings,2,0))*(AB13+HLOOKUP($A81,table_wins_h2h,MATCH(AB$70,$A$2:$A$32,0),0)),0)</f>
        <v>2.4033785008655468</v>
      </c>
      <c r="AC81">
        <f>IFERROR(VLOOKUP($A81,power_rankings,2,0)/(VLOOKUP($A81,power_rankings,2,0)+VLOOKUP(AC$70,power_rankings,2,0))*(AC13+HLOOKUP($A81,table_wins_h2h,MATCH(AC$70,$A$2:$A$32,0),0)),0)</f>
        <v>1.2793370662221475</v>
      </c>
      <c r="AD81">
        <f>IFERROR(VLOOKUP($A81,power_rankings,2,0)/(VLOOKUP($A81,power_rankings,2,0)+VLOOKUP(AD$70,power_rankings,2,0))*(AD13+HLOOKUP($A81,table_wins_h2h,MATCH(AD$70,$A$2:$A$32,0),0)),0)</f>
        <v>2.871703261442248</v>
      </c>
      <c r="AE81">
        <f>IFERROR(VLOOKUP($A81,power_rankings,2,0)/(VLOOKUP($A81,power_rankings,2,0)+VLOOKUP(AE$70,power_rankings,2,0))*(AE13+HLOOKUP($A81,table_wins_h2h,MATCH(AE$70,$A$2:$A$32,0),0)),0)</f>
        <v>1.3288600579870289</v>
      </c>
      <c r="AG81">
        <f t="shared" si="0"/>
        <v>54.85</v>
      </c>
      <c r="AH81">
        <f>VLOOKUP(A81,d_win_totals!$C$2:$E$31,3,0)</f>
        <v>41</v>
      </c>
      <c r="AI81">
        <f t="shared" si="1"/>
        <v>-13.850000000000001</v>
      </c>
    </row>
    <row r="82" spans="1:35" x14ac:dyDescent="0.25">
      <c r="A82" t="s">
        <v>20</v>
      </c>
      <c r="B82">
        <f>IFERROR(VLOOKUP($A82,power_rankings,2,0)/(VLOOKUP($A82,power_rankings,2,0)+VLOOKUP(B$70,power_rankings,2,0))*(B14+HLOOKUP($A82,table_wins_h2h,MATCH(B$70,$A$2:$A$32,0),0)),0)</f>
        <v>0.70557168315672159</v>
      </c>
      <c r="C82">
        <f>IFERROR(VLOOKUP($A82,power_rankings,2,0)/(VLOOKUP($A82,power_rankings,2,0)+VLOOKUP(C$70,power_rankings,2,0))*(C14+HLOOKUP($A82,table_wins_h2h,MATCH(C$70,$A$2:$A$32,0),0)),0)</f>
        <v>1.6543537013923473</v>
      </c>
      <c r="D82">
        <f>IFERROR(VLOOKUP($A82,power_rankings,2,0)/(VLOOKUP($A82,power_rankings,2,0)+VLOOKUP(D$70,power_rankings,2,0))*(D14+HLOOKUP($A82,table_wins_h2h,MATCH(D$70,$A$2:$A$32,0),0)),0)</f>
        <v>1.976341637455534</v>
      </c>
      <c r="E82">
        <f>IFERROR(VLOOKUP($A82,power_rankings,2,0)/(VLOOKUP($A82,power_rankings,2,0)+VLOOKUP(E$70,power_rankings,2,0))*(E14+HLOOKUP($A82,table_wins_h2h,MATCH(E$70,$A$2:$A$32,0),0)),0)</f>
        <v>2.2803598268745811</v>
      </c>
      <c r="F82">
        <f>IFERROR(VLOOKUP($A82,power_rankings,2,0)/(VLOOKUP($A82,power_rankings,2,0)+VLOOKUP(F$70,power_rankings,2,0))*(F14+HLOOKUP($A82,table_wins_h2h,MATCH(F$70,$A$2:$A$32,0),0)),0)</f>
        <v>1.4701637395108722</v>
      </c>
      <c r="G82">
        <f>IFERROR(VLOOKUP($A82,power_rankings,2,0)/(VLOOKUP($A82,power_rankings,2,0)+VLOOKUP(G$70,power_rankings,2,0))*(G14+HLOOKUP($A82,table_wins_h2h,MATCH(G$70,$A$2:$A$32,0),0)),0)</f>
        <v>1.2690251606678788</v>
      </c>
      <c r="H82">
        <f>IFERROR(VLOOKUP($A82,power_rankings,2,0)/(VLOOKUP($A82,power_rankings,2,0)+VLOOKUP(H$70,power_rankings,2,0))*(H14+HLOOKUP($A82,table_wins_h2h,MATCH(H$70,$A$2:$A$32,0),0)),0)</f>
        <v>0.69941458858310501</v>
      </c>
      <c r="I82">
        <f>IFERROR(VLOOKUP($A82,power_rankings,2,0)/(VLOOKUP($A82,power_rankings,2,0)+VLOOKUP(I$70,power_rankings,2,0))*(I14+HLOOKUP($A82,table_wins_h2h,MATCH(I$70,$A$2:$A$32,0),0)),0)</f>
        <v>1.2241779994143696</v>
      </c>
      <c r="J82">
        <f>IFERROR(VLOOKUP($A82,power_rankings,2,0)/(VLOOKUP($A82,power_rankings,2,0)+VLOOKUP(J$70,power_rankings,2,0))*(J14+HLOOKUP($A82,table_wins_h2h,MATCH(J$70,$A$2:$A$32,0),0)),0)</f>
        <v>2.3863079235965601</v>
      </c>
      <c r="K82">
        <f>IFERROR(VLOOKUP($A82,power_rankings,2,0)/(VLOOKUP($A82,power_rankings,2,0)+VLOOKUP(K$70,power_rankings,2,0))*(K14+HLOOKUP($A82,table_wins_h2h,MATCH(K$70,$A$2:$A$32,0),0)),0)</f>
        <v>0.26320378699213021</v>
      </c>
      <c r="L82">
        <f>IFERROR(VLOOKUP($A82,power_rankings,2,0)/(VLOOKUP($A82,power_rankings,2,0)+VLOOKUP(L$70,power_rankings,2,0))*(L14+HLOOKUP($A82,table_wins_h2h,MATCH(L$70,$A$2:$A$32,0),0)),0)</f>
        <v>0.55670969004400295</v>
      </c>
      <c r="M82">
        <f>IFERROR(VLOOKUP($A82,power_rankings,2,0)/(VLOOKUP($A82,power_rankings,2,0)+VLOOKUP(M$70,power_rankings,2,0))*(M14+HLOOKUP($A82,table_wins_h2h,MATCH(M$70,$A$2:$A$32,0),0)),0)</f>
        <v>0</v>
      </c>
      <c r="N82">
        <f>IFERROR(VLOOKUP($A82,power_rankings,2,0)/(VLOOKUP($A82,power_rankings,2,0)+VLOOKUP(N$70,power_rankings,2,0))*(N14+HLOOKUP($A82,table_wins_h2h,MATCH(N$70,$A$2:$A$32,0),0)),0)</f>
        <v>0.5149345005911784</v>
      </c>
      <c r="O82">
        <f>IFERROR(VLOOKUP($A82,power_rankings,2,0)/(VLOOKUP($A82,power_rankings,2,0)+VLOOKUP(O$70,power_rankings,2,0))*(O14+HLOOKUP($A82,table_wins_h2h,MATCH(O$70,$A$2:$A$32,0),0)),0)</f>
        <v>1.5338185625527125</v>
      </c>
      <c r="P82">
        <f>IFERROR(VLOOKUP($A82,power_rankings,2,0)/(VLOOKUP($A82,power_rankings,2,0)+VLOOKUP(P$70,power_rankings,2,0))*(P14+HLOOKUP($A82,table_wins_h2h,MATCH(P$70,$A$2:$A$32,0),0)),0)</f>
        <v>0.52471207574622492</v>
      </c>
      <c r="Q82">
        <f>IFERROR(VLOOKUP($A82,power_rankings,2,0)/(VLOOKUP($A82,power_rankings,2,0)+VLOOKUP(Q$70,power_rankings,2,0))*(Q14+HLOOKUP($A82,table_wins_h2h,MATCH(Q$70,$A$2:$A$32,0),0)),0)</f>
        <v>2.125567713431626</v>
      </c>
      <c r="R82">
        <f>IFERROR(VLOOKUP($A82,power_rankings,2,0)/(VLOOKUP($A82,power_rankings,2,0)+VLOOKUP(R$70,power_rankings,2,0))*(R14+HLOOKUP($A82,table_wins_h2h,MATCH(R$70,$A$2:$A$32,0),0)),0)</f>
        <v>1.8875658982996253</v>
      </c>
      <c r="S82">
        <f>IFERROR(VLOOKUP($A82,power_rankings,2,0)/(VLOOKUP($A82,power_rankings,2,0)+VLOOKUP(S$70,power_rankings,2,0))*(S14+HLOOKUP($A82,table_wins_h2h,MATCH(S$70,$A$2:$A$32,0),0)),0)</f>
        <v>1.642669917888242</v>
      </c>
      <c r="T82">
        <f>IFERROR(VLOOKUP($A82,power_rankings,2,0)/(VLOOKUP($A82,power_rankings,2,0)+VLOOKUP(T$70,power_rankings,2,0))*(T14+HLOOKUP($A82,table_wins_h2h,MATCH(T$70,$A$2:$A$32,0),0)),0)</f>
        <v>0.77655080931148801</v>
      </c>
      <c r="U82">
        <f>IFERROR(VLOOKUP($A82,power_rankings,2,0)/(VLOOKUP($A82,power_rankings,2,0)+VLOOKUP(U$70,power_rankings,2,0))*(U14+HLOOKUP($A82,table_wins_h2h,MATCH(U$70,$A$2:$A$32,0),0)),0)</f>
        <v>3.222054463303508</v>
      </c>
      <c r="V82">
        <f>IFERROR(VLOOKUP($A82,power_rankings,2,0)/(VLOOKUP($A82,power_rankings,2,0)+VLOOKUP(V$70,power_rankings,2,0))*(V14+HLOOKUP($A82,table_wins_h2h,MATCH(V$70,$A$2:$A$32,0),0)),0)</f>
        <v>0.8610335283561531</v>
      </c>
      <c r="W82">
        <f>IFERROR(VLOOKUP($A82,power_rankings,2,0)/(VLOOKUP($A82,power_rankings,2,0)+VLOOKUP(W$70,power_rankings,2,0))*(W14+HLOOKUP($A82,table_wins_h2h,MATCH(W$70,$A$2:$A$32,0),0)),0)</f>
        <v>2.1242345727954595</v>
      </c>
      <c r="X82">
        <f>IFERROR(VLOOKUP($A82,power_rankings,2,0)/(VLOOKUP($A82,power_rankings,2,0)+VLOOKUP(X$70,power_rankings,2,0))*(X14+HLOOKUP($A82,table_wins_h2h,MATCH(X$70,$A$2:$A$32,0),0)),0)</f>
        <v>3.1597742365050188</v>
      </c>
      <c r="Y82">
        <f>IFERROR(VLOOKUP($A82,power_rankings,2,0)/(VLOOKUP($A82,power_rankings,2,0)+VLOOKUP(Y$70,power_rankings,2,0))*(Y14+HLOOKUP($A82,table_wins_h2h,MATCH(Y$70,$A$2:$A$32,0),0)),0)</f>
        <v>0.51084181700511089</v>
      </c>
      <c r="Z82">
        <f>IFERROR(VLOOKUP($A82,power_rankings,2,0)/(VLOOKUP($A82,power_rankings,2,0)+VLOOKUP(Z$70,power_rankings,2,0))*(Z14+HLOOKUP($A82,table_wins_h2h,MATCH(Z$70,$A$2:$A$32,0),0)),0)</f>
        <v>0.65243876980560367</v>
      </c>
      <c r="AA82">
        <f>IFERROR(VLOOKUP($A82,power_rankings,2,0)/(VLOOKUP($A82,power_rankings,2,0)+VLOOKUP(AA$70,power_rankings,2,0))*(AA14+HLOOKUP($A82,table_wins_h2h,MATCH(AA$70,$A$2:$A$32,0),0)),0)</f>
        <v>0.58256626096449426</v>
      </c>
      <c r="AB82">
        <f>IFERROR(VLOOKUP($A82,power_rankings,2,0)/(VLOOKUP($A82,power_rankings,2,0)+VLOOKUP(AB$70,power_rankings,2,0))*(AB14+HLOOKUP($A82,table_wins_h2h,MATCH(AB$70,$A$2:$A$32,0),0)),0)</f>
        <v>1.2168568720749584</v>
      </c>
      <c r="AC82">
        <f>IFERROR(VLOOKUP($A82,power_rankings,2,0)/(VLOOKUP($A82,power_rankings,2,0)+VLOOKUP(AC$70,power_rankings,2,0))*(AC14+HLOOKUP($A82,table_wins_h2h,MATCH(AC$70,$A$2:$A$32,0),0)),0)</f>
        <v>1.2193134438148001</v>
      </c>
      <c r="AD82">
        <f>IFERROR(VLOOKUP($A82,power_rankings,2,0)/(VLOOKUP($A82,power_rankings,2,0)+VLOOKUP(AD$70,power_rankings,2,0))*(AD14+HLOOKUP($A82,table_wins_h2h,MATCH(AD$70,$A$2:$A$32,0),0)),0)</f>
        <v>0.9907799201625489</v>
      </c>
      <c r="AE82">
        <f>IFERROR(VLOOKUP($A82,power_rankings,2,0)/(VLOOKUP($A82,power_rankings,2,0)+VLOOKUP(AE$70,power_rankings,2,0))*(AE14+HLOOKUP($A82,table_wins_h2h,MATCH(AE$70,$A$2:$A$32,0),0)),0)</f>
        <v>1.732082330377847</v>
      </c>
      <c r="AG82">
        <f t="shared" si="0"/>
        <v>39.76</v>
      </c>
      <c r="AH82">
        <f>VLOOKUP(A82,d_win_totals!$C$2:$E$31,3,0)</f>
        <v>45</v>
      </c>
      <c r="AI82">
        <f t="shared" si="1"/>
        <v>5.240000000000002</v>
      </c>
    </row>
    <row r="83" spans="1:35" x14ac:dyDescent="0.25">
      <c r="A83" t="s">
        <v>41</v>
      </c>
      <c r="B83">
        <f>IFERROR(VLOOKUP($A83,power_rankings,2,0)/(VLOOKUP($A83,power_rankings,2,0)+VLOOKUP(B$70,power_rankings,2,0))*(B15+HLOOKUP($A83,table_wins_h2h,MATCH(B$70,$A$2:$A$32,0),0)),0)</f>
        <v>0.94004391168934809</v>
      </c>
      <c r="C83">
        <f>IFERROR(VLOOKUP($A83,power_rankings,2,0)/(VLOOKUP($A83,power_rankings,2,0)+VLOOKUP(C$70,power_rankings,2,0))*(C15+HLOOKUP($A83,table_wins_h2h,MATCH(C$70,$A$2:$A$32,0),0)),0)</f>
        <v>1.5600151273055631</v>
      </c>
      <c r="D83">
        <f>IFERROR(VLOOKUP($A83,power_rankings,2,0)/(VLOOKUP($A83,power_rankings,2,0)+VLOOKUP(D$70,power_rankings,2,0))*(D15+HLOOKUP($A83,table_wins_h2h,MATCH(D$70,$A$2:$A$32,0),0)),0)</f>
        <v>1.4759673845870993</v>
      </c>
      <c r="E83">
        <f>IFERROR(VLOOKUP($A83,power_rankings,2,0)/(VLOOKUP($A83,power_rankings,2,0)+VLOOKUP(E$70,power_rankings,2,0))*(E15+HLOOKUP($A83,table_wins_h2h,MATCH(E$70,$A$2:$A$32,0),0)),0)</f>
        <v>1.5854377314318449</v>
      </c>
      <c r="F83">
        <f>IFERROR(VLOOKUP($A83,power_rankings,2,0)/(VLOOKUP($A83,power_rankings,2,0)+VLOOKUP(F$70,power_rankings,2,0))*(F15+HLOOKUP($A83,table_wins_h2h,MATCH(F$70,$A$2:$A$32,0),0)),0)</f>
        <v>1.2526081897311443</v>
      </c>
      <c r="G83">
        <f>IFERROR(VLOOKUP($A83,power_rankings,2,0)/(VLOOKUP($A83,power_rankings,2,0)+VLOOKUP(G$70,power_rankings,2,0))*(G15+HLOOKUP($A83,table_wins_h2h,MATCH(G$70,$A$2:$A$32,0),0)),0)</f>
        <v>1.1453457501479753</v>
      </c>
      <c r="H83">
        <f>IFERROR(VLOOKUP($A83,power_rankings,2,0)/(VLOOKUP($A83,power_rankings,2,0)+VLOOKUP(H$70,power_rankings,2,0))*(H15+HLOOKUP($A83,table_wins_h2h,MATCH(H$70,$A$2:$A$32,0),0)),0)</f>
        <v>1.8239537606379281</v>
      </c>
      <c r="I83">
        <f>IFERROR(VLOOKUP($A83,power_rankings,2,0)/(VLOOKUP($A83,power_rankings,2,0)+VLOOKUP(I$70,power_rankings,2,0))*(I15+HLOOKUP($A83,table_wins_h2h,MATCH(I$70,$A$2:$A$32,0),0)),0)</f>
        <v>3.2793673010238518</v>
      </c>
      <c r="J83">
        <f>IFERROR(VLOOKUP($A83,power_rankings,2,0)/(VLOOKUP($A83,power_rankings,2,0)+VLOOKUP(J$70,power_rankings,2,0))*(J15+HLOOKUP($A83,table_wins_h2h,MATCH(J$70,$A$2:$A$32,0),0)),0)</f>
        <v>1.62011906546296</v>
      </c>
      <c r="K83">
        <f>IFERROR(VLOOKUP($A83,power_rankings,2,0)/(VLOOKUP($A83,power_rankings,2,0)+VLOOKUP(K$70,power_rankings,2,0))*(K15+HLOOKUP($A83,table_wins_h2h,MATCH(K$70,$A$2:$A$32,0),0)),0)</f>
        <v>1.216531189212146</v>
      </c>
      <c r="L83">
        <f>IFERROR(VLOOKUP($A83,power_rankings,2,0)/(VLOOKUP($A83,power_rankings,2,0)+VLOOKUP(L$70,power_rankings,2,0))*(L15+HLOOKUP($A83,table_wins_h2h,MATCH(L$70,$A$2:$A$32,0),0)),0)</f>
        <v>2.1064369711207163</v>
      </c>
      <c r="M83">
        <f>IFERROR(VLOOKUP($A83,power_rankings,2,0)/(VLOOKUP($A83,power_rankings,2,0)+VLOOKUP(M$70,power_rankings,2,0))*(M15+HLOOKUP($A83,table_wins_h2h,MATCH(M$70,$A$2:$A$32,0),0)),0)</f>
        <v>1.4850654994088215</v>
      </c>
      <c r="N83">
        <f>IFERROR(VLOOKUP($A83,power_rankings,2,0)/(VLOOKUP($A83,power_rankings,2,0)+VLOOKUP(N$70,power_rankings,2,0))*(N15+HLOOKUP($A83,table_wins_h2h,MATCH(N$70,$A$2:$A$32,0),0)),0)</f>
        <v>0</v>
      </c>
      <c r="O83">
        <f>IFERROR(VLOOKUP($A83,power_rankings,2,0)/(VLOOKUP($A83,power_rankings,2,0)+VLOOKUP(O$70,power_rankings,2,0))*(O15+HLOOKUP($A83,table_wins_h2h,MATCH(O$70,$A$2:$A$32,0),0)),0)</f>
        <v>3.6186418989234745</v>
      </c>
      <c r="P83">
        <f>IFERROR(VLOOKUP($A83,power_rankings,2,0)/(VLOOKUP($A83,power_rankings,2,0)+VLOOKUP(P$70,power_rankings,2,0))*(P15+HLOOKUP($A83,table_wins_h2h,MATCH(P$70,$A$2:$A$32,0),0)),0)</f>
        <v>2.0254143127141169</v>
      </c>
      <c r="Q83">
        <f>IFERROR(VLOOKUP($A83,power_rankings,2,0)/(VLOOKUP($A83,power_rankings,2,0)+VLOOKUP(Q$70,power_rankings,2,0))*(Q15+HLOOKUP($A83,table_wins_h2h,MATCH(Q$70,$A$2:$A$32,0),0)),0)</f>
        <v>1.5316580902834982</v>
      </c>
      <c r="R83">
        <f>IFERROR(VLOOKUP($A83,power_rankings,2,0)/(VLOOKUP($A83,power_rankings,2,0)+VLOOKUP(R$70,power_rankings,2,0))*(R15+HLOOKUP($A83,table_wins_h2h,MATCH(R$70,$A$2:$A$32,0),0)),0)</f>
        <v>1.440870525694079</v>
      </c>
      <c r="S83">
        <f>IFERROR(VLOOKUP($A83,power_rankings,2,0)/(VLOOKUP($A83,power_rankings,2,0)+VLOOKUP(S$70,power_rankings,2,0))*(S15+HLOOKUP($A83,table_wins_h2h,MATCH(S$70,$A$2:$A$32,0),0)),0)</f>
        <v>2.7895901540599479</v>
      </c>
      <c r="T83">
        <f>IFERROR(VLOOKUP($A83,power_rankings,2,0)/(VLOOKUP($A83,power_rankings,2,0)+VLOOKUP(T$70,power_rankings,2,0))*(T15+HLOOKUP($A83,table_wins_h2h,MATCH(T$70,$A$2:$A$32,0),0)),0)</f>
        <v>1.9401289350699749</v>
      </c>
      <c r="U83">
        <f>IFERROR(VLOOKUP($A83,power_rankings,2,0)/(VLOOKUP($A83,power_rankings,2,0)+VLOOKUP(U$70,power_rankings,2,0))*(U15+HLOOKUP($A83,table_wins_h2h,MATCH(U$70,$A$2:$A$32,0),0)),0)</f>
        <v>1.8454972872399411</v>
      </c>
      <c r="V83">
        <f>IFERROR(VLOOKUP($A83,power_rankings,2,0)/(VLOOKUP($A83,power_rankings,2,0)+VLOOKUP(V$70,power_rankings,2,0))*(V15+HLOOKUP($A83,table_wins_h2h,MATCH(V$70,$A$2:$A$32,0),0)),0)</f>
        <v>2.0566726426124795</v>
      </c>
      <c r="W83">
        <f>IFERROR(VLOOKUP($A83,power_rankings,2,0)/(VLOOKUP($A83,power_rankings,2,0)+VLOOKUP(W$70,power_rankings,2,0))*(W15+HLOOKUP($A83,table_wins_h2h,MATCH(W$70,$A$2:$A$32,0),0)),0)</f>
        <v>1.7498540215373011</v>
      </c>
      <c r="X83">
        <f>IFERROR(VLOOKUP($A83,power_rankings,2,0)/(VLOOKUP($A83,power_rankings,2,0)+VLOOKUP(X$70,power_rankings,2,0))*(X15+HLOOKUP($A83,table_wins_h2h,MATCH(X$70,$A$2:$A$32,0),0)),0)</f>
        <v>1.8311609711966483</v>
      </c>
      <c r="Y83">
        <f>IFERROR(VLOOKUP($A83,power_rankings,2,0)/(VLOOKUP($A83,power_rankings,2,0)+VLOOKUP(Y$70,power_rankings,2,0))*(Y15+HLOOKUP($A83,table_wins_h2h,MATCH(Y$70,$A$2:$A$32,0),0)),0)</f>
        <v>3.0029492637724067</v>
      </c>
      <c r="Z83">
        <f>IFERROR(VLOOKUP($A83,power_rankings,2,0)/(VLOOKUP($A83,power_rankings,2,0)+VLOOKUP(Z$70,power_rankings,2,0))*(Z15+HLOOKUP($A83,table_wins_h2h,MATCH(Z$70,$A$2:$A$32,0),0)),0)</f>
        <v>2.3307736565112491</v>
      </c>
      <c r="AA83">
        <f>IFERROR(VLOOKUP($A83,power_rankings,2,0)/(VLOOKUP($A83,power_rankings,2,0)+VLOOKUP(AA$70,power_rankings,2,0))*(AA15+HLOOKUP($A83,table_wins_h2h,MATCH(AA$70,$A$2:$A$32,0),0)),0)</f>
        <v>2.1696057522649754</v>
      </c>
      <c r="AB83">
        <f>IFERROR(VLOOKUP($A83,power_rankings,2,0)/(VLOOKUP($A83,power_rankings,2,0)+VLOOKUP(AB$70,power_rankings,2,0))*(AB15+HLOOKUP($A83,table_wins_h2h,MATCH(AB$70,$A$2:$A$32,0),0)),0)</f>
        <v>3.2702295655822162</v>
      </c>
      <c r="AC83">
        <f>IFERROR(VLOOKUP($A83,power_rankings,2,0)/(VLOOKUP($A83,power_rankings,2,0)+VLOOKUP(AC$70,power_rankings,2,0))*(AC15+HLOOKUP($A83,table_wins_h2h,MATCH(AC$70,$A$2:$A$32,0),0)),0)</f>
        <v>1.3276842321887585</v>
      </c>
      <c r="AD83">
        <f>IFERROR(VLOOKUP($A83,power_rankings,2,0)/(VLOOKUP($A83,power_rankings,2,0)+VLOOKUP(AD$70,power_rankings,2,0))*(AD15+HLOOKUP($A83,table_wins_h2h,MATCH(AD$70,$A$2:$A$32,0),0)),0)</f>
        <v>2.9559662477462791</v>
      </c>
      <c r="AE83">
        <f>IFERROR(VLOOKUP($A83,power_rankings,2,0)/(VLOOKUP($A83,power_rankings,2,0)+VLOOKUP(AE$70,power_rankings,2,0))*(AE15+HLOOKUP($A83,table_wins_h2h,MATCH(AE$70,$A$2:$A$32,0),0)),0)</f>
        <v>1.3755066387989989</v>
      </c>
      <c r="AG83">
        <f t="shared" si="0"/>
        <v>56.75</v>
      </c>
      <c r="AH83">
        <f>VLOOKUP(A83,d_win_totals!$C$2:$E$31,3,0)</f>
        <v>53</v>
      </c>
      <c r="AI83">
        <f t="shared" si="1"/>
        <v>-3.75</v>
      </c>
    </row>
    <row r="84" spans="1:35" x14ac:dyDescent="0.25">
      <c r="A84" t="s">
        <v>17</v>
      </c>
      <c r="B84">
        <f>IFERROR(VLOOKUP($A84,power_rankings,2,0)/(VLOOKUP($A84,power_rankings,2,0)+VLOOKUP(B$70,power_rankings,2,0))*(B16+HLOOKUP($A84,table_wins_h2h,MATCH(B$70,$A$2:$A$32,0),0)),0)</f>
        <v>0.17095147912610911</v>
      </c>
      <c r="C84">
        <f>IFERROR(VLOOKUP($A84,power_rankings,2,0)/(VLOOKUP($A84,power_rankings,2,0)+VLOOKUP(C$70,power_rankings,2,0))*(C16+HLOOKUP($A84,table_wins_h2h,MATCH(C$70,$A$2:$A$32,0),0)),0)</f>
        <v>0.54403730549496265</v>
      </c>
      <c r="D84">
        <f>IFERROR(VLOOKUP($A84,power_rankings,2,0)/(VLOOKUP($A84,power_rankings,2,0)+VLOOKUP(D$70,power_rankings,2,0))*(D16+HLOOKUP($A84,table_wins_h2h,MATCH(D$70,$A$2:$A$32,0),0)),0)</f>
        <v>0.45777620238193384</v>
      </c>
      <c r="E84">
        <f>IFERROR(VLOOKUP($A84,power_rankings,2,0)/(VLOOKUP($A84,power_rankings,2,0)+VLOOKUP(E$70,power_rankings,2,0))*(E16+HLOOKUP($A84,table_wins_h2h,MATCH(E$70,$A$2:$A$32,0),0)),0)</f>
        <v>0.57452260517084242</v>
      </c>
      <c r="F84">
        <f>IFERROR(VLOOKUP($A84,power_rankings,2,0)/(VLOOKUP($A84,power_rankings,2,0)+VLOOKUP(F$70,power_rankings,2,0))*(F16+HLOOKUP($A84,table_wins_h2h,MATCH(F$70,$A$2:$A$32,0),0)),0)</f>
        <v>0.30022433323401049</v>
      </c>
      <c r="G84">
        <f>IFERROR(VLOOKUP($A84,power_rankings,2,0)/(VLOOKUP($A84,power_rankings,2,0)+VLOOKUP(G$70,power_rankings,2,0))*(G16+HLOOKUP($A84,table_wins_h2h,MATCH(G$70,$A$2:$A$32,0),0)),0)</f>
        <v>0.24750816201092157</v>
      </c>
      <c r="H84">
        <f>IFERROR(VLOOKUP($A84,power_rankings,2,0)/(VLOOKUP($A84,power_rankings,2,0)+VLOOKUP(H$70,power_rankings,2,0))*(H16+HLOOKUP($A84,table_wins_h2h,MATCH(H$70,$A$2:$A$32,0),0)),0)</f>
        <v>0.56194033386483</v>
      </c>
      <c r="I84">
        <f>IFERROR(VLOOKUP($A84,power_rankings,2,0)/(VLOOKUP($A84,power_rankings,2,0)+VLOOKUP(I$70,power_rankings,2,0))*(I16+HLOOKUP($A84,table_wins_h2h,MATCH(I$70,$A$2:$A$32,0),0)),0)</f>
        <v>1.2965349451152022</v>
      </c>
      <c r="J84">
        <f>IFERROR(VLOOKUP($A84,power_rankings,2,0)/(VLOOKUP($A84,power_rankings,2,0)+VLOOKUP(J$70,power_rankings,2,0))*(J16+HLOOKUP($A84,table_wins_h2h,MATCH(J$70,$A$2:$A$32,0),0)),0)</f>
        <v>0.62017160901842527</v>
      </c>
      <c r="K84">
        <f>IFERROR(VLOOKUP($A84,power_rankings,2,0)/(VLOOKUP($A84,power_rankings,2,0)+VLOOKUP(K$70,power_rankings,2,0))*(K16+HLOOKUP($A84,table_wins_h2h,MATCH(K$70,$A$2:$A$32,0),0)),0)</f>
        <v>0.17612768992164515</v>
      </c>
      <c r="L84">
        <f>IFERROR(VLOOKUP($A84,power_rankings,2,0)/(VLOOKUP($A84,power_rankings,2,0)+VLOOKUP(L$70,power_rankings,2,0))*(L16+HLOOKUP($A84,table_wins_h2h,MATCH(L$70,$A$2:$A$32,0),0)),0)</f>
        <v>0.31479869394164434</v>
      </c>
      <c r="M84">
        <f>IFERROR(VLOOKUP($A84,power_rankings,2,0)/(VLOOKUP($A84,power_rankings,2,0)+VLOOKUP(M$70,power_rankings,2,0))*(M16+HLOOKUP($A84,table_wins_h2h,MATCH(M$70,$A$2:$A$32,0),0)),0)</f>
        <v>0.46618143744728757</v>
      </c>
      <c r="N84">
        <f>IFERROR(VLOOKUP($A84,power_rankings,2,0)/(VLOOKUP($A84,power_rankings,2,0)+VLOOKUP(N$70,power_rankings,2,0))*(N16+HLOOKUP($A84,table_wins_h2h,MATCH(N$70,$A$2:$A$32,0),0)),0)</f>
        <v>0.38135810107652579</v>
      </c>
      <c r="O84">
        <f>IFERROR(VLOOKUP($A84,power_rankings,2,0)/(VLOOKUP($A84,power_rankings,2,0)+VLOOKUP(O$70,power_rankings,2,0))*(O16+HLOOKUP($A84,table_wins_h2h,MATCH(O$70,$A$2:$A$32,0),0)),0)</f>
        <v>0</v>
      </c>
      <c r="P84">
        <f>IFERROR(VLOOKUP($A84,power_rankings,2,0)/(VLOOKUP($A84,power_rankings,2,0)+VLOOKUP(P$70,power_rankings,2,0))*(P16+HLOOKUP($A84,table_wins_h2h,MATCH(P$70,$A$2:$A$32,0),0)),0)</f>
        <v>0.39021713662509733</v>
      </c>
      <c r="Q84">
        <f>IFERROR(VLOOKUP($A84,power_rankings,2,0)/(VLOOKUP($A84,power_rankings,2,0)+VLOOKUP(Q$70,power_rankings,2,0))*(Q16+HLOOKUP($A84,table_wins_h2h,MATCH(Q$70,$A$2:$A$32,0),0)),0)</f>
        <v>0.51263103148809586</v>
      </c>
      <c r="R84">
        <f>IFERROR(VLOOKUP($A84,power_rankings,2,0)/(VLOOKUP($A84,power_rankings,2,0)+VLOOKUP(R$70,power_rankings,2,0))*(R16+HLOOKUP($A84,table_wins_h2h,MATCH(R$70,$A$2:$A$32,0),0)),0)</f>
        <v>0.42715528758546079</v>
      </c>
      <c r="S84">
        <f>IFERROR(VLOOKUP($A84,power_rankings,2,0)/(VLOOKUP($A84,power_rankings,2,0)+VLOOKUP(S$70,power_rankings,2,0))*(S16+HLOOKUP($A84,table_wins_h2h,MATCH(S$70,$A$2:$A$32,0),0)),0)</f>
        <v>2.3313936385046063</v>
      </c>
      <c r="T84">
        <f>IFERROR(VLOOKUP($A84,power_rankings,2,0)/(VLOOKUP($A84,power_rankings,2,0)+VLOOKUP(T$70,power_rankings,2,0))*(T16+HLOOKUP($A84,table_wins_h2h,MATCH(T$70,$A$2:$A$32,0),0)),0)</f>
        <v>0.64686788602392786</v>
      </c>
      <c r="U84">
        <f>IFERROR(VLOOKUP($A84,power_rankings,2,0)/(VLOOKUP($A84,power_rankings,2,0)+VLOOKUP(U$70,power_rankings,2,0))*(U16+HLOOKUP($A84,table_wins_h2h,MATCH(U$70,$A$2:$A$32,0),0)),0)</f>
        <v>1.1145831276781963</v>
      </c>
      <c r="V84">
        <f>IFERROR(VLOOKUP($A84,power_rankings,2,0)/(VLOOKUP($A84,power_rankings,2,0)+VLOOKUP(V$70,power_rankings,2,0))*(V16+HLOOKUP($A84,table_wins_h2h,MATCH(V$70,$A$2:$A$32,0),0)),0)</f>
        <v>0.56051607405234649</v>
      </c>
      <c r="W84">
        <f>IFERROR(VLOOKUP($A84,power_rankings,2,0)/(VLOOKUP($A84,power_rankings,2,0)+VLOOKUP(W$70,power_rankings,2,0))*(W16+HLOOKUP($A84,table_wins_h2h,MATCH(W$70,$A$2:$A$32,0),0)),0)</f>
        <v>0.84873371028068378</v>
      </c>
      <c r="X84">
        <f>IFERROR(VLOOKUP($A84,power_rankings,2,0)/(VLOOKUP($A84,power_rankings,2,0)+VLOOKUP(X$70,power_rankings,2,0))*(X16+HLOOKUP($A84,table_wins_h2h,MATCH(X$70,$A$2:$A$32,0),0)),0)</f>
        <v>1.066722943704417</v>
      </c>
      <c r="Y84">
        <f>IFERROR(VLOOKUP($A84,power_rankings,2,0)/(VLOOKUP($A84,power_rankings,2,0)+VLOOKUP(Y$70,power_rankings,2,0))*(Y16+HLOOKUP($A84,table_wins_h2h,MATCH(Y$70,$A$2:$A$32,0),0)),0)</f>
        <v>0.96373524748477357</v>
      </c>
      <c r="Z84">
        <f>IFERROR(VLOOKUP($A84,power_rankings,2,0)/(VLOOKUP($A84,power_rankings,2,0)+VLOOKUP(Z$70,power_rankings,2,0))*(Z16+HLOOKUP($A84,table_wins_h2h,MATCH(Z$70,$A$2:$A$32,0),0)),0)</f>
        <v>0.51311000833042586</v>
      </c>
      <c r="AA84">
        <f>IFERROR(VLOOKUP($A84,power_rankings,2,0)/(VLOOKUP($A84,power_rankings,2,0)+VLOOKUP(AA$70,power_rankings,2,0))*(AA16+HLOOKUP($A84,table_wins_h2h,MATCH(AA$70,$A$2:$A$32,0),0)),0)</f>
        <v>0.33313794503781125</v>
      </c>
      <c r="AB84">
        <f>IFERROR(VLOOKUP($A84,power_rankings,2,0)/(VLOOKUP($A84,power_rankings,2,0)+VLOOKUP(AB$70,power_rankings,2,0))*(AB16+HLOOKUP($A84,table_wins_h2h,MATCH(AB$70,$A$2:$A$32,0),0)),0)</f>
        <v>1.2830849371419917</v>
      </c>
      <c r="AC84">
        <f>IFERROR(VLOOKUP($A84,power_rankings,2,0)/(VLOOKUP($A84,power_rankings,2,0)+VLOOKUP(AC$70,power_rankings,2,0))*(AC16+HLOOKUP($A84,table_wins_h2h,MATCH(AC$70,$A$2:$A$32,0),0)),0)</f>
        <v>0.34453206220509075</v>
      </c>
      <c r="AD84">
        <f>IFERROR(VLOOKUP($A84,power_rankings,2,0)/(VLOOKUP($A84,power_rankings,2,0)+VLOOKUP(AD$70,power_rankings,2,0))*(AD16+HLOOKUP($A84,table_wins_h2h,MATCH(AD$70,$A$2:$A$32,0),0)),0)</f>
        <v>0.6894315326357322</v>
      </c>
      <c r="AE84">
        <f>IFERROR(VLOOKUP($A84,power_rankings,2,0)/(VLOOKUP($A84,power_rankings,2,0)+VLOOKUP(AE$70,power_rankings,2,0))*(AE16+HLOOKUP($A84,table_wins_h2h,MATCH(AE$70,$A$2:$A$32,0),0)),0)</f>
        <v>0.37678829273655673</v>
      </c>
      <c r="AG84">
        <f t="shared" si="0"/>
        <v>18.510000000000002</v>
      </c>
      <c r="AH84">
        <f>VLOOKUP(A84,d_win_totals!$C$2:$E$31,3,0)</f>
        <v>17</v>
      </c>
      <c r="AI84">
        <f t="shared" si="1"/>
        <v>-1.5100000000000016</v>
      </c>
    </row>
    <row r="85" spans="1:35" x14ac:dyDescent="0.25">
      <c r="A85" t="s">
        <v>28</v>
      </c>
      <c r="B85">
        <f>IFERROR(VLOOKUP($A85,power_rankings,2,0)/(VLOOKUP($A85,power_rankings,2,0)+VLOOKUP(B$70,power_rankings,2,0))*(B17+HLOOKUP($A85,table_wins_h2h,MATCH(B$70,$A$2:$A$32,0),0)),0)</f>
        <v>0.92739207323428685</v>
      </c>
      <c r="C85">
        <f>IFERROR(VLOOKUP($A85,power_rankings,2,0)/(VLOOKUP($A85,power_rankings,2,0)+VLOOKUP(C$70,power_rankings,2,0))*(C17+HLOOKUP($A85,table_wins_h2h,MATCH(C$70,$A$2:$A$32,0),0)),0)</f>
        <v>1.5512306382982424</v>
      </c>
      <c r="D85">
        <f>IFERROR(VLOOKUP($A85,power_rankings,2,0)/(VLOOKUP($A85,power_rankings,2,0)+VLOOKUP(D$70,power_rankings,2,0))*(D17+HLOOKUP($A85,table_wins_h2h,MATCH(D$70,$A$2:$A$32,0),0)),0)</f>
        <v>1.4660791644932867</v>
      </c>
      <c r="E85">
        <f>IFERROR(VLOOKUP($A85,power_rankings,2,0)/(VLOOKUP($A85,power_rankings,2,0)+VLOOKUP(E$70,power_rankings,2,0))*(E17+HLOOKUP($A85,table_wins_h2h,MATCH(E$70,$A$2:$A$32,0),0)),0)</f>
        <v>1.5770231941742103</v>
      </c>
      <c r="F85">
        <f>IFERROR(VLOOKUP($A85,power_rankings,2,0)/(VLOOKUP($A85,power_rankings,2,0)+VLOOKUP(F$70,power_rankings,2,0))*(F17+HLOOKUP($A85,table_wins_h2h,MATCH(F$70,$A$2:$A$32,0),0)),0)</f>
        <v>1.2406735791405212</v>
      </c>
      <c r="G85">
        <f>IFERROR(VLOOKUP($A85,power_rankings,2,0)/(VLOOKUP($A85,power_rankings,2,0)+VLOOKUP(G$70,power_rankings,2,0))*(G17+HLOOKUP($A85,table_wins_h2h,MATCH(G$70,$A$2:$A$32,0),0)),0)</f>
        <v>1.1328840214324891</v>
      </c>
      <c r="H85">
        <f>IFERROR(VLOOKUP($A85,power_rankings,2,0)/(VLOOKUP($A85,power_rankings,2,0)+VLOOKUP(H$70,power_rankings,2,0))*(H17+HLOOKUP($A85,table_wins_h2h,MATCH(H$70,$A$2:$A$32,0),0)),0)</f>
        <v>2.4076427508411169</v>
      </c>
      <c r="I85">
        <f>IFERROR(VLOOKUP($A85,power_rankings,2,0)/(VLOOKUP($A85,power_rankings,2,0)+VLOOKUP(I$70,power_rankings,2,0))*(I17+HLOOKUP($A85,table_wins_h2h,MATCH(I$70,$A$2:$A$32,0),0)),0)</f>
        <v>2.4481720144999852</v>
      </c>
      <c r="J85">
        <f>IFERROR(VLOOKUP($A85,power_rankings,2,0)/(VLOOKUP($A85,power_rankings,2,0)+VLOOKUP(J$70,power_rankings,2,0))*(J17+HLOOKUP($A85,table_wins_h2h,MATCH(J$70,$A$2:$A$32,0),0)),0)</f>
        <v>1.6122363004959734</v>
      </c>
      <c r="K85">
        <f>IFERROR(VLOOKUP($A85,power_rankings,2,0)/(VLOOKUP($A85,power_rankings,2,0)+VLOOKUP(K$70,power_rankings,2,0))*(K17+HLOOKUP($A85,table_wins_h2h,MATCH(K$70,$A$2:$A$32,0),0)),0)</f>
        <v>0.89634256168480109</v>
      </c>
      <c r="L85">
        <f>IFERROR(VLOOKUP($A85,power_rankings,2,0)/(VLOOKUP($A85,power_rankings,2,0)+VLOOKUP(L$70,power_rankings,2,0))*(L17+HLOOKUP($A85,table_wins_h2h,MATCH(L$70,$A$2:$A$32,0),0)),0)</f>
        <v>2.0810774875129505</v>
      </c>
      <c r="M85">
        <f>IFERROR(VLOOKUP($A85,power_rankings,2,0)/(VLOOKUP($A85,power_rankings,2,0)+VLOOKUP(M$70,power_rankings,2,0))*(M17+HLOOKUP($A85,table_wins_h2h,MATCH(M$70,$A$2:$A$32,0),0)),0)</f>
        <v>1.4752879242537751</v>
      </c>
      <c r="N85">
        <f>IFERROR(VLOOKUP($A85,power_rankings,2,0)/(VLOOKUP($A85,power_rankings,2,0)+VLOOKUP(N$70,power_rankings,2,0))*(N17+HLOOKUP($A85,table_wins_h2h,MATCH(N$70,$A$2:$A$32,0),0)),0)</f>
        <v>1.9745856872858829</v>
      </c>
      <c r="O85">
        <f>IFERROR(VLOOKUP($A85,power_rankings,2,0)/(VLOOKUP($A85,power_rankings,2,0)+VLOOKUP(O$70,power_rankings,2,0))*(O17+HLOOKUP($A85,table_wins_h2h,MATCH(O$70,$A$2:$A$32,0),0)),0)</f>
        <v>3.6097828633749027</v>
      </c>
      <c r="P85">
        <f>IFERROR(VLOOKUP($A85,power_rankings,2,0)/(VLOOKUP($A85,power_rankings,2,0)+VLOOKUP(P$70,power_rankings,2,0))*(P17+HLOOKUP($A85,table_wins_h2h,MATCH(P$70,$A$2:$A$32,0),0)),0)</f>
        <v>0</v>
      </c>
      <c r="Q85">
        <f>IFERROR(VLOOKUP($A85,power_rankings,2,0)/(VLOOKUP($A85,power_rankings,2,0)+VLOOKUP(Q$70,power_rankings,2,0))*(Q17+HLOOKUP($A85,table_wins_h2h,MATCH(Q$70,$A$2:$A$32,0),0)),0)</f>
        <v>1.5224807419685298</v>
      </c>
      <c r="R85">
        <f>IFERROR(VLOOKUP($A85,power_rankings,2,0)/(VLOOKUP($A85,power_rankings,2,0)+VLOOKUP(R$70,power_rankings,2,0))*(R17+HLOOKUP($A85,table_wins_h2h,MATCH(R$70,$A$2:$A$32,0),0)),0)</f>
        <v>1.4305755442596138</v>
      </c>
      <c r="S85">
        <f>IFERROR(VLOOKUP($A85,power_rankings,2,0)/(VLOOKUP($A85,power_rankings,2,0)+VLOOKUP(S$70,power_rankings,2,0))*(S17+HLOOKUP($A85,table_wins_h2h,MATCH(S$70,$A$2:$A$32,0),0)),0)</f>
        <v>2.7845628609089559</v>
      </c>
      <c r="T85">
        <f>IFERROR(VLOOKUP($A85,power_rankings,2,0)/(VLOOKUP($A85,power_rankings,2,0)+VLOOKUP(T$70,power_rankings,2,0))*(T17+HLOOKUP($A85,table_wins_h2h,MATCH(T$70,$A$2:$A$32,0),0)),0)</f>
        <v>2.5635253857535916</v>
      </c>
      <c r="U85">
        <f>IFERROR(VLOOKUP($A85,power_rankings,2,0)/(VLOOKUP($A85,power_rankings,2,0)+VLOOKUP(U$70,power_rankings,2,0))*(U17+HLOOKUP($A85,table_wins_h2h,MATCH(U$70,$A$2:$A$32,0),0)),0)</f>
        <v>1.8418346901806324</v>
      </c>
      <c r="V85">
        <f>IFERROR(VLOOKUP($A85,power_rankings,2,0)/(VLOOKUP($A85,power_rankings,2,0)+VLOOKUP(V$70,power_rankings,2,0))*(V17+HLOOKUP($A85,table_wins_h2h,MATCH(V$70,$A$2:$A$32,0),0)),0)</f>
        <v>2.7202122670771605</v>
      </c>
      <c r="W85">
        <f>IFERROR(VLOOKUP($A85,power_rankings,2,0)/(VLOOKUP($A85,power_rankings,2,0)+VLOOKUP(W$70,power_rankings,2,0))*(W17+HLOOKUP($A85,table_wins_h2h,MATCH(W$70,$A$2:$A$32,0),0)),0)</f>
        <v>1.7442383494445588</v>
      </c>
      <c r="X85">
        <f>IFERROR(VLOOKUP($A85,power_rankings,2,0)/(VLOOKUP($A85,power_rankings,2,0)+VLOOKUP(X$70,power_rankings,2,0))*(X17+HLOOKUP($A85,table_wins_h2h,MATCH(X$70,$A$2:$A$32,0),0)),0)</f>
        <v>1.8271903448335898</v>
      </c>
      <c r="Y85">
        <f>IFERROR(VLOOKUP($A85,power_rankings,2,0)/(VLOOKUP($A85,power_rankings,2,0)+VLOOKUP(Y$70,power_rankings,2,0))*(Y17+HLOOKUP($A85,table_wins_h2h,MATCH(Y$70,$A$2:$A$32,0),0)),0)</f>
        <v>2.237853046478036</v>
      </c>
      <c r="Z85">
        <f>IFERROR(VLOOKUP($A85,power_rankings,2,0)/(VLOOKUP($A85,power_rankings,2,0)+VLOOKUP(Z$70,power_rankings,2,0))*(Z17+HLOOKUP($A85,table_wins_h2h,MATCH(Z$70,$A$2:$A$32,0),0)),0)</f>
        <v>2.3060024373830559</v>
      </c>
      <c r="AA85">
        <f>IFERROR(VLOOKUP($A85,power_rankings,2,0)/(VLOOKUP($A85,power_rankings,2,0)+VLOOKUP(AA$70,power_rankings,2,0))*(AA17+HLOOKUP($A85,table_wins_h2h,MATCH(AA$70,$A$2:$A$32,0),0)),0)</f>
        <v>2.1443469883572366</v>
      </c>
      <c r="AB85">
        <f>IFERROR(VLOOKUP($A85,power_rankings,2,0)/(VLOOKUP($A85,power_rankings,2,0)+VLOOKUP(AB$70,power_rankings,2,0))*(AB17+HLOOKUP($A85,table_wins_h2h,MATCH(AB$70,$A$2:$A$32,0),0)),0)</f>
        <v>3.2549432761543966</v>
      </c>
      <c r="AC85">
        <f>IFERROR(VLOOKUP($A85,power_rankings,2,0)/(VLOOKUP($A85,power_rankings,2,0)+VLOOKUP(AC$70,power_rankings,2,0))*(AC17+HLOOKUP($A85,table_wins_h2h,MATCH(AC$70,$A$2:$A$32,0),0)),0)</f>
        <v>1.3162941038495828</v>
      </c>
      <c r="AD85">
        <f>IFERROR(VLOOKUP($A85,power_rankings,2,0)/(VLOOKUP($A85,power_rankings,2,0)+VLOOKUP(AD$70,power_rankings,2,0))*(AD17+HLOOKUP($A85,table_wins_h2h,MATCH(AD$70,$A$2:$A$32,0),0)),0)</f>
        <v>2.9362384661176284</v>
      </c>
      <c r="AE85">
        <f>IFERROR(VLOOKUP($A85,power_rankings,2,0)/(VLOOKUP($A85,power_rankings,2,0)+VLOOKUP(AE$70,power_rankings,2,0))*(AE17+HLOOKUP($A85,table_wins_h2h,MATCH(AE$70,$A$2:$A$32,0),0)),0)</f>
        <v>1.3645389242367834</v>
      </c>
      <c r="AG85">
        <f t="shared" si="0"/>
        <v>56.4</v>
      </c>
      <c r="AH85">
        <f>VLOOKUP(A85,d_win_totals!$C$2:$E$31,3,0)</f>
        <v>42</v>
      </c>
      <c r="AI85">
        <f t="shared" si="1"/>
        <v>-14.399999999999999</v>
      </c>
    </row>
    <row r="86" spans="1:35" x14ac:dyDescent="0.25">
      <c r="A86" t="s">
        <v>24</v>
      </c>
      <c r="B86">
        <f>IFERROR(VLOOKUP($A86,power_rankings,2,0)/(VLOOKUP($A86,power_rankings,2,0)+VLOOKUP(B$70,power_rankings,2,0))*(B18+HLOOKUP($A86,table_wins_h2h,MATCH(B$70,$A$2:$A$32,0),0)),0)</f>
        <v>0.85332327011416331</v>
      </c>
      <c r="C86">
        <f>IFERROR(VLOOKUP($A86,power_rankings,2,0)/(VLOOKUP($A86,power_rankings,2,0)+VLOOKUP(C$70,power_rankings,2,0))*(C18+HLOOKUP($A86,table_wins_h2h,MATCH(C$70,$A$2:$A$32,0),0)),0)</f>
        <v>2.0807589743004904</v>
      </c>
      <c r="D86">
        <f>IFERROR(VLOOKUP($A86,power_rankings,2,0)/(VLOOKUP($A86,power_rankings,2,0)+VLOOKUP(D$70,power_rankings,2,0))*(D18+HLOOKUP($A86,table_wins_h2h,MATCH(D$70,$A$2:$A$32,0),0)),0)</f>
        <v>1.8508846692396312</v>
      </c>
      <c r="E86">
        <f>IFERROR(VLOOKUP($A86,power_rankings,2,0)/(VLOOKUP($A86,power_rankings,2,0)+VLOOKUP(E$70,power_rankings,2,0))*(E18+HLOOKUP($A86,table_wins_h2h,MATCH(E$70,$A$2:$A$32,0),0)),0)</f>
        <v>2.1561665407273756</v>
      </c>
      <c r="F86">
        <f>IFERROR(VLOOKUP($A86,power_rankings,2,0)/(VLOOKUP($A86,power_rankings,2,0)+VLOOKUP(F$70,power_rankings,2,0))*(F18+HLOOKUP($A86,table_wins_h2h,MATCH(F$70,$A$2:$A$32,0),0)),0)</f>
        <v>1.0164890549670829</v>
      </c>
      <c r="G86">
        <f>IFERROR(VLOOKUP($A86,power_rankings,2,0)/(VLOOKUP($A86,power_rankings,2,0)+VLOOKUP(G$70,power_rankings,2,0))*(G18+HLOOKUP($A86,table_wins_h2h,MATCH(G$70,$A$2:$A$32,0),0)),0)</f>
        <v>1.1626713839849259</v>
      </c>
      <c r="H86">
        <f>IFERROR(VLOOKUP($A86,power_rankings,2,0)/(VLOOKUP($A86,power_rankings,2,0)+VLOOKUP(H$70,power_rankings,2,0))*(H18+HLOOKUP($A86,table_wins_h2h,MATCH(H$70,$A$2:$A$32,0),0)),0)</f>
        <v>0.64336118793091113</v>
      </c>
      <c r="I86">
        <f>IFERROR(VLOOKUP($A86,power_rankings,2,0)/(VLOOKUP($A86,power_rankings,2,0)+VLOOKUP(I$70,power_rankings,2,0))*(I18+HLOOKUP($A86,table_wins_h2h,MATCH(I$70,$A$2:$A$32,0),0)),0)</f>
        <v>1.1636981548411995</v>
      </c>
      <c r="J86">
        <f>IFERROR(VLOOKUP($A86,power_rankings,2,0)/(VLOOKUP($A86,power_rankings,2,0)+VLOOKUP(J$70,power_rankings,2,0))*(J18+HLOOKUP($A86,table_wins_h2h,MATCH(J$70,$A$2:$A$32,0),0)),0)</f>
        <v>1.6979557573259787</v>
      </c>
      <c r="K86">
        <f>IFERROR(VLOOKUP($A86,power_rankings,2,0)/(VLOOKUP($A86,power_rankings,2,0)+VLOOKUP(K$70,power_rankings,2,0))*(K18+HLOOKUP($A86,table_wins_h2h,MATCH(K$70,$A$2:$A$32,0),0)),0)</f>
        <v>0.23577227040832408</v>
      </c>
      <c r="L86">
        <f>IFERROR(VLOOKUP($A86,power_rankings,2,0)/(VLOOKUP($A86,power_rankings,2,0)+VLOOKUP(L$70,power_rankings,2,0))*(L18+HLOOKUP($A86,table_wins_h2h,MATCH(L$70,$A$2:$A$32,0),0)),0)</f>
        <v>0.50762923803025695</v>
      </c>
      <c r="M86">
        <f>IFERROR(VLOOKUP($A86,power_rankings,2,0)/(VLOOKUP($A86,power_rankings,2,0)+VLOOKUP(M$70,power_rankings,2,0))*(M18+HLOOKUP($A86,table_wins_h2h,MATCH(M$70,$A$2:$A$32,0),0)),0)</f>
        <v>1.874432286568374</v>
      </c>
      <c r="N86">
        <f>IFERROR(VLOOKUP($A86,power_rankings,2,0)/(VLOOKUP($A86,power_rankings,2,0)+VLOOKUP(N$70,power_rankings,2,0))*(N18+HLOOKUP($A86,table_wins_h2h,MATCH(N$70,$A$2:$A$32,0),0)),0)</f>
        <v>0.46834190971650191</v>
      </c>
      <c r="O86">
        <f>IFERROR(VLOOKUP($A86,power_rankings,2,0)/(VLOOKUP($A86,power_rankings,2,0)+VLOOKUP(O$70,power_rankings,2,0))*(O18+HLOOKUP($A86,table_wins_h2h,MATCH(O$70,$A$2:$A$32,0),0)),0)</f>
        <v>1.4873689685119043</v>
      </c>
      <c r="P86">
        <f>IFERROR(VLOOKUP($A86,power_rankings,2,0)/(VLOOKUP($A86,power_rankings,2,0)+VLOOKUP(P$70,power_rankings,2,0))*(P18+HLOOKUP($A86,table_wins_h2h,MATCH(P$70,$A$2:$A$32,0),0)),0)</f>
        <v>0.47751925803147</v>
      </c>
      <c r="Q86">
        <f>IFERROR(VLOOKUP($A86,power_rankings,2,0)/(VLOOKUP($A86,power_rankings,2,0)+VLOOKUP(Q$70,power_rankings,2,0))*(Q18+HLOOKUP($A86,table_wins_h2h,MATCH(Q$70,$A$2:$A$32,0),0)),0)</f>
        <v>0</v>
      </c>
      <c r="R86">
        <f>IFERROR(VLOOKUP($A86,power_rankings,2,0)/(VLOOKUP($A86,power_rankings,2,0)+VLOOKUP(R$70,power_rankings,2,0))*(R18+HLOOKUP($A86,table_wins_h2h,MATCH(R$70,$A$2:$A$32,0),0)),0)</f>
        <v>1.7628352633238689</v>
      </c>
      <c r="S86">
        <f>IFERROR(VLOOKUP($A86,power_rankings,2,0)/(VLOOKUP($A86,power_rankings,2,0)+VLOOKUP(S$70,power_rankings,2,0))*(S18+HLOOKUP($A86,table_wins_h2h,MATCH(S$70,$A$2:$A$32,0),0)),0)</f>
        <v>1.6042678432680606</v>
      </c>
      <c r="T86">
        <f>IFERROR(VLOOKUP($A86,power_rankings,2,0)/(VLOOKUP($A86,power_rankings,2,0)+VLOOKUP(T$70,power_rankings,2,0))*(T18+HLOOKUP($A86,table_wins_h2h,MATCH(T$70,$A$2:$A$32,0),0)),0)</f>
        <v>0.71772696160776739</v>
      </c>
      <c r="U86">
        <f>IFERROR(VLOOKUP($A86,power_rankings,2,0)/(VLOOKUP($A86,power_rankings,2,0)+VLOOKUP(U$70,power_rankings,2,0))*(U18+HLOOKUP($A86,table_wins_h2h,MATCH(U$70,$A$2:$A$32,0),0)),0)</f>
        <v>2.3551717122066038</v>
      </c>
      <c r="V86">
        <f>IFERROR(VLOOKUP($A86,power_rankings,2,0)/(VLOOKUP($A86,power_rankings,2,0)+VLOOKUP(V$70,power_rankings,2,0))*(V18+HLOOKUP($A86,table_wins_h2h,MATCH(V$70,$A$2:$A$32,0),0)),0)</f>
        <v>0.79999468819385533</v>
      </c>
      <c r="W86">
        <f>IFERROR(VLOOKUP($A86,power_rankings,2,0)/(VLOOKUP($A86,power_rankings,2,0)+VLOOKUP(W$70,power_rankings,2,0))*(W18+HLOOKUP($A86,table_wins_h2h,MATCH(W$70,$A$2:$A$32,0),0)),0)</f>
        <v>2.7257062320801579</v>
      </c>
      <c r="X86">
        <f>IFERROR(VLOOKUP($A86,power_rankings,2,0)/(VLOOKUP($A86,power_rankings,2,0)+VLOOKUP(X$70,power_rankings,2,0))*(X18+HLOOKUP($A86,table_wins_h2h,MATCH(X$70,$A$2:$A$32,0),0)),0)</f>
        <v>3.073282094311057</v>
      </c>
      <c r="Y86">
        <f>IFERROR(VLOOKUP($A86,power_rankings,2,0)/(VLOOKUP($A86,power_rankings,2,0)+VLOOKUP(Y$70,power_rankings,2,0))*(Y18+HLOOKUP($A86,table_wins_h2h,MATCH(Y$70,$A$2:$A$32,0),0)),0)</f>
        <v>0.95884374790659277</v>
      </c>
      <c r="Z86">
        <f>IFERROR(VLOOKUP($A86,power_rankings,2,0)/(VLOOKUP($A86,power_rankings,2,0)+VLOOKUP(Z$70,power_rankings,2,0))*(Z18+HLOOKUP($A86,table_wins_h2h,MATCH(Z$70,$A$2:$A$32,0),0)),0)</f>
        <v>0.59841792960934226</v>
      </c>
      <c r="AA86">
        <f>IFERROR(VLOOKUP($A86,power_rankings,2,0)/(VLOOKUP($A86,power_rankings,2,0)+VLOOKUP(AA$70,power_rankings,2,0))*(AA18+HLOOKUP($A86,table_wins_h2h,MATCH(AA$70,$A$2:$A$32,0),0)),0)</f>
        <v>0.53204657444892089</v>
      </c>
      <c r="AB86">
        <f>IFERROR(VLOOKUP($A86,power_rankings,2,0)/(VLOOKUP($A86,power_rankings,2,0)+VLOOKUP(AB$70,power_rankings,2,0))*(AB18+HLOOKUP($A86,table_wins_h2h,MATCH(AB$70,$A$2:$A$32,0),0)),0)</f>
        <v>1.1561996914628692</v>
      </c>
      <c r="AC86">
        <f>IFERROR(VLOOKUP($A86,power_rankings,2,0)/(VLOOKUP($A86,power_rankings,2,0)+VLOOKUP(AC$70,power_rankings,2,0))*(AC18+HLOOKUP($A86,table_wins_h2h,MATCH(AC$70,$A$2:$A$32,0),0)),0)</f>
        <v>0.7529936987751783</v>
      </c>
      <c r="AD86">
        <f>IFERROR(VLOOKUP($A86,power_rankings,2,0)/(VLOOKUP($A86,power_rankings,2,0)+VLOOKUP(AD$70,power_rankings,2,0))*(AD18+HLOOKUP($A86,table_wins_h2h,MATCH(AD$70,$A$2:$A$32,0),0)),0)</f>
        <v>0.92803772040778398</v>
      </c>
      <c r="AE86">
        <f>IFERROR(VLOOKUP($A86,power_rankings,2,0)/(VLOOKUP($A86,power_rankings,2,0)+VLOOKUP(AE$70,power_rankings,2,0))*(AE18+HLOOKUP($A86,table_wins_h2h,MATCH(AE$70,$A$2:$A$32,0),0)),0)</f>
        <v>1.6097964056600362</v>
      </c>
      <c r="AG86">
        <f t="shared" si="0"/>
        <v>37.25</v>
      </c>
      <c r="AH86">
        <f>VLOOKUP(A86,d_win_totals!$C$2:$E$31,3,0)</f>
        <v>48</v>
      </c>
      <c r="AI86">
        <f t="shared" si="1"/>
        <v>10.75</v>
      </c>
    </row>
    <row r="87" spans="1:35" x14ac:dyDescent="0.25">
      <c r="A87" t="s">
        <v>19</v>
      </c>
      <c r="B87">
        <f>IFERROR(VLOOKUP($A87,power_rankings,2,0)/(VLOOKUP($A87,power_rankings,2,0)+VLOOKUP(B$70,power_rankings,2,0))*(B19+HLOOKUP($A87,table_wins_h2h,MATCH(B$70,$A$2:$A$32,0),0)),0)</f>
        <v>1.0241415145933299</v>
      </c>
      <c r="C87">
        <f>IFERROR(VLOOKUP($A87,power_rankings,2,0)/(VLOOKUP($A87,power_rankings,2,0)+VLOOKUP(C$70,power_rankings,2,0))*(C19+HLOOKUP($A87,table_wins_h2h,MATCH(C$70,$A$2:$A$32,0),0)),0)</f>
        <v>2.3164086529366559</v>
      </c>
      <c r="D87">
        <f>IFERROR(VLOOKUP($A87,power_rankings,2,0)/(VLOOKUP($A87,power_rankings,2,0)+VLOOKUP(D$70,power_rankings,2,0))*(D19+HLOOKUP($A87,table_wins_h2h,MATCH(D$70,$A$2:$A$32,0),0)),0)</f>
        <v>1.5666261108429134</v>
      </c>
      <c r="E87">
        <f>IFERROR(VLOOKUP($A87,power_rankings,2,0)/(VLOOKUP($A87,power_rankings,2,0)+VLOOKUP(E$70,power_rankings,2,0))*(E19+HLOOKUP($A87,table_wins_h2h,MATCH(E$70,$A$2:$A$32,0),0)),0)</f>
        <v>1.7922920386343837</v>
      </c>
      <c r="F87">
        <f>IFERROR(VLOOKUP($A87,power_rankings,2,0)/(VLOOKUP($A87,power_rankings,2,0)+VLOOKUP(F$70,power_rankings,2,0))*(F19+HLOOKUP($A87,table_wins_h2h,MATCH(F$70,$A$2:$A$32,0),0)),0)</f>
        <v>1.5762875269422287</v>
      </c>
      <c r="G87">
        <f>IFERROR(VLOOKUP($A87,power_rankings,2,0)/(VLOOKUP($A87,power_rankings,2,0)+VLOOKUP(G$70,power_rankings,2,0))*(G19+HLOOKUP($A87,table_wins_h2h,MATCH(G$70,$A$2:$A$32,0),0)),0)</f>
        <v>1.3684837345717398</v>
      </c>
      <c r="H87">
        <f>IFERROR(VLOOKUP($A87,power_rankings,2,0)/(VLOOKUP($A87,power_rankings,2,0)+VLOOKUP(H$70,power_rankings,2,0))*(H19+HLOOKUP($A87,table_wins_h2h,MATCH(H$70,$A$2:$A$32,0),0)),0)</f>
        <v>0.7514313195680371</v>
      </c>
      <c r="I87">
        <f>IFERROR(VLOOKUP($A87,power_rankings,2,0)/(VLOOKUP($A87,power_rankings,2,0)+VLOOKUP(I$70,power_rankings,2,0))*(I19+HLOOKUP($A87,table_wins_h2h,MATCH(I$70,$A$2:$A$32,0),0)),0)</f>
        <v>1.2769053161300157</v>
      </c>
      <c r="J87">
        <f>IFERROR(VLOOKUP($A87,power_rankings,2,0)/(VLOOKUP($A87,power_rankings,2,0)+VLOOKUP(J$70,power_rankings,2,0))*(J19+HLOOKUP($A87,table_wins_h2h,MATCH(J$70,$A$2:$A$32,0),0)),0)</f>
        <v>2.4933845860283017</v>
      </c>
      <c r="K87">
        <f>IFERROR(VLOOKUP($A87,power_rankings,2,0)/(VLOOKUP($A87,power_rankings,2,0)+VLOOKUP(K$70,power_rankings,2,0))*(K19+HLOOKUP($A87,table_wins_h2h,MATCH(K$70,$A$2:$A$32,0),0)),0)</f>
        <v>0.29001280605280705</v>
      </c>
      <c r="L87">
        <f>IFERROR(VLOOKUP($A87,power_rankings,2,0)/(VLOOKUP($A87,power_rankings,2,0)+VLOOKUP(L$70,power_rankings,2,0))*(L19+HLOOKUP($A87,table_wins_h2h,MATCH(L$70,$A$2:$A$32,0),0)),0)</f>
        <v>0.60303416414406252</v>
      </c>
      <c r="M87">
        <f>IFERROR(VLOOKUP($A87,power_rankings,2,0)/(VLOOKUP($A87,power_rankings,2,0)+VLOOKUP(M$70,power_rankings,2,0))*(M19+HLOOKUP($A87,table_wins_h2h,MATCH(M$70,$A$2:$A$32,0),0)),0)</f>
        <v>2.1124341017003747</v>
      </c>
      <c r="N87">
        <f>IFERROR(VLOOKUP($A87,power_rankings,2,0)/(VLOOKUP($A87,power_rankings,2,0)+VLOOKUP(N$70,power_rankings,2,0))*(N19+HLOOKUP($A87,table_wins_h2h,MATCH(N$70,$A$2:$A$32,0),0)),0)</f>
        <v>0.55912947430592086</v>
      </c>
      <c r="O87">
        <f>IFERROR(VLOOKUP($A87,power_rankings,2,0)/(VLOOKUP($A87,power_rankings,2,0)+VLOOKUP(O$70,power_rankings,2,0))*(O19+HLOOKUP($A87,table_wins_h2h,MATCH(O$70,$A$2:$A$32,0),0)),0)</f>
        <v>1.5728447124145393</v>
      </c>
      <c r="P87">
        <f>IFERROR(VLOOKUP($A87,power_rankings,2,0)/(VLOOKUP($A87,power_rankings,2,0)+VLOOKUP(P$70,power_rankings,2,0))*(P19+HLOOKUP($A87,table_wins_h2h,MATCH(P$70,$A$2:$A$32,0),0)),0)</f>
        <v>0.56942445574038636</v>
      </c>
      <c r="Q87">
        <f>IFERROR(VLOOKUP($A87,power_rankings,2,0)/(VLOOKUP($A87,power_rankings,2,0)+VLOOKUP(Q$70,power_rankings,2,0))*(Q19+HLOOKUP($A87,table_wins_h2h,MATCH(Q$70,$A$2:$A$32,0),0)),0)</f>
        <v>2.2371647366761311</v>
      </c>
      <c r="R87">
        <f>IFERROR(VLOOKUP($A87,power_rankings,2,0)/(VLOOKUP($A87,power_rankings,2,0)+VLOOKUP(R$70,power_rankings,2,0))*(R19+HLOOKUP($A87,table_wins_h2h,MATCH(R$70,$A$2:$A$32,0),0)),0)</f>
        <v>0</v>
      </c>
      <c r="S87">
        <f>IFERROR(VLOOKUP($A87,power_rankings,2,0)/(VLOOKUP($A87,power_rankings,2,0)+VLOOKUP(S$70,power_rankings,2,0))*(S19+HLOOKUP($A87,table_wins_h2h,MATCH(S$70,$A$2:$A$32,0),0)),0)</f>
        <v>1.6745173271964262</v>
      </c>
      <c r="T87">
        <f>IFERROR(VLOOKUP($A87,power_rankings,2,0)/(VLOOKUP($A87,power_rankings,2,0)+VLOOKUP(T$70,power_rankings,2,0))*(T19+HLOOKUP($A87,table_wins_h2h,MATCH(T$70,$A$2:$A$32,0),0)),0)</f>
        <v>0.83064042367501156</v>
      </c>
      <c r="U87">
        <f>IFERROR(VLOOKUP($A87,power_rankings,2,0)/(VLOOKUP($A87,power_rankings,2,0)+VLOOKUP(U$70,power_rankings,2,0))*(U19+HLOOKUP($A87,table_wins_h2h,MATCH(U$70,$A$2:$A$32,0),0)),0)</f>
        <v>3.2901709990134265</v>
      </c>
      <c r="V87">
        <f>IFERROR(VLOOKUP($A87,power_rankings,2,0)/(VLOOKUP($A87,power_rankings,2,0)+VLOOKUP(V$70,power_rankings,2,0))*(V19+HLOOKUP($A87,table_wins_h2h,MATCH(V$70,$A$2:$A$32,0),0)),0)</f>
        <v>0.91659902701921747</v>
      </c>
      <c r="W87">
        <f>IFERROR(VLOOKUP($A87,power_rankings,2,0)/(VLOOKUP($A87,power_rankings,2,0)+VLOOKUP(W$70,power_rankings,2,0))*(W19+HLOOKUP($A87,table_wins_h2h,MATCH(W$70,$A$2:$A$32,0),0)),0)</f>
        <v>2.9231497002029276</v>
      </c>
      <c r="X87">
        <f>IFERROR(VLOOKUP($A87,power_rankings,2,0)/(VLOOKUP($A87,power_rankings,2,0)+VLOOKUP(X$70,power_rankings,2,0))*(X19+HLOOKUP($A87,table_wins_h2h,MATCH(X$70,$A$2:$A$32,0),0)),0)</f>
        <v>3.23204425769217</v>
      </c>
      <c r="Y87">
        <f>IFERROR(VLOOKUP($A87,power_rankings,2,0)/(VLOOKUP($A87,power_rankings,2,0)+VLOOKUP(Y$70,power_rankings,2,0))*(Y19+HLOOKUP($A87,table_wins_h2h,MATCH(Y$70,$A$2:$A$32,0),0)),0)</f>
        <v>1.0778058403225557</v>
      </c>
      <c r="Z87">
        <f>IFERROR(VLOOKUP($A87,power_rankings,2,0)/(VLOOKUP($A87,power_rankings,2,0)+VLOOKUP(Z$70,power_rankings,2,0))*(Z19+HLOOKUP($A87,table_wins_h2h,MATCH(Z$70,$A$2:$A$32,0),0)),0)</f>
        <v>0.70284984315780608</v>
      </c>
      <c r="AA87">
        <f>IFERROR(VLOOKUP($A87,power_rankings,2,0)/(VLOOKUP($A87,power_rankings,2,0)+VLOOKUP(AA$70,power_rankings,2,0))*(AA19+HLOOKUP($A87,table_wins_h2h,MATCH(AA$70,$A$2:$A$32,0),0)),0)</f>
        <v>0.63010297769986234</v>
      </c>
      <c r="AB87">
        <f>IFERROR(VLOOKUP($A87,power_rankings,2,0)/(VLOOKUP($A87,power_rankings,2,0)+VLOOKUP(AB$70,power_rankings,2,0))*(AB19+HLOOKUP($A87,table_wins_h2h,MATCH(AB$70,$A$2:$A$32,0),0)),0)</f>
        <v>1.2697849599625568</v>
      </c>
      <c r="AC87">
        <f>IFERROR(VLOOKUP($A87,power_rankings,2,0)/(VLOOKUP($A87,power_rankings,2,0)+VLOOKUP(AC$70,power_rankings,2,0))*(AC19+HLOOKUP($A87,table_wins_h2h,MATCH(AC$70,$A$2:$A$32,0),0)),0)</f>
        <v>1.3015514243696642</v>
      </c>
      <c r="AD87">
        <f>IFERROR(VLOOKUP($A87,power_rankings,2,0)/(VLOOKUP($A87,power_rankings,2,0)+VLOOKUP(AD$70,power_rankings,2,0))*(AD19+HLOOKUP($A87,table_wins_h2h,MATCH(AD$70,$A$2:$A$32,0),0)),0)</f>
        <v>1.0470213433833222</v>
      </c>
      <c r="AE87">
        <f>IFERROR(VLOOKUP($A87,power_rankings,2,0)/(VLOOKUP($A87,power_rankings,2,0)+VLOOKUP(AE$70,power_rankings,2,0))*(AE19+HLOOKUP($A87,table_wins_h2h,MATCH(AE$70,$A$2:$A$32,0),0)),0)</f>
        <v>1.3825024771647882</v>
      </c>
      <c r="AG87">
        <f t="shared" si="0"/>
        <v>42.39</v>
      </c>
      <c r="AH87">
        <f>VLOOKUP(A87,d_win_totals!$C$2:$E$31,3,0)</f>
        <v>33</v>
      </c>
      <c r="AI87">
        <f t="shared" si="1"/>
        <v>-9.39</v>
      </c>
    </row>
    <row r="88" spans="1:35" x14ac:dyDescent="0.25">
      <c r="A88" t="s">
        <v>29</v>
      </c>
      <c r="B88">
        <f>IFERROR(VLOOKUP($A88,power_rankings,2,0)/(VLOOKUP($A88,power_rankings,2,0)+VLOOKUP(B$70,power_rankings,2,0))*(B20+HLOOKUP($A88,table_wins_h2h,MATCH(B$70,$A$2:$A$32,0),0)),0)</f>
        <v>0.12539918816525172</v>
      </c>
      <c r="C88">
        <f>IFERROR(VLOOKUP($A88,power_rankings,2,0)/(VLOOKUP($A88,power_rankings,2,0)+VLOOKUP(C$70,power_rankings,2,0))*(C20+HLOOKUP($A88,table_wins_h2h,MATCH(C$70,$A$2:$A$32,0),0)),0)</f>
        <v>0.42200863989171022</v>
      </c>
      <c r="D88">
        <f>IFERROR(VLOOKUP($A88,power_rankings,2,0)/(VLOOKUP($A88,power_rankings,2,0)+VLOOKUP(D$70,power_rankings,2,0))*(D20+HLOOKUP($A88,table_wins_h2h,MATCH(D$70,$A$2:$A$32,0),0)),0)</f>
        <v>0.35043903153013489</v>
      </c>
      <c r="E88">
        <f>IFERROR(VLOOKUP($A88,power_rankings,2,0)/(VLOOKUP($A88,power_rankings,2,0)+VLOOKUP(E$70,power_rankings,2,0))*(E20+HLOOKUP($A88,table_wins_h2h,MATCH(E$70,$A$2:$A$32,0),0)),0)</f>
        <v>0.44775892062012346</v>
      </c>
      <c r="F88">
        <f>IFERROR(VLOOKUP($A88,power_rankings,2,0)/(VLOOKUP($A88,power_rankings,2,0)+VLOOKUP(F$70,power_rankings,2,0))*(F20+HLOOKUP($A88,table_wins_h2h,MATCH(F$70,$A$2:$A$32,0),0)),0)</f>
        <v>0.22445269142486413</v>
      </c>
      <c r="G88">
        <f>IFERROR(VLOOKUP($A88,power_rankings,2,0)/(VLOOKUP($A88,power_rankings,2,0)+VLOOKUP(G$70,power_rankings,2,0))*(G20+HLOOKUP($A88,table_wins_h2h,MATCH(G$70,$A$2:$A$32,0),0)),0)</f>
        <v>0.18360407961141725</v>
      </c>
      <c r="H88">
        <f>IFERROR(VLOOKUP($A88,power_rankings,2,0)/(VLOOKUP($A88,power_rankings,2,0)+VLOOKUP(H$70,power_rankings,2,0))*(H20+HLOOKUP($A88,table_wins_h2h,MATCH(H$70,$A$2:$A$32,0),0)),0)</f>
        <v>0.31418871231111867</v>
      </c>
      <c r="I88">
        <f>IFERROR(VLOOKUP($A88,power_rankings,2,0)/(VLOOKUP($A88,power_rankings,2,0)+VLOOKUP(I$70,power_rankings,2,0))*(I20+HLOOKUP($A88,table_wins_h2h,MATCH(I$70,$A$2:$A$32,0),0)),0)</f>
        <v>1.0221323717405764</v>
      </c>
      <c r="J88">
        <f>IFERROR(VLOOKUP($A88,power_rankings,2,0)/(VLOOKUP($A88,power_rankings,2,0)+VLOOKUP(J$70,power_rankings,2,0))*(J20+HLOOKUP($A88,table_wins_h2h,MATCH(J$70,$A$2:$A$32,0),0)),0)</f>
        <v>0.48677528336708537</v>
      </c>
      <c r="K88">
        <f>IFERROR(VLOOKUP($A88,power_rankings,2,0)/(VLOOKUP($A88,power_rankings,2,0)+VLOOKUP(K$70,power_rankings,2,0))*(K20+HLOOKUP($A88,table_wins_h2h,MATCH(K$70,$A$2:$A$32,0),0)),0)</f>
        <v>0.12765464670875529</v>
      </c>
      <c r="L88">
        <f>IFERROR(VLOOKUP($A88,power_rankings,2,0)/(VLOOKUP($A88,power_rankings,2,0)+VLOOKUP(L$70,power_rankings,2,0))*(L20+HLOOKUP($A88,table_wins_h2h,MATCH(L$70,$A$2:$A$32,0),0)),0)</f>
        <v>0.30964397005050626</v>
      </c>
      <c r="M88">
        <f>IFERROR(VLOOKUP($A88,power_rankings,2,0)/(VLOOKUP($A88,power_rankings,2,0)+VLOOKUP(M$70,power_rankings,2,0))*(M20+HLOOKUP($A88,table_wins_h2h,MATCH(M$70,$A$2:$A$32,0),0)),0)</f>
        <v>0.35733008211175799</v>
      </c>
      <c r="N88">
        <f>IFERROR(VLOOKUP($A88,power_rankings,2,0)/(VLOOKUP($A88,power_rankings,2,0)+VLOOKUP(N$70,power_rankings,2,0))*(N20+HLOOKUP($A88,table_wins_h2h,MATCH(N$70,$A$2:$A$32,0),0)),0)</f>
        <v>0.21040984594005196</v>
      </c>
      <c r="O88">
        <f>IFERROR(VLOOKUP($A88,power_rankings,2,0)/(VLOOKUP($A88,power_rankings,2,0)+VLOOKUP(O$70,power_rankings,2,0))*(O20+HLOOKUP($A88,table_wins_h2h,MATCH(O$70,$A$2:$A$32,0),0)),0)</f>
        <v>1.6686063614953937</v>
      </c>
      <c r="P88">
        <f>IFERROR(VLOOKUP($A88,power_rankings,2,0)/(VLOOKUP($A88,power_rankings,2,0)+VLOOKUP(P$70,power_rankings,2,0))*(P20+HLOOKUP($A88,table_wins_h2h,MATCH(P$70,$A$2:$A$32,0),0)),0)</f>
        <v>0.21543713909104395</v>
      </c>
      <c r="Q88">
        <f>IFERROR(VLOOKUP($A88,power_rankings,2,0)/(VLOOKUP($A88,power_rankings,2,0)+VLOOKUP(Q$70,power_rankings,2,0))*(Q20+HLOOKUP($A88,table_wins_h2h,MATCH(Q$70,$A$2:$A$32,0),0)),0)</f>
        <v>0.3957321567319394</v>
      </c>
      <c r="R88">
        <f>IFERROR(VLOOKUP($A88,power_rankings,2,0)/(VLOOKUP($A88,power_rankings,2,0)+VLOOKUP(R$70,power_rankings,2,0))*(R20+HLOOKUP($A88,table_wins_h2h,MATCH(R$70,$A$2:$A$32,0),0)),0)</f>
        <v>0.32548267280357368</v>
      </c>
      <c r="S88">
        <f>IFERROR(VLOOKUP($A88,power_rankings,2,0)/(VLOOKUP($A88,power_rankings,2,0)+VLOOKUP(S$70,power_rankings,2,0))*(S20+HLOOKUP($A88,table_wins_h2h,MATCH(S$70,$A$2:$A$32,0),0)),0)</f>
        <v>0</v>
      </c>
      <c r="T88">
        <f>IFERROR(VLOOKUP($A88,power_rankings,2,0)/(VLOOKUP($A88,power_rankings,2,0)+VLOOKUP(T$70,power_rankings,2,0))*(T20+HLOOKUP($A88,table_wins_h2h,MATCH(T$70,$A$2:$A$32,0),0)),0)</f>
        <v>0.48528152530891955</v>
      </c>
      <c r="U88">
        <f>IFERROR(VLOOKUP($A88,power_rankings,2,0)/(VLOOKUP($A88,power_rankings,2,0)+VLOOKUP(U$70,power_rankings,2,0))*(U20+HLOOKUP($A88,table_wins_h2h,MATCH(U$70,$A$2:$A$32,0),0)),0)</f>
        <v>0.94789707925710931</v>
      </c>
      <c r="V88">
        <f>IFERROR(VLOOKUP($A88,power_rankings,2,0)/(VLOOKUP($A88,power_rankings,2,0)+VLOOKUP(V$70,power_rankings,2,0))*(V20+HLOOKUP($A88,table_wins_h2h,MATCH(V$70,$A$2:$A$32,0),0)),0)</f>
        <v>0.56489576443997991</v>
      </c>
      <c r="W88">
        <f>IFERROR(VLOOKUP($A88,power_rankings,2,0)/(VLOOKUP($A88,power_rankings,2,0)+VLOOKUP(W$70,power_rankings,2,0))*(W20+HLOOKUP($A88,table_wins_h2h,MATCH(W$70,$A$2:$A$32,0),0)),0)</f>
        <v>0.6907871090087957</v>
      </c>
      <c r="X88">
        <f>IFERROR(VLOOKUP($A88,power_rankings,2,0)/(VLOOKUP($A88,power_rankings,2,0)+VLOOKUP(X$70,power_rankings,2,0))*(X20+HLOOKUP($A88,table_wins_h2h,MATCH(X$70,$A$2:$A$32,0),0)),0)</f>
        <v>0.89991965825722031</v>
      </c>
      <c r="Y88">
        <f>IFERROR(VLOOKUP($A88,power_rankings,2,0)/(VLOOKUP($A88,power_rankings,2,0)+VLOOKUP(Y$70,power_rankings,2,0))*(Y20+HLOOKUP($A88,table_wins_h2h,MATCH(Y$70,$A$2:$A$32,0),0)),0)</f>
        <v>0.74047542924586929</v>
      </c>
      <c r="Z88">
        <f>IFERROR(VLOOKUP($A88,power_rankings,2,0)/(VLOOKUP($A88,power_rankings,2,0)+VLOOKUP(Z$70,power_rankings,2,0))*(Z20+HLOOKUP($A88,table_wins_h2h,MATCH(Z$70,$A$2:$A$32,0),0)),0)</f>
        <v>0.38113823754014031</v>
      </c>
      <c r="AA88">
        <f>IFERROR(VLOOKUP($A88,power_rankings,2,0)/(VLOOKUP($A88,power_rankings,2,0)+VLOOKUP(AA$70,power_rankings,2,0))*(AA20+HLOOKUP($A88,table_wins_h2h,MATCH(AA$70,$A$2:$A$32,0),0)),0)</f>
        <v>0.32827095818247037</v>
      </c>
      <c r="AB88">
        <f>IFERROR(VLOOKUP($A88,power_rankings,2,0)/(VLOOKUP($A88,power_rankings,2,0)+VLOOKUP(AB$70,power_rankings,2,0))*(AB20+HLOOKUP($A88,table_wins_h2h,MATCH(AB$70,$A$2:$A$32,0),0)),0)</f>
        <v>0.75784874993090823</v>
      </c>
      <c r="AC88">
        <f>IFERROR(VLOOKUP($A88,power_rankings,2,0)/(VLOOKUP($A88,power_rankings,2,0)+VLOOKUP(AC$70,power_rankings,2,0))*(AC20+HLOOKUP($A88,table_wins_h2h,MATCH(AC$70,$A$2:$A$32,0),0)),0)</f>
        <v>0.25928366782645457</v>
      </c>
      <c r="AD88">
        <f>IFERROR(VLOOKUP($A88,power_rankings,2,0)/(VLOOKUP($A88,power_rankings,2,0)+VLOOKUP(AD$70,power_rankings,2,0))*(AD20+HLOOKUP($A88,table_wins_h2h,MATCH(AD$70,$A$2:$A$32,0),0)),0)</f>
        <v>0.70390000354029791</v>
      </c>
      <c r="AE88">
        <f>IFERROR(VLOOKUP($A88,power_rankings,2,0)/(VLOOKUP($A88,power_rankings,2,0)+VLOOKUP(AE$70,power_rankings,2,0))*(AE20+HLOOKUP($A88,table_wins_h2h,MATCH(AE$70,$A$2:$A$32,0),0)),0)</f>
        <v>0.28493235960919649</v>
      </c>
      <c r="AG88">
        <f t="shared" si="0"/>
        <v>14.23</v>
      </c>
      <c r="AH88">
        <f>VLOOKUP(A88,d_win_totals!$C$2:$E$31,3,0)</f>
        <v>29</v>
      </c>
      <c r="AI88">
        <f t="shared" si="1"/>
        <v>14.77</v>
      </c>
    </row>
    <row r="89" spans="1:35" x14ac:dyDescent="0.25">
      <c r="A89" t="s">
        <v>12</v>
      </c>
      <c r="B89">
        <f>IFERROR(VLOOKUP($A89,power_rankings,2,0)/(VLOOKUP($A89,power_rankings,2,0)+VLOOKUP(B$70,power_rankings,2,0))*(B21+HLOOKUP($A89,table_wins_h2h,MATCH(B$70,$A$2:$A$32,0),0)),0)</f>
        <v>0.65273382298589289</v>
      </c>
      <c r="C89">
        <f>IFERROR(VLOOKUP($A89,power_rankings,2,0)/(VLOOKUP($A89,power_rankings,2,0)+VLOOKUP(C$70,power_rankings,2,0))*(C21+HLOOKUP($A89,table_wins_h2h,MATCH(C$70,$A$2:$A$32,0),0)),0)</f>
        <v>1.3190163640958583</v>
      </c>
      <c r="D89">
        <f>IFERROR(VLOOKUP($A89,power_rankings,2,0)/(VLOOKUP($A89,power_rankings,2,0)+VLOOKUP(D$70,power_rankings,2,0))*(D21+HLOOKUP($A89,table_wins_h2h,MATCH(D$70,$A$2:$A$32,0),0)),0)</f>
        <v>1.2121808502917035</v>
      </c>
      <c r="E89">
        <f>IFERROR(VLOOKUP($A89,power_rankings,2,0)/(VLOOKUP($A89,power_rankings,2,0)+VLOOKUP(E$70,power_rankings,2,0))*(E21+HLOOKUP($A89,table_wins_h2h,MATCH(E$70,$A$2:$A$32,0),0)),0)</f>
        <v>1.3525850514580373</v>
      </c>
      <c r="F89">
        <f>IFERROR(VLOOKUP($A89,power_rankings,2,0)/(VLOOKUP($A89,power_rankings,2,0)+VLOOKUP(F$70,power_rankings,2,0))*(F21+HLOOKUP($A89,table_wins_h2h,MATCH(F$70,$A$2:$A$32,0),0)),0)</f>
        <v>0.9559218198741205</v>
      </c>
      <c r="G89">
        <f>IFERROR(VLOOKUP($A89,power_rankings,2,0)/(VLOOKUP($A89,power_rankings,2,0)+VLOOKUP(G$70,power_rankings,2,0))*(G21+HLOOKUP($A89,table_wins_h2h,MATCH(G$70,$A$2:$A$32,0),0)),0)</f>
        <v>0.84533021981001144</v>
      </c>
      <c r="H89">
        <f>IFERROR(VLOOKUP($A89,power_rankings,2,0)/(VLOOKUP($A89,power_rankings,2,0)+VLOOKUP(H$70,power_rankings,2,0))*(H21+HLOOKUP($A89,table_wins_h2h,MATCH(H$70,$A$2:$A$32,0),0)),0)</f>
        <v>1.8346196967168307</v>
      </c>
      <c r="I89">
        <f>IFERROR(VLOOKUP($A89,power_rankings,2,0)/(VLOOKUP($A89,power_rankings,2,0)+VLOOKUP(I$70,power_rankings,2,0))*(I21+HLOOKUP($A89,table_wins_h2h,MATCH(I$70,$A$2:$A$32,0),0)),0)</f>
        <v>2.8525482010596024</v>
      </c>
      <c r="J89">
        <f>IFERROR(VLOOKUP($A89,power_rankings,2,0)/(VLOOKUP($A89,power_rankings,2,0)+VLOOKUP(J$70,power_rankings,2,0))*(J21+HLOOKUP($A89,table_wins_h2h,MATCH(J$70,$A$2:$A$32,0),0)),0)</f>
        <v>1.3993664576585088</v>
      </c>
      <c r="K89">
        <f>IFERROR(VLOOKUP($A89,power_rankings,2,0)/(VLOOKUP($A89,power_rankings,2,0)+VLOOKUP(K$70,power_rankings,2,0))*(K21+HLOOKUP($A89,table_wins_h2h,MATCH(K$70,$A$2:$A$32,0),0)),0)</f>
        <v>0.77096130469475177</v>
      </c>
      <c r="L89">
        <f>IFERROR(VLOOKUP($A89,power_rankings,2,0)/(VLOOKUP($A89,power_rankings,2,0)+VLOOKUP(L$70,power_rankings,2,0))*(L21+HLOOKUP($A89,table_wins_h2h,MATCH(L$70,$A$2:$A$32,0),0)),0)</f>
        <v>1.5119777626211686</v>
      </c>
      <c r="M89">
        <f>IFERROR(VLOOKUP($A89,power_rankings,2,0)/(VLOOKUP($A89,power_rankings,2,0)+VLOOKUP(M$70,power_rankings,2,0))*(M21+HLOOKUP($A89,table_wins_h2h,MATCH(M$70,$A$2:$A$32,0),0)),0)</f>
        <v>1.2234491906885119</v>
      </c>
      <c r="N89">
        <f>IFERROR(VLOOKUP($A89,power_rankings,2,0)/(VLOOKUP($A89,power_rankings,2,0)+VLOOKUP(N$70,power_rankings,2,0))*(N21+HLOOKUP($A89,table_wins_h2h,MATCH(N$70,$A$2:$A$32,0),0)),0)</f>
        <v>1.0598710649300249</v>
      </c>
      <c r="O89">
        <f>IFERROR(VLOOKUP($A89,power_rankings,2,0)/(VLOOKUP($A89,power_rankings,2,0)+VLOOKUP(O$70,power_rankings,2,0))*(O21+HLOOKUP($A89,table_wins_h2h,MATCH(O$70,$A$2:$A$32,0),0)),0)</f>
        <v>3.3531321139760726</v>
      </c>
      <c r="P89">
        <f>IFERROR(VLOOKUP($A89,power_rankings,2,0)/(VLOOKUP($A89,power_rankings,2,0)+VLOOKUP(P$70,power_rankings,2,0))*(P21+HLOOKUP($A89,table_wins_h2h,MATCH(P$70,$A$2:$A$32,0),0)),0)</f>
        <v>1.4364746142464087</v>
      </c>
      <c r="Q89">
        <f>IFERROR(VLOOKUP($A89,power_rankings,2,0)/(VLOOKUP($A89,power_rankings,2,0)+VLOOKUP(Q$70,power_rankings,2,0))*(Q21+HLOOKUP($A89,table_wins_h2h,MATCH(Q$70,$A$2:$A$32,0),0)),0)</f>
        <v>1.2822730383922325</v>
      </c>
      <c r="R89">
        <f>IFERROR(VLOOKUP($A89,power_rankings,2,0)/(VLOOKUP($A89,power_rankings,2,0)+VLOOKUP(R$70,power_rankings,2,0))*(R21+HLOOKUP($A89,table_wins_h2h,MATCH(R$70,$A$2:$A$32,0),0)),0)</f>
        <v>1.1693595763249884</v>
      </c>
      <c r="S89">
        <f>IFERROR(VLOOKUP($A89,power_rankings,2,0)/(VLOOKUP($A89,power_rankings,2,0)+VLOOKUP(S$70,power_rankings,2,0))*(S21+HLOOKUP($A89,table_wins_h2h,MATCH(S$70,$A$2:$A$32,0),0)),0)</f>
        <v>3.5147184746910805</v>
      </c>
      <c r="T89">
        <f>IFERROR(VLOOKUP($A89,power_rankings,2,0)/(VLOOKUP($A89,power_rankings,2,0)+VLOOKUP(T$70,power_rankings,2,0))*(T21+HLOOKUP($A89,table_wins_h2h,MATCH(T$70,$A$2:$A$32,0),0)),0)</f>
        <v>0</v>
      </c>
      <c r="U89">
        <f>IFERROR(VLOOKUP($A89,power_rankings,2,0)/(VLOOKUP($A89,power_rankings,2,0)+VLOOKUP(U$70,power_rankings,2,0))*(U21+HLOOKUP($A89,table_wins_h2h,MATCH(U$70,$A$2:$A$32,0),0)),0)</f>
        <v>1.7342294729337011</v>
      </c>
      <c r="V89">
        <f>IFERROR(VLOOKUP($A89,power_rankings,2,0)/(VLOOKUP($A89,power_rankings,2,0)+VLOOKUP(V$70,power_rankings,2,0))*(V21+HLOOKUP($A89,table_wins_h2h,MATCH(V$70,$A$2:$A$32,0),0)),0)</f>
        <v>2.1743802852235814</v>
      </c>
      <c r="W89">
        <f>IFERROR(VLOOKUP($A89,power_rankings,2,0)/(VLOOKUP($A89,power_rankings,2,0)+VLOOKUP(W$70,power_rankings,2,0))*(W21+HLOOKUP($A89,table_wins_h2h,MATCH(W$70,$A$2:$A$32,0),0)),0)</f>
        <v>1.5851889639001351</v>
      </c>
      <c r="X89">
        <f>IFERROR(VLOOKUP($A89,power_rankings,2,0)/(VLOOKUP($A89,power_rankings,2,0)+VLOOKUP(X$70,power_rankings,2,0))*(X21+HLOOKUP($A89,table_wins_h2h,MATCH(X$70,$A$2:$A$32,0),0)),0)</f>
        <v>1.7111843750255729</v>
      </c>
      <c r="Y89">
        <f>IFERROR(VLOOKUP($A89,power_rankings,2,0)/(VLOOKUP($A89,power_rankings,2,0)+VLOOKUP(Y$70,power_rankings,2,0))*(Y21+HLOOKUP($A89,table_wins_h2h,MATCH(Y$70,$A$2:$A$32,0),0)),0)</f>
        <v>1.8659262546460849</v>
      </c>
      <c r="Z89">
        <f>IFERROR(VLOOKUP($A89,power_rankings,2,0)/(VLOOKUP($A89,power_rankings,2,0)+VLOOKUP(Z$70,power_rankings,2,0))*(Z21+HLOOKUP($A89,table_wins_h2h,MATCH(Z$70,$A$2:$A$32,0),0)),0)</f>
        <v>1.2981562996566534</v>
      </c>
      <c r="AA89">
        <f>IFERROR(VLOOKUP($A89,power_rankings,2,0)/(VLOOKUP($A89,power_rankings,2,0)+VLOOKUP(AA$70,power_rankings,2,0))*(AA21+HLOOKUP($A89,table_wins_h2h,MATCH(AA$70,$A$2:$A$32,0),0)),0)</f>
        <v>1.5721203279937155</v>
      </c>
      <c r="AB89">
        <f>IFERROR(VLOOKUP($A89,power_rankings,2,0)/(VLOOKUP($A89,power_rankings,2,0)+VLOOKUP(AB$70,power_rankings,2,0))*(AB21+HLOOKUP($A89,table_wins_h2h,MATCH(AB$70,$A$2:$A$32,0),0)),0)</f>
        <v>2.8399128926908874</v>
      </c>
      <c r="AC89">
        <f>IFERROR(VLOOKUP($A89,power_rankings,2,0)/(VLOOKUP($A89,power_rankings,2,0)+VLOOKUP(AC$70,power_rankings,2,0))*(AC21+HLOOKUP($A89,table_wins_h2h,MATCH(AC$70,$A$2:$A$32,0),0)),0)</f>
        <v>1.0379099402385821</v>
      </c>
      <c r="AD89">
        <f>IFERROR(VLOOKUP($A89,power_rankings,2,0)/(VLOOKUP($A89,power_rankings,2,0)+VLOOKUP(AD$70,power_rankings,2,0))*(AD21+HLOOKUP($A89,table_wins_h2h,MATCH(AD$70,$A$2:$A$32,0),0)),0)</f>
        <v>1.8220070714850412</v>
      </c>
      <c r="AE89">
        <f>IFERROR(VLOOKUP($A89,power_rankings,2,0)/(VLOOKUP($A89,power_rankings,2,0)+VLOOKUP(AE$70,power_rankings,2,0))*(AE21+HLOOKUP($A89,table_wins_h2h,MATCH(AE$70,$A$2:$A$32,0),0)),0)</f>
        <v>1.0922517261718498</v>
      </c>
      <c r="AG89">
        <f t="shared" si="0"/>
        <v>46.48</v>
      </c>
      <c r="AH89">
        <f>VLOOKUP(A89,d_win_totals!$C$2:$E$31,3,0)</f>
        <v>30</v>
      </c>
      <c r="AI89">
        <f t="shared" si="1"/>
        <v>-16.479999999999997</v>
      </c>
    </row>
    <row r="90" spans="1:35" x14ac:dyDescent="0.25">
      <c r="A90" t="s">
        <v>31</v>
      </c>
      <c r="B90">
        <f>IFERROR(VLOOKUP($A90,power_rankings,2,0)/(VLOOKUP($A90,power_rankings,2,0)+VLOOKUP(B$70,power_rankings,2,0))*(B22+HLOOKUP($A90,table_wins_h2h,MATCH(B$70,$A$2:$A$32,0),0)),0)</f>
        <v>0.20734797113057826</v>
      </c>
      <c r="C90">
        <f>IFERROR(VLOOKUP($A90,power_rankings,2,0)/(VLOOKUP($A90,power_rankings,2,0)+VLOOKUP(C$70,power_rankings,2,0))*(C22+HLOOKUP($A90,table_wins_h2h,MATCH(C$70,$A$2:$A$32,0),0)),0)</f>
        <v>0.91556532994397111</v>
      </c>
      <c r="D90">
        <f>IFERROR(VLOOKUP($A90,power_rankings,2,0)/(VLOOKUP($A90,power_rankings,2,0)+VLOOKUP(D$70,power_rankings,2,0))*(D22+HLOOKUP($A90,table_wins_h2h,MATCH(D$70,$A$2:$A$32,0),0)),0)</f>
        <v>0.76322651340636127</v>
      </c>
      <c r="E90">
        <f>IFERROR(VLOOKUP($A90,power_rankings,2,0)/(VLOOKUP($A90,power_rankings,2,0)+VLOOKUP(E$70,power_rankings,2,0))*(E22+HLOOKUP($A90,table_wins_h2h,MATCH(E$70,$A$2:$A$32,0),0)),0)</f>
        <v>0.97008968899536829</v>
      </c>
      <c r="F90">
        <f>IFERROR(VLOOKUP($A90,power_rankings,2,0)/(VLOOKUP($A90,power_rankings,2,0)+VLOOKUP(F$70,power_rankings,2,0))*(F22+HLOOKUP($A90,table_wins_h2h,MATCH(F$70,$A$2:$A$32,0),0)),0)</f>
        <v>0.3691371975437483</v>
      </c>
      <c r="G90">
        <f>IFERROR(VLOOKUP($A90,power_rankings,2,0)/(VLOOKUP($A90,power_rankings,2,0)+VLOOKUP(G$70,power_rankings,2,0))*(G22+HLOOKUP($A90,table_wins_h2h,MATCH(G$70,$A$2:$A$32,0),0)),0)</f>
        <v>0.30262836808283256</v>
      </c>
      <c r="H90">
        <f>IFERROR(VLOOKUP($A90,power_rankings,2,0)/(VLOOKUP($A90,power_rankings,2,0)+VLOOKUP(H$70,power_rankings,2,0))*(H22+HLOOKUP($A90,table_wins_h2h,MATCH(H$70,$A$2:$A$32,0),0)),0)</f>
        <v>0.22983954781734808</v>
      </c>
      <c r="I90">
        <f>IFERROR(VLOOKUP($A90,power_rankings,2,0)/(VLOOKUP($A90,power_rankings,2,0)+VLOOKUP(I$70,power_rankings,2,0))*(I22+HLOOKUP($A90,table_wins_h2h,MATCH(I$70,$A$2:$A$32,0),0)),0)</f>
        <v>0.55174999154256366</v>
      </c>
      <c r="J90">
        <f>IFERROR(VLOOKUP($A90,power_rankings,2,0)/(VLOOKUP($A90,power_rankings,2,0)+VLOOKUP(J$70,power_rankings,2,0))*(J22+HLOOKUP($A90,table_wins_h2h,MATCH(J$70,$A$2:$A$32,0),0)),0)</f>
        <v>1.0524175739758161</v>
      </c>
      <c r="K90">
        <f>IFERROR(VLOOKUP($A90,power_rankings,2,0)/(VLOOKUP($A90,power_rankings,2,0)+VLOOKUP(K$70,power_rankings,2,0))*(K22+HLOOKUP($A90,table_wins_h2h,MATCH(K$70,$A$2:$A$32,0),0)),0)</f>
        <v>7.0596418164537128E-2</v>
      </c>
      <c r="L90">
        <f>IFERROR(VLOOKUP($A90,power_rankings,2,0)/(VLOOKUP($A90,power_rankings,2,0)+VLOOKUP(L$70,power_rankings,2,0))*(L22+HLOOKUP($A90,table_wins_h2h,MATCH(L$70,$A$2:$A$32,0),0)),0)</f>
        <v>0.17039209014915382</v>
      </c>
      <c r="M90">
        <f>IFERROR(VLOOKUP($A90,power_rankings,2,0)/(VLOOKUP($A90,power_rankings,2,0)+VLOOKUP(M$70,power_rankings,2,0))*(M22+HLOOKUP($A90,table_wins_h2h,MATCH(M$70,$A$2:$A$32,0),0)),0)</f>
        <v>0.77794553669649202</v>
      </c>
      <c r="N90">
        <f>IFERROR(VLOOKUP($A90,power_rankings,2,0)/(VLOOKUP($A90,power_rankings,2,0)+VLOOKUP(N$70,power_rankings,2,0))*(N22+HLOOKUP($A90,table_wins_h2h,MATCH(N$70,$A$2:$A$32,0),0)),0)</f>
        <v>0.15450271276005878</v>
      </c>
      <c r="O90">
        <f>IFERROR(VLOOKUP($A90,power_rankings,2,0)/(VLOOKUP($A90,power_rankings,2,0)+VLOOKUP(O$70,power_rankings,2,0))*(O22+HLOOKUP($A90,table_wins_h2h,MATCH(O$70,$A$2:$A$32,0),0)),0)</f>
        <v>0.88541687232180344</v>
      </c>
      <c r="P90">
        <f>IFERROR(VLOOKUP($A90,power_rankings,2,0)/(VLOOKUP($A90,power_rankings,2,0)+VLOOKUP(P$70,power_rankings,2,0))*(P22+HLOOKUP($A90,table_wins_h2h,MATCH(P$70,$A$2:$A$32,0),0)),0)</f>
        <v>0.15816530981936752</v>
      </c>
      <c r="Q90">
        <f>IFERROR(VLOOKUP($A90,power_rankings,2,0)/(VLOOKUP($A90,power_rankings,2,0)+VLOOKUP(Q$70,power_rankings,2,0))*(Q22+HLOOKUP($A90,table_wins_h2h,MATCH(Q$70,$A$2:$A$32,0),0)),0)</f>
        <v>0.64482828779339652</v>
      </c>
      <c r="R90">
        <f>IFERROR(VLOOKUP($A90,power_rankings,2,0)/(VLOOKUP($A90,power_rankings,2,0)+VLOOKUP(R$70,power_rankings,2,0))*(R22+HLOOKUP($A90,table_wins_h2h,MATCH(R$70,$A$2:$A$32,0),0)),0)</f>
        <v>0.70982900098657375</v>
      </c>
      <c r="S90">
        <f>IFERROR(VLOOKUP($A90,power_rankings,2,0)/(VLOOKUP($A90,power_rankings,2,0)+VLOOKUP(S$70,power_rankings,2,0))*(S22+HLOOKUP($A90,table_wins_h2h,MATCH(S$70,$A$2:$A$32,0),0)),0)</f>
        <v>1.0521029207428909</v>
      </c>
      <c r="T90">
        <f>IFERROR(VLOOKUP($A90,power_rankings,2,0)/(VLOOKUP($A90,power_rankings,2,0)+VLOOKUP(T$70,power_rankings,2,0))*(T22+HLOOKUP($A90,table_wins_h2h,MATCH(T$70,$A$2:$A$32,0),0)),0)</f>
        <v>0.26577052706629867</v>
      </c>
      <c r="U90">
        <f>IFERROR(VLOOKUP($A90,power_rankings,2,0)/(VLOOKUP($A90,power_rankings,2,0)+VLOOKUP(U$70,power_rankings,2,0))*(U22+HLOOKUP($A90,table_wins_h2h,MATCH(U$70,$A$2:$A$32,0),0)),0)</f>
        <v>0</v>
      </c>
      <c r="V90">
        <f>IFERROR(VLOOKUP($A90,power_rankings,2,0)/(VLOOKUP($A90,power_rankings,2,0)+VLOOKUP(V$70,power_rankings,2,0))*(V22+HLOOKUP($A90,table_wins_h2h,MATCH(V$70,$A$2:$A$32,0),0)),0)</f>
        <v>0.30870568583328239</v>
      </c>
      <c r="W90">
        <f>IFERROR(VLOOKUP($A90,power_rankings,2,0)/(VLOOKUP($A90,power_rankings,2,0)+VLOOKUP(W$70,power_rankings,2,0))*(W22+HLOOKUP($A90,table_wins_h2h,MATCH(W$70,$A$2:$A$32,0),0)),0)</f>
        <v>1.4773598592018058</v>
      </c>
      <c r="X90">
        <f>IFERROR(VLOOKUP($A90,power_rankings,2,0)/(VLOOKUP($A90,power_rankings,2,0)+VLOOKUP(X$70,power_rankings,2,0))*(X22+HLOOKUP($A90,table_wins_h2h,MATCH(X$70,$A$2:$A$32,0),0)),0)</f>
        <v>1.9035421808131727</v>
      </c>
      <c r="Y90">
        <f>IFERROR(VLOOKUP($A90,power_rankings,2,0)/(VLOOKUP($A90,power_rankings,2,0)+VLOOKUP(Y$70,power_rankings,2,0))*(Y22+HLOOKUP($A90,table_wins_h2h,MATCH(Y$70,$A$2:$A$32,0),0)),0)</f>
        <v>0.4027431729377538</v>
      </c>
      <c r="Z90">
        <f>IFERROR(VLOOKUP($A90,power_rankings,2,0)/(VLOOKUP($A90,power_rankings,2,0)+VLOOKUP(Z$70,power_rankings,2,0))*(Z22+HLOOKUP($A90,table_wins_h2h,MATCH(Z$70,$A$2:$A$32,0),0)),0)</f>
        <v>0.2093263979005672</v>
      </c>
      <c r="AA90">
        <f>IFERROR(VLOOKUP($A90,power_rankings,2,0)/(VLOOKUP($A90,power_rankings,2,0)+VLOOKUP(AA$70,power_rankings,2,0))*(AA22+HLOOKUP($A90,table_wins_h2h,MATCH(AA$70,$A$2:$A$32,0),0)),0)</f>
        <v>0.18055057181224057</v>
      </c>
      <c r="AB90">
        <f>IFERROR(VLOOKUP($A90,power_rankings,2,0)/(VLOOKUP($A90,power_rankings,2,0)+VLOOKUP(AB$70,power_rankings,2,0))*(AB22+HLOOKUP($A90,table_wins_h2h,MATCH(AB$70,$A$2:$A$32,0),0)),0)</f>
        <v>0.54562208893519881</v>
      </c>
      <c r="AC90">
        <f>IFERROR(VLOOKUP($A90,power_rankings,2,0)/(VLOOKUP($A90,power_rankings,2,0)+VLOOKUP(AC$70,power_rankings,2,0))*(AC22+HLOOKUP($A90,table_wins_h2h,MATCH(AC$70,$A$2:$A$32,0),0)),0)</f>
        <v>0.56748752953104142</v>
      </c>
      <c r="AD90">
        <f>IFERROR(VLOOKUP($A90,power_rankings,2,0)/(VLOOKUP($A90,power_rankings,2,0)+VLOOKUP(AD$70,power_rankings,2,0))*(AD22+HLOOKUP($A90,table_wins_h2h,MATCH(AD$70,$A$2:$A$32,0),0)),0)</f>
        <v>0.38322741248536918</v>
      </c>
      <c r="AE90">
        <f>IFERROR(VLOOKUP($A90,power_rankings,2,0)/(VLOOKUP($A90,power_rankings,2,0)+VLOOKUP(AE$70,power_rankings,2,0))*(AE22+HLOOKUP($A90,table_wins_h2h,MATCH(AE$70,$A$2:$A$32,0),0)),0)</f>
        <v>0.62275851980882069</v>
      </c>
      <c r="AG90">
        <f t="shared" si="0"/>
        <v>16.850000000000001</v>
      </c>
      <c r="AH90">
        <f>VLOOKUP(A90,d_win_totals!$C$2:$E$31,3,0)</f>
        <v>32</v>
      </c>
      <c r="AI90">
        <f t="shared" si="1"/>
        <v>15.149999999999999</v>
      </c>
    </row>
    <row r="91" spans="1:35" x14ac:dyDescent="0.25">
      <c r="A91" t="s">
        <v>38</v>
      </c>
      <c r="B91">
        <f>IFERROR(VLOOKUP($A91,power_rankings,2,0)/(VLOOKUP($A91,power_rankings,2,0)+VLOOKUP(B$70,power_rankings,2,0))*(B23+HLOOKUP($A91,table_wins_h2h,MATCH(B$70,$A$2:$A$32,0),0)),0)</f>
        <v>0.57831163961559229</v>
      </c>
      <c r="C91">
        <f>IFERROR(VLOOKUP($A91,power_rankings,2,0)/(VLOOKUP($A91,power_rankings,2,0)+VLOOKUP(C$70,power_rankings,2,0))*(C23+HLOOKUP($A91,table_wins_h2h,MATCH(C$70,$A$2:$A$32,0),0)),0)</f>
        <v>1.2384589775657038</v>
      </c>
      <c r="D91">
        <f>IFERROR(VLOOKUP($A91,power_rankings,2,0)/(VLOOKUP($A91,power_rankings,2,0)+VLOOKUP(D$70,power_rankings,2,0))*(D23+HLOOKUP($A91,table_wins_h2h,MATCH(D$70,$A$2:$A$32,0),0)),0)</f>
        <v>1.1273466303503847</v>
      </c>
      <c r="E91">
        <f>IFERROR(VLOOKUP($A91,power_rankings,2,0)/(VLOOKUP($A91,power_rankings,2,0)+VLOOKUP(E$70,power_rankings,2,0))*(E23+HLOOKUP($A91,table_wins_h2h,MATCH(E$70,$A$2:$A$32,0),0)),0)</f>
        <v>1.273812434531618</v>
      </c>
      <c r="F91">
        <f>IFERROR(VLOOKUP($A91,power_rankings,2,0)/(VLOOKUP($A91,power_rankings,2,0)+VLOOKUP(F$70,power_rankings,2,0))*(F23+HLOOKUP($A91,table_wins_h2h,MATCH(F$70,$A$2:$A$32,0),0)),0)</f>
        <v>0.86923423400649513</v>
      </c>
      <c r="G91">
        <f>IFERROR(VLOOKUP($A91,power_rankings,2,0)/(VLOOKUP($A91,power_rankings,2,0)+VLOOKUP(G$70,power_rankings,2,0))*(G23+HLOOKUP($A91,table_wins_h2h,MATCH(G$70,$A$2:$A$32,0),0)),0)</f>
        <v>0.76135832254103386</v>
      </c>
      <c r="H91">
        <f>IFERROR(VLOOKUP($A91,power_rankings,2,0)/(VLOOKUP($A91,power_rankings,2,0)+VLOOKUP(H$70,power_rankings,2,0))*(H23+HLOOKUP($A91,table_wins_h2h,MATCH(H$70,$A$2:$A$32,0),0)),0)</f>
        <v>1.6626714712889101</v>
      </c>
      <c r="I91">
        <f>IFERROR(VLOOKUP($A91,power_rankings,2,0)/(VLOOKUP($A91,power_rankings,2,0)+VLOOKUP(I$70,power_rankings,2,0))*(I23+HLOOKUP($A91,table_wins_h2h,MATCH(I$70,$A$2:$A$32,0),0)),0)</f>
        <v>2.7043462834484919</v>
      </c>
      <c r="J91">
        <f>IFERROR(VLOOKUP($A91,power_rankings,2,0)/(VLOOKUP($A91,power_rankings,2,0)+VLOOKUP(J$70,power_rankings,2,0))*(J23+HLOOKUP($A91,table_wins_h2h,MATCH(J$70,$A$2:$A$32,0),0)),0)</f>
        <v>1.3234387158335132</v>
      </c>
      <c r="K91">
        <f>IFERROR(VLOOKUP($A91,power_rankings,2,0)/(VLOOKUP($A91,power_rankings,2,0)+VLOOKUP(K$70,power_rankings,2,0))*(K23+HLOOKUP($A91,table_wins_h2h,MATCH(K$70,$A$2:$A$32,0),0)),0)</f>
        <v>0.66795218098852194</v>
      </c>
      <c r="L91">
        <f>IFERROR(VLOOKUP($A91,power_rankings,2,0)/(VLOOKUP($A91,power_rankings,2,0)+VLOOKUP(L$70,power_rankings,2,0))*(L23+HLOOKUP($A91,table_wins_h2h,MATCH(L$70,$A$2:$A$32,0),0)),0)</f>
        <v>1.0135475608747482</v>
      </c>
      <c r="M91">
        <f>IFERROR(VLOOKUP($A91,power_rankings,2,0)/(VLOOKUP($A91,power_rankings,2,0)+VLOOKUP(M$70,power_rankings,2,0))*(M23+HLOOKUP($A91,table_wins_h2h,MATCH(M$70,$A$2:$A$32,0),0)),0)</f>
        <v>1.1389664716438468</v>
      </c>
      <c r="N91">
        <f>IFERROR(VLOOKUP($A91,power_rankings,2,0)/(VLOOKUP($A91,power_rankings,2,0)+VLOOKUP(N$70,power_rankings,2,0))*(N23+HLOOKUP($A91,table_wins_h2h,MATCH(N$70,$A$2:$A$32,0),0)),0)</f>
        <v>0.94332735738752049</v>
      </c>
      <c r="O91">
        <f>IFERROR(VLOOKUP($A91,power_rankings,2,0)/(VLOOKUP($A91,power_rankings,2,0)+VLOOKUP(O$70,power_rankings,2,0))*(O23+HLOOKUP($A91,table_wins_h2h,MATCH(O$70,$A$2:$A$32,0),0)),0)</f>
        <v>2.4394839259476537</v>
      </c>
      <c r="P91">
        <f>IFERROR(VLOOKUP($A91,power_rankings,2,0)/(VLOOKUP($A91,power_rankings,2,0)+VLOOKUP(P$70,power_rankings,2,0))*(P23+HLOOKUP($A91,table_wins_h2h,MATCH(P$70,$A$2:$A$32,0),0)),0)</f>
        <v>1.2797877329228395</v>
      </c>
      <c r="Q91">
        <f>IFERROR(VLOOKUP($A91,power_rankings,2,0)/(VLOOKUP($A91,power_rankings,2,0)+VLOOKUP(Q$70,power_rankings,2,0))*(Q23+HLOOKUP($A91,table_wins_h2h,MATCH(Q$70,$A$2:$A$32,0),0)),0)</f>
        <v>1.2000053118061447</v>
      </c>
      <c r="R91">
        <f>IFERROR(VLOOKUP($A91,power_rankings,2,0)/(VLOOKUP($A91,power_rankings,2,0)+VLOOKUP(R$70,power_rankings,2,0))*(R23+HLOOKUP($A91,table_wins_h2h,MATCH(R$70,$A$2:$A$32,0),0)),0)</f>
        <v>1.0834009729807825</v>
      </c>
      <c r="S91">
        <f>IFERROR(VLOOKUP($A91,power_rankings,2,0)/(VLOOKUP($A91,power_rankings,2,0)+VLOOKUP(S$70,power_rankings,2,0))*(S23+HLOOKUP($A91,table_wins_h2h,MATCH(S$70,$A$2:$A$32,0),0)),0)</f>
        <v>3.4351042355600199</v>
      </c>
      <c r="T91">
        <f>IFERROR(VLOOKUP($A91,power_rankings,2,0)/(VLOOKUP($A91,power_rankings,2,0)+VLOOKUP(T$70,power_rankings,2,0))*(T23+HLOOKUP($A91,table_wins_h2h,MATCH(T$70,$A$2:$A$32,0),0)),0)</f>
        <v>1.8256197147764184</v>
      </c>
      <c r="U91">
        <f>IFERROR(VLOOKUP($A91,power_rankings,2,0)/(VLOOKUP($A91,power_rankings,2,0)+VLOOKUP(U$70,power_rankings,2,0))*(U23+HLOOKUP($A91,table_wins_h2h,MATCH(U$70,$A$2:$A$32,0),0)),0)</f>
        <v>1.6912943141667176</v>
      </c>
      <c r="V91">
        <f>IFERROR(VLOOKUP($A91,power_rankings,2,0)/(VLOOKUP($A91,power_rankings,2,0)+VLOOKUP(V$70,power_rankings,2,0))*(V23+HLOOKUP($A91,table_wins_h2h,MATCH(V$70,$A$2:$A$32,0),0)),0)</f>
        <v>0</v>
      </c>
      <c r="W91">
        <f>IFERROR(VLOOKUP($A91,power_rankings,2,0)/(VLOOKUP($A91,power_rankings,2,0)+VLOOKUP(W$70,power_rankings,2,0))*(W23+HLOOKUP($A91,table_wins_h2h,MATCH(W$70,$A$2:$A$32,0),0)),0)</f>
        <v>1.5247742239201563</v>
      </c>
      <c r="X91">
        <f>IFERROR(VLOOKUP($A91,power_rankings,2,0)/(VLOOKUP($A91,power_rankings,2,0)+VLOOKUP(X$70,power_rankings,2,0))*(X23+HLOOKUP($A91,table_wins_h2h,MATCH(X$70,$A$2:$A$32,0),0)),0)</f>
        <v>1.6652449168954142</v>
      </c>
      <c r="Y91">
        <f>IFERROR(VLOOKUP($A91,power_rankings,2,0)/(VLOOKUP($A91,power_rankings,2,0)+VLOOKUP(Y$70,power_rankings,2,0))*(Y23+HLOOKUP($A91,table_wins_h2h,MATCH(Y$70,$A$2:$A$32,0),0)),0)</f>
        <v>2.3203349466186625</v>
      </c>
      <c r="Z91">
        <f>IFERROR(VLOOKUP($A91,power_rankings,2,0)/(VLOOKUP($A91,power_rankings,2,0)+VLOOKUP(Z$70,power_rankings,2,0))*(Z23+HLOOKUP($A91,table_wins_h2h,MATCH(Z$70,$A$2:$A$32,0),0)),0)</f>
        <v>1.561637873696951</v>
      </c>
      <c r="AA91">
        <f>IFERROR(VLOOKUP($A91,power_rankings,2,0)/(VLOOKUP($A91,power_rankings,2,0)+VLOOKUP(AA$70,power_rankings,2,0))*(AA23+HLOOKUP($A91,table_wins_h2h,MATCH(AA$70,$A$2:$A$32,0),0)),0)</f>
        <v>1.0565764095501549</v>
      </c>
      <c r="AB91">
        <f>IFERROR(VLOOKUP($A91,power_rankings,2,0)/(VLOOKUP($A91,power_rankings,2,0)+VLOOKUP(AB$70,power_rankings,2,0))*(AB23+HLOOKUP($A91,table_wins_h2h,MATCH(AB$70,$A$2:$A$32,0),0)),0)</f>
        <v>2.6908280089848464</v>
      </c>
      <c r="AC91">
        <f>IFERROR(VLOOKUP($A91,power_rankings,2,0)/(VLOOKUP($A91,power_rankings,2,0)+VLOOKUP(AC$70,power_rankings,2,0))*(AC23+HLOOKUP($A91,table_wins_h2h,MATCH(AC$70,$A$2:$A$32,0),0)),0)</f>
        <v>0.95055636797573928</v>
      </c>
      <c r="AD91">
        <f>IFERROR(VLOOKUP($A91,power_rankings,2,0)/(VLOOKUP($A91,power_rankings,2,0)+VLOOKUP(AD$70,power_rankings,2,0))*(AD23+HLOOKUP($A91,table_wins_h2h,MATCH(AD$70,$A$2:$A$32,0),0)),0)</f>
        <v>2.2598256935875836</v>
      </c>
      <c r="AE91">
        <f>IFERROR(VLOOKUP($A91,power_rankings,2,0)/(VLOOKUP($A91,power_rankings,2,0)+VLOOKUP(AE$70,power_rankings,2,0))*(AE23+HLOOKUP($A91,table_wins_h2h,MATCH(AE$70,$A$2:$A$32,0),0)),0)</f>
        <v>1.0051026262339389</v>
      </c>
      <c r="AG91">
        <f t="shared" si="0"/>
        <v>43.29</v>
      </c>
      <c r="AH91">
        <f>VLOOKUP(A91,d_win_totals!$C$2:$E$31,3,0)</f>
        <v>55</v>
      </c>
      <c r="AI91">
        <f t="shared" si="1"/>
        <v>11.71</v>
      </c>
    </row>
    <row r="92" spans="1:35" x14ac:dyDescent="0.25">
      <c r="A92" t="s">
        <v>13</v>
      </c>
      <c r="B92">
        <f>IFERROR(VLOOKUP($A92,power_rankings,2,0)/(VLOOKUP($A92,power_rankings,2,0)+VLOOKUP(B$70,power_rankings,2,0))*(B24+HLOOKUP($A92,table_wins_h2h,MATCH(B$70,$A$2:$A$32,0),0)),0)</f>
        <v>0.45006236316135889</v>
      </c>
      <c r="C92">
        <f>IFERROR(VLOOKUP($A92,power_rankings,2,0)/(VLOOKUP($A92,power_rankings,2,0)+VLOOKUP(C$70,power_rankings,2,0))*(C24+HLOOKUP($A92,table_wins_h2h,MATCH(C$70,$A$2:$A$32,0),0)),0)</f>
        <v>1.0090969319310661</v>
      </c>
      <c r="D92">
        <f>IFERROR(VLOOKUP($A92,power_rankings,2,0)/(VLOOKUP($A92,power_rankings,2,0)+VLOOKUP(D$70,power_rankings,2,0))*(D24+HLOOKUP($A92,table_wins_h2h,MATCH(D$70,$A$2:$A$32,0),0)),0)</f>
        <v>1.1482219973475121</v>
      </c>
      <c r="E92">
        <f>IFERROR(VLOOKUP($A92,power_rankings,2,0)/(VLOOKUP($A92,power_rankings,2,0)+VLOOKUP(E$70,power_rankings,2,0))*(E24+HLOOKUP($A92,table_wins_h2h,MATCH(E$70,$A$2:$A$32,0),0)),0)</f>
        <v>1.4138531518688922</v>
      </c>
      <c r="F92">
        <f>IFERROR(VLOOKUP($A92,power_rankings,2,0)/(VLOOKUP($A92,power_rankings,2,0)+VLOOKUP(F$70,power_rankings,2,0))*(F24+HLOOKUP($A92,table_wins_h2h,MATCH(F$70,$A$2:$A$32,0),0)),0)</f>
        <v>0.77311213669993228</v>
      </c>
      <c r="G92">
        <f>IFERROR(VLOOKUP($A92,power_rankings,2,0)/(VLOOKUP($A92,power_rankings,2,0)+VLOOKUP(G$70,power_rankings,2,0))*(G24+HLOOKUP($A92,table_wins_h2h,MATCH(G$70,$A$2:$A$32,0),0)),0)</f>
        <v>0.48232290470862793</v>
      </c>
      <c r="H92">
        <f>IFERROR(VLOOKUP($A92,power_rankings,2,0)/(VLOOKUP($A92,power_rankings,2,0)+VLOOKUP(H$70,power_rankings,2,0))*(H24+HLOOKUP($A92,table_wins_h2h,MATCH(H$70,$A$2:$A$32,0),0)),0)</f>
        <v>0.36294745218598279</v>
      </c>
      <c r="I92">
        <f>IFERROR(VLOOKUP($A92,power_rankings,2,0)/(VLOOKUP($A92,power_rankings,2,0)+VLOOKUP(I$70,power_rankings,2,0))*(I24+HLOOKUP($A92,table_wins_h2h,MATCH(I$70,$A$2:$A$32,0),0)),0)</f>
        <v>0.7882685313904727</v>
      </c>
      <c r="J92">
        <f>IFERROR(VLOOKUP($A92,power_rankings,2,0)/(VLOOKUP($A92,power_rankings,2,0)+VLOOKUP(J$70,power_rankings,2,0))*(J24+HLOOKUP($A92,table_wins_h2h,MATCH(J$70,$A$2:$A$32,0),0)),0)</f>
        <v>1.5150106204292932</v>
      </c>
      <c r="K92">
        <f>IFERROR(VLOOKUP($A92,power_rankings,2,0)/(VLOOKUP($A92,power_rankings,2,0)+VLOOKUP(K$70,power_rankings,2,0))*(K24+HLOOKUP($A92,table_wins_h2h,MATCH(K$70,$A$2:$A$32,0),0)),0)</f>
        <v>0.11760845816968014</v>
      </c>
      <c r="L92">
        <f>IFERROR(VLOOKUP($A92,power_rankings,2,0)/(VLOOKUP($A92,power_rankings,2,0)+VLOOKUP(L$70,power_rankings,2,0))*(L24+HLOOKUP($A92,table_wins_h2h,MATCH(L$70,$A$2:$A$32,0),0)),0)</f>
        <v>0.27440895869459736</v>
      </c>
      <c r="M92">
        <f>IFERROR(VLOOKUP($A92,power_rankings,2,0)/(VLOOKUP($A92,power_rankings,2,0)+VLOOKUP(M$70,power_rankings,2,0))*(M24+HLOOKUP($A92,table_wins_h2h,MATCH(M$70,$A$2:$A$32,0),0)),0)</f>
        <v>0.87576542720454054</v>
      </c>
      <c r="N92">
        <f>IFERROR(VLOOKUP($A92,power_rankings,2,0)/(VLOOKUP($A92,power_rankings,2,0)+VLOOKUP(N$70,power_rankings,2,0))*(N24+HLOOKUP($A92,table_wins_h2h,MATCH(N$70,$A$2:$A$32,0),0)),0)</f>
        <v>0.25014597846269887</v>
      </c>
      <c r="O92">
        <f>IFERROR(VLOOKUP($A92,power_rankings,2,0)/(VLOOKUP($A92,power_rankings,2,0)+VLOOKUP(O$70,power_rankings,2,0))*(O24+HLOOKUP($A92,table_wins_h2h,MATCH(O$70,$A$2:$A$32,0),0)),0)</f>
        <v>1.1512662897193162</v>
      </c>
      <c r="P92">
        <f>IFERROR(VLOOKUP($A92,power_rankings,2,0)/(VLOOKUP($A92,power_rankings,2,0)+VLOOKUP(P$70,power_rankings,2,0))*(P24+HLOOKUP($A92,table_wins_h2h,MATCH(P$70,$A$2:$A$32,0),0)),0)</f>
        <v>0.25576165055544114</v>
      </c>
      <c r="Q92">
        <f>IFERROR(VLOOKUP($A92,power_rankings,2,0)/(VLOOKUP($A92,power_rankings,2,0)+VLOOKUP(Q$70,power_rankings,2,0))*(Q24+HLOOKUP($A92,table_wins_h2h,MATCH(Q$70,$A$2:$A$32,0),0)),0)</f>
        <v>1.2742937679198418</v>
      </c>
      <c r="R92">
        <f>IFERROR(VLOOKUP($A92,power_rankings,2,0)/(VLOOKUP($A92,power_rankings,2,0)+VLOOKUP(R$70,power_rankings,2,0))*(R24+HLOOKUP($A92,table_wins_h2h,MATCH(R$70,$A$2:$A$32,0),0)),0)</f>
        <v>1.0768502997970724</v>
      </c>
      <c r="S92">
        <f>IFERROR(VLOOKUP($A92,power_rankings,2,0)/(VLOOKUP($A92,power_rankings,2,0)+VLOOKUP(S$70,power_rankings,2,0))*(S24+HLOOKUP($A92,table_wins_h2h,MATCH(S$70,$A$2:$A$32,0),0)),0)</f>
        <v>1.3092128909912042</v>
      </c>
      <c r="T92">
        <f>IFERROR(VLOOKUP($A92,power_rankings,2,0)/(VLOOKUP($A92,power_rankings,2,0)+VLOOKUP(T$70,power_rankings,2,0))*(T24+HLOOKUP($A92,table_wins_h2h,MATCH(T$70,$A$2:$A$32,0),0)),0)</f>
        <v>0.41481103609986486</v>
      </c>
      <c r="U92">
        <f>IFERROR(VLOOKUP($A92,power_rankings,2,0)/(VLOOKUP($A92,power_rankings,2,0)+VLOOKUP(U$70,power_rankings,2,0))*(U24+HLOOKUP($A92,table_wins_h2h,MATCH(U$70,$A$2:$A$32,0),0)),0)</f>
        <v>2.5226401407981944</v>
      </c>
      <c r="V92">
        <f>IFERROR(VLOOKUP($A92,power_rankings,2,0)/(VLOOKUP($A92,power_rankings,2,0)+VLOOKUP(V$70,power_rankings,2,0))*(V24+HLOOKUP($A92,table_wins_h2h,MATCH(V$70,$A$2:$A$32,0),0)),0)</f>
        <v>0.47522577607984379</v>
      </c>
      <c r="W92">
        <f>IFERROR(VLOOKUP($A92,power_rankings,2,0)/(VLOOKUP($A92,power_rankings,2,0)+VLOOKUP(W$70,power_rankings,2,0))*(W24+HLOOKUP($A92,table_wins_h2h,MATCH(W$70,$A$2:$A$32,0),0)),0)</f>
        <v>0</v>
      </c>
      <c r="X92">
        <f>IFERROR(VLOOKUP($A92,power_rankings,2,0)/(VLOOKUP($A92,power_rankings,2,0)+VLOOKUP(X$70,power_rankings,2,0))*(X24+HLOOKUP($A92,table_wins_h2h,MATCH(X$70,$A$2:$A$32,0),0)),0)</f>
        <v>1.8237166004567613</v>
      </c>
      <c r="Y92">
        <f>IFERROR(VLOOKUP($A92,power_rankings,2,0)/(VLOOKUP($A92,power_rankings,2,0)+VLOOKUP(Y$70,power_rankings,2,0))*(Y24+HLOOKUP($A92,table_wins_h2h,MATCH(Y$70,$A$2:$A$32,0),0)),0)</f>
        <v>0.60193520191798311</v>
      </c>
      <c r="Z92">
        <f>IFERROR(VLOOKUP($A92,power_rankings,2,0)/(VLOOKUP($A92,power_rankings,2,0)+VLOOKUP(Z$70,power_rankings,2,0))*(Z24+HLOOKUP($A92,table_wins_h2h,MATCH(Z$70,$A$2:$A$32,0),0)),0)</f>
        <v>0.33278783769146542</v>
      </c>
      <c r="AA92">
        <f>IFERROR(VLOOKUP($A92,power_rankings,2,0)/(VLOOKUP($A92,power_rankings,2,0)+VLOOKUP(AA$70,power_rankings,2,0))*(AA24+HLOOKUP($A92,table_wins_h2h,MATCH(AA$70,$A$2:$A$32,0),0)),0)</f>
        <v>0.28978653845160374</v>
      </c>
      <c r="AB92">
        <f>IFERROR(VLOOKUP($A92,power_rankings,2,0)/(VLOOKUP($A92,power_rankings,2,0)+VLOOKUP(AB$70,power_rankings,2,0))*(AB24+HLOOKUP($A92,table_wins_h2h,MATCH(AB$70,$A$2:$A$32,0),0)),0)</f>
        <v>0.78093023924971827</v>
      </c>
      <c r="AC92">
        <f>IFERROR(VLOOKUP($A92,power_rankings,2,0)/(VLOOKUP($A92,power_rankings,2,0)+VLOOKUP(AC$70,power_rankings,2,0))*(AC24+HLOOKUP($A92,table_wins_h2h,MATCH(AC$70,$A$2:$A$32,0),0)),0)</f>
        <v>0.88060884346402246</v>
      </c>
      <c r="AD92">
        <f>IFERROR(VLOOKUP($A92,power_rankings,2,0)/(VLOOKUP($A92,power_rankings,2,0)+VLOOKUP(AD$70,power_rankings,2,0))*(AD24+HLOOKUP($A92,table_wins_h2h,MATCH(AD$70,$A$2:$A$32,0),0)),0)</f>
        <v>0.57624946700308388</v>
      </c>
      <c r="AE92">
        <f>IFERROR(VLOOKUP($A92,power_rankings,2,0)/(VLOOKUP($A92,power_rankings,2,0)+VLOOKUP(AE$70,power_rankings,2,0))*(AE24+HLOOKUP($A92,table_wins_h2h,MATCH(AE$70,$A$2:$A$32,0),0)),0)</f>
        <v>0.95786625525149005</v>
      </c>
      <c r="AG92">
        <f t="shared" si="0"/>
        <v>24.18</v>
      </c>
      <c r="AH92">
        <f>VLOOKUP(A92,d_win_totals!$C$2:$E$31,3,0)</f>
        <v>35</v>
      </c>
      <c r="AI92">
        <f t="shared" si="1"/>
        <v>10.82</v>
      </c>
    </row>
    <row r="93" spans="1:35" x14ac:dyDescent="0.25">
      <c r="A93" t="s">
        <v>21</v>
      </c>
      <c r="B93">
        <f>IFERROR(VLOOKUP($A93,power_rankings,2,0)/(VLOOKUP($A93,power_rankings,2,0)+VLOOKUP(B$70,power_rankings,2,0))*(B25+HLOOKUP($A93,table_wins_h2h,MATCH(B$70,$A$2:$A$32,0),0)),0)</f>
        <v>0.30236442711148764</v>
      </c>
      <c r="C93">
        <f>IFERROR(VLOOKUP($A93,power_rankings,2,0)/(VLOOKUP($A93,power_rankings,2,0)+VLOOKUP(C$70,power_rankings,2,0))*(C25+HLOOKUP($A93,table_wins_h2h,MATCH(C$70,$A$2:$A$32,0),0)),0)</f>
        <v>0.98549323849563675</v>
      </c>
      <c r="D93">
        <f>IFERROR(VLOOKUP($A93,power_rankings,2,0)/(VLOOKUP($A93,power_rankings,2,0)+VLOOKUP(D$70,power_rankings,2,0))*(D25+HLOOKUP($A93,table_wins_h2h,MATCH(D$70,$A$2:$A$32,0),0)),0)</f>
        <v>0.82462995735240952</v>
      </c>
      <c r="E93">
        <f>IFERROR(VLOOKUP($A93,power_rankings,2,0)/(VLOOKUP($A93,power_rankings,2,0)+VLOOKUP(E$70,power_rankings,2,0))*(E25+HLOOKUP($A93,table_wins_h2h,MATCH(E$70,$A$2:$A$32,0),0)),0)</f>
        <v>0.78208058142575076</v>
      </c>
      <c r="F93">
        <f>IFERROR(VLOOKUP($A93,power_rankings,2,0)/(VLOOKUP($A93,power_rankings,2,0)+VLOOKUP(F$70,power_rankings,2,0))*(F25+HLOOKUP($A93,table_wins_h2h,MATCH(F$70,$A$2:$A$32,0),0)),0)</f>
        <v>0.4015403646475546</v>
      </c>
      <c r="G93">
        <f>IFERROR(VLOOKUP($A93,power_rankings,2,0)/(VLOOKUP($A93,power_rankings,2,0)+VLOOKUP(G$70,power_rankings,2,0))*(G25+HLOOKUP($A93,table_wins_h2h,MATCH(G$70,$A$2:$A$32,0),0)),0)</f>
        <v>0.32992547955406065</v>
      </c>
      <c r="H93">
        <f>IFERROR(VLOOKUP($A93,power_rankings,2,0)/(VLOOKUP($A93,power_rankings,2,0)+VLOOKUP(H$70,power_rankings,2,0))*(H25+HLOOKUP($A93,table_wins_h2h,MATCH(H$70,$A$2:$A$32,0),0)),0)</f>
        <v>0.25021857712362922</v>
      </c>
      <c r="I93">
        <f>IFERROR(VLOOKUP($A93,power_rankings,2,0)/(VLOOKUP($A93,power_rankings,2,0)+VLOOKUP(I$70,power_rankings,2,0))*(I25+HLOOKUP($A93,table_wins_h2h,MATCH(I$70,$A$2:$A$32,0),0)),0)</f>
        <v>0.59113991476309802</v>
      </c>
      <c r="J93">
        <f>IFERROR(VLOOKUP($A93,power_rankings,2,0)/(VLOOKUP($A93,power_rankings,2,0)+VLOOKUP(J$70,power_rankings,2,0))*(J25+HLOOKUP($A93,table_wins_h2h,MATCH(J$70,$A$2:$A$32,0),0)),0)</f>
        <v>1.128972026304691</v>
      </c>
      <c r="K93">
        <f>IFERROR(VLOOKUP($A93,power_rankings,2,0)/(VLOOKUP($A93,power_rankings,2,0)+VLOOKUP(K$70,power_rankings,2,0))*(K25+HLOOKUP($A93,table_wins_h2h,MATCH(K$70,$A$2:$A$32,0),0)),0)</f>
        <v>7.7473906205001206E-2</v>
      </c>
      <c r="L93">
        <f>IFERROR(VLOOKUP($A93,power_rankings,2,0)/(VLOOKUP($A93,power_rankings,2,0)+VLOOKUP(L$70,power_rankings,2,0))*(L25+HLOOKUP($A93,table_wins_h2h,MATCH(L$70,$A$2:$A$32,0),0)),0)</f>
        <v>0.18605414296733697</v>
      </c>
      <c r="M93">
        <f>IFERROR(VLOOKUP($A93,power_rankings,2,0)/(VLOOKUP($A93,power_rankings,2,0)+VLOOKUP(M$70,power_rankings,2,0))*(M25+HLOOKUP($A93,table_wins_h2h,MATCH(M$70,$A$2:$A$32,0),0)),0)</f>
        <v>0.84022576349498102</v>
      </c>
      <c r="N93">
        <f>IFERROR(VLOOKUP($A93,power_rankings,2,0)/(VLOOKUP($A93,power_rankings,2,0)+VLOOKUP(N$70,power_rankings,2,0))*(N25+HLOOKUP($A93,table_wins_h2h,MATCH(N$70,$A$2:$A$32,0),0)),0)</f>
        <v>0.16883902880335167</v>
      </c>
      <c r="O93">
        <f>IFERROR(VLOOKUP($A93,power_rankings,2,0)/(VLOOKUP($A93,power_rankings,2,0)+VLOOKUP(O$70,power_rankings,2,0))*(O25+HLOOKUP($A93,table_wins_h2h,MATCH(O$70,$A$2:$A$32,0),0)),0)</f>
        <v>0.933277056295583</v>
      </c>
      <c r="P93">
        <f>IFERROR(VLOOKUP($A93,power_rankings,2,0)/(VLOOKUP($A93,power_rankings,2,0)+VLOOKUP(P$70,power_rankings,2,0))*(P25+HLOOKUP($A93,table_wins_h2h,MATCH(P$70,$A$2:$A$32,0),0)),0)</f>
        <v>0.17280965516641017</v>
      </c>
      <c r="Q93">
        <f>IFERROR(VLOOKUP($A93,power_rankings,2,0)/(VLOOKUP($A93,power_rankings,2,0)+VLOOKUP(Q$70,power_rankings,2,0))*(Q25+HLOOKUP($A93,table_wins_h2h,MATCH(Q$70,$A$2:$A$32,0),0)),0)</f>
        <v>0.92671790568894252</v>
      </c>
      <c r="R93">
        <f>IFERROR(VLOOKUP($A93,power_rankings,2,0)/(VLOOKUP($A93,power_rankings,2,0)+VLOOKUP(R$70,power_rankings,2,0))*(R25+HLOOKUP($A93,table_wins_h2h,MATCH(R$70,$A$2:$A$32,0),0)),0)</f>
        <v>0.76795574230782981</v>
      </c>
      <c r="S93">
        <f>IFERROR(VLOOKUP($A93,power_rankings,2,0)/(VLOOKUP($A93,power_rankings,2,0)+VLOOKUP(S$70,power_rankings,2,0))*(S25+HLOOKUP($A93,table_wins_h2h,MATCH(S$70,$A$2:$A$32,0),0)),0)</f>
        <v>1.1000803417427796</v>
      </c>
      <c r="T93">
        <f>IFERROR(VLOOKUP($A93,power_rankings,2,0)/(VLOOKUP($A93,power_rankings,2,0)+VLOOKUP(T$70,power_rankings,2,0))*(T25+HLOOKUP($A93,table_wins_h2h,MATCH(T$70,$A$2:$A$32,0),0)),0)</f>
        <v>0.28881562497442709</v>
      </c>
      <c r="U93">
        <f>IFERROR(VLOOKUP($A93,power_rankings,2,0)/(VLOOKUP($A93,power_rankings,2,0)+VLOOKUP(U$70,power_rankings,2,0))*(U25+HLOOKUP($A93,table_wins_h2h,MATCH(U$70,$A$2:$A$32,0),0)),0)</f>
        <v>2.0964578191868268</v>
      </c>
      <c r="V93">
        <f>IFERROR(VLOOKUP($A93,power_rankings,2,0)/(VLOOKUP($A93,power_rankings,2,0)+VLOOKUP(V$70,power_rankings,2,0))*(V25+HLOOKUP($A93,table_wins_h2h,MATCH(V$70,$A$2:$A$32,0),0)),0)</f>
        <v>0.33475508310458574</v>
      </c>
      <c r="W93">
        <f>IFERROR(VLOOKUP($A93,power_rankings,2,0)/(VLOOKUP($A93,power_rankings,2,0)+VLOOKUP(W$70,power_rankings,2,0))*(W25+HLOOKUP($A93,table_wins_h2h,MATCH(W$70,$A$2:$A$32,0),0)),0)</f>
        <v>1.1762833995432387</v>
      </c>
      <c r="X93">
        <f>IFERROR(VLOOKUP($A93,power_rankings,2,0)/(VLOOKUP($A93,power_rankings,2,0)+VLOOKUP(X$70,power_rankings,2,0))*(X25+HLOOKUP($A93,table_wins_h2h,MATCH(X$70,$A$2:$A$32,0),0)),0)</f>
        <v>0</v>
      </c>
      <c r="Y93">
        <f>IFERROR(VLOOKUP($A93,power_rankings,2,0)/(VLOOKUP($A93,power_rankings,2,0)+VLOOKUP(Y$70,power_rankings,2,0))*(Y25+HLOOKUP($A93,table_wins_h2h,MATCH(Y$70,$A$2:$A$32,0),0)),0)</f>
        <v>0.43468825189605831</v>
      </c>
      <c r="Z93">
        <f>IFERROR(VLOOKUP($A93,power_rankings,2,0)/(VLOOKUP($A93,power_rankings,2,0)+VLOOKUP(Z$70,power_rankings,2,0))*(Z25+HLOOKUP($A93,table_wins_h2h,MATCH(Z$70,$A$2:$A$32,0),0)),0)</f>
        <v>0.22812099397671715</v>
      </c>
      <c r="AA93">
        <f>IFERROR(VLOOKUP($A93,power_rankings,2,0)/(VLOOKUP($A93,power_rankings,2,0)+VLOOKUP(AA$70,power_rankings,2,0))*(AA25+HLOOKUP($A93,table_wins_h2h,MATCH(AA$70,$A$2:$A$32,0),0)),0)</f>
        <v>0.19704580635778152</v>
      </c>
      <c r="AB93">
        <f>IFERROR(VLOOKUP($A93,power_rankings,2,0)/(VLOOKUP($A93,power_rankings,2,0)+VLOOKUP(AB$70,power_rankings,2,0))*(AB25+HLOOKUP($A93,table_wins_h2h,MATCH(AB$70,$A$2:$A$32,0),0)),0)</f>
        <v>0.5847511729495013</v>
      </c>
      <c r="AC93">
        <f>IFERROR(VLOOKUP($A93,power_rankings,2,0)/(VLOOKUP($A93,power_rankings,2,0)+VLOOKUP(AC$70,power_rankings,2,0))*(AC25+HLOOKUP($A93,table_wins_h2h,MATCH(AC$70,$A$2:$A$32,0),0)),0)</f>
        <v>0.61614096630896187</v>
      </c>
      <c r="AD93">
        <f>IFERROR(VLOOKUP($A93,power_rankings,2,0)/(VLOOKUP($A93,power_rankings,2,0)+VLOOKUP(AD$70,power_rankings,2,0))*(AD25+HLOOKUP($A93,table_wins_h2h,MATCH(AD$70,$A$2:$A$32,0),0)),0)</f>
        <v>0.41402577494042103</v>
      </c>
      <c r="AE93">
        <f>IFERROR(VLOOKUP($A93,power_rankings,2,0)/(VLOOKUP($A93,power_rankings,2,0)+VLOOKUP(AE$70,power_rankings,2,0))*(AE25+HLOOKUP($A93,table_wins_h2h,MATCH(AE$70,$A$2:$A$32,0),0)),0)</f>
        <v>0.67521845279567438</v>
      </c>
      <c r="AG93">
        <f t="shared" si="0"/>
        <v>17.82</v>
      </c>
      <c r="AH93">
        <f>VLOOKUP(A93,d_win_totals!$C$2:$E$31,3,0)</f>
        <v>10</v>
      </c>
      <c r="AI93">
        <f t="shared" si="1"/>
        <v>-7.82</v>
      </c>
    </row>
    <row r="94" spans="1:35" x14ac:dyDescent="0.25">
      <c r="A94" t="s">
        <v>35</v>
      </c>
      <c r="B94">
        <f>IFERROR(VLOOKUP($A94,power_rankings,2,0)/(VLOOKUP($A94,power_rankings,2,0)+VLOOKUP(B$70,power_rankings,2,0))*(B26+HLOOKUP($A94,table_wins_h2h,MATCH(B$70,$A$2:$A$32,0),0)),0)</f>
        <v>0.45495679797171584</v>
      </c>
      <c r="C94">
        <f>IFERROR(VLOOKUP($A94,power_rankings,2,0)/(VLOOKUP($A94,power_rankings,2,0)+VLOOKUP(C$70,power_rankings,2,0))*(C26+HLOOKUP($A94,table_wins_h2h,MATCH(C$70,$A$2:$A$32,0),0)),0)</f>
        <v>1.0814004623913207</v>
      </c>
      <c r="D94">
        <f>IFERROR(VLOOKUP($A94,power_rankings,2,0)/(VLOOKUP($A94,power_rankings,2,0)+VLOOKUP(D$70,power_rankings,2,0))*(D26+HLOOKUP($A94,table_wins_h2h,MATCH(D$70,$A$2:$A$32,0),0)),0)</f>
        <v>0.9664957785381999</v>
      </c>
      <c r="E94">
        <f>IFERROR(VLOOKUP($A94,power_rankings,2,0)/(VLOOKUP($A94,power_rankings,2,0)+VLOOKUP(E$70,power_rankings,2,0))*(E26+HLOOKUP($A94,table_wins_h2h,MATCH(E$70,$A$2:$A$32,0),0)),0)</f>
        <v>1.1188575600478632</v>
      </c>
      <c r="F94">
        <f>IFERROR(VLOOKUP($A94,power_rankings,2,0)/(VLOOKUP($A94,power_rankings,2,0)+VLOOKUP(F$70,power_rankings,2,0))*(F26+HLOOKUP($A94,table_wins_h2h,MATCH(F$70,$A$2:$A$32,0),0)),0)</f>
        <v>0.71503518415079381</v>
      </c>
      <c r="G94">
        <f>IFERROR(VLOOKUP($A94,power_rankings,2,0)/(VLOOKUP($A94,power_rankings,2,0)+VLOOKUP(G$70,power_rankings,2,0))*(G26+HLOOKUP($A94,table_wins_h2h,MATCH(G$70,$A$2:$A$32,0),0)),0)</f>
        <v>0.61587318797140533</v>
      </c>
      <c r="H94">
        <f>IFERROR(VLOOKUP($A94,power_rankings,2,0)/(VLOOKUP($A94,power_rankings,2,0)+VLOOKUP(H$70,power_rankings,2,0))*(H26+HLOOKUP($A94,table_wins_h2h,MATCH(H$70,$A$2:$A$32,0),0)),0)</f>
        <v>1.3596356655907527</v>
      </c>
      <c r="I94">
        <f>IFERROR(VLOOKUP($A94,power_rankings,2,0)/(VLOOKUP($A94,power_rankings,2,0)+VLOOKUP(I$70,power_rankings,2,0))*(I26+HLOOKUP($A94,table_wins_h2h,MATCH(I$70,$A$2:$A$32,0),0)),0)</f>
        <v>1.8052252461023</v>
      </c>
      <c r="J94">
        <f>IFERROR(VLOOKUP($A94,power_rankings,2,0)/(VLOOKUP($A94,power_rankings,2,0)+VLOOKUP(J$70,power_rankings,2,0))*(J26+HLOOKUP($A94,table_wins_h2h,MATCH(J$70,$A$2:$A$32,0),0)),0)</f>
        <v>1.1721915140306314</v>
      </c>
      <c r="K94">
        <f>IFERROR(VLOOKUP($A94,power_rankings,2,0)/(VLOOKUP($A94,power_rankings,2,0)+VLOOKUP(K$70,power_rankings,2,0))*(K26+HLOOKUP($A94,table_wins_h2h,MATCH(K$70,$A$2:$A$32,0),0)),0)</f>
        <v>0.50689478118228903</v>
      </c>
      <c r="L94">
        <f>IFERROR(VLOOKUP($A94,power_rankings,2,0)/(VLOOKUP($A94,power_rankings,2,0)+VLOOKUP(L$70,power_rankings,2,0))*(L26+HLOOKUP($A94,table_wins_h2h,MATCH(L$70,$A$2:$A$32,0),0)),0)</f>
        <v>1.0789058029026022</v>
      </c>
      <c r="M94">
        <f>IFERROR(VLOOKUP($A94,power_rankings,2,0)/(VLOOKUP($A94,power_rankings,2,0)+VLOOKUP(M$70,power_rankings,2,0))*(M26+HLOOKUP($A94,table_wins_h2h,MATCH(M$70,$A$2:$A$32,0),0)),0)</f>
        <v>0.48915818299488917</v>
      </c>
      <c r="N94">
        <f>IFERROR(VLOOKUP($A94,power_rankings,2,0)/(VLOOKUP($A94,power_rankings,2,0)+VLOOKUP(N$70,power_rankings,2,0))*(N26+HLOOKUP($A94,table_wins_h2h,MATCH(N$70,$A$2:$A$32,0),0)),0)</f>
        <v>0.9970507362275931</v>
      </c>
      <c r="O94">
        <f>IFERROR(VLOOKUP($A94,power_rankings,2,0)/(VLOOKUP($A94,power_rankings,2,0)+VLOOKUP(O$70,power_rankings,2,0))*(O26+HLOOKUP($A94,table_wins_h2h,MATCH(O$70,$A$2:$A$32,0),0)),0)</f>
        <v>3.0362647525152267</v>
      </c>
      <c r="P94">
        <f>IFERROR(VLOOKUP($A94,power_rankings,2,0)/(VLOOKUP($A94,power_rankings,2,0)+VLOOKUP(P$70,power_rankings,2,0))*(P26+HLOOKUP($A94,table_wins_h2h,MATCH(P$70,$A$2:$A$32,0),0)),0)</f>
        <v>0.76214695352196415</v>
      </c>
      <c r="Q94">
        <f>IFERROR(VLOOKUP($A94,power_rankings,2,0)/(VLOOKUP($A94,power_rankings,2,0)+VLOOKUP(Q$70,power_rankings,2,0))*(Q26+HLOOKUP($A94,table_wins_h2h,MATCH(Q$70,$A$2:$A$32,0),0)),0)</f>
        <v>1.0411562520934072</v>
      </c>
      <c r="R94">
        <f>IFERROR(VLOOKUP($A94,power_rankings,2,0)/(VLOOKUP($A94,power_rankings,2,0)+VLOOKUP(R$70,power_rankings,2,0))*(R26+HLOOKUP($A94,table_wins_h2h,MATCH(R$70,$A$2:$A$32,0),0)),0)</f>
        <v>0.92219415967744434</v>
      </c>
      <c r="S94">
        <f>IFERROR(VLOOKUP($A94,power_rankings,2,0)/(VLOOKUP($A94,power_rankings,2,0)+VLOOKUP(S$70,power_rankings,2,0))*(S26+HLOOKUP($A94,table_wins_h2h,MATCH(S$70,$A$2:$A$32,0),0)),0)</f>
        <v>3.2595245707541309</v>
      </c>
      <c r="T94">
        <f>IFERROR(VLOOKUP($A94,power_rankings,2,0)/(VLOOKUP($A94,power_rankings,2,0)+VLOOKUP(T$70,power_rankings,2,0))*(T26+HLOOKUP($A94,table_wins_h2h,MATCH(T$70,$A$2:$A$32,0),0)),0)</f>
        <v>1.1340737453539154</v>
      </c>
      <c r="U94">
        <f>IFERROR(VLOOKUP($A94,power_rankings,2,0)/(VLOOKUP($A94,power_rankings,2,0)+VLOOKUP(U$70,power_rankings,2,0))*(U26+HLOOKUP($A94,table_wins_h2h,MATCH(U$70,$A$2:$A$32,0),0)),0)</f>
        <v>1.5972568270622463</v>
      </c>
      <c r="V94">
        <f>IFERROR(VLOOKUP($A94,power_rankings,2,0)/(VLOOKUP($A94,power_rankings,2,0)+VLOOKUP(V$70,power_rankings,2,0))*(V26+HLOOKUP($A94,table_wins_h2h,MATCH(V$70,$A$2:$A$32,0),0)),0)</f>
        <v>1.6796650533813375</v>
      </c>
      <c r="W94">
        <f>IFERROR(VLOOKUP($A94,power_rankings,2,0)/(VLOOKUP($A94,power_rankings,2,0)+VLOOKUP(W$70,power_rankings,2,0))*(W26+HLOOKUP($A94,table_wins_h2h,MATCH(W$70,$A$2:$A$32,0),0)),0)</f>
        <v>1.3980647980820169</v>
      </c>
      <c r="X94">
        <f>IFERROR(VLOOKUP($A94,power_rankings,2,0)/(VLOOKUP($A94,power_rankings,2,0)+VLOOKUP(X$70,power_rankings,2,0))*(X26+HLOOKUP($A94,table_wins_h2h,MATCH(X$70,$A$2:$A$32,0),0)),0)</f>
        <v>1.5653117481039416</v>
      </c>
      <c r="Y94">
        <f>IFERROR(VLOOKUP($A94,power_rankings,2,0)/(VLOOKUP($A94,power_rankings,2,0)+VLOOKUP(Y$70,power_rankings,2,0))*(Y26+HLOOKUP($A94,table_wins_h2h,MATCH(Y$70,$A$2:$A$32,0),0)),0)</f>
        <v>0</v>
      </c>
      <c r="Z94">
        <f>IFERROR(VLOOKUP($A94,power_rankings,2,0)/(VLOOKUP($A94,power_rankings,2,0)+VLOOKUP(Z$70,power_rankings,2,0))*(Z26+HLOOKUP($A94,table_wins_h2h,MATCH(Z$70,$A$2:$A$32,0),0)),0)</f>
        <v>1.2670341881803457</v>
      </c>
      <c r="AA94">
        <f>IFERROR(VLOOKUP($A94,power_rankings,2,0)/(VLOOKUP($A94,power_rankings,2,0)+VLOOKUP(AA$70,power_rankings,2,0))*(AA26+HLOOKUP($A94,table_wins_h2h,MATCH(AA$70,$A$2:$A$32,0),0)),0)</f>
        <v>1.1296432708019615</v>
      </c>
      <c r="AB94">
        <f>IFERROR(VLOOKUP($A94,power_rankings,2,0)/(VLOOKUP($A94,power_rankings,2,0)+VLOOKUP(AB$70,power_rankings,2,0))*(AB26+HLOOKUP($A94,table_wins_h2h,MATCH(AB$70,$A$2:$A$32,0),0)),0)</f>
        <v>2.3921906526834062</v>
      </c>
      <c r="AC94">
        <f>IFERROR(VLOOKUP($A94,power_rankings,2,0)/(VLOOKUP($A94,power_rankings,2,0)+VLOOKUP(AC$70,power_rankings,2,0))*(AC26+HLOOKUP($A94,table_wins_h2h,MATCH(AC$70,$A$2:$A$32,0),0)),0)</f>
        <v>0.79203581743418927</v>
      </c>
      <c r="AD94">
        <f>IFERROR(VLOOKUP($A94,power_rankings,2,0)/(VLOOKUP($A94,power_rankings,2,0)+VLOOKUP(AD$70,power_rankings,2,0))*(AD26+HLOOKUP($A94,table_wins_h2h,MATCH(AD$70,$A$2:$A$32,0),0)),0)</f>
        <v>1.4536536950059502</v>
      </c>
      <c r="AE94">
        <f>IFERROR(VLOOKUP($A94,power_rankings,2,0)/(VLOOKUP($A94,power_rankings,2,0)+VLOOKUP(AE$70,power_rankings,2,0))*(AE26+HLOOKUP($A94,table_wins_h2h,MATCH(AE$70,$A$2:$A$32,0),0)),0)</f>
        <v>0.84480831868188078</v>
      </c>
      <c r="AG94">
        <f t="shared" si="0"/>
        <v>36.64</v>
      </c>
      <c r="AH94">
        <f>VLOOKUP(A94,d_win_totals!$C$2:$E$31,3,0)</f>
        <v>23</v>
      </c>
      <c r="AI94">
        <f t="shared" si="1"/>
        <v>-13.64</v>
      </c>
    </row>
    <row r="95" spans="1:35" x14ac:dyDescent="0.25">
      <c r="A95" t="s">
        <v>39</v>
      </c>
      <c r="B95">
        <f>IFERROR(VLOOKUP($A95,power_rankings,2,0)/(VLOOKUP($A95,power_rankings,2,0)+VLOOKUP(B$70,power_rankings,2,0))*(B27+HLOOKUP($A95,table_wins_h2h,MATCH(B$70,$A$2:$A$32,0),0)),0)</f>
        <v>0.77686963239552642</v>
      </c>
      <c r="C95">
        <f>IFERROR(VLOOKUP($A95,power_rankings,2,0)/(VLOOKUP($A95,power_rankings,2,0)+VLOOKUP(C$70,power_rankings,2,0))*(C27+HLOOKUP($A95,table_wins_h2h,MATCH(C$70,$A$2:$A$32,0),0)),0)</f>
        <v>1.4349092098131115</v>
      </c>
      <c r="D95">
        <f>IFERROR(VLOOKUP($A95,power_rankings,2,0)/(VLOOKUP($A95,power_rankings,2,0)+VLOOKUP(D$70,power_rankings,2,0))*(D27+HLOOKUP($A95,table_wins_h2h,MATCH(D$70,$A$2:$A$32,0),0)),0)</f>
        <v>1.3371180642633915</v>
      </c>
      <c r="E95">
        <f>IFERROR(VLOOKUP($A95,power_rankings,2,0)/(VLOOKUP($A95,power_rankings,2,0)+VLOOKUP(E$70,power_rankings,2,0))*(E27+HLOOKUP($A95,table_wins_h2h,MATCH(E$70,$A$2:$A$32,0),0)),0)</f>
        <v>1.4650818431713846</v>
      </c>
      <c r="F95">
        <f>IFERROR(VLOOKUP($A95,power_rankings,2,0)/(VLOOKUP($A95,power_rankings,2,0)+VLOOKUP(F$70,power_rankings,2,0))*(F27+HLOOKUP($A95,table_wins_h2h,MATCH(F$70,$A$2:$A$32,0),0)),0)</f>
        <v>1.0910241756092327</v>
      </c>
      <c r="G95">
        <f>IFERROR(VLOOKUP($A95,power_rankings,2,0)/(VLOOKUP($A95,power_rankings,2,0)+VLOOKUP(G$70,power_rankings,2,0))*(G27+HLOOKUP($A95,table_wins_h2h,MATCH(G$70,$A$2:$A$32,0),0)),0)</f>
        <v>0.97946530325385117</v>
      </c>
      <c r="H95">
        <f>IFERROR(VLOOKUP($A95,power_rankings,2,0)/(VLOOKUP($A95,power_rankings,2,0)+VLOOKUP(H$70,power_rankings,2,0))*(H27+HLOOKUP($A95,table_wins_h2h,MATCH(H$70,$A$2:$A$32,0),0)),0)</f>
        <v>2.1049119852013556</v>
      </c>
      <c r="I95">
        <f>IFERROR(VLOOKUP($A95,power_rankings,2,0)/(VLOOKUP($A95,power_rankings,2,0)+VLOOKUP(I$70,power_rankings,2,0))*(I27+HLOOKUP($A95,table_wins_h2h,MATCH(I$70,$A$2:$A$32,0),0)),0)</f>
        <v>3.0608237593912309</v>
      </c>
      <c r="J95">
        <f>IFERROR(VLOOKUP($A95,power_rankings,2,0)/(VLOOKUP($A95,power_rankings,2,0)+VLOOKUP(J$70,power_rankings,2,0))*(J27+HLOOKUP($A95,table_wins_h2h,MATCH(J$70,$A$2:$A$32,0),0)),0)</f>
        <v>1.5066990514315133</v>
      </c>
      <c r="K95">
        <f>IFERROR(VLOOKUP($A95,power_rankings,2,0)/(VLOOKUP($A95,power_rankings,2,0)+VLOOKUP(K$70,power_rankings,2,0))*(K27+HLOOKUP($A95,table_wins_h2h,MATCH(K$70,$A$2:$A$32,0),0)),0)</f>
        <v>0.7151657631120657</v>
      </c>
      <c r="L95">
        <f>IFERROR(VLOOKUP($A95,power_rankings,2,0)/(VLOOKUP($A95,power_rankings,2,0)+VLOOKUP(L$70,power_rankings,2,0))*(L27+HLOOKUP($A95,table_wins_h2h,MATCH(L$70,$A$2:$A$32,0),0)),0)</f>
        <v>1.3302534384196159</v>
      </c>
      <c r="M95">
        <f>IFERROR(VLOOKUP($A95,power_rankings,2,0)/(VLOOKUP($A95,power_rankings,2,0)+VLOOKUP(M$70,power_rankings,2,0))*(M27+HLOOKUP($A95,table_wins_h2h,MATCH(M$70,$A$2:$A$32,0),0)),0)</f>
        <v>1.3475612301943962</v>
      </c>
      <c r="N95">
        <f>IFERROR(VLOOKUP($A95,power_rankings,2,0)/(VLOOKUP($A95,power_rankings,2,0)+VLOOKUP(N$70,power_rankings,2,0))*(N27+HLOOKUP($A95,table_wins_h2h,MATCH(N$70,$A$2:$A$32,0),0)),0)</f>
        <v>1.6692263434887511</v>
      </c>
      <c r="O95">
        <f>IFERROR(VLOOKUP($A95,power_rankings,2,0)/(VLOOKUP($A95,power_rankings,2,0)+VLOOKUP(O$70,power_rankings,2,0))*(O27+HLOOKUP($A95,table_wins_h2h,MATCH(O$70,$A$2:$A$32,0),0)),0)</f>
        <v>3.4868899916695741</v>
      </c>
      <c r="P95">
        <f>IFERROR(VLOOKUP($A95,power_rankings,2,0)/(VLOOKUP($A95,power_rankings,2,0)+VLOOKUP(P$70,power_rankings,2,0))*(P27+HLOOKUP($A95,table_wins_h2h,MATCH(P$70,$A$2:$A$32,0),0)),0)</f>
        <v>1.6939975626169441</v>
      </c>
      <c r="Q95">
        <f>IFERROR(VLOOKUP($A95,power_rankings,2,0)/(VLOOKUP($A95,power_rankings,2,0)+VLOOKUP(Q$70,power_rankings,2,0))*(Q27+HLOOKUP($A95,table_wins_h2h,MATCH(Q$70,$A$2:$A$32,0),0)),0)</f>
        <v>1.4015820703906579</v>
      </c>
      <c r="R95">
        <f>IFERROR(VLOOKUP($A95,power_rankings,2,0)/(VLOOKUP($A95,power_rankings,2,0)+VLOOKUP(R$70,power_rankings,2,0))*(R27+HLOOKUP($A95,table_wins_h2h,MATCH(R$70,$A$2:$A$32,0),0)),0)</f>
        <v>1.2971501568421939</v>
      </c>
      <c r="S95">
        <f>IFERROR(VLOOKUP($A95,power_rankings,2,0)/(VLOOKUP($A95,power_rankings,2,0)+VLOOKUP(S$70,power_rankings,2,0))*(S27+HLOOKUP($A95,table_wins_h2h,MATCH(S$70,$A$2:$A$32,0),0)),0)</f>
        <v>3.6188617624598596</v>
      </c>
      <c r="T95">
        <f>IFERROR(VLOOKUP($A95,power_rankings,2,0)/(VLOOKUP($A95,power_rankings,2,0)+VLOOKUP(T$70,power_rankings,2,0))*(T27+HLOOKUP($A95,table_wins_h2h,MATCH(T$70,$A$2:$A$32,0),0)),0)</f>
        <v>1.7018437003433466</v>
      </c>
      <c r="U95">
        <f>IFERROR(VLOOKUP($A95,power_rankings,2,0)/(VLOOKUP($A95,power_rankings,2,0)+VLOOKUP(U$70,power_rankings,2,0))*(U27+HLOOKUP($A95,table_wins_h2h,MATCH(U$70,$A$2:$A$32,0),0)),0)</f>
        <v>1.7906736020994327</v>
      </c>
      <c r="V95">
        <f>IFERROR(VLOOKUP($A95,power_rankings,2,0)/(VLOOKUP($A95,power_rankings,2,0)+VLOOKUP(V$70,power_rankings,2,0))*(V27+HLOOKUP($A95,table_wins_h2h,MATCH(V$70,$A$2:$A$32,0),0)),0)</f>
        <v>2.438362126303049</v>
      </c>
      <c r="W95">
        <f>IFERROR(VLOOKUP($A95,power_rankings,2,0)/(VLOOKUP($A95,power_rankings,2,0)+VLOOKUP(W$70,power_rankings,2,0))*(W27+HLOOKUP($A95,table_wins_h2h,MATCH(W$70,$A$2:$A$32,0),0)),0)</f>
        <v>1.6672121623085345</v>
      </c>
      <c r="X95">
        <f>IFERROR(VLOOKUP($A95,power_rankings,2,0)/(VLOOKUP($A95,power_rankings,2,0)+VLOOKUP(X$70,power_rankings,2,0))*(X27+HLOOKUP($A95,table_wins_h2h,MATCH(X$70,$A$2:$A$32,0),0)),0)</f>
        <v>1.7718790060232827</v>
      </c>
      <c r="Y95">
        <f>IFERROR(VLOOKUP($A95,power_rankings,2,0)/(VLOOKUP($A95,power_rankings,2,0)+VLOOKUP(Y$70,power_rankings,2,0))*(Y27+HLOOKUP($A95,table_wins_h2h,MATCH(Y$70,$A$2:$A$32,0),0)),0)</f>
        <v>2.7329658118196543</v>
      </c>
      <c r="Z95">
        <f>IFERROR(VLOOKUP($A95,power_rankings,2,0)/(VLOOKUP($A95,power_rankings,2,0)+VLOOKUP(Z$70,power_rankings,2,0))*(Z27+HLOOKUP($A95,table_wins_h2h,MATCH(Z$70,$A$2:$A$32,0),0)),0)</f>
        <v>0</v>
      </c>
      <c r="AA95">
        <f>IFERROR(VLOOKUP($A95,power_rankings,2,0)/(VLOOKUP($A95,power_rankings,2,0)+VLOOKUP(AA$70,power_rankings,2,0))*(AA27+HLOOKUP($A95,table_wins_h2h,MATCH(AA$70,$A$2:$A$32,0),0)),0)</f>
        <v>1.8365395169203806</v>
      </c>
      <c r="AB95">
        <f>IFERROR(VLOOKUP($A95,power_rankings,2,0)/(VLOOKUP($A95,power_rankings,2,0)+VLOOKUP(AB$70,power_rankings,2,0))*(AB27+HLOOKUP($A95,table_wins_h2h,MATCH(AB$70,$A$2:$A$32,0),0)),0)</f>
        <v>2.2872884064574954</v>
      </c>
      <c r="AC95">
        <f>IFERROR(VLOOKUP($A95,power_rankings,2,0)/(VLOOKUP($A95,power_rankings,2,0)+VLOOKUP(AC$70,power_rankings,2,0))*(AC27+HLOOKUP($A95,table_wins_h2h,MATCH(AC$70,$A$2:$A$32,0),0)),0)</f>
        <v>1.1715970468275845</v>
      </c>
      <c r="AD95">
        <f>IFERROR(VLOOKUP($A95,power_rankings,2,0)/(VLOOKUP($A95,power_rankings,2,0)+VLOOKUP(AD$70,power_rankings,2,0))*(AD27+HLOOKUP($A95,table_wins_h2h,MATCH(AD$70,$A$2:$A$32,0),0)),0)</f>
        <v>2.678857729015955</v>
      </c>
      <c r="AE95">
        <f>IFERROR(VLOOKUP($A95,power_rankings,2,0)/(VLOOKUP($A95,power_rankings,2,0)+VLOOKUP(AE$70,power_rankings,2,0))*(AE27+HLOOKUP($A95,table_wins_h2h,MATCH(AE$70,$A$2:$A$32,0),0)),0)</f>
        <v>1.2240331309462535</v>
      </c>
      <c r="AG95">
        <f t="shared" si="0"/>
        <v>51.62</v>
      </c>
      <c r="AH95">
        <f>VLOOKUP(A95,d_win_totals!$C$2:$E$31,3,0)</f>
        <v>44</v>
      </c>
      <c r="AI95">
        <f t="shared" si="1"/>
        <v>-7.6199999999999974</v>
      </c>
    </row>
    <row r="96" spans="1:35" x14ac:dyDescent="0.25">
      <c r="A96" t="s">
        <v>15</v>
      </c>
      <c r="B96">
        <f>IFERROR(VLOOKUP($A96,power_rankings,2,0)/(VLOOKUP($A96,power_rankings,2,0)+VLOOKUP(B$70,power_rankings,2,0))*(B28+HLOOKUP($A96,table_wins_h2h,MATCH(B$70,$A$2:$A$32,0),0)),0)</f>
        <v>0.85597333176729939</v>
      </c>
      <c r="C96">
        <f>IFERROR(VLOOKUP($A96,power_rankings,2,0)/(VLOOKUP($A96,power_rankings,2,0)+VLOOKUP(C$70,power_rankings,2,0))*(C28+HLOOKUP($A96,table_wins_h2h,MATCH(C$70,$A$2:$A$32,0),0)),0)</f>
        <v>1.4989057300521578</v>
      </c>
      <c r="D96">
        <f>IFERROR(VLOOKUP($A96,power_rankings,2,0)/(VLOOKUP($A96,power_rankings,2,0)+VLOOKUP(D$70,power_rankings,2,0))*(D28+HLOOKUP($A96,table_wins_h2h,MATCH(D$70,$A$2:$A$32,0),0)),0)</f>
        <v>1.4076173311251017</v>
      </c>
      <c r="E96">
        <f>IFERROR(VLOOKUP($A96,power_rankings,2,0)/(VLOOKUP($A96,power_rankings,2,0)+VLOOKUP(E$70,power_rankings,2,0))*(E28+HLOOKUP($A96,table_wins_h2h,MATCH(E$70,$A$2:$A$32,0),0)),0)</f>
        <v>1.5267882057975641</v>
      </c>
      <c r="F96">
        <f>IFERROR(VLOOKUP($A96,power_rankings,2,0)/(VLOOKUP($A96,power_rankings,2,0)+VLOOKUP(F$70,power_rankings,2,0))*(F28+HLOOKUP($A96,table_wins_h2h,MATCH(F$70,$A$2:$A$32,0),0)),0)</f>
        <v>1.1714787136297247</v>
      </c>
      <c r="G96">
        <f>IFERROR(VLOOKUP($A96,power_rankings,2,0)/(VLOOKUP($A96,power_rankings,2,0)+VLOOKUP(G$70,power_rankings,2,0))*(G28+HLOOKUP($A96,table_wins_h2h,MATCH(G$70,$A$2:$A$32,0),0)),0)</f>
        <v>1.0612984222867186</v>
      </c>
      <c r="H96">
        <f>IFERROR(VLOOKUP($A96,power_rankings,2,0)/(VLOOKUP($A96,power_rankings,2,0)+VLOOKUP(H$70,power_rankings,2,0))*(H28+HLOOKUP($A96,table_wins_h2h,MATCH(H$70,$A$2:$A$32,0),0)),0)</f>
        <v>2.2672268025911806</v>
      </c>
      <c r="I96">
        <f>IFERROR(VLOOKUP($A96,power_rankings,2,0)/(VLOOKUP($A96,power_rankings,2,0)+VLOOKUP(I$70,power_rankings,2,0))*(I28+HLOOKUP($A96,table_wins_h2h,MATCH(I$70,$A$2:$A$32,0),0)),0)</f>
        <v>3.1734158543057576</v>
      </c>
      <c r="J96">
        <f>IFERROR(VLOOKUP($A96,power_rankings,2,0)/(VLOOKUP($A96,power_rankings,2,0)+VLOOKUP(J$70,power_rankings,2,0))*(J28+HLOOKUP($A96,table_wins_h2h,MATCH(J$70,$A$2:$A$32,0),0)),0)</f>
        <v>1.5650299148565208</v>
      </c>
      <c r="K96">
        <f>IFERROR(VLOOKUP($A96,power_rankings,2,0)/(VLOOKUP($A96,power_rankings,2,0)+VLOOKUP(K$70,power_rankings,2,0))*(K28+HLOOKUP($A96,table_wins_h2h,MATCH(K$70,$A$2:$A$32,0),0)),0)</f>
        <v>0.80817659261383468</v>
      </c>
      <c r="L96">
        <f>IFERROR(VLOOKUP($A96,power_rankings,2,0)/(VLOOKUP($A96,power_rankings,2,0)+VLOOKUP(L$70,power_rankings,2,0))*(L28+HLOOKUP($A96,table_wins_h2h,MATCH(L$70,$A$2:$A$32,0),0)),0)</f>
        <v>1.9365448406044323</v>
      </c>
      <c r="M96">
        <f>IFERROR(VLOOKUP($A96,power_rankings,2,0)/(VLOOKUP($A96,power_rankings,2,0)+VLOOKUP(M$70,power_rankings,2,0))*(M28+HLOOKUP($A96,table_wins_h2h,MATCH(M$70,$A$2:$A$32,0),0)),0)</f>
        <v>1.4174337390355058</v>
      </c>
      <c r="N96">
        <f>IFERROR(VLOOKUP($A96,power_rankings,2,0)/(VLOOKUP($A96,power_rankings,2,0)+VLOOKUP(N$70,power_rankings,2,0))*(N28+HLOOKUP($A96,table_wins_h2h,MATCH(N$70,$A$2:$A$32,0),0)),0)</f>
        <v>1.8303942477350243</v>
      </c>
      <c r="O96">
        <f>IFERROR(VLOOKUP($A96,power_rankings,2,0)/(VLOOKUP($A96,power_rankings,2,0)+VLOOKUP(O$70,power_rankings,2,0))*(O28+HLOOKUP($A96,table_wins_h2h,MATCH(O$70,$A$2:$A$32,0),0)),0)</f>
        <v>2.6668620549621886</v>
      </c>
      <c r="P96">
        <f>IFERROR(VLOOKUP($A96,power_rankings,2,0)/(VLOOKUP($A96,power_rankings,2,0)+VLOOKUP(P$70,power_rankings,2,0))*(P28+HLOOKUP($A96,table_wins_h2h,MATCH(P$70,$A$2:$A$32,0),0)),0)</f>
        <v>1.8556530116427636</v>
      </c>
      <c r="Q96">
        <f>IFERROR(VLOOKUP($A96,power_rankings,2,0)/(VLOOKUP($A96,power_rankings,2,0)+VLOOKUP(Q$70,power_rankings,2,0))*(Q28+HLOOKUP($A96,table_wins_h2h,MATCH(Q$70,$A$2:$A$32,0),0)),0)</f>
        <v>1.4679534255510791</v>
      </c>
      <c r="R96">
        <f>IFERROR(VLOOKUP($A96,power_rankings,2,0)/(VLOOKUP($A96,power_rankings,2,0)+VLOOKUP(R$70,power_rankings,2,0))*(R28+HLOOKUP($A96,table_wins_h2h,MATCH(R$70,$A$2:$A$32,0),0)),0)</f>
        <v>1.3698970223001374</v>
      </c>
      <c r="S96">
        <f>IFERROR(VLOOKUP($A96,power_rankings,2,0)/(VLOOKUP($A96,power_rankings,2,0)+VLOOKUP(S$70,power_rankings,2,0))*(S28+HLOOKUP($A96,table_wins_h2h,MATCH(S$70,$A$2:$A$32,0),0)),0)</f>
        <v>3.6717290418175295</v>
      </c>
      <c r="T96">
        <f>IFERROR(VLOOKUP($A96,power_rankings,2,0)/(VLOOKUP($A96,power_rankings,2,0)+VLOOKUP(T$70,power_rankings,2,0))*(T28+HLOOKUP($A96,table_wins_h2h,MATCH(T$70,$A$2:$A$32,0),0)),0)</f>
        <v>2.4278796720062847</v>
      </c>
      <c r="U96">
        <f>IFERROR(VLOOKUP($A96,power_rankings,2,0)/(VLOOKUP($A96,power_rankings,2,0)+VLOOKUP(U$70,power_rankings,2,0))*(U28+HLOOKUP($A96,table_wins_h2h,MATCH(U$70,$A$2:$A$32,0),0)),0)</f>
        <v>1.8194494281877593</v>
      </c>
      <c r="V96">
        <f>IFERROR(VLOOKUP($A96,power_rankings,2,0)/(VLOOKUP($A96,power_rankings,2,0)+VLOOKUP(V$70,power_rankings,2,0))*(V28+HLOOKUP($A96,table_wins_h2h,MATCH(V$70,$A$2:$A$32,0),0)),0)</f>
        <v>1.9434235904498454</v>
      </c>
      <c r="W96">
        <f>IFERROR(VLOOKUP($A96,power_rankings,2,0)/(VLOOKUP($A96,power_rankings,2,0)+VLOOKUP(W$70,power_rankings,2,0))*(W28+HLOOKUP($A96,table_wins_h2h,MATCH(W$70,$A$2:$A$32,0),0)),0)</f>
        <v>1.7102134615483964</v>
      </c>
      <c r="X96">
        <f>IFERROR(VLOOKUP($A96,power_rankings,2,0)/(VLOOKUP($A96,power_rankings,2,0)+VLOOKUP(X$70,power_rankings,2,0))*(X28+HLOOKUP($A96,table_wins_h2h,MATCH(X$70,$A$2:$A$32,0),0)),0)</f>
        <v>1.8029541936422184</v>
      </c>
      <c r="Y96">
        <f>IFERROR(VLOOKUP($A96,power_rankings,2,0)/(VLOOKUP($A96,power_rankings,2,0)+VLOOKUP(Y$70,power_rankings,2,0))*(Y28+HLOOKUP($A96,table_wins_h2h,MATCH(Y$70,$A$2:$A$32,0),0)),0)</f>
        <v>2.8703567291980381</v>
      </c>
      <c r="Z96">
        <f>IFERROR(VLOOKUP($A96,power_rankings,2,0)/(VLOOKUP($A96,power_rankings,2,0)+VLOOKUP(Z$70,power_rankings,2,0))*(Z28+HLOOKUP($A96,table_wins_h2h,MATCH(Z$70,$A$2:$A$32,0),0)),0)</f>
        <v>2.1634604830796191</v>
      </c>
      <c r="AA96">
        <f>IFERROR(VLOOKUP($A96,power_rankings,2,0)/(VLOOKUP($A96,power_rankings,2,0)+VLOOKUP(AA$70,power_rankings,2,0))*(AA28+HLOOKUP($A96,table_wins_h2h,MATCH(AA$70,$A$2:$A$32,0),0)),0)</f>
        <v>0</v>
      </c>
      <c r="AB96">
        <f>IFERROR(VLOOKUP($A96,power_rankings,2,0)/(VLOOKUP($A96,power_rankings,2,0)+VLOOKUP(AB$70,power_rankings,2,0))*(AB28+HLOOKUP($A96,table_wins_h2h,MATCH(AB$70,$A$2:$A$32,0),0)),0)</f>
        <v>3.1632774238186179</v>
      </c>
      <c r="AC96">
        <f>IFERROR(VLOOKUP($A96,power_rankings,2,0)/(VLOOKUP($A96,power_rankings,2,0)+VLOOKUP(AC$70,power_rankings,2,0))*(AC28+HLOOKUP($A96,table_wins_h2h,MATCH(AC$70,$A$2:$A$32,0),0)),0)</f>
        <v>1.2498235953626966</v>
      </c>
      <c r="AD96">
        <f>IFERROR(VLOOKUP($A96,power_rankings,2,0)/(VLOOKUP($A96,power_rankings,2,0)+VLOOKUP(AD$70,power_rankings,2,0))*(AD28+HLOOKUP($A96,table_wins_h2h,MATCH(AD$70,$A$2:$A$32,0),0)),0)</f>
        <v>2.1146862763727068</v>
      </c>
      <c r="AE96">
        <f>IFERROR(VLOOKUP($A96,power_rankings,2,0)/(VLOOKUP($A96,power_rankings,2,0)+VLOOKUP(AE$70,power_rankings,2,0))*(AE28+HLOOKUP($A96,table_wins_h2h,MATCH(AE$70,$A$2:$A$32,0),0)),0)</f>
        <v>1.3002654278556534</v>
      </c>
      <c r="AG96">
        <f t="shared" si="0"/>
        <v>54.12</v>
      </c>
      <c r="AH96">
        <f>VLOOKUP(A96,d_win_totals!$C$2:$E$31,3,0)</f>
        <v>67</v>
      </c>
      <c r="AI96">
        <f t="shared" si="1"/>
        <v>12.880000000000003</v>
      </c>
    </row>
    <row r="97" spans="1:35" x14ac:dyDescent="0.25">
      <c r="A97" t="s">
        <v>37</v>
      </c>
      <c r="B97">
        <f>IFERROR(VLOOKUP($A97,power_rankings,2,0)/(VLOOKUP($A97,power_rankings,2,0)+VLOOKUP(B$70,power_rankings,2,0))*(B29+HLOOKUP($A97,table_wins_h2h,MATCH(B$70,$A$2:$A$32,0),0)),0)</f>
        <v>0.33042584192730429</v>
      </c>
      <c r="C97">
        <f>IFERROR(VLOOKUP($A97,power_rankings,2,0)/(VLOOKUP($A97,power_rankings,2,0)+VLOOKUP(C$70,power_rankings,2,0))*(C29+HLOOKUP($A97,table_wins_h2h,MATCH(C$70,$A$2:$A$32,0),0)),0)</f>
        <v>0.88344465039272624</v>
      </c>
      <c r="D97">
        <f>IFERROR(VLOOKUP($A97,power_rankings,2,0)/(VLOOKUP($A97,power_rankings,2,0)+VLOOKUP(D$70,power_rankings,2,0))*(D29+HLOOKUP($A97,table_wins_h2h,MATCH(D$70,$A$2:$A$32,0),0)),0)</f>
        <v>0.77189908008551245</v>
      </c>
      <c r="E97">
        <f>IFERROR(VLOOKUP($A97,power_rankings,2,0)/(VLOOKUP($A97,power_rankings,2,0)+VLOOKUP(E$70,power_rankings,2,0))*(E29+HLOOKUP($A97,table_wins_h2h,MATCH(E$70,$A$2:$A$32,0),0)),0)</f>
        <v>0.92091906169367044</v>
      </c>
      <c r="F97">
        <f>IFERROR(VLOOKUP($A97,power_rankings,2,0)/(VLOOKUP($A97,power_rankings,2,0)+VLOOKUP(F$70,power_rankings,2,0))*(F29+HLOOKUP($A97,table_wins_h2h,MATCH(F$70,$A$2:$A$32,0),0)),0)</f>
        <v>0.54439896594806003</v>
      </c>
      <c r="G97">
        <f>IFERROR(VLOOKUP($A97,power_rankings,2,0)/(VLOOKUP($A97,power_rankings,2,0)+VLOOKUP(G$70,power_rankings,2,0))*(G29+HLOOKUP($A97,table_wins_h2h,MATCH(G$70,$A$2:$A$32,0),0)),0)</f>
        <v>0.46042184140932535</v>
      </c>
      <c r="H97">
        <f>IFERROR(VLOOKUP($A97,power_rankings,2,0)/(VLOOKUP($A97,power_rankings,2,0)+VLOOKUP(H$70,power_rankings,2,0))*(H29+HLOOKUP($A97,table_wins_h2h,MATCH(H$70,$A$2:$A$32,0),0)),0)</f>
        <v>0.7713339513053743</v>
      </c>
      <c r="I97">
        <f>IFERROR(VLOOKUP($A97,power_rankings,2,0)/(VLOOKUP($A97,power_rankings,2,0)+VLOOKUP(I$70,power_rankings,2,0))*(I29+HLOOKUP($A97,table_wins_h2h,MATCH(I$70,$A$2:$A$32,0),0)),0)</f>
        <v>2.0153904545428269</v>
      </c>
      <c r="J97">
        <f>IFERROR(VLOOKUP($A97,power_rankings,2,0)/(VLOOKUP($A97,power_rankings,2,0)+VLOOKUP(J$70,power_rankings,2,0))*(J29+HLOOKUP($A97,table_wins_h2h,MATCH(J$70,$A$2:$A$32,0),0)),0)</f>
        <v>0.97526084664558987</v>
      </c>
      <c r="K97">
        <f>IFERROR(VLOOKUP($A97,power_rankings,2,0)/(VLOOKUP($A97,power_rankings,2,0)+VLOOKUP(K$70,power_rankings,2,0))*(K29+HLOOKUP($A97,table_wins_h2h,MATCH(K$70,$A$2:$A$32,0),0)),0)</f>
        <v>0.35545768595322652</v>
      </c>
      <c r="L97">
        <f>IFERROR(VLOOKUP($A97,power_rankings,2,0)/(VLOOKUP($A97,power_rankings,2,0)+VLOOKUP(L$70,power_rankings,2,0))*(L29+HLOOKUP($A97,table_wins_h2h,MATCH(L$70,$A$2:$A$32,0),0)),0)</f>
        <v>0.59662149913445317</v>
      </c>
      <c r="M97">
        <f>IFERROR(VLOOKUP($A97,power_rankings,2,0)/(VLOOKUP($A97,power_rankings,2,0)+VLOOKUP(M$70,power_rankings,2,0))*(M29+HLOOKUP($A97,table_wins_h2h,MATCH(M$70,$A$2:$A$32,0),0)),0)</f>
        <v>0.78314312792504159</v>
      </c>
      <c r="N97">
        <f>IFERROR(VLOOKUP($A97,power_rankings,2,0)/(VLOOKUP($A97,power_rankings,2,0)+VLOOKUP(N$70,power_rankings,2,0))*(N29+HLOOKUP($A97,table_wins_h2h,MATCH(N$70,$A$2:$A$32,0),0)),0)</f>
        <v>0.729770434417784</v>
      </c>
      <c r="O97">
        <f>IFERROR(VLOOKUP($A97,power_rankings,2,0)/(VLOOKUP($A97,power_rankings,2,0)+VLOOKUP(O$70,power_rankings,2,0))*(O29+HLOOKUP($A97,table_wins_h2h,MATCH(O$70,$A$2:$A$32,0),0)),0)</f>
        <v>2.7169150628580088</v>
      </c>
      <c r="P97">
        <f>IFERROR(VLOOKUP($A97,power_rankings,2,0)/(VLOOKUP($A97,power_rankings,2,0)+VLOOKUP(P$70,power_rankings,2,0))*(P29+HLOOKUP($A97,table_wins_h2h,MATCH(P$70,$A$2:$A$32,0),0)),0)</f>
        <v>0.74505672384560317</v>
      </c>
      <c r="Q97">
        <f>IFERROR(VLOOKUP($A97,power_rankings,2,0)/(VLOOKUP($A97,power_rankings,2,0)+VLOOKUP(Q$70,power_rankings,2,0))*(Q29+HLOOKUP($A97,table_wins_h2h,MATCH(Q$70,$A$2:$A$32,0),0)),0)</f>
        <v>0.84380030853713084</v>
      </c>
      <c r="R97">
        <f>IFERROR(VLOOKUP($A97,power_rankings,2,0)/(VLOOKUP($A97,power_rankings,2,0)+VLOOKUP(R$70,power_rankings,2,0))*(R29+HLOOKUP($A97,table_wins_h2h,MATCH(R$70,$A$2:$A$32,0),0)),0)</f>
        <v>0.73021504003744331</v>
      </c>
      <c r="S97">
        <f>IFERROR(VLOOKUP($A97,power_rankings,2,0)/(VLOOKUP($A97,power_rankings,2,0)+VLOOKUP(S$70,power_rankings,2,0))*(S29+HLOOKUP($A97,table_wins_h2h,MATCH(S$70,$A$2:$A$32,0),0)),0)</f>
        <v>2.2421512500690919</v>
      </c>
      <c r="T97">
        <f>IFERROR(VLOOKUP($A97,power_rankings,2,0)/(VLOOKUP($A97,power_rankings,2,0)+VLOOKUP(T$70,power_rankings,2,0))*(T29+HLOOKUP($A97,table_wins_h2h,MATCH(T$70,$A$2:$A$32,0),0)),0)</f>
        <v>1.1600871073091124</v>
      </c>
      <c r="U97">
        <f>IFERROR(VLOOKUP($A97,power_rankings,2,0)/(VLOOKUP($A97,power_rankings,2,0)+VLOOKUP(U$70,power_rankings,2,0))*(U29+HLOOKUP($A97,table_wins_h2h,MATCH(U$70,$A$2:$A$32,0),0)),0)</f>
        <v>1.4543779110648012</v>
      </c>
      <c r="V97">
        <f>IFERROR(VLOOKUP($A97,power_rankings,2,0)/(VLOOKUP($A97,power_rankings,2,0)+VLOOKUP(V$70,power_rankings,2,0))*(V29+HLOOKUP($A97,table_wins_h2h,MATCH(V$70,$A$2:$A$32,0),0)),0)</f>
        <v>1.3091719910151536</v>
      </c>
      <c r="W97">
        <f>IFERROR(VLOOKUP($A97,power_rankings,2,0)/(VLOOKUP($A97,power_rankings,2,0)+VLOOKUP(W$70,power_rankings,2,0))*(W29+HLOOKUP($A97,table_wins_h2h,MATCH(W$70,$A$2:$A$32,0),0)),0)</f>
        <v>1.2190697607502816</v>
      </c>
      <c r="X97">
        <f>IFERROR(VLOOKUP($A97,power_rankings,2,0)/(VLOOKUP($A97,power_rankings,2,0)+VLOOKUP(X$70,power_rankings,2,0))*(X29+HLOOKUP($A97,table_wins_h2h,MATCH(X$70,$A$2:$A$32,0),0)),0)</f>
        <v>1.4152488270504986</v>
      </c>
      <c r="Y97">
        <f>IFERROR(VLOOKUP($A97,power_rankings,2,0)/(VLOOKUP($A97,power_rankings,2,0)+VLOOKUP(Y$70,power_rankings,2,0))*(Y29+HLOOKUP($A97,table_wins_h2h,MATCH(Y$70,$A$2:$A$32,0),0)),0)</f>
        <v>1.607809347316594</v>
      </c>
      <c r="Z97">
        <f>IFERROR(VLOOKUP($A97,power_rankings,2,0)/(VLOOKUP($A97,power_rankings,2,0)+VLOOKUP(Z$70,power_rankings,2,0))*(Z29+HLOOKUP($A97,table_wins_h2h,MATCH(Z$70,$A$2:$A$32,0),0)),0)</f>
        <v>0.71271159354250502</v>
      </c>
      <c r="AA97">
        <f>IFERROR(VLOOKUP($A97,power_rankings,2,0)/(VLOOKUP($A97,power_rankings,2,0)+VLOOKUP(AA$70,power_rankings,2,0))*(AA29+HLOOKUP($A97,table_wins_h2h,MATCH(AA$70,$A$2:$A$32,0),0)),0)</f>
        <v>0.83672257618138202</v>
      </c>
      <c r="AB97">
        <f>IFERROR(VLOOKUP($A97,power_rankings,2,0)/(VLOOKUP($A97,power_rankings,2,0)+VLOOKUP(AB$70,power_rankings,2,0))*(AB29+HLOOKUP($A97,table_wins_h2h,MATCH(AB$70,$A$2:$A$32,0),0)),0)</f>
        <v>0</v>
      </c>
      <c r="AC97">
        <f>IFERROR(VLOOKUP($A97,power_rankings,2,0)/(VLOOKUP($A97,power_rankings,2,0)+VLOOKUP(AC$70,power_rankings,2,0))*(AC29+HLOOKUP($A97,table_wins_h2h,MATCH(AC$70,$A$2:$A$32,0),0)),0)</f>
        <v>0.61177271212298634</v>
      </c>
      <c r="AD97">
        <f>IFERROR(VLOOKUP($A97,power_rankings,2,0)/(VLOOKUP($A97,power_rankings,2,0)+VLOOKUP(AD$70,power_rankings,2,0))*(AD29+HLOOKUP($A97,table_wins_h2h,MATCH(AD$70,$A$2:$A$32,0),0)),0)</f>
        <v>1.5487483457331008</v>
      </c>
      <c r="AE97">
        <f>IFERROR(VLOOKUP($A97,power_rankings,2,0)/(VLOOKUP($A97,power_rankings,2,0)+VLOOKUP(AE$70,power_rankings,2,0))*(AE29+HLOOKUP($A97,table_wins_h2h,MATCH(AE$70,$A$2:$A$32,0),0)),0)</f>
        <v>0.65908775758662652</v>
      </c>
      <c r="AG97">
        <f t="shared" si="0"/>
        <v>29.95</v>
      </c>
      <c r="AH97">
        <f>VLOOKUP(A97,d_win_totals!$C$2:$E$31,3,0)</f>
        <v>33</v>
      </c>
      <c r="AI97">
        <f t="shared" si="1"/>
        <v>3.0500000000000007</v>
      </c>
    </row>
    <row r="98" spans="1:35" x14ac:dyDescent="0.25">
      <c r="A98" t="s">
        <v>27</v>
      </c>
      <c r="B98">
        <f>IFERROR(VLOOKUP($A98,power_rankings,2,0)/(VLOOKUP($A98,power_rankings,2,0)+VLOOKUP(B$70,power_rankings,2,0))*(B30+HLOOKUP($A98,table_wins_h2h,MATCH(B$70,$A$2:$A$32,0),0)),0)</f>
        <v>1.2396575521786926</v>
      </c>
      <c r="C98">
        <f>IFERROR(VLOOKUP($A98,power_rankings,2,0)/(VLOOKUP($A98,power_rankings,2,0)+VLOOKUP(C$70,power_rankings,2,0))*(C30+HLOOKUP($A98,table_wins_h2h,MATCH(C$70,$A$2:$A$32,0),0)),0)</f>
        <v>2.5690954259339898</v>
      </c>
      <c r="D98">
        <f>IFERROR(VLOOKUP($A98,power_rankings,2,0)/(VLOOKUP($A98,power_rankings,2,0)+VLOOKUP(D$70,power_rankings,2,0))*(D30+HLOOKUP($A98,table_wins_h2h,MATCH(D$70,$A$2:$A$32,0),0)),0)</f>
        <v>2.3513681422930999</v>
      </c>
      <c r="E98">
        <f>IFERROR(VLOOKUP($A98,power_rankings,2,0)/(VLOOKUP($A98,power_rankings,2,0)+VLOOKUP(E$70,power_rankings,2,0))*(E30+HLOOKUP($A98,table_wins_h2h,MATCH(E$70,$A$2:$A$32,0),0)),0)</f>
        <v>2.6378763832286345</v>
      </c>
      <c r="F98">
        <f>IFERROR(VLOOKUP($A98,power_rankings,2,0)/(VLOOKUP($A98,power_rankings,2,0)+VLOOKUP(F$70,power_rankings,2,0))*(F30+HLOOKUP($A98,table_wins_h2h,MATCH(F$70,$A$2:$A$32,0),0)),0)</f>
        <v>1.8362973066638939</v>
      </c>
      <c r="G98">
        <f>IFERROR(VLOOKUP($A98,power_rankings,2,0)/(VLOOKUP($A98,power_rankings,2,0)+VLOOKUP(G$70,power_rankings,2,0))*(G30+HLOOKUP($A98,table_wins_h2h,MATCH(G$70,$A$2:$A$32,0),0)),0)</f>
        <v>1.6170857851133329</v>
      </c>
      <c r="H98">
        <f>IFERROR(VLOOKUP($A98,power_rankings,2,0)/(VLOOKUP($A98,power_rankings,2,0)+VLOOKUP(H$70,power_rankings,2,0))*(H30+HLOOKUP($A98,table_wins_h2h,MATCH(H$70,$A$2:$A$32,0),0)),0)</f>
        <v>0.87977678130588899</v>
      </c>
      <c r="I98">
        <f>IFERROR(VLOOKUP($A98,power_rankings,2,0)/(VLOOKUP($A98,power_rankings,2,0)+VLOOKUP(I$70,power_rankings,2,0))*(I30+HLOOKUP($A98,table_wins_h2h,MATCH(I$70,$A$2:$A$32,0),0)),0)</f>
        <v>1.394743220876139</v>
      </c>
      <c r="J98">
        <f>IFERROR(VLOOKUP($A98,power_rankings,2,0)/(VLOOKUP($A98,power_rankings,2,0)+VLOOKUP(J$70,power_rankings,2,0))*(J30+HLOOKUP($A98,table_wins_h2h,MATCH(J$70,$A$2:$A$32,0),0)),0)</f>
        <v>2.7340261604790781</v>
      </c>
      <c r="K98">
        <f>IFERROR(VLOOKUP($A98,power_rankings,2,0)/(VLOOKUP($A98,power_rankings,2,0)+VLOOKUP(K$70,power_rankings,2,0))*(K30+HLOOKUP($A98,table_wins_h2h,MATCH(K$70,$A$2:$A$32,0),0)),0)</f>
        <v>0.36242393391160188</v>
      </c>
      <c r="L98">
        <f>IFERROR(VLOOKUP($A98,power_rankings,2,0)/(VLOOKUP($A98,power_rankings,2,0)+VLOOKUP(L$70,power_rankings,2,0))*(L30+HLOOKUP($A98,table_wins_h2h,MATCH(L$70,$A$2:$A$32,0),0)),0)</f>
        <v>0.72066293377785251</v>
      </c>
      <c r="M98">
        <f>IFERROR(VLOOKUP($A98,power_rankings,2,0)/(VLOOKUP($A98,power_rankings,2,0)+VLOOKUP(M$70,power_rankings,2,0))*(M30+HLOOKUP($A98,table_wins_h2h,MATCH(M$70,$A$2:$A$32,0),0)),0)</f>
        <v>1.7806865561851999</v>
      </c>
      <c r="N98">
        <f>IFERROR(VLOOKUP($A98,power_rankings,2,0)/(VLOOKUP($A98,power_rankings,2,0)+VLOOKUP(N$70,power_rankings,2,0))*(N30+HLOOKUP($A98,table_wins_h2h,MATCH(N$70,$A$2:$A$32,0),0)),0)</f>
        <v>0.67231576781124158</v>
      </c>
      <c r="O98">
        <f>IFERROR(VLOOKUP($A98,power_rankings,2,0)/(VLOOKUP($A98,power_rankings,2,0)+VLOOKUP(O$70,power_rankings,2,0))*(O30+HLOOKUP($A98,table_wins_h2h,MATCH(O$70,$A$2:$A$32,0),0)),0)</f>
        <v>1.6554679377949091</v>
      </c>
      <c r="P98">
        <f>IFERROR(VLOOKUP($A98,power_rankings,2,0)/(VLOOKUP($A98,power_rankings,2,0)+VLOOKUP(P$70,power_rankings,2,0))*(P30+HLOOKUP($A98,table_wins_h2h,MATCH(P$70,$A$2:$A$32,0),0)),0)</f>
        <v>0.68370589615041744</v>
      </c>
      <c r="Q98">
        <f>IFERROR(VLOOKUP($A98,power_rankings,2,0)/(VLOOKUP($A98,power_rankings,2,0)+VLOOKUP(Q$70,power_rankings,2,0))*(Q30+HLOOKUP($A98,table_wins_h2h,MATCH(Q$70,$A$2:$A$32,0),0)),0)</f>
        <v>1.2470063012248216</v>
      </c>
      <c r="R98">
        <f>IFERROR(VLOOKUP($A98,power_rankings,2,0)/(VLOOKUP($A98,power_rankings,2,0)+VLOOKUP(R$70,power_rankings,2,0))*(R30+HLOOKUP($A98,table_wins_h2h,MATCH(R$70,$A$2:$A$32,0),0)),0)</f>
        <v>1.6984485756303362</v>
      </c>
      <c r="S98">
        <f>IFERROR(VLOOKUP($A98,power_rankings,2,0)/(VLOOKUP($A98,power_rankings,2,0)+VLOOKUP(S$70,power_rankings,2,0))*(S30+HLOOKUP($A98,table_wins_h2h,MATCH(S$70,$A$2:$A$32,0),0)),0)</f>
        <v>1.7407163321735453</v>
      </c>
      <c r="T98">
        <f>IFERROR(VLOOKUP($A98,power_rankings,2,0)/(VLOOKUP($A98,power_rankings,2,0)+VLOOKUP(T$70,power_rankings,2,0))*(T30+HLOOKUP($A98,table_wins_h2h,MATCH(T$70,$A$2:$A$32,0),0)),0)</f>
        <v>0.96209005976141815</v>
      </c>
      <c r="U98">
        <f>IFERROR(VLOOKUP($A98,power_rankings,2,0)/(VLOOKUP($A98,power_rankings,2,0)+VLOOKUP(U$70,power_rankings,2,0))*(U30+HLOOKUP($A98,table_wins_h2h,MATCH(U$70,$A$2:$A$32,0),0)),0)</f>
        <v>3.4325124704689589</v>
      </c>
      <c r="V98">
        <f>IFERROR(VLOOKUP($A98,power_rankings,2,0)/(VLOOKUP($A98,power_rankings,2,0)+VLOOKUP(V$70,power_rankings,2,0))*(V30+HLOOKUP($A98,table_wins_h2h,MATCH(V$70,$A$2:$A$32,0),0)),0)</f>
        <v>1.0494436320242608</v>
      </c>
      <c r="W98">
        <f>IFERROR(VLOOKUP($A98,power_rankings,2,0)/(VLOOKUP($A98,power_rankings,2,0)+VLOOKUP(W$70,power_rankings,2,0))*(W30+HLOOKUP($A98,table_wins_h2h,MATCH(W$70,$A$2:$A$32,0),0)),0)</f>
        <v>3.1193911565359773</v>
      </c>
      <c r="X98">
        <f>IFERROR(VLOOKUP($A98,power_rankings,2,0)/(VLOOKUP($A98,power_rankings,2,0)+VLOOKUP(X$70,power_rankings,2,0))*(X30+HLOOKUP($A98,table_wins_h2h,MATCH(X$70,$A$2:$A$32,0),0)),0)</f>
        <v>3.3838590336910381</v>
      </c>
      <c r="Y98">
        <f>IFERROR(VLOOKUP($A98,power_rankings,2,0)/(VLOOKUP($A98,power_rankings,2,0)+VLOOKUP(Y$70,power_rankings,2,0))*(Y30+HLOOKUP($A98,table_wins_h2h,MATCH(Y$70,$A$2:$A$32,0),0)),0)</f>
        <v>1.2079641825658107</v>
      </c>
      <c r="Z98">
        <f>IFERROR(VLOOKUP($A98,power_rankings,2,0)/(VLOOKUP($A98,power_rankings,2,0)+VLOOKUP(Z$70,power_rankings,2,0))*(Z30+HLOOKUP($A98,table_wins_h2h,MATCH(Z$70,$A$2:$A$32,0),0)),0)</f>
        <v>0.82840295317241563</v>
      </c>
      <c r="AA98">
        <f>IFERROR(VLOOKUP($A98,power_rankings,2,0)/(VLOOKUP($A98,power_rankings,2,0)+VLOOKUP(AA$70,power_rankings,2,0))*(AA30+HLOOKUP($A98,table_wins_h2h,MATCH(AA$70,$A$2:$A$32,0),0)),0)</f>
        <v>0.7501764046373034</v>
      </c>
      <c r="AB98">
        <f>IFERROR(VLOOKUP($A98,power_rankings,2,0)/(VLOOKUP($A98,power_rankings,2,0)+VLOOKUP(AB$70,power_rankings,2,0))*(AB30+HLOOKUP($A98,table_wins_h2h,MATCH(AB$70,$A$2:$A$32,0),0)),0)</f>
        <v>1.3882272878770139</v>
      </c>
      <c r="AC98">
        <f>IFERROR(VLOOKUP($A98,power_rankings,2,0)/(VLOOKUP($A98,power_rankings,2,0)+VLOOKUP(AC$70,power_rankings,2,0))*(AC30+HLOOKUP($A98,table_wins_h2h,MATCH(AC$70,$A$2:$A$32,0),0)),0)</f>
        <v>0</v>
      </c>
      <c r="AD98">
        <f>IFERROR(VLOOKUP($A98,power_rankings,2,0)/(VLOOKUP($A98,power_rankings,2,0)+VLOOKUP(AD$70,power_rankings,2,0))*(AD30+HLOOKUP($A98,table_wins_h2h,MATCH(AD$70,$A$2:$A$32,0),0)),0)</f>
        <v>1.1782117599941495</v>
      </c>
      <c r="AE98">
        <f>IFERROR(VLOOKUP($A98,power_rankings,2,0)/(VLOOKUP($A98,power_rankings,2,0)+VLOOKUP(AE$70,power_rankings,2,0))*(AE30+HLOOKUP($A98,table_wins_h2h,MATCH(AE$70,$A$2:$A$32,0),0)),0)</f>
        <v>1.5817987501864357</v>
      </c>
      <c r="AG98">
        <f t="shared" si="0"/>
        <v>46.7</v>
      </c>
      <c r="AH98">
        <f>VLOOKUP(A98,d_win_totals!$C$2:$E$31,3,0)</f>
        <v>56</v>
      </c>
      <c r="AI98">
        <f t="shared" si="1"/>
        <v>9.2999999999999972</v>
      </c>
    </row>
    <row r="99" spans="1:35" x14ac:dyDescent="0.25">
      <c r="A99" t="s">
        <v>34</v>
      </c>
      <c r="B99">
        <f>IFERROR(VLOOKUP($A99,power_rankings,2,0)/(VLOOKUP($A99,power_rankings,2,0)+VLOOKUP(B$70,power_rankings,2,0))*(B31+HLOOKUP($A99,table_wins_h2h,MATCH(B$70,$A$2:$A$32,0),0)),0)</f>
        <v>0.4770475580534364</v>
      </c>
      <c r="C99">
        <f>IFERROR(VLOOKUP($A99,power_rankings,2,0)/(VLOOKUP($A99,power_rankings,2,0)+VLOOKUP(C$70,power_rankings,2,0))*(C31+HLOOKUP($A99,table_wins_h2h,MATCH(C$70,$A$2:$A$32,0),0)),0)</f>
        <v>1.11201626987173</v>
      </c>
      <c r="D99">
        <f>IFERROR(VLOOKUP($A99,power_rankings,2,0)/(VLOOKUP($A99,power_rankings,2,0)+VLOOKUP(D$70,power_rankings,2,0))*(D31+HLOOKUP($A99,table_wins_h2h,MATCH(D$70,$A$2:$A$32,0),0)),0)</f>
        <v>0.99739061396993245</v>
      </c>
      <c r="E99">
        <f>IFERROR(VLOOKUP($A99,power_rankings,2,0)/(VLOOKUP($A99,power_rankings,2,0)+VLOOKUP(E$70,power_rankings,2,0))*(E31+HLOOKUP($A99,table_wins_h2h,MATCH(E$70,$A$2:$A$32,0),0)),0)</f>
        <v>1.1492071475137646</v>
      </c>
      <c r="F99">
        <f>IFERROR(VLOOKUP($A99,power_rankings,2,0)/(VLOOKUP($A99,power_rankings,2,0)+VLOOKUP(F$70,power_rankings,2,0))*(F31+HLOOKUP($A99,table_wins_h2h,MATCH(F$70,$A$2:$A$32,0),0)),0)</f>
        <v>0.74367586088592885</v>
      </c>
      <c r="G99">
        <f>IFERROR(VLOOKUP($A99,power_rankings,2,0)/(VLOOKUP($A99,power_rankings,2,0)+VLOOKUP(G$70,power_rankings,2,0))*(G31+HLOOKUP($A99,table_wins_h2h,MATCH(G$70,$A$2:$A$32,0),0)),0)</f>
        <v>0.64252804288090737</v>
      </c>
      <c r="H99">
        <f>IFERROR(VLOOKUP($A99,power_rankings,2,0)/(VLOOKUP($A99,power_rankings,2,0)+VLOOKUP(H$70,power_rankings,2,0))*(H31+HLOOKUP($A99,table_wins_h2h,MATCH(H$70,$A$2:$A$32,0),0)),0)</f>
        <v>1.4156498562944393</v>
      </c>
      <c r="I99">
        <f>IFERROR(VLOOKUP($A99,power_rankings,2,0)/(VLOOKUP($A99,power_rankings,2,0)+VLOOKUP(I$70,power_rankings,2,0))*(I31+HLOOKUP($A99,table_wins_h2h,MATCH(I$70,$A$2:$A$32,0),0)),0)</f>
        <v>2.4658333094444416</v>
      </c>
      <c r="J99">
        <f>IFERROR(VLOOKUP($A99,power_rankings,2,0)/(VLOOKUP($A99,power_rankings,2,0)+VLOOKUP(J$70,power_rankings,2,0))*(J31+HLOOKUP($A99,table_wins_h2h,MATCH(J$70,$A$2:$A$32,0),0)),0)</f>
        <v>1.2020142754330467</v>
      </c>
      <c r="K99">
        <f>IFERROR(VLOOKUP($A99,power_rankings,2,0)/(VLOOKUP($A99,power_rankings,2,0)+VLOOKUP(K$70,power_rankings,2,0))*(K31+HLOOKUP($A99,table_wins_h2h,MATCH(K$70,$A$2:$A$32,0),0)),0)</f>
        <v>0.5348948053733904</v>
      </c>
      <c r="L99">
        <f>IFERROR(VLOOKUP($A99,power_rankings,2,0)/(VLOOKUP($A99,power_rankings,2,0)+VLOOKUP(L$70,power_rankings,2,0))*(L31+HLOOKUP($A99,table_wins_h2h,MATCH(L$70,$A$2:$A$32,0),0)),0)</f>
        <v>1.1282967385577516</v>
      </c>
      <c r="M99">
        <f>IFERROR(VLOOKUP($A99,power_rankings,2,0)/(VLOOKUP($A99,power_rankings,2,0)+VLOOKUP(M$70,power_rankings,2,0))*(M31+HLOOKUP($A99,table_wins_h2h,MATCH(M$70,$A$2:$A$32,0),0)),0)</f>
        <v>1.0092200798374511</v>
      </c>
      <c r="N99">
        <f>IFERROR(VLOOKUP($A99,power_rankings,2,0)/(VLOOKUP($A99,power_rankings,2,0)+VLOOKUP(N$70,power_rankings,2,0))*(N31+HLOOKUP($A99,table_wins_h2h,MATCH(N$70,$A$2:$A$32,0),0)),0)</f>
        <v>1.0440337522537215</v>
      </c>
      <c r="O99">
        <f>IFERROR(VLOOKUP($A99,power_rankings,2,0)/(VLOOKUP($A99,power_rankings,2,0)+VLOOKUP(O$70,power_rankings,2,0))*(O31+HLOOKUP($A99,table_wins_h2h,MATCH(O$70,$A$2:$A$32,0),0)),0)</f>
        <v>2.3105684673642681</v>
      </c>
      <c r="P99">
        <f>IFERROR(VLOOKUP($A99,power_rankings,2,0)/(VLOOKUP($A99,power_rankings,2,0)+VLOOKUP(P$70,power_rankings,2,0))*(P31+HLOOKUP($A99,table_wins_h2h,MATCH(P$70,$A$2:$A$32,0),0)),0)</f>
        <v>1.0637615338823714</v>
      </c>
      <c r="Q99">
        <f>IFERROR(VLOOKUP($A99,power_rankings,2,0)/(VLOOKUP($A99,power_rankings,2,0)+VLOOKUP(Q$70,power_rankings,2,0))*(Q31+HLOOKUP($A99,table_wins_h2h,MATCH(Q$70,$A$2:$A$32,0),0)),0)</f>
        <v>1.0719622795922161</v>
      </c>
      <c r="R99">
        <f>IFERROR(VLOOKUP($A99,power_rankings,2,0)/(VLOOKUP($A99,power_rankings,2,0)+VLOOKUP(R$70,power_rankings,2,0))*(R31+HLOOKUP($A99,table_wins_h2h,MATCH(R$70,$A$2:$A$32,0),0)),0)</f>
        <v>0.95297865661667769</v>
      </c>
      <c r="S99">
        <f>IFERROR(VLOOKUP($A99,power_rankings,2,0)/(VLOOKUP($A99,power_rankings,2,0)+VLOOKUP(S$70,power_rankings,2,0))*(S31+HLOOKUP($A99,table_wins_h2h,MATCH(S$70,$A$2:$A$32,0),0)),0)</f>
        <v>3.2960999964597022</v>
      </c>
      <c r="T99">
        <f>IFERROR(VLOOKUP($A99,power_rankings,2,0)/(VLOOKUP($A99,power_rankings,2,0)+VLOOKUP(T$70,power_rankings,2,0))*(T31+HLOOKUP($A99,table_wins_h2h,MATCH(T$70,$A$2:$A$32,0),0)),0)</f>
        <v>1.1779929285149588</v>
      </c>
      <c r="U99">
        <f>IFERROR(VLOOKUP($A99,power_rankings,2,0)/(VLOOKUP($A99,power_rankings,2,0)+VLOOKUP(U$70,power_rankings,2,0))*(U31+HLOOKUP($A99,table_wins_h2h,MATCH(U$70,$A$2:$A$32,0),0)),0)</f>
        <v>1.6167725875146308</v>
      </c>
      <c r="V99">
        <f>IFERROR(VLOOKUP($A99,power_rankings,2,0)/(VLOOKUP($A99,power_rankings,2,0)+VLOOKUP(V$70,power_rankings,2,0))*(V31+HLOOKUP($A99,table_wins_h2h,MATCH(V$70,$A$2:$A$32,0),0)),0)</f>
        <v>1.7401743064124167</v>
      </c>
      <c r="W99">
        <f>IFERROR(VLOOKUP($A99,power_rankings,2,0)/(VLOOKUP($A99,power_rankings,2,0)+VLOOKUP(W$70,power_rankings,2,0))*(W31+HLOOKUP($A99,table_wins_h2h,MATCH(W$70,$A$2:$A$32,0),0)),0)</f>
        <v>1.423750532996916</v>
      </c>
      <c r="X99">
        <f>IFERROR(VLOOKUP($A99,power_rankings,2,0)/(VLOOKUP($A99,power_rankings,2,0)+VLOOKUP(X$70,power_rankings,2,0))*(X31+HLOOKUP($A99,table_wins_h2h,MATCH(X$70,$A$2:$A$32,0),0)),0)</f>
        <v>1.5859742250595787</v>
      </c>
      <c r="Y99">
        <f>IFERROR(VLOOKUP($A99,power_rankings,2,0)/(VLOOKUP($A99,power_rankings,2,0)+VLOOKUP(Y$70,power_rankings,2,0))*(Y31+HLOOKUP($A99,table_wins_h2h,MATCH(Y$70,$A$2:$A$32,0),0)),0)</f>
        <v>1.5463463049940498</v>
      </c>
      <c r="Z99">
        <f>IFERROR(VLOOKUP($A99,power_rankings,2,0)/(VLOOKUP($A99,power_rankings,2,0)+VLOOKUP(Z$70,power_rankings,2,0))*(Z31+HLOOKUP($A99,table_wins_h2h,MATCH(Z$70,$A$2:$A$32,0),0)),0)</f>
        <v>1.321142270984045</v>
      </c>
      <c r="AA99">
        <f>IFERROR(VLOOKUP($A99,power_rankings,2,0)/(VLOOKUP($A99,power_rankings,2,0)+VLOOKUP(AA$70,power_rankings,2,0))*(AA31+HLOOKUP($A99,table_wins_h2h,MATCH(AA$70,$A$2:$A$32,0),0)),0)</f>
        <v>0.88531372362729299</v>
      </c>
      <c r="AB99">
        <f>IFERROR(VLOOKUP($A99,power_rankings,2,0)/(VLOOKUP($A99,power_rankings,2,0)+VLOOKUP(AB$70,power_rankings,2,0))*(AB31+HLOOKUP($A99,table_wins_h2h,MATCH(AB$70,$A$2:$A$32,0),0)),0)</f>
        <v>2.4512516542668994</v>
      </c>
      <c r="AC99">
        <f>IFERROR(VLOOKUP($A99,power_rankings,2,0)/(VLOOKUP($A99,power_rankings,2,0)+VLOOKUP(AC$70,power_rankings,2,0))*(AC31+HLOOKUP($A99,table_wins_h2h,MATCH(AC$70,$A$2:$A$32,0),0)),0)</f>
        <v>0.82178824000585027</v>
      </c>
      <c r="AD99">
        <f>IFERROR(VLOOKUP($A99,power_rankings,2,0)/(VLOOKUP($A99,power_rankings,2,0)+VLOOKUP(AD$70,power_rankings,2,0))*(AD31+HLOOKUP($A99,table_wins_h2h,MATCH(AD$70,$A$2:$A$32,0),0)),0)</f>
        <v>0</v>
      </c>
      <c r="AE99">
        <f>IFERROR(VLOOKUP($A99,power_rankings,2,0)/(VLOOKUP($A99,power_rankings,2,0)+VLOOKUP(AE$70,power_rankings,2,0))*(AE31+HLOOKUP($A99,table_wins_h2h,MATCH(AE$70,$A$2:$A$32,0),0)),0)</f>
        <v>0.8751069882747996</v>
      </c>
      <c r="AG99">
        <f t="shared" si="0"/>
        <v>38.06</v>
      </c>
      <c r="AH99">
        <f>VLOOKUP(A99,d_win_totals!$C$2:$E$31,3,0)</f>
        <v>40</v>
      </c>
      <c r="AI99">
        <f t="shared" si="1"/>
        <v>1.9399999999999977</v>
      </c>
    </row>
    <row r="100" spans="1:35" x14ac:dyDescent="0.25">
      <c r="A100" t="s">
        <v>25</v>
      </c>
      <c r="B100">
        <f>IFERROR(VLOOKUP($A100,power_rankings,2,0)/(VLOOKUP($A100,power_rankings,2,0)+VLOOKUP(B$70,power_rankings,2,0))*(B32+HLOOKUP($A100,table_wins_h2h,MATCH(B$70,$A$2:$A$32,0),0)),0)</f>
        <v>1.1482507510306659</v>
      </c>
      <c r="C100">
        <f>IFERROR(VLOOKUP($A100,power_rankings,2,0)/(VLOOKUP($A100,power_rankings,2,0)+VLOOKUP(C$70,power_rankings,2,0))*(C32+HLOOKUP($A100,table_wins_h2h,MATCH(C$70,$A$2:$A$32,0),0)),0)</f>
        <v>2.4672812751149964</v>
      </c>
      <c r="D100">
        <f>IFERROR(VLOOKUP($A100,power_rankings,2,0)/(VLOOKUP($A100,power_rankings,2,0)+VLOOKUP(D$70,power_rankings,2,0))*(D32+HLOOKUP($A100,table_wins_h2h,MATCH(D$70,$A$2:$A$32,0),0)),0)</f>
        <v>1.6834852352946581</v>
      </c>
      <c r="E100">
        <f>IFERROR(VLOOKUP($A100,power_rankings,2,0)/(VLOOKUP($A100,power_rankings,2,0)+VLOOKUP(E$70,power_rankings,2,0))*(E32+HLOOKUP($A100,table_wins_h2h,MATCH(E$70,$A$2:$A$32,0),0)),0)</f>
        <v>2.53817152968145</v>
      </c>
      <c r="F100">
        <f>IFERROR(VLOOKUP($A100,power_rankings,2,0)/(VLOOKUP($A100,power_rankings,2,0)+VLOOKUP(F$70,power_rankings,2,0))*(F32+HLOOKUP($A100,table_wins_h2h,MATCH(F$70,$A$2:$A$32,0),0)),0)</f>
        <v>1.7284444106938299</v>
      </c>
      <c r="G100">
        <f>IFERROR(VLOOKUP($A100,power_rankings,2,0)/(VLOOKUP($A100,power_rankings,2,0)+VLOOKUP(G$70,power_rankings,2,0))*(G32+HLOOKUP($A100,table_wins_h2h,MATCH(G$70,$A$2:$A$32,0),0)),0)</f>
        <v>1.5131042851774699</v>
      </c>
      <c r="H100">
        <f>IFERROR(VLOOKUP($A100,power_rankings,2,0)/(VLOOKUP($A100,power_rankings,2,0)+VLOOKUP(H$70,power_rankings,2,0))*(H32+HLOOKUP($A100,table_wins_h2h,MATCH(H$70,$A$2:$A$32,0),0)),0)</f>
        <v>0.82638252993531502</v>
      </c>
      <c r="I100">
        <f>IFERROR(VLOOKUP($A100,power_rankings,2,0)/(VLOOKUP($A100,power_rankings,2,0)+VLOOKUP(I$70,power_rankings,2,0))*(I32+HLOOKUP($A100,table_wins_h2h,MATCH(I$70,$A$2:$A$32,0),0)),0)</f>
        <v>1.3476953267433784</v>
      </c>
      <c r="J100">
        <f>IFERROR(VLOOKUP($A100,power_rankings,2,0)/(VLOOKUP($A100,power_rankings,2,0)+VLOOKUP(J$70,power_rankings,2,0))*(J32+HLOOKUP($A100,table_wins_h2h,MATCH(J$70,$A$2:$A$32,0),0)),0)</f>
        <v>1.9782935037210096</v>
      </c>
      <c r="K100">
        <f>IFERROR(VLOOKUP($A100,power_rankings,2,0)/(VLOOKUP($A100,power_rankings,2,0)+VLOOKUP(K$70,power_rankings,2,0))*(K32+HLOOKUP($A100,table_wins_h2h,MATCH(K$70,$A$2:$A$32,0),0)),0)</f>
        <v>0.3311465433847548</v>
      </c>
      <c r="L100">
        <f>IFERROR(VLOOKUP($A100,power_rankings,2,0)/(VLOOKUP($A100,power_rankings,2,0)+VLOOKUP(L$70,power_rankings,2,0))*(L32+HLOOKUP($A100,table_wins_h2h,MATCH(L$70,$A$2:$A$32,0),0)),0)</f>
        <v>0.67113994201297089</v>
      </c>
      <c r="M100">
        <f>IFERROR(VLOOKUP($A100,power_rankings,2,0)/(VLOOKUP($A100,power_rankings,2,0)+VLOOKUP(M$70,power_rankings,2,0))*(M32+HLOOKUP($A100,table_wins_h2h,MATCH(M$70,$A$2:$A$32,0),0)),0)</f>
        <v>2.267917669622153</v>
      </c>
      <c r="N100">
        <f>IFERROR(VLOOKUP($A100,power_rankings,2,0)/(VLOOKUP($A100,power_rankings,2,0)+VLOOKUP(N$70,power_rankings,2,0))*(N32+HLOOKUP($A100,table_wins_h2h,MATCH(N$70,$A$2:$A$32,0),0)),0)</f>
        <v>0.62449336120100118</v>
      </c>
      <c r="O100">
        <f>IFERROR(VLOOKUP($A100,power_rankings,2,0)/(VLOOKUP($A100,power_rankings,2,0)+VLOOKUP(O$70,power_rankings,2,0))*(O32+HLOOKUP($A100,table_wins_h2h,MATCH(O$70,$A$2:$A$32,0),0)),0)</f>
        <v>1.6232117072634433</v>
      </c>
      <c r="P100">
        <f>IFERROR(VLOOKUP($A100,power_rankings,2,0)/(VLOOKUP($A100,power_rankings,2,0)+VLOOKUP(P$70,power_rankings,2,0))*(P32+HLOOKUP($A100,table_wins_h2h,MATCH(P$70,$A$2:$A$32,0),0)),0)</f>
        <v>0.63546107576321653</v>
      </c>
      <c r="Q100">
        <f>IFERROR(VLOOKUP($A100,power_rankings,2,0)/(VLOOKUP($A100,power_rankings,2,0)+VLOOKUP(Q$70,power_rankings,2,0))*(Q32+HLOOKUP($A100,table_wins_h2h,MATCH(Q$70,$A$2:$A$32,0),0)),0)</f>
        <v>2.390203594339964</v>
      </c>
      <c r="R100">
        <f>IFERROR(VLOOKUP($A100,power_rankings,2,0)/(VLOOKUP($A100,power_rankings,2,0)+VLOOKUP(R$70,power_rankings,2,0))*(R32+HLOOKUP($A100,table_wins_h2h,MATCH(R$70,$A$2:$A$32,0),0)),0)</f>
        <v>1.6174975228352118</v>
      </c>
      <c r="S100">
        <f>IFERROR(VLOOKUP($A100,power_rankings,2,0)/(VLOOKUP($A100,power_rankings,2,0)+VLOOKUP(S$70,power_rankings,2,0))*(S32+HLOOKUP($A100,table_wins_h2h,MATCH(S$70,$A$2:$A$32,0),0)),0)</f>
        <v>1.7150676403908036</v>
      </c>
      <c r="T100">
        <f>IFERROR(VLOOKUP($A100,power_rankings,2,0)/(VLOOKUP($A100,power_rankings,2,0)+VLOOKUP(T$70,power_rankings,2,0))*(T32+HLOOKUP($A100,table_wins_h2h,MATCH(T$70,$A$2:$A$32,0),0)),0)</f>
        <v>0.90774827382815004</v>
      </c>
      <c r="U100">
        <f>IFERROR(VLOOKUP($A100,power_rankings,2,0)/(VLOOKUP($A100,power_rankings,2,0)+VLOOKUP(U$70,power_rankings,2,0))*(U32+HLOOKUP($A100,table_wins_h2h,MATCH(U$70,$A$2:$A$32,0),0)),0)</f>
        <v>3.3772414801911794</v>
      </c>
      <c r="V100">
        <f>IFERROR(VLOOKUP($A100,power_rankings,2,0)/(VLOOKUP($A100,power_rankings,2,0)+VLOOKUP(V$70,power_rankings,2,0))*(V32+HLOOKUP($A100,table_wins_h2h,MATCH(V$70,$A$2:$A$32,0),0)),0)</f>
        <v>0.99489737376606102</v>
      </c>
      <c r="W100">
        <f>IFERROR(VLOOKUP($A100,power_rankings,2,0)/(VLOOKUP($A100,power_rankings,2,0)+VLOOKUP(W$70,power_rankings,2,0))*(W32+HLOOKUP($A100,table_wins_h2h,MATCH(W$70,$A$2:$A$32,0),0)),0)</f>
        <v>3.0421337447485097</v>
      </c>
      <c r="X100">
        <f>IFERROR(VLOOKUP($A100,power_rankings,2,0)/(VLOOKUP($A100,power_rankings,2,0)+VLOOKUP(X$70,power_rankings,2,0))*(X32+HLOOKUP($A100,table_wins_h2h,MATCH(X$70,$A$2:$A$32,0),0)),0)</f>
        <v>3.3247815472043256</v>
      </c>
      <c r="Y100">
        <f>IFERROR(VLOOKUP($A100,power_rankings,2,0)/(VLOOKUP($A100,power_rankings,2,0)+VLOOKUP(Y$70,power_rankings,2,0))*(Y32+HLOOKUP($A100,table_wins_h2h,MATCH(Y$70,$A$2:$A$32,0),0)),0)</f>
        <v>1.1551916813181193</v>
      </c>
      <c r="Z100">
        <f>IFERROR(VLOOKUP($A100,power_rankings,2,0)/(VLOOKUP($A100,power_rankings,2,0)+VLOOKUP(Z$70,power_rankings,2,0))*(Z32+HLOOKUP($A100,table_wins_h2h,MATCH(Z$70,$A$2:$A$32,0),0)),0)</f>
        <v>0.77596686905374679</v>
      </c>
      <c r="AA100">
        <f>IFERROR(VLOOKUP($A100,power_rankings,2,0)/(VLOOKUP($A100,power_rankings,2,0)+VLOOKUP(AA$70,power_rankings,2,0))*(AA32+HLOOKUP($A100,table_wins_h2h,MATCH(AA$70,$A$2:$A$32,0),0)),0)</f>
        <v>0.69973457214434676</v>
      </c>
      <c r="AB100">
        <f>IFERROR(VLOOKUP($A100,power_rankings,2,0)/(VLOOKUP($A100,power_rankings,2,0)+VLOOKUP(AB$70,power_rankings,2,0))*(AB32+HLOOKUP($A100,table_wins_h2h,MATCH(AB$70,$A$2:$A$32,0),0)),0)</f>
        <v>1.3409122424133735</v>
      </c>
      <c r="AC100">
        <f>IFERROR(VLOOKUP($A100,power_rankings,2,0)/(VLOOKUP($A100,power_rankings,2,0)+VLOOKUP(AC$70,power_rankings,2,0))*(AC32+HLOOKUP($A100,table_wins_h2h,MATCH(AC$70,$A$2:$A$32,0),0)),0)</f>
        <v>1.4182012498135641</v>
      </c>
      <c r="AD100">
        <f>IFERROR(VLOOKUP($A100,power_rankings,2,0)/(VLOOKUP($A100,power_rankings,2,0)+VLOOKUP(AD$70,power_rankings,2,0))*(AD32+HLOOKUP($A100,table_wins_h2h,MATCH(AD$70,$A$2:$A$32,0),0)),0)</f>
        <v>1.1248930117252003</v>
      </c>
      <c r="AE100">
        <f>IFERROR(VLOOKUP($A100,power_rankings,2,0)/(VLOOKUP($A100,power_rankings,2,0)+VLOOKUP(AE$70,power_rankings,2,0))*(AE32+HLOOKUP($A100,table_wins_h2h,MATCH(AE$70,$A$2:$A$32,0),0)),0)</f>
        <v>0</v>
      </c>
      <c r="AG100">
        <f t="shared" si="0"/>
        <v>45.27</v>
      </c>
      <c r="AH100">
        <f>VLOOKUP(A100,d_win_totals!$C$2:$E$31,3,0)</f>
        <v>41</v>
      </c>
      <c r="AI100">
        <f t="shared" si="1"/>
        <v>-4.2700000000000031</v>
      </c>
    </row>
    <row r="101" spans="1:35" x14ac:dyDescent="0.25">
      <c r="AG101">
        <f>SUM(AG71:AG100)</f>
        <v>1228</v>
      </c>
      <c r="AH101">
        <f t="shared" ref="AH101:AI101" si="2">SUM(AH71:AH100)</f>
        <v>1230</v>
      </c>
      <c r="AI101">
        <f t="shared" si="2"/>
        <v>1.9999999999999929</v>
      </c>
    </row>
    <row r="102" spans="1:35" x14ac:dyDescent="0.25">
      <c r="A102" t="s">
        <v>77</v>
      </c>
    </row>
    <row r="103" spans="1:35" x14ac:dyDescent="0.25">
      <c r="B103" t="s">
        <v>26</v>
      </c>
      <c r="C103" t="s">
        <v>23</v>
      </c>
      <c r="D103" t="s">
        <v>22</v>
      </c>
      <c r="E103" t="s">
        <v>18</v>
      </c>
      <c r="F103" t="s">
        <v>30</v>
      </c>
      <c r="G103" t="s">
        <v>40</v>
      </c>
      <c r="H103" t="s">
        <v>14</v>
      </c>
      <c r="I103" t="s">
        <v>32</v>
      </c>
      <c r="J103" t="s">
        <v>33</v>
      </c>
      <c r="K103" t="s">
        <v>36</v>
      </c>
      <c r="L103" t="s">
        <v>16</v>
      </c>
      <c r="M103" t="s">
        <v>20</v>
      </c>
      <c r="N103" t="s">
        <v>41</v>
      </c>
      <c r="O103" t="s">
        <v>17</v>
      </c>
      <c r="P103" t="s">
        <v>28</v>
      </c>
      <c r="Q103" t="s">
        <v>24</v>
      </c>
      <c r="R103" t="s">
        <v>19</v>
      </c>
      <c r="S103" t="s">
        <v>29</v>
      </c>
      <c r="T103" t="s">
        <v>12</v>
      </c>
      <c r="U103" t="s">
        <v>31</v>
      </c>
      <c r="V103" t="s">
        <v>38</v>
      </c>
      <c r="W103" t="s">
        <v>13</v>
      </c>
      <c r="X103" t="s">
        <v>21</v>
      </c>
      <c r="Y103" t="s">
        <v>35</v>
      </c>
      <c r="Z103" t="s">
        <v>39</v>
      </c>
      <c r="AA103" t="s">
        <v>15</v>
      </c>
      <c r="AB103" t="s">
        <v>37</v>
      </c>
      <c r="AC103" t="s">
        <v>27</v>
      </c>
      <c r="AD103" t="s">
        <v>34</v>
      </c>
      <c r="AE103" t="s">
        <v>25</v>
      </c>
    </row>
    <row r="104" spans="1:35" x14ac:dyDescent="0.25">
      <c r="A104" t="s">
        <v>26</v>
      </c>
      <c r="B104">
        <f>(B3-B71)^2</f>
        <v>0</v>
      </c>
      <c r="C104">
        <f>(C3-C71)^2</f>
        <v>0.64054060402272639</v>
      </c>
      <c r="D104">
        <f>(D3-D71)^2</f>
        <v>7.9287925780393856E-2</v>
      </c>
      <c r="E104">
        <f>(E3-E71)^2</f>
        <v>1.5550505526572851</v>
      </c>
      <c r="F104">
        <f>(F3-F71)^2</f>
        <v>1.4553086649380252E-3</v>
      </c>
      <c r="G104">
        <f>(G3-G71)^2</f>
        <v>0.35158206594784053</v>
      </c>
      <c r="H104">
        <f>(H3-H71)^2</f>
        <v>0.5294045682393318</v>
      </c>
      <c r="I104">
        <f>(I3-I71)^2</f>
        <v>0.45400324082283855</v>
      </c>
      <c r="J104">
        <f>(J3-J71)^2</f>
        <v>9.6965497953737628E-2</v>
      </c>
      <c r="K104">
        <f>(K3-K71)^2</f>
        <v>0.1154356144579948</v>
      </c>
      <c r="L104">
        <f>(L3-L71)^2</f>
        <v>0.78709791950617802</v>
      </c>
      <c r="M104">
        <f>(M3-M71)^2</f>
        <v>0.49783140007260879</v>
      </c>
      <c r="N104">
        <f>(N3-N71)^2</f>
        <v>0.88368255590421108</v>
      </c>
      <c r="O104">
        <f>(O3-O71)^2</f>
        <v>0.687321449963186</v>
      </c>
      <c r="P104">
        <f>(P3-P71)^2</f>
        <v>5.271911029215196E-3</v>
      </c>
      <c r="Q104">
        <f>(Q3-Q71)^2</f>
        <v>0.72816060331832966</v>
      </c>
      <c r="R104">
        <f>(R3-R71)^2</f>
        <v>5.8281272685998273E-4</v>
      </c>
      <c r="S104">
        <f>(S3-S71)^2</f>
        <v>1.5724956392504187E-2</v>
      </c>
      <c r="T104">
        <f>(T3-T71)^2</f>
        <v>0.12059379769799325</v>
      </c>
      <c r="U104">
        <f>(U3-U71)^2</f>
        <v>0.62829723887081079</v>
      </c>
      <c r="V104">
        <f>(V3-V71)^2</f>
        <v>0.17782107328369029</v>
      </c>
      <c r="W104">
        <f>(W3-W71)^2</f>
        <v>0.30243140441166932</v>
      </c>
      <c r="X104">
        <f>(X3-X71)^2</f>
        <v>0.48669539255948263</v>
      </c>
      <c r="Y104">
        <f>(Y3-Y71)^2</f>
        <v>0.20698568802067677</v>
      </c>
      <c r="Z104">
        <f>(Z3-Z71)^2</f>
        <v>0.60352642573836068</v>
      </c>
      <c r="AA104">
        <f>(AA3-AA71)^2</f>
        <v>1.3087970176276134</v>
      </c>
      <c r="AB104">
        <f>(AB3-AB71)^2</f>
        <v>0.10918123701336803</v>
      </c>
      <c r="AC104">
        <f>(AC3-AC71)^2</f>
        <v>3.0988055336015119</v>
      </c>
      <c r="AD104">
        <f>(AD3-AD71)^2</f>
        <v>0.22757437264474673</v>
      </c>
      <c r="AE104">
        <f>(AE3-AE71)^2</f>
        <v>2.1978285181156413E-2</v>
      </c>
    </row>
    <row r="105" spans="1:35" x14ac:dyDescent="0.25">
      <c r="A105" t="s">
        <v>23</v>
      </c>
      <c r="B105">
        <f>(B4-B72)^2</f>
        <v>0.64054060402272661</v>
      </c>
      <c r="C105">
        <f>(C4-C72)^2</f>
        <v>0</v>
      </c>
      <c r="D105">
        <f>(D4-D72)^2</f>
        <v>0.59415680841417629</v>
      </c>
      <c r="E105">
        <f>(E4-E72)^2</f>
        <v>0.19648425318399892</v>
      </c>
      <c r="F105">
        <f>(F4-F72)^2</f>
        <v>8.0588273229531146E-2</v>
      </c>
      <c r="G105">
        <f>(G4-G72)^2</f>
        <v>9.4429945043999035E-3</v>
      </c>
      <c r="H105">
        <f>(H4-H72)^2</f>
        <v>0.15317990787207927</v>
      </c>
      <c r="I105">
        <f>(I4-I72)^2</f>
        <v>0.76713208154283963</v>
      </c>
      <c r="J105">
        <f>(J4-J72)^2</f>
        <v>0.13095527569367471</v>
      </c>
      <c r="K105">
        <f>(K4-K72)^2</f>
        <v>0.60921306564118394</v>
      </c>
      <c r="L105">
        <f>(L4-L72)^2</f>
        <v>0.22813542181929489</v>
      </c>
      <c r="M105">
        <f>(M4-M72)^2</f>
        <v>0.42817876652586545</v>
      </c>
      <c r="N105">
        <f>(N4-N72)^2</f>
        <v>0.31361694281106584</v>
      </c>
      <c r="O105">
        <f>(O4-O72)^2</f>
        <v>0.29597658977021946</v>
      </c>
      <c r="P105">
        <f>(P4-P72)^2</f>
        <v>0.20139394000220318</v>
      </c>
      <c r="Q105">
        <f>(Q4-Q72)^2</f>
        <v>3.6834861147281055</v>
      </c>
      <c r="R105">
        <f>(R4-R72)^2</f>
        <v>0.46729712977987709</v>
      </c>
      <c r="S105">
        <f>(S4-S72)^2</f>
        <v>0.33407401235983047</v>
      </c>
      <c r="T105">
        <f>(T4-T72)^2</f>
        <v>0.46373871236922459</v>
      </c>
      <c r="U105">
        <f>(U4-U72)^2</f>
        <v>0.83825987339541286</v>
      </c>
      <c r="V105">
        <f>(V4-V72)^2</f>
        <v>1.5337806391130884</v>
      </c>
      <c r="W105">
        <f>(W4-W72)^2</f>
        <v>1.0182766180326914</v>
      </c>
      <c r="X105">
        <f>(X4-X72)^2</f>
        <v>2.1044612934446915E-4</v>
      </c>
      <c r="Y105">
        <f>(Y4-Y72)^2</f>
        <v>0.8438251104948794</v>
      </c>
      <c r="Z105">
        <f>(Z4-Z72)^2</f>
        <v>0.18914602078026507</v>
      </c>
      <c r="AA105">
        <f>(AA4-AA72)^2</f>
        <v>0.24890692747887652</v>
      </c>
      <c r="AB105">
        <f>(AB4-AB72)^2</f>
        <v>0.78047445030752671</v>
      </c>
      <c r="AC105">
        <f>(AC4-AC72)^2</f>
        <v>0.32386960381898872</v>
      </c>
      <c r="AD105">
        <f>(AD4-AD72)^2</f>
        <v>0.78851510497251609</v>
      </c>
      <c r="AE105">
        <f>(AE4-AE72)^2</f>
        <v>0.21835179007309696</v>
      </c>
    </row>
    <row r="106" spans="1:35" x14ac:dyDescent="0.25">
      <c r="A106" t="s">
        <v>22</v>
      </c>
      <c r="B106">
        <f>(B5-B73)^2</f>
        <v>7.92879257803938E-2</v>
      </c>
      <c r="C106">
        <f>(C5-C73)^2</f>
        <v>0.59415680841417662</v>
      </c>
      <c r="D106">
        <f>(D5-D73)^2</f>
        <v>0</v>
      </c>
      <c r="E106">
        <f>(E5-E73)^2</f>
        <v>9.2121292632429255E-2</v>
      </c>
      <c r="F106">
        <f>(F5-F73)^2</f>
        <v>0.24229123248031054</v>
      </c>
      <c r="G106">
        <f>(G5-G73)^2</f>
        <v>0.50465079704530191</v>
      </c>
      <c r="H106">
        <f>(H5-H73)^2</f>
        <v>0.50440304735986319</v>
      </c>
      <c r="I106">
        <f>(I5-I73)^2</f>
        <v>0.58463918396572034</v>
      </c>
      <c r="J106">
        <f>(J5-J73)^2</f>
        <v>3.733637150000986E-2</v>
      </c>
      <c r="K106">
        <f>(K5-K73)^2</f>
        <v>7.2177562047978566E-2</v>
      </c>
      <c r="L106">
        <f>(L5-L73)^2</f>
        <v>0.32065544505699495</v>
      </c>
      <c r="M106">
        <f>(M5-M73)^2</f>
        <v>0.953242993029353</v>
      </c>
      <c r="N106">
        <f>(N5-N73)^2</f>
        <v>0.27461018201648496</v>
      </c>
      <c r="O106">
        <f>(O5-O73)^2</f>
        <v>0.2940066467033578</v>
      </c>
      <c r="P106">
        <f>(P5-P73)^2</f>
        <v>0.21722978757476027</v>
      </c>
      <c r="Q106">
        <f>(Q5-Q73)^2</f>
        <v>1.3204660433885123</v>
      </c>
      <c r="R106">
        <f>(R5-R73)^2</f>
        <v>0.18781292780313882</v>
      </c>
      <c r="S106">
        <f>(S5-S73)^2</f>
        <v>0.42192945175950908</v>
      </c>
      <c r="T106">
        <f>(T5-T73)^2</f>
        <v>1.469382413813918</v>
      </c>
      <c r="U106">
        <f>(U5-U73)^2</f>
        <v>5.6061683953707968E-2</v>
      </c>
      <c r="V106">
        <f>(V5-V73)^2</f>
        <v>0.76152390356082811</v>
      </c>
      <c r="W106">
        <f>(W5-W73)^2</f>
        <v>0.7255257658026617</v>
      </c>
      <c r="X106">
        <f>(X5-X73)^2</f>
        <v>0.68001456656303694</v>
      </c>
      <c r="Y106">
        <f>(Y5-Y73)^2</f>
        <v>1.1225328557613538E-3</v>
      </c>
      <c r="Z106">
        <f>(Z5-Z73)^2</f>
        <v>0.11364858925269625</v>
      </c>
      <c r="AA106">
        <f>(AA5-AA73)^2</f>
        <v>0.35091722638334771</v>
      </c>
      <c r="AB106">
        <f>(AB5-AB73)^2</f>
        <v>5.2030029665835413E-2</v>
      </c>
      <c r="AC106">
        <f>(AC5-AC73)^2</f>
        <v>0.12345957141850376</v>
      </c>
      <c r="AD106">
        <f>(AD5-AD73)^2</f>
        <v>0.9947880368353188</v>
      </c>
      <c r="AE106">
        <f>(AE5-AE73)^2</f>
        <v>0.10018159627647795</v>
      </c>
    </row>
    <row r="107" spans="1:35" x14ac:dyDescent="0.25">
      <c r="A107" t="s">
        <v>18</v>
      </c>
      <c r="B107">
        <f>(B6-B74)^2</f>
        <v>1.5550505526572844</v>
      </c>
      <c r="C107">
        <f>(C6-C74)^2</f>
        <v>0.19648425318399854</v>
      </c>
      <c r="D107">
        <f>(D6-D74)^2</f>
        <v>9.2121292632429255E-2</v>
      </c>
      <c r="E107">
        <f>(E6-E74)^2</f>
        <v>0</v>
      </c>
      <c r="F107">
        <f>(F6-F74)^2</f>
        <v>0.61025127644068933</v>
      </c>
      <c r="G107">
        <f>(G6-G74)^2</f>
        <v>0.60600941621639215</v>
      </c>
      <c r="H107">
        <f>(H6-H74)^2</f>
        <v>0.33299347116168082</v>
      </c>
      <c r="I107">
        <f>(I6-I74)^2</f>
        <v>0.83407416559984393</v>
      </c>
      <c r="J107">
        <f>(J6-J74)^2</f>
        <v>1.1858472703260126E-2</v>
      </c>
      <c r="K107">
        <f>(K6-K74)^2</f>
        <v>4.2075063234773995E-2</v>
      </c>
      <c r="L107">
        <f>(L6-L74)^2</f>
        <v>0.20309951226672204</v>
      </c>
      <c r="M107">
        <f>(M6-M74)^2</f>
        <v>0.51788197877598297</v>
      </c>
      <c r="N107">
        <f>(N6-N74)^2</f>
        <v>0.17186187452037496</v>
      </c>
      <c r="O107">
        <f>(O6-O74)^2</f>
        <v>0.18103101351060694</v>
      </c>
      <c r="P107">
        <f>(P6-P74)^2</f>
        <v>0.17890937826658787</v>
      </c>
      <c r="Q107">
        <f>(Q6-Q74)^2</f>
        <v>2.438798844275512E-2</v>
      </c>
      <c r="R107">
        <f>(R6-R74)^2</f>
        <v>0.62772667448342812</v>
      </c>
      <c r="S107">
        <f>(S6-S74)^2</f>
        <v>0.20048805099489811</v>
      </c>
      <c r="T107">
        <f>(T6-T74)^2</f>
        <v>0.12431621851166683</v>
      </c>
      <c r="U107">
        <f>(U6-U74)^2</f>
        <v>8.9462670439380591E-4</v>
      </c>
      <c r="V107">
        <f>(V6-V74)^2</f>
        <v>0.52734838024089581</v>
      </c>
      <c r="W107">
        <f>(W6-W74)^2</f>
        <v>0.34356812757403199</v>
      </c>
      <c r="X107">
        <f>(X6-X74)^2</f>
        <v>4.7488872991738845E-2</v>
      </c>
      <c r="Y107">
        <f>(Y6-Y74)^2</f>
        <v>1.4127119580531403E-2</v>
      </c>
      <c r="Z107">
        <f>(Z6-Z74)^2</f>
        <v>0.28613743450492324</v>
      </c>
      <c r="AA107">
        <f>(AA6-AA74)^2</f>
        <v>0.22392940217228863</v>
      </c>
      <c r="AB107">
        <f>(AB6-AB74)^2</f>
        <v>1.1644156714160687</v>
      </c>
      <c r="AC107">
        <f>(AC6-AC74)^2</f>
        <v>0.40688628028084406</v>
      </c>
      <c r="AD107">
        <f>(AD6-AD74)^2</f>
        <v>2.2262772869194286E-2</v>
      </c>
      <c r="AE107">
        <f>(AE6-AE74)^2</f>
        <v>0.28962859535967156</v>
      </c>
    </row>
    <row r="108" spans="1:35" x14ac:dyDescent="0.25">
      <c r="A108" t="s">
        <v>30</v>
      </c>
      <c r="B108">
        <f>(B7-B75)^2</f>
        <v>1.4553086649380252E-3</v>
      </c>
      <c r="C108">
        <f>(C7-C75)^2</f>
        <v>8.0588273229531146E-2</v>
      </c>
      <c r="D108">
        <f>(D7-D75)^2</f>
        <v>0.24229123248031031</v>
      </c>
      <c r="E108">
        <f>(E7-E75)^2</f>
        <v>0.61025127644068966</v>
      </c>
      <c r="F108">
        <f>(F7-F75)^2</f>
        <v>0</v>
      </c>
      <c r="G108">
        <f>(G7-G75)^2</f>
        <v>0.60419298704719249</v>
      </c>
      <c r="H108">
        <f>(H7-H75)^2</f>
        <v>1.5018120968333735E-3</v>
      </c>
      <c r="I108">
        <f>(I7-I75)^2</f>
        <v>0.21314624418187805</v>
      </c>
      <c r="J108">
        <f>(J7-J75)^2</f>
        <v>0.75959439863197009</v>
      </c>
      <c r="K108">
        <f>(K7-K75)^2</f>
        <v>0.34377446358739594</v>
      </c>
      <c r="L108">
        <f>(L7-L75)^2</f>
        <v>4.0847122484665981E-2</v>
      </c>
      <c r="M108">
        <f>(M7-M75)^2</f>
        <v>0.28072646292910264</v>
      </c>
      <c r="N108">
        <f>(N7-N75)^2</f>
        <v>6.3810897519245735E-2</v>
      </c>
      <c r="O108">
        <f>(O7-O75)^2</f>
        <v>0.48968598379778527</v>
      </c>
      <c r="P108">
        <f>(P7-P75)^2</f>
        <v>5.7923771696308787E-2</v>
      </c>
      <c r="Q108">
        <f>(Q7-Q75)^2</f>
        <v>2.7188893370747264E-4</v>
      </c>
      <c r="R108">
        <f>(R7-R75)^2</f>
        <v>0.33210731370919</v>
      </c>
      <c r="S108">
        <f>(S7-S75)^2</f>
        <v>5.0379010687865274E-2</v>
      </c>
      <c r="T108">
        <f>(T7-T75)^2</f>
        <v>0.91378652571145069</v>
      </c>
      <c r="U108">
        <f>(U7-U75)^2</f>
        <v>0.13626227061045257</v>
      </c>
      <c r="V108">
        <f>(V7-V75)^2</f>
        <v>1.7099685555868074E-2</v>
      </c>
      <c r="W108">
        <f>(W7-W75)^2</f>
        <v>1.5052538291130062</v>
      </c>
      <c r="X108">
        <f>(X7-X75)^2</f>
        <v>0.16123466444129111</v>
      </c>
      <c r="Y108">
        <f>(Y7-Y75)^2</f>
        <v>8.1204946271972001E-2</v>
      </c>
      <c r="Z108">
        <f>(Z7-Z75)^2</f>
        <v>8.2854005453404135E-3</v>
      </c>
      <c r="AA108">
        <f>(AA7-AA75)^2</f>
        <v>2.9404949228105159E-2</v>
      </c>
      <c r="AB108">
        <f>(AB7-AB75)^2</f>
        <v>0.20757230222919687</v>
      </c>
      <c r="AC108">
        <f>(AC7-AC75)^2</f>
        <v>3.3719877984610709</v>
      </c>
      <c r="AD108">
        <f>(AD7-AD75)^2</f>
        <v>6.5702064292569695E-2</v>
      </c>
      <c r="AE108">
        <f>(AE7-AE75)^2</f>
        <v>7.374243808342143E-2</v>
      </c>
    </row>
    <row r="109" spans="1:35" x14ac:dyDescent="0.25">
      <c r="A109" t="s">
        <v>40</v>
      </c>
      <c r="B109">
        <f>(B8-B76)^2</f>
        <v>0.35158206594784053</v>
      </c>
      <c r="C109">
        <f>(C8-C76)^2</f>
        <v>9.4429945043999035E-3</v>
      </c>
      <c r="D109">
        <f>(D8-D76)^2</f>
        <v>0.50465079704530225</v>
      </c>
      <c r="E109">
        <f>(E8-E76)^2</f>
        <v>0.60600941621639282</v>
      </c>
      <c r="F109">
        <f>(F8-F76)^2</f>
        <v>0.60419298704719215</v>
      </c>
      <c r="G109">
        <f>(G8-G76)^2</f>
        <v>0</v>
      </c>
      <c r="H109">
        <f>(H8-H76)^2</f>
        <v>5.3161817223988453E-3</v>
      </c>
      <c r="I109">
        <f>(I8-I76)^2</f>
        <v>0.29703634311371918</v>
      </c>
      <c r="J109">
        <f>(J8-J76)^2</f>
        <v>1.9017308292766139E-3</v>
      </c>
      <c r="K109">
        <f>(K8-K76)^2</f>
        <v>0.25821416675044789</v>
      </c>
      <c r="L109">
        <f>(L8-L76)^2</f>
        <v>0.82292941116247509</v>
      </c>
      <c r="M109">
        <f>(M8-M76)^2</f>
        <v>0.5343242157366207</v>
      </c>
      <c r="N109">
        <f>(N8-N76)^2</f>
        <v>1.311816887382028</v>
      </c>
      <c r="O109">
        <f>(O8-O76)^2</f>
        <v>6.1260290262024515E-2</v>
      </c>
      <c r="P109">
        <f>(P8-P76)^2</f>
        <v>1.2834262060170489</v>
      </c>
      <c r="Q109">
        <f>(Q8-Q76)^2</f>
        <v>0.7011192111977198</v>
      </c>
      <c r="R109">
        <f>(R8-R76)^2</f>
        <v>0.13578026264393636</v>
      </c>
      <c r="S109">
        <f>(S8-S76)^2</f>
        <v>3.3710458049955677E-2</v>
      </c>
      <c r="T109">
        <f>(T8-T76)^2</f>
        <v>2.3922740904019309E-2</v>
      </c>
      <c r="U109">
        <f>(U8-U76)^2</f>
        <v>0.48632719300281263</v>
      </c>
      <c r="V109">
        <f>(V8-V76)^2</f>
        <v>5.6949850220429123E-2</v>
      </c>
      <c r="W109">
        <f>(W8-W76)^2</f>
        <v>0.23263538440656817</v>
      </c>
      <c r="X109">
        <f>(X8-X76)^2</f>
        <v>0.44899986295085553</v>
      </c>
      <c r="Y109">
        <f>(Y8-Y76)^2</f>
        <v>0.14755340771925138</v>
      </c>
      <c r="Z109">
        <f>(Z8-Z76)^2</f>
        <v>4.216737704563044E-4</v>
      </c>
      <c r="AA109">
        <f>(AA8-AA76)^2</f>
        <v>3.7574965748408606E-3</v>
      </c>
      <c r="AB109">
        <f>(AB8-AB76)^2</f>
        <v>0.29114458922810332</v>
      </c>
      <c r="AC109">
        <f>(AC8-AC76)^2</f>
        <v>0.38079486618893899</v>
      </c>
      <c r="AD109">
        <f>(AD8-AD76)^2</f>
        <v>0.12778620012655448</v>
      </c>
      <c r="AE109">
        <f>(AE8-AE76)^2</f>
        <v>0.26327600746748231</v>
      </c>
    </row>
    <row r="110" spans="1:35" x14ac:dyDescent="0.25">
      <c r="A110" t="s">
        <v>14</v>
      </c>
      <c r="B110">
        <f>(B9-B77)^2</f>
        <v>0.52940456823933202</v>
      </c>
      <c r="C110">
        <f>(C9-C77)^2</f>
        <v>0.15317990787207927</v>
      </c>
      <c r="D110">
        <f>(D9-D77)^2</f>
        <v>0.50440304735986319</v>
      </c>
      <c r="E110">
        <f>(E9-E77)^2</f>
        <v>0.33299347116168099</v>
      </c>
      <c r="F110">
        <f>(F9-F77)^2</f>
        <v>1.5018120968333477E-3</v>
      </c>
      <c r="G110">
        <f>(G9-G77)^2</f>
        <v>5.3161817223988774E-3</v>
      </c>
      <c r="H110">
        <f>(H9-H77)^2</f>
        <v>0</v>
      </c>
      <c r="I110">
        <f>(I9-I77)^2</f>
        <v>5.6383533067925616E-2</v>
      </c>
      <c r="J110">
        <f>(J9-J77)^2</f>
        <v>0.21775871013466502</v>
      </c>
      <c r="K110">
        <f>(K9-K77)^2</f>
        <v>0.77334187212813177</v>
      </c>
      <c r="L110">
        <f>(L9-L77)^2</f>
        <v>0.44985721242459209</v>
      </c>
      <c r="M110">
        <f>(M9-M77)^2</f>
        <v>1.6915224123904542</v>
      </c>
      <c r="N110">
        <f>(N9-N77)^2</f>
        <v>3.0992278393527979E-2</v>
      </c>
      <c r="O110">
        <f>(O9-O77)^2</f>
        <v>0.3157769388241165</v>
      </c>
      <c r="P110">
        <f>(P9-P77)^2</f>
        <v>0.35088711063107886</v>
      </c>
      <c r="Q110">
        <f>(Q9-Q77)^2</f>
        <v>0.1271912422740509</v>
      </c>
      <c r="R110">
        <f>(R9-R77)^2</f>
        <v>0.56464902802776151</v>
      </c>
      <c r="S110">
        <f>(S9-S77)^2</f>
        <v>9.8714546943718895E-2</v>
      </c>
      <c r="T110">
        <f>(T9-T77)^2</f>
        <v>0.69659003814769405</v>
      </c>
      <c r="U110">
        <f>(U9-U77)^2</f>
        <v>5.2826217740883127E-2</v>
      </c>
      <c r="V110">
        <f>(V9-V77)^2</f>
        <v>0.43913347886020887</v>
      </c>
      <c r="W110">
        <f>(W9-W77)^2</f>
        <v>0.13173085304829626</v>
      </c>
      <c r="X110">
        <f>(X9-X77)^2</f>
        <v>6.2609336337773672E-2</v>
      </c>
      <c r="Y110">
        <f>(Y9-Y77)^2</f>
        <v>2.6907951496018931</v>
      </c>
      <c r="Z110">
        <f>(Z9-Z77)^2</f>
        <v>1.1006524638889454E-2</v>
      </c>
      <c r="AA110">
        <f>(AA9-AA77)^2</f>
        <v>7.1410164023105682E-2</v>
      </c>
      <c r="AB110">
        <f>(AB9-AB77)^2</f>
        <v>0.59495606443636151</v>
      </c>
      <c r="AC110">
        <f>(AC9-AC77)^2</f>
        <v>0.77400718492494958</v>
      </c>
      <c r="AD110">
        <f>(AD9-AD77)^2</f>
        <v>0.17276480303758784</v>
      </c>
      <c r="AE110">
        <f>(AE9-AE77)^2</f>
        <v>0.68290808578229201</v>
      </c>
    </row>
    <row r="111" spans="1:35" x14ac:dyDescent="0.25">
      <c r="A111" t="s">
        <v>32</v>
      </c>
      <c r="B111">
        <f>(B10-B78)^2</f>
        <v>0.45400324082283883</v>
      </c>
      <c r="C111">
        <f>(C10-C78)^2</f>
        <v>0.76713208154283963</v>
      </c>
      <c r="D111">
        <f>(D10-D78)^2</f>
        <v>0.58463918396572012</v>
      </c>
      <c r="E111">
        <f>(E10-E78)^2</f>
        <v>0.83407416559984393</v>
      </c>
      <c r="F111">
        <f>(F10-F78)^2</f>
        <v>0.21314624418187805</v>
      </c>
      <c r="G111">
        <f>(G10-G78)^2</f>
        <v>0.29703634311371918</v>
      </c>
      <c r="H111">
        <f>(H10-H78)^2</f>
        <v>5.6383533067925568E-2</v>
      </c>
      <c r="I111">
        <f>(I10-I78)^2</f>
        <v>0</v>
      </c>
      <c r="J111">
        <f>(J10-J78)^2</f>
        <v>1.0515886194514084E-3</v>
      </c>
      <c r="K111">
        <f>(K10-K78)^2</f>
        <v>0.5433482693673013</v>
      </c>
      <c r="L111">
        <f>(L10-L78)^2</f>
        <v>0.61737534603547728</v>
      </c>
      <c r="M111">
        <f>(M10-M78)^2</f>
        <v>1.4986117742501681</v>
      </c>
      <c r="N111">
        <f>(N10-N78)^2</f>
        <v>7.8046088881351464E-2</v>
      </c>
      <c r="O111">
        <f>(O10-O78)^2</f>
        <v>8.7932973674475834E-2</v>
      </c>
      <c r="P111">
        <f>(P10-P78)^2</f>
        <v>0.20085815458097478</v>
      </c>
      <c r="Q111">
        <f>(Q10-Q78)^2</f>
        <v>2.6797085898413339E-2</v>
      </c>
      <c r="R111">
        <f>(R10-R78)^2</f>
        <v>7.6676554101063915E-2</v>
      </c>
      <c r="S111">
        <f>(S10-S78)^2</f>
        <v>4.8984187886305327E-4</v>
      </c>
      <c r="T111">
        <f>(T10-T78)^2</f>
        <v>3.4319348372491691</v>
      </c>
      <c r="U111">
        <f>(U10-U78)^2</f>
        <v>0.20092807008209176</v>
      </c>
      <c r="V111">
        <f>(V10-V78)^2</f>
        <v>8.7411120110719484E-2</v>
      </c>
      <c r="W111">
        <f>(W10-W78)^2</f>
        <v>0.62136727758049271</v>
      </c>
      <c r="X111">
        <f>(X10-X78)^2</f>
        <v>1.9848867397737302</v>
      </c>
      <c r="Y111">
        <f>(Y10-Y78)^2</f>
        <v>3.7937204755909622E-2</v>
      </c>
      <c r="Z111">
        <f>(Z10-Z78)^2</f>
        <v>0.88205201092402064</v>
      </c>
      <c r="AA111">
        <f>(AA10-AA78)^2</f>
        <v>0.68324134991308061</v>
      </c>
      <c r="AB111">
        <f>(AB10-AB78)^2</f>
        <v>2.3686609103482263E-4</v>
      </c>
      <c r="AC111">
        <f>(AC10-AC78)^2</f>
        <v>0.36633576867539053</v>
      </c>
      <c r="AD111">
        <f>(AD10-AD78)^2</f>
        <v>0.21700067218796085</v>
      </c>
      <c r="AE111">
        <f>(AE10-AE78)^2</f>
        <v>0.42550138675242793</v>
      </c>
    </row>
    <row r="112" spans="1:35" x14ac:dyDescent="0.25">
      <c r="A112" t="s">
        <v>33</v>
      </c>
      <c r="B112">
        <f>(B11-B79)^2</f>
        <v>9.6965497953737767E-2</v>
      </c>
      <c r="C112">
        <f>(C11-C79)^2</f>
        <v>0.13095527569367504</v>
      </c>
      <c r="D112">
        <f>(D11-D79)^2</f>
        <v>3.7336371500009943E-2</v>
      </c>
      <c r="E112">
        <f>(E11-E79)^2</f>
        <v>1.1858472703260077E-2</v>
      </c>
      <c r="F112">
        <f>(F11-F79)^2</f>
        <v>0.75959439863197054</v>
      </c>
      <c r="G112">
        <f>(G11-G79)^2</f>
        <v>1.9017308292766332E-3</v>
      </c>
      <c r="H112">
        <f>(H11-H79)^2</f>
        <v>0.2177587101346648</v>
      </c>
      <c r="I112">
        <f>(I11-I79)^2</f>
        <v>1.0515886194514155E-3</v>
      </c>
      <c r="J112">
        <f>(J11-J79)^2</f>
        <v>0</v>
      </c>
      <c r="K112">
        <f>(K11-K79)^2</f>
        <v>3.4561594296132411E-2</v>
      </c>
      <c r="L112">
        <f>(L11-L79)^2</f>
        <v>0.34368649646518912</v>
      </c>
      <c r="M112">
        <f>(M11-M79)^2</f>
        <v>0.14923381183348519</v>
      </c>
      <c r="N112">
        <f>(N11-N79)^2</f>
        <v>0.14430952442473494</v>
      </c>
      <c r="O112">
        <f>(O11-O79)^2</f>
        <v>1.9039263885588009</v>
      </c>
      <c r="P112">
        <f>(P11-P79)^2</f>
        <v>0.37483328764499591</v>
      </c>
      <c r="Q112">
        <f>(Q11-Q79)^2</f>
        <v>0.4871422391844808</v>
      </c>
      <c r="R112">
        <f>(R11-R79)^2</f>
        <v>0.25665917767371571</v>
      </c>
      <c r="S112">
        <f>(S11-S79)^2</f>
        <v>2.2898490430287648</v>
      </c>
      <c r="T112">
        <f>(T11-T79)^2</f>
        <v>0.3607606521856882</v>
      </c>
      <c r="U112">
        <f>(U11-U79)^2</f>
        <v>2.7476020615101347E-3</v>
      </c>
      <c r="V112">
        <f>(V11-V79)^2</f>
        <v>0.10461260290003199</v>
      </c>
      <c r="W112">
        <f>(W11-W79)^2</f>
        <v>0.26523593915496579</v>
      </c>
      <c r="X112">
        <f>(X11-X79)^2</f>
        <v>3.5007456783503756</v>
      </c>
      <c r="Y112">
        <f>(Y11-Y79)^2</f>
        <v>2.964991750416112E-2</v>
      </c>
      <c r="Z112">
        <f>(Z11-Z79)^2</f>
        <v>0.24334582585856895</v>
      </c>
      <c r="AA112">
        <f>(AA11-AA79)^2</f>
        <v>0.31925880468276735</v>
      </c>
      <c r="AB112">
        <f>(AB11-AB79)^2</f>
        <v>0.95113371899987276</v>
      </c>
      <c r="AC112">
        <f>(AC11-AC79)^2</f>
        <v>0.53879440426765735</v>
      </c>
      <c r="AD112">
        <f>(AD11-AD79)^2</f>
        <v>0.63678121661264486</v>
      </c>
      <c r="AE112">
        <f>(AE11-AE79)^2</f>
        <v>4.7117198070982194E-4</v>
      </c>
    </row>
    <row r="113" spans="1:31" x14ac:dyDescent="0.25">
      <c r="A113" t="s">
        <v>36</v>
      </c>
      <c r="B113">
        <f>(B12-B80)^2</f>
        <v>0.11543561445799487</v>
      </c>
      <c r="C113">
        <f>(C12-C80)^2</f>
        <v>0.60921306564118394</v>
      </c>
      <c r="D113">
        <f>(D12-D80)^2</f>
        <v>7.2177562047978538E-2</v>
      </c>
      <c r="E113">
        <f>(E12-E80)^2</f>
        <v>4.2075063234773925E-2</v>
      </c>
      <c r="F113">
        <f>(F12-F80)^2</f>
        <v>0.34377446358739594</v>
      </c>
      <c r="G113">
        <f>(G12-G80)^2</f>
        <v>0.25821416675044767</v>
      </c>
      <c r="H113">
        <f>(H12-H80)^2</f>
        <v>0.77334187212813132</v>
      </c>
      <c r="I113">
        <f>(I12-I80)^2</f>
        <v>0.54334826936730185</v>
      </c>
      <c r="J113">
        <f>(J12-J80)^2</f>
        <v>3.4561594296132481E-2</v>
      </c>
      <c r="K113">
        <f>(K12-K80)^2</f>
        <v>0</v>
      </c>
      <c r="L113">
        <f>(L12-L80)^2</f>
        <v>1.2729879310223857</v>
      </c>
      <c r="M113">
        <f>(M12-M80)^2</f>
        <v>0.54286865950273822</v>
      </c>
      <c r="N113">
        <f>(N12-N80)^2</f>
        <v>4.6885755901626261E-2</v>
      </c>
      <c r="O113">
        <f>(O12-O80)^2</f>
        <v>0.67876558331384462</v>
      </c>
      <c r="P113">
        <f>(P12-P80)^2</f>
        <v>1.0744864518069268E-2</v>
      </c>
      <c r="Q113">
        <f>(Q12-Q80)^2</f>
        <v>5.5588563493495981E-2</v>
      </c>
      <c r="R113">
        <f>(R12-R80)^2</f>
        <v>8.4107427674622981E-2</v>
      </c>
      <c r="S113">
        <f>(S12-S80)^2</f>
        <v>1.6295708826337092E-2</v>
      </c>
      <c r="T113">
        <f>(T12-T80)^2</f>
        <v>5.245872394713029E-2</v>
      </c>
      <c r="U113">
        <f>(U12-U80)^2</f>
        <v>4.9838542576621523E-3</v>
      </c>
      <c r="V113">
        <f>(V12-V80)^2</f>
        <v>0.11025575411027921</v>
      </c>
      <c r="W113">
        <f>(W12-W80)^2</f>
        <v>1.3831749433049453E-2</v>
      </c>
      <c r="X113">
        <f>(X12-X80)^2</f>
        <v>6.002206142661318E-3</v>
      </c>
      <c r="Y113">
        <f>(Y12-Y80)^2</f>
        <v>0.24315275682526216</v>
      </c>
      <c r="Z113">
        <f>(Z12-Z80)^2</f>
        <v>0.51146206872766276</v>
      </c>
      <c r="AA113">
        <f>(AA12-AA80)^2</f>
        <v>1.4204430343935699</v>
      </c>
      <c r="AB113">
        <f>(AB12-AB80)^2</f>
        <v>0.12635016650322298</v>
      </c>
      <c r="AC113">
        <f>(AC12-AC80)^2</f>
        <v>0.13135110787196125</v>
      </c>
      <c r="AD113">
        <f>(AD12-AD80)^2</f>
        <v>0.21632284206865618</v>
      </c>
      <c r="AE113">
        <f>(AE12-AE80)^2</f>
        <v>0.10965803319567137</v>
      </c>
    </row>
    <row r="114" spans="1:31" x14ac:dyDescent="0.25">
      <c r="A114" t="s">
        <v>16</v>
      </c>
      <c r="B114">
        <f>(B13-B81)^2</f>
        <v>0.78709791950617847</v>
      </c>
      <c r="C114">
        <f>(C13-C81)^2</f>
        <v>0.22813542181929475</v>
      </c>
      <c r="D114">
        <f>(D13-D81)^2</f>
        <v>0.32065544505699511</v>
      </c>
      <c r="E114">
        <f>(E13-E81)^2</f>
        <v>0.20309951226672182</v>
      </c>
      <c r="F114">
        <f>(F13-F81)^2</f>
        <v>4.0847122484665939E-2</v>
      </c>
      <c r="G114">
        <f>(G13-G81)^2</f>
        <v>0.82292941116247542</v>
      </c>
      <c r="H114">
        <f>(H13-H81)^2</f>
        <v>0.44985721242459209</v>
      </c>
      <c r="I114">
        <f>(I13-I81)^2</f>
        <v>0.6173753460354775</v>
      </c>
      <c r="J114">
        <f>(J13-J81)^2</f>
        <v>0.34368649646518912</v>
      </c>
      <c r="K114">
        <f>(K13-K81)^2</f>
        <v>1.2729879310223853</v>
      </c>
      <c r="L114">
        <f>(L13-L81)^2</f>
        <v>0</v>
      </c>
      <c r="M114">
        <f>(M13-M81)^2</f>
        <v>0.30992567898888984</v>
      </c>
      <c r="N114">
        <f>(N13-N81)^2</f>
        <v>1.1328828821352187E-2</v>
      </c>
      <c r="O114">
        <f>(O13-O81)^2</f>
        <v>0.46950082982407648</v>
      </c>
      <c r="P114">
        <f>(P13-P81)^2</f>
        <v>6.5735589814126111E-3</v>
      </c>
      <c r="Q114">
        <f>(Q13-Q81)^2</f>
        <v>0.2576874433031795</v>
      </c>
      <c r="R114">
        <f>(R13-R81)^2</f>
        <v>0.3636502031249283</v>
      </c>
      <c r="S114">
        <f>(S13-S81)^2</f>
        <v>9.5879388188638948E-2</v>
      </c>
      <c r="T114">
        <f>(T13-T81)^2</f>
        <v>0.23816570417624028</v>
      </c>
      <c r="U114">
        <f>(U13-U81)^2</f>
        <v>2.9033464385397431E-2</v>
      </c>
      <c r="V114">
        <f>(V13-V81)^2</f>
        <v>1.0272786581551514</v>
      </c>
      <c r="W114">
        <f>(W13-W81)^2</f>
        <v>0.5264823592226584</v>
      </c>
      <c r="X114">
        <f>(X13-X81)^2</f>
        <v>3.4616144115310284E-2</v>
      </c>
      <c r="Y114">
        <f>(Y13-Y81)^2</f>
        <v>6.2261257317043385E-3</v>
      </c>
      <c r="Z114">
        <f>(Z13-Z81)^2</f>
        <v>0.44856045674874762</v>
      </c>
      <c r="AA114">
        <f>(AA13-AA81)^2</f>
        <v>1.1309368760450531</v>
      </c>
      <c r="AB114">
        <f>(AB13-AB81)^2</f>
        <v>0.35595721322944229</v>
      </c>
      <c r="AC114">
        <f>(AC13-AC81)^2</f>
        <v>7.8029196565596412E-2</v>
      </c>
      <c r="AD114">
        <f>(AD13-AD81)^2</f>
        <v>1.6460053124556177E-2</v>
      </c>
      <c r="AE114">
        <f>(AE13-AE81)^2</f>
        <v>0.108148937739232</v>
      </c>
    </row>
    <row r="115" spans="1:31" x14ac:dyDescent="0.25">
      <c r="A115" t="s">
        <v>20</v>
      </c>
      <c r="B115">
        <f>(B14-B82)^2</f>
        <v>0.49783140007260912</v>
      </c>
      <c r="C115">
        <f>(C14-C82)^2</f>
        <v>0.42817876652586517</v>
      </c>
      <c r="D115">
        <f>(D14-D82)^2</f>
        <v>0.95324299302935345</v>
      </c>
      <c r="E115">
        <f>(E14-E82)^2</f>
        <v>0.51788197877598297</v>
      </c>
      <c r="F115">
        <f>(F14-F82)^2</f>
        <v>0.28072646292910286</v>
      </c>
      <c r="G115">
        <f>(G14-G82)^2</f>
        <v>0.53432421573662037</v>
      </c>
      <c r="H115">
        <f>(H14-H82)^2</f>
        <v>1.6915224123904542</v>
      </c>
      <c r="I115">
        <f>(I14-I82)^2</f>
        <v>1.4986117742501681</v>
      </c>
      <c r="J115">
        <f>(J14-J82)^2</f>
        <v>0.14923381183348569</v>
      </c>
      <c r="K115">
        <f>(K14-K82)^2</f>
        <v>0.54286865950273822</v>
      </c>
      <c r="L115">
        <f>(L14-L82)^2</f>
        <v>0.30992567898888984</v>
      </c>
      <c r="M115">
        <f>(M14-M82)^2</f>
        <v>0</v>
      </c>
      <c r="N115">
        <f>(N14-N82)^2</f>
        <v>0.2651575398990863</v>
      </c>
      <c r="O115">
        <f>(O14-O82)^2</f>
        <v>0.28496225772584427</v>
      </c>
      <c r="P115">
        <f>(P14-P82)^2</f>
        <v>0.27532276243391207</v>
      </c>
      <c r="Q115">
        <f>(Q14-Q82)^2</f>
        <v>0.76463182379319494</v>
      </c>
      <c r="R115">
        <f>(R14-R82)^2</f>
        <v>1.2641427225170204E-2</v>
      </c>
      <c r="S115">
        <f>(S14-S82)^2</f>
        <v>0.41302462335847973</v>
      </c>
      <c r="T115">
        <f>(T14-T82)^2</f>
        <v>1.4968279221963752</v>
      </c>
      <c r="U115">
        <f>(U14-U82)^2</f>
        <v>0.60519925806599306</v>
      </c>
      <c r="V115">
        <f>(V14-V82)^2</f>
        <v>1.9311680241140106E-2</v>
      </c>
      <c r="W115">
        <f>(W14-W82)^2</f>
        <v>0.76696508348675141</v>
      </c>
      <c r="X115">
        <f>(X14-X82)^2</f>
        <v>2.552780665076167E-2</v>
      </c>
      <c r="Y115">
        <f>(Y14-Y82)^2</f>
        <v>0.26095936200108322</v>
      </c>
      <c r="Z115">
        <f>(Z14-Z82)^2</f>
        <v>0.42567634834544948</v>
      </c>
      <c r="AA115">
        <f>(AA14-AA82)^2</f>
        <v>0.33938344841415125</v>
      </c>
      <c r="AB115">
        <f>(AB14-AB82)^2</f>
        <v>1.4807406471160516</v>
      </c>
      <c r="AC115">
        <f>(AC14-AC82)^2</f>
        <v>1.4867252742675077</v>
      </c>
      <c r="AD115">
        <f>(AD14-AD82)^2</f>
        <v>1.0185251695471111</v>
      </c>
      <c r="AE115">
        <f>(AE14-AE82)^2</f>
        <v>7.1779877695765132E-2</v>
      </c>
    </row>
    <row r="116" spans="1:31" x14ac:dyDescent="0.25">
      <c r="A116" t="s">
        <v>41</v>
      </c>
      <c r="B116">
        <f>(B15-B83)^2</f>
        <v>0.88368255590421085</v>
      </c>
      <c r="C116">
        <f>(C15-C83)^2</f>
        <v>0.31361694281106606</v>
      </c>
      <c r="D116">
        <f>(D15-D83)^2</f>
        <v>0.27461018201648507</v>
      </c>
      <c r="E116">
        <f>(E15-E83)^2</f>
        <v>0.17186187452037519</v>
      </c>
      <c r="F116">
        <f>(F15-F83)^2</f>
        <v>6.3810897519245791E-2</v>
      </c>
      <c r="G116">
        <f>(G15-G83)^2</f>
        <v>1.3118168873820284</v>
      </c>
      <c r="H116">
        <f>(H15-H83)^2</f>
        <v>3.0992278393527903E-2</v>
      </c>
      <c r="I116">
        <f>(I15-I83)^2</f>
        <v>7.8046088881351408E-2</v>
      </c>
      <c r="J116">
        <f>(J15-J83)^2</f>
        <v>0.14430952442473485</v>
      </c>
      <c r="K116">
        <f>(K15-K83)^2</f>
        <v>4.6885755901626164E-2</v>
      </c>
      <c r="L116">
        <f>(L15-L83)^2</f>
        <v>1.1328828821352187E-2</v>
      </c>
      <c r="M116">
        <f>(M15-M83)^2</f>
        <v>0.26515753989908641</v>
      </c>
      <c r="N116">
        <f>(N15-N83)^2</f>
        <v>0</v>
      </c>
      <c r="O116">
        <f>(O15-O83)^2</f>
        <v>0.1454340012566934</v>
      </c>
      <c r="P116">
        <f>(P15-P83)^2</f>
        <v>6.4588729073092245E-4</v>
      </c>
      <c r="Q116">
        <f>(Q15-Q83)^2</f>
        <v>0.28266032496389631</v>
      </c>
      <c r="R116">
        <f>(R15-R83)^2</f>
        <v>0.19436682042577361</v>
      </c>
      <c r="S116">
        <f>(S15-S83)^2</f>
        <v>4.4272303268516451E-2</v>
      </c>
      <c r="T116">
        <f>(T15-T83)^2</f>
        <v>3.5845444158552862E-3</v>
      </c>
      <c r="U116">
        <f>(U15-U83)^2</f>
        <v>2.3871088250217266E-2</v>
      </c>
      <c r="V116">
        <f>(V15-V83)^2</f>
        <v>3.2117884206818281E-3</v>
      </c>
      <c r="W116">
        <f>(W15-W83)^2</f>
        <v>6.2573010541061042E-2</v>
      </c>
      <c r="X116">
        <f>(X15-X83)^2</f>
        <v>2.8506617647259012E-2</v>
      </c>
      <c r="Y116">
        <f>(Y15-Y83)^2</f>
        <v>0.99411017061198592</v>
      </c>
      <c r="Z116">
        <f>(Z15-Z83)^2</f>
        <v>0.44786389881932359</v>
      </c>
      <c r="AA116">
        <f>(AA15-AA83)^2</f>
        <v>2.8766111201368218E-2</v>
      </c>
      <c r="AB116">
        <f>(AB15-AB83)^2</f>
        <v>7.30240181147533E-2</v>
      </c>
      <c r="AC116">
        <f>(AC15-AC83)^2</f>
        <v>1.7627454204026534</v>
      </c>
      <c r="AD116">
        <f>(AD15-AD83)^2</f>
        <v>1.0900064758449839</v>
      </c>
      <c r="AE116">
        <f>(AE15-AE83)^2</f>
        <v>0.14100523578212185</v>
      </c>
    </row>
    <row r="117" spans="1:31" x14ac:dyDescent="0.25">
      <c r="A117" t="s">
        <v>17</v>
      </c>
      <c r="B117">
        <f>(B16-B84)^2</f>
        <v>0.68732144996318634</v>
      </c>
      <c r="C117">
        <f>(C16-C84)^2</f>
        <v>0.29597658977021934</v>
      </c>
      <c r="D117">
        <f>(D16-D84)^2</f>
        <v>0.29400664670335758</v>
      </c>
      <c r="E117">
        <f>(E16-E84)^2</f>
        <v>0.18103101351060685</v>
      </c>
      <c r="F117">
        <f>(F16-F84)^2</f>
        <v>0.48968598379778527</v>
      </c>
      <c r="G117">
        <f>(G16-G84)^2</f>
        <v>6.1260290262024598E-2</v>
      </c>
      <c r="H117">
        <f>(H16-H84)^2</f>
        <v>0.31577693882411662</v>
      </c>
      <c r="I117">
        <f>(I16-I84)^2</f>
        <v>8.7932973674475973E-2</v>
      </c>
      <c r="J117">
        <f>(J16-J84)^2</f>
        <v>1.9039263885588014</v>
      </c>
      <c r="K117">
        <f>(K16-K84)^2</f>
        <v>0.67876558331384484</v>
      </c>
      <c r="L117">
        <f>(L16-L84)^2</f>
        <v>0.46950082982407648</v>
      </c>
      <c r="M117">
        <f>(M16-M84)^2</f>
        <v>0.28496225772584416</v>
      </c>
      <c r="N117">
        <f>(N16-N84)^2</f>
        <v>0.14543400125669367</v>
      </c>
      <c r="O117">
        <f>(O16-O84)^2</f>
        <v>0</v>
      </c>
      <c r="P117">
        <f>(P16-P84)^2</f>
        <v>0.15226941371588987</v>
      </c>
      <c r="Q117">
        <f>(Q16-Q84)^2</f>
        <v>0.26279057444454912</v>
      </c>
      <c r="R117">
        <f>(R16-R84)^2</f>
        <v>0.32815106454129622</v>
      </c>
      <c r="S117">
        <f>(S16-S84)^2</f>
        <v>0.447034466632109</v>
      </c>
      <c r="T117">
        <f>(T16-T84)^2</f>
        <v>0.4184380619690653</v>
      </c>
      <c r="U117">
        <f>(U16-U84)^2</f>
        <v>1.2422955485049105</v>
      </c>
      <c r="V117">
        <f>(V16-V84)^2</f>
        <v>0.31417826927105558</v>
      </c>
      <c r="W117">
        <f>(W16-W84)^2</f>
        <v>2.288149040544811E-2</v>
      </c>
      <c r="X117">
        <f>(X16-X84)^2</f>
        <v>0.87100606380774881</v>
      </c>
      <c r="Y117">
        <f>(Y16-Y84)^2</f>
        <v>0.92878562724453773</v>
      </c>
      <c r="Z117">
        <f>(Z16-Z84)^2</f>
        <v>0.26328188064884972</v>
      </c>
      <c r="AA117">
        <f>(AA16-AA84)^2</f>
        <v>0.44470500034839328</v>
      </c>
      <c r="AB117">
        <f>(AB16-AB84)^2</f>
        <v>8.0137081636685384E-2</v>
      </c>
      <c r="AC117">
        <f>(AC16-AC84)^2</f>
        <v>0.42963821747711112</v>
      </c>
      <c r="AD117">
        <f>(AD16-AD84)^2</f>
        <v>9.6452772920990276E-2</v>
      </c>
      <c r="AE117">
        <f>(AE16-AE84)^2</f>
        <v>0.14196941754332917</v>
      </c>
    </row>
    <row r="118" spans="1:31" x14ac:dyDescent="0.25">
      <c r="A118" t="s">
        <v>28</v>
      </c>
      <c r="B118">
        <f>(B17-B85)^2</f>
        <v>5.2719110292151639E-3</v>
      </c>
      <c r="C118">
        <f>(C17-C85)^2</f>
        <v>0.20139394000220298</v>
      </c>
      <c r="D118">
        <f>(D17-D85)^2</f>
        <v>0.21722978757476019</v>
      </c>
      <c r="E118">
        <f>(E17-E85)^2</f>
        <v>0.17890937826658779</v>
      </c>
      <c r="F118">
        <f>(F17-F85)^2</f>
        <v>5.7923771696308739E-2</v>
      </c>
      <c r="G118">
        <f>(G17-G85)^2</f>
        <v>1.2834262060170485</v>
      </c>
      <c r="H118">
        <f>(H17-H85)^2</f>
        <v>0.35088711063107914</v>
      </c>
      <c r="I118">
        <f>(I17-I85)^2</f>
        <v>0.20085815458097497</v>
      </c>
      <c r="J118">
        <f>(J17-J85)^2</f>
        <v>0.37483328764499591</v>
      </c>
      <c r="K118">
        <f>(K17-K85)^2</f>
        <v>1.0744864518069268E-2</v>
      </c>
      <c r="L118">
        <f>(L17-L85)^2</f>
        <v>6.5735589814126475E-3</v>
      </c>
      <c r="M118">
        <f>(M17-M85)^2</f>
        <v>0.27532276243391207</v>
      </c>
      <c r="N118">
        <f>(N17-N85)^2</f>
        <v>6.4588729073093373E-4</v>
      </c>
      <c r="O118">
        <f>(O17-O85)^2</f>
        <v>0.15226941371588984</v>
      </c>
      <c r="P118">
        <f>(P17-P85)^2</f>
        <v>0</v>
      </c>
      <c r="Q118">
        <f>(Q17-Q85)^2</f>
        <v>0.22802464179092582</v>
      </c>
      <c r="R118">
        <f>(R17-R85)^2</f>
        <v>0.18539529931446261</v>
      </c>
      <c r="S118">
        <f>(S17-S85)^2</f>
        <v>0.61553888271764567</v>
      </c>
      <c r="T118">
        <f>(T17-T85)^2</f>
        <v>0.31756086038873416</v>
      </c>
      <c r="U118">
        <f>(U17-U85)^2</f>
        <v>2.5016265230256542E-2</v>
      </c>
      <c r="V118">
        <f>(V17-V85)^2</f>
        <v>7.8281175494102184E-2</v>
      </c>
      <c r="W118">
        <f>(W17-W85)^2</f>
        <v>6.5414021894843619E-2</v>
      </c>
      <c r="X118">
        <f>(X17-X85)^2</f>
        <v>2.9863176918733612E-2</v>
      </c>
      <c r="Y118">
        <f>(Y17-Y85)^2</f>
        <v>0.58086797876281082</v>
      </c>
      <c r="Z118">
        <f>(Z17-Z85)^2</f>
        <v>2.8696277421521477</v>
      </c>
      <c r="AA118">
        <f>(AA17-AA85)^2</f>
        <v>2.0836053047804195E-2</v>
      </c>
      <c r="AB118">
        <f>(AB17-AB85)^2</f>
        <v>6.4996074056336922E-2</v>
      </c>
      <c r="AC118">
        <f>(AC17-AC85)^2</f>
        <v>0.10004196013001065</v>
      </c>
      <c r="AD118">
        <f>(AD17-AD85)^2</f>
        <v>0.87654246543828962</v>
      </c>
      <c r="AE118">
        <f>(AE17-AE85)^2</f>
        <v>1.861966475757278</v>
      </c>
    </row>
    <row r="119" spans="1:31" x14ac:dyDescent="0.25">
      <c r="A119" t="s">
        <v>24</v>
      </c>
      <c r="B119">
        <f>(B18-B86)^2</f>
        <v>0.72816060331832932</v>
      </c>
      <c r="C119">
        <f>(C18-C86)^2</f>
        <v>3.6834861147281055</v>
      </c>
      <c r="D119">
        <f>(D18-D86)^2</f>
        <v>1.3204660433885116</v>
      </c>
      <c r="E119">
        <f>(E18-E86)^2</f>
        <v>2.4387988442755051E-2</v>
      </c>
      <c r="F119">
        <f>(F18-F86)^2</f>
        <v>2.7188893370747995E-4</v>
      </c>
      <c r="G119">
        <f>(G18-G86)^2</f>
        <v>0.70111921119771947</v>
      </c>
      <c r="H119">
        <f>(H18-H86)^2</f>
        <v>0.1271912422740509</v>
      </c>
      <c r="I119">
        <f>(I18-I86)^2</f>
        <v>2.6797085898413339E-2</v>
      </c>
      <c r="J119">
        <f>(J18-J86)^2</f>
        <v>0.48714223918448046</v>
      </c>
      <c r="K119">
        <f>(K18-K86)^2</f>
        <v>5.5588563493495891E-2</v>
      </c>
      <c r="L119">
        <f>(L18-L86)^2</f>
        <v>0.25768744330317928</v>
      </c>
      <c r="M119">
        <f>(M18-M86)^2</f>
        <v>0.76463182379319494</v>
      </c>
      <c r="N119">
        <f>(N18-N86)^2</f>
        <v>0.2826603249638962</v>
      </c>
      <c r="O119">
        <f>(O18-O86)^2</f>
        <v>0.26279057444454901</v>
      </c>
      <c r="P119">
        <f>(P18-P86)^2</f>
        <v>0.22802464179092563</v>
      </c>
      <c r="Q119">
        <f>(Q18-Q86)^2</f>
        <v>0</v>
      </c>
      <c r="R119">
        <f>(R18-R86)^2</f>
        <v>3.1075881656181341</v>
      </c>
      <c r="S119">
        <f>(S18-S86)^2</f>
        <v>0.36513962640783343</v>
      </c>
      <c r="T119">
        <f>(T18-T86)^2</f>
        <v>0.51513199141871757</v>
      </c>
      <c r="U119">
        <f>(U18-U86)^2</f>
        <v>0.41580352073856297</v>
      </c>
      <c r="V119">
        <f>(V18-V86)^2</f>
        <v>0.63999150113838377</v>
      </c>
      <c r="W119">
        <f>(W18-W86)^2</f>
        <v>7.523707111966417E-2</v>
      </c>
      <c r="X119">
        <f>(X18-X86)^2</f>
        <v>5.3702653466146579E-3</v>
      </c>
      <c r="Y119">
        <f>(Y18-Y86)^2</f>
        <v>1.0840063412731906</v>
      </c>
      <c r="Z119">
        <f>(Z18-Z86)^2</f>
        <v>0.1612681592592472</v>
      </c>
      <c r="AA119">
        <f>(AA18-AA86)^2</f>
        <v>0.28307355738283113</v>
      </c>
      <c r="AB119">
        <f>(AB18-AB86)^2</f>
        <v>0.71199896068735724</v>
      </c>
      <c r="AC119">
        <f>(AC18-AC86)^2</f>
        <v>6.1012112844767354E-2</v>
      </c>
      <c r="AD119">
        <f>(AD18-AD86)^2</f>
        <v>5.1785696841082701E-3</v>
      </c>
      <c r="AE119">
        <f>(AE18-AE86)^2</f>
        <v>0.37185165635589945</v>
      </c>
    </row>
    <row r="120" spans="1:31" x14ac:dyDescent="0.25">
      <c r="A120" t="s">
        <v>19</v>
      </c>
      <c r="B120">
        <f>(B19-B87)^2</f>
        <v>5.8281272685996126E-4</v>
      </c>
      <c r="C120">
        <f>(C19-C87)^2</f>
        <v>0.46729712977987742</v>
      </c>
      <c r="D120">
        <f>(D19-D87)^2</f>
        <v>0.18781292780313882</v>
      </c>
      <c r="E120">
        <f>(E19-E87)^2</f>
        <v>0.62772667448342778</v>
      </c>
      <c r="F120">
        <f>(F19-F87)^2</f>
        <v>0.33210731370919</v>
      </c>
      <c r="G120">
        <f>(G19-G87)^2</f>
        <v>0.13578026264393636</v>
      </c>
      <c r="H120">
        <f>(H19-H87)^2</f>
        <v>0.56464902802776151</v>
      </c>
      <c r="I120">
        <f>(I19-I87)^2</f>
        <v>7.6676554101063915E-2</v>
      </c>
      <c r="J120">
        <f>(J19-J87)^2</f>
        <v>0.25665917767371521</v>
      </c>
      <c r="K120">
        <f>(K19-K87)^2</f>
        <v>8.4107427674623078E-2</v>
      </c>
      <c r="L120">
        <f>(L19-L87)^2</f>
        <v>0.36365020312492813</v>
      </c>
      <c r="M120">
        <f>(M19-M87)^2</f>
        <v>1.2641427225170204E-2</v>
      </c>
      <c r="N120">
        <f>(N19-N87)^2</f>
        <v>0.19436682042577369</v>
      </c>
      <c r="O120">
        <f>(O19-O87)^2</f>
        <v>0.32815106454129622</v>
      </c>
      <c r="P120">
        <f>(P19-P87)^2</f>
        <v>0.1853952993144625</v>
      </c>
      <c r="Q120">
        <f>(Q19-Q87)^2</f>
        <v>3.1075881656181341</v>
      </c>
      <c r="R120">
        <f>(R19-R87)^2</f>
        <v>0</v>
      </c>
      <c r="S120">
        <f>(S19-S87)^2</f>
        <v>0.10593897029535827</v>
      </c>
      <c r="T120">
        <f>(T19-T87)^2</f>
        <v>0.68996351344300266</v>
      </c>
      <c r="U120">
        <f>(U19-U87)^2</f>
        <v>0.50385721064159705</v>
      </c>
      <c r="V120">
        <f>(V19-V87)^2</f>
        <v>6.9557222941412176E-3</v>
      </c>
      <c r="W120">
        <f>(W19-W87)^2</f>
        <v>0.85220536898475518</v>
      </c>
      <c r="X120">
        <f>(X19-X87)^2</f>
        <v>0.58975602214357026</v>
      </c>
      <c r="Y120">
        <f>(Y19-Y87)^2</f>
        <v>6.0537487882990288E-3</v>
      </c>
      <c r="Z120">
        <f>(Z19-Z87)^2</f>
        <v>8.8298215711340444E-2</v>
      </c>
      <c r="AA120">
        <f>(AA19-AA87)^2</f>
        <v>0.39702976250623323</v>
      </c>
      <c r="AB120">
        <f>(AB19-AB87)^2</f>
        <v>0.53321400469688474</v>
      </c>
      <c r="AC120">
        <f>(AC19-AC87)^2</f>
        <v>9.0933261539373311E-2</v>
      </c>
      <c r="AD120">
        <f>(AD19-AD87)^2</f>
        <v>1.0962536935002167</v>
      </c>
      <c r="AE120">
        <f>(AE19-AE87)^2</f>
        <v>0.14630814503719936</v>
      </c>
    </row>
    <row r="121" spans="1:31" x14ac:dyDescent="0.25">
      <c r="A121" t="s">
        <v>29</v>
      </c>
      <c r="B121">
        <f>(B20-B88)^2</f>
        <v>1.5724956392504208E-2</v>
      </c>
      <c r="C121">
        <f>(C20-C88)^2</f>
        <v>0.3340740123598307</v>
      </c>
      <c r="D121">
        <f>(D20-D88)^2</f>
        <v>0.42192945175950908</v>
      </c>
      <c r="E121">
        <f>(E20-E88)^2</f>
        <v>0.20048805099489803</v>
      </c>
      <c r="F121">
        <f>(F20-F88)^2</f>
        <v>5.0379010687865274E-2</v>
      </c>
      <c r="G121">
        <f>(G20-G88)^2</f>
        <v>3.3710458049955642E-2</v>
      </c>
      <c r="H121">
        <f>(H20-H88)^2</f>
        <v>9.8714546943718895E-2</v>
      </c>
      <c r="I121">
        <f>(I20-I88)^2</f>
        <v>4.8984187886306314E-4</v>
      </c>
      <c r="J121">
        <f>(J20-J88)^2</f>
        <v>2.2898490430287648</v>
      </c>
      <c r="K121">
        <f>(K20-K88)^2</f>
        <v>1.6295708826337126E-2</v>
      </c>
      <c r="L121">
        <f>(L20-L88)^2</f>
        <v>9.5879388188638809E-2</v>
      </c>
      <c r="M121">
        <f>(M20-M88)^2</f>
        <v>0.41302462335847973</v>
      </c>
      <c r="N121">
        <f>(N20-N88)^2</f>
        <v>4.4272303268516403E-2</v>
      </c>
      <c r="O121">
        <f>(O20-O88)^2</f>
        <v>0.447034466632109</v>
      </c>
      <c r="P121">
        <f>(P20-P88)^2</f>
        <v>0.61553888271764601</v>
      </c>
      <c r="Q121">
        <f>(Q20-Q88)^2</f>
        <v>0.36513962640783343</v>
      </c>
      <c r="R121">
        <f>(R20-R88)^2</f>
        <v>0.1059389702953582</v>
      </c>
      <c r="S121">
        <f>(S20-S88)^2</f>
        <v>0</v>
      </c>
      <c r="T121">
        <f>(T20-T88)^2</f>
        <v>0.23549815880615152</v>
      </c>
      <c r="U121">
        <f>(U20-U88)^2</f>
        <v>1.1069205558357214</v>
      </c>
      <c r="V121">
        <f>(V20-V88)^2</f>
        <v>0.3191072246822293</v>
      </c>
      <c r="W121">
        <f>(W20-W88)^2</f>
        <v>0.47718682997272976</v>
      </c>
      <c r="X121">
        <f>(X20-X88)^2</f>
        <v>0.80985539131779216</v>
      </c>
      <c r="Y121">
        <f>(Y20-Y88)^2</f>
        <v>6.7353002825115804E-2</v>
      </c>
      <c r="Z121">
        <f>(Z20-Z88)^2</f>
        <v>2.6207134059546426</v>
      </c>
      <c r="AA121">
        <f>(AA20-AA88)^2</f>
        <v>0.10776182198603722</v>
      </c>
      <c r="AB121">
        <f>(AB20-AB88)^2</f>
        <v>0.57433472777184025</v>
      </c>
      <c r="AC121">
        <f>(AC20-AC88)^2</f>
        <v>6.7228020401539232E-2</v>
      </c>
      <c r="AD121">
        <f>(AD20-AD88)^2</f>
        <v>8.7675207903435581E-2</v>
      </c>
      <c r="AE121">
        <f>(AE20-AE88)^2</f>
        <v>0.51132173033407147</v>
      </c>
    </row>
    <row r="122" spans="1:31" x14ac:dyDescent="0.25">
      <c r="A122" t="s">
        <v>12</v>
      </c>
      <c r="B122">
        <f>(B21-B89)^2</f>
        <v>0.12059379769799318</v>
      </c>
      <c r="C122">
        <f>(C21-C89)^2</f>
        <v>0.46373871236922459</v>
      </c>
      <c r="D122">
        <f>(D21-D89)^2</f>
        <v>1.4693824138139173</v>
      </c>
      <c r="E122">
        <f>(E21-E89)^2</f>
        <v>0.12431621851166683</v>
      </c>
      <c r="F122">
        <f>(F21-F89)^2</f>
        <v>0.91378652571145047</v>
      </c>
      <c r="G122">
        <f>(G21-G89)^2</f>
        <v>2.3922740904019378E-2</v>
      </c>
      <c r="H122">
        <f>(H21-H89)^2</f>
        <v>0.69659003814769438</v>
      </c>
      <c r="I122">
        <f>(I21-I89)^2</f>
        <v>3.4319348372491691</v>
      </c>
      <c r="J122">
        <f>(J21-J89)^2</f>
        <v>0.36076065218568798</v>
      </c>
      <c r="K122">
        <f>(K21-K89)^2</f>
        <v>5.2458723947130338E-2</v>
      </c>
      <c r="L122">
        <f>(L21-L89)^2</f>
        <v>0.2381657041762405</v>
      </c>
      <c r="M122">
        <f>(M21-M89)^2</f>
        <v>1.4968279221963747</v>
      </c>
      <c r="N122">
        <f>(N21-N89)^2</f>
        <v>3.5845444158552598E-3</v>
      </c>
      <c r="O122">
        <f>(O21-O89)^2</f>
        <v>0.41843806196906475</v>
      </c>
      <c r="P122">
        <f>(P21-P89)^2</f>
        <v>0.31756086038873393</v>
      </c>
      <c r="Q122">
        <f>(Q21-Q89)^2</f>
        <v>0.51513199141871779</v>
      </c>
      <c r="R122">
        <f>(R21-R89)^2</f>
        <v>0.68996351344300266</v>
      </c>
      <c r="S122">
        <f>(S21-S89)^2</f>
        <v>0.23549815880615152</v>
      </c>
      <c r="T122">
        <f>(T21-T89)^2</f>
        <v>0</v>
      </c>
      <c r="U122">
        <f>(U21-U89)^2</f>
        <v>0.53909291892450051</v>
      </c>
      <c r="V122">
        <f>(V21-V89)^2</f>
        <v>0.68164791342749476</v>
      </c>
      <c r="W122">
        <f>(W21-W89)^2</f>
        <v>0.34244612347051362</v>
      </c>
      <c r="X122">
        <f>(X21-X89)^2</f>
        <v>0.50578321528051462</v>
      </c>
      <c r="Y122">
        <f>(Y21-Y89)^2</f>
        <v>1.7975769193226483E-2</v>
      </c>
      <c r="Z122">
        <f>(Z21-Z89)^2</f>
        <v>1.6852097783382547</v>
      </c>
      <c r="AA122">
        <f>(AA21-AA89)^2</f>
        <v>2.0388403577287746</v>
      </c>
      <c r="AB122">
        <f>(AB21-AB89)^2</f>
        <v>2.5627881926599323E-2</v>
      </c>
      <c r="AC122">
        <f>(AC21-AC89)^2</f>
        <v>0.92561728309172875</v>
      </c>
      <c r="AD122">
        <f>(AD21-AD89)^2</f>
        <v>3.1681482601331253E-2</v>
      </c>
      <c r="AE122">
        <f>(AE21-AE89)^2</f>
        <v>1.1930138333253857</v>
      </c>
    </row>
    <row r="123" spans="1:31" x14ac:dyDescent="0.25">
      <c r="A123" t="s">
        <v>31</v>
      </c>
      <c r="B123">
        <f>(B22-B90)^2</f>
        <v>0.62829723887081068</v>
      </c>
      <c r="C123">
        <f>(C22-C90)^2</f>
        <v>0.83825987339541264</v>
      </c>
      <c r="D123">
        <f>(D22-D90)^2</f>
        <v>5.6061683953708016E-2</v>
      </c>
      <c r="E123">
        <f>(E22-E90)^2</f>
        <v>8.9462670439379257E-4</v>
      </c>
      <c r="F123">
        <f>(F22-F90)^2</f>
        <v>0.13626227061045226</v>
      </c>
      <c r="G123">
        <f>(G22-G90)^2</f>
        <v>0.4863271930028133</v>
      </c>
      <c r="H123">
        <f>(H22-H90)^2</f>
        <v>5.2826217740883037E-2</v>
      </c>
      <c r="I123">
        <f>(I22-I90)^2</f>
        <v>0.20092807008209176</v>
      </c>
      <c r="J123">
        <f>(J22-J90)^2</f>
        <v>2.7476020615101581E-3</v>
      </c>
      <c r="K123">
        <f>(K22-K90)^2</f>
        <v>4.9838542576621878E-3</v>
      </c>
      <c r="L123">
        <f>(L22-L90)^2</f>
        <v>2.9033464385397365E-2</v>
      </c>
      <c r="M123">
        <f>(M22-M90)^2</f>
        <v>0.60519925806599306</v>
      </c>
      <c r="N123">
        <f>(N22-N90)^2</f>
        <v>2.3871088250217231E-2</v>
      </c>
      <c r="O123">
        <f>(O22-O90)^2</f>
        <v>1.242295548504911</v>
      </c>
      <c r="P123">
        <f>(P22-P90)^2</f>
        <v>2.5016265230256518E-2</v>
      </c>
      <c r="Q123">
        <f>(Q22-Q90)^2</f>
        <v>0.41580352073856341</v>
      </c>
      <c r="R123">
        <f>(R22-R90)^2</f>
        <v>0.50385721064159728</v>
      </c>
      <c r="S123">
        <f>(S22-S90)^2</f>
        <v>1.1069205558357218</v>
      </c>
      <c r="T123">
        <f>(T22-T90)^2</f>
        <v>0.53909291892450084</v>
      </c>
      <c r="U123">
        <f>(U22-U90)^2</f>
        <v>0</v>
      </c>
      <c r="V123">
        <f>(V22-V90)^2</f>
        <v>0.47788782879923247</v>
      </c>
      <c r="W123">
        <f>(W22-W90)^2</f>
        <v>0.27315271677355629</v>
      </c>
      <c r="X123">
        <f>(X22-X90)^2</f>
        <v>1.2022197492559332</v>
      </c>
      <c r="Y123">
        <f>(Y22-Y90)^2</f>
        <v>0.16220206334796947</v>
      </c>
      <c r="Z123">
        <f>(Z22-Z90)^2</f>
        <v>4.3817540858026582E-2</v>
      </c>
      <c r="AA123">
        <f>(AA22-AA90)^2</f>
        <v>0.67149736535724591</v>
      </c>
      <c r="AB123">
        <f>(AB22-AB90)^2</f>
        <v>0.29770346393400998</v>
      </c>
      <c r="AC123">
        <f>(AC22-AC90)^2</f>
        <v>0.18706703711116177</v>
      </c>
      <c r="AD123">
        <f>(AD22-AD90)^2</f>
        <v>0.14686324968023129</v>
      </c>
      <c r="AE123">
        <f>(AE22-AE90)^2</f>
        <v>0.38782817399447334</v>
      </c>
    </row>
    <row r="124" spans="1:31" x14ac:dyDescent="0.25">
      <c r="A124" t="s">
        <v>38</v>
      </c>
      <c r="B124">
        <f>(B23-B91)^2</f>
        <v>0.17782107328369012</v>
      </c>
      <c r="C124">
        <f>(C23-C91)^2</f>
        <v>1.5337806391130884</v>
      </c>
      <c r="D124">
        <f>(D23-D91)^2</f>
        <v>0.76152390356082811</v>
      </c>
      <c r="E124">
        <f>(E23-E91)^2</f>
        <v>0.5273483802408957</v>
      </c>
      <c r="F124">
        <f>(F23-F91)^2</f>
        <v>1.7099685555868074E-2</v>
      </c>
      <c r="G124">
        <f>(G23-G91)^2</f>
        <v>5.6949850220429227E-2</v>
      </c>
      <c r="H124">
        <f>(H23-H91)^2</f>
        <v>0.43913347886020887</v>
      </c>
      <c r="I124">
        <f>(I23-I91)^2</f>
        <v>8.7411120110719484E-2</v>
      </c>
      <c r="J124">
        <f>(J23-J91)^2</f>
        <v>0.10461260290003213</v>
      </c>
      <c r="K124">
        <f>(K23-K91)^2</f>
        <v>0.1102557541102793</v>
      </c>
      <c r="L124">
        <f>(L23-L91)^2</f>
        <v>1.0272786581551514</v>
      </c>
      <c r="M124">
        <f>(M23-M91)^2</f>
        <v>1.9311680241140074E-2</v>
      </c>
      <c r="N124">
        <f>(N23-N91)^2</f>
        <v>3.2117884206818281E-3</v>
      </c>
      <c r="O124">
        <f>(O23-O91)^2</f>
        <v>0.3141782692710553</v>
      </c>
      <c r="P124">
        <f>(P23-P91)^2</f>
        <v>7.8281175494102184E-2</v>
      </c>
      <c r="Q124">
        <f>(Q23-Q91)^2</f>
        <v>0.63999150113838377</v>
      </c>
      <c r="R124">
        <f>(R23-R91)^2</f>
        <v>6.9557222941412176E-3</v>
      </c>
      <c r="S124">
        <f>(S23-S91)^2</f>
        <v>0.31910722468222952</v>
      </c>
      <c r="T124">
        <f>(T23-T91)^2</f>
        <v>0.68164791342749442</v>
      </c>
      <c r="U124">
        <f>(U23-U91)^2</f>
        <v>0.47788782879923247</v>
      </c>
      <c r="V124">
        <f>(V23-V91)^2</f>
        <v>0</v>
      </c>
      <c r="W124">
        <f>(W23-W91)^2</f>
        <v>0.22583953825068978</v>
      </c>
      <c r="X124">
        <f>(X23-X91)^2</f>
        <v>0.11206096566435814</v>
      </c>
      <c r="Y124">
        <f>(Y23-Y91)^2</f>
        <v>0.46194458478785638</v>
      </c>
      <c r="Z124">
        <f>(Z23-Z91)^2</f>
        <v>0.31543710117083223</v>
      </c>
      <c r="AA124">
        <f>(AA23-AA91)^2</f>
        <v>3.200890117586854E-3</v>
      </c>
      <c r="AB124">
        <f>(AB23-AB91)^2</f>
        <v>9.5587320028274206E-2</v>
      </c>
      <c r="AC124">
        <f>(AC23-AC91)^2</f>
        <v>2.4446727477505001E-3</v>
      </c>
      <c r="AD124">
        <f>(AD23-AD91)^2</f>
        <v>6.7509391048268863E-2</v>
      </c>
      <c r="AE124">
        <f>(AE23-AE91)^2</f>
        <v>0.98982078432660558</v>
      </c>
    </row>
    <row r="125" spans="1:31" x14ac:dyDescent="0.25">
      <c r="A125" t="s">
        <v>13</v>
      </c>
      <c r="B125">
        <f>(B24-B92)^2</f>
        <v>0.30243140441166905</v>
      </c>
      <c r="C125">
        <f>(C24-C92)^2</f>
        <v>1.0182766180326905</v>
      </c>
      <c r="D125">
        <f>(D24-D92)^2</f>
        <v>0.7255257658026617</v>
      </c>
      <c r="E125">
        <f>(E24-E92)^2</f>
        <v>0.34356812757403199</v>
      </c>
      <c r="F125">
        <f>(F24-F92)^2</f>
        <v>1.5052538291130055</v>
      </c>
      <c r="G125">
        <f>(G24-G92)^2</f>
        <v>0.23263538440656817</v>
      </c>
      <c r="H125">
        <f>(H24-H92)^2</f>
        <v>0.13173085304829626</v>
      </c>
      <c r="I125">
        <f>(I24-I92)^2</f>
        <v>0.62136727758049271</v>
      </c>
      <c r="J125">
        <f>(J24-J92)^2</f>
        <v>0.26523593915496557</v>
      </c>
      <c r="K125">
        <f>(K24-K92)^2</f>
        <v>1.3831749433049404E-2</v>
      </c>
      <c r="L125">
        <f>(L24-L92)^2</f>
        <v>0.52648235922265851</v>
      </c>
      <c r="M125">
        <f>(M24-M92)^2</f>
        <v>0.76696508348675141</v>
      </c>
      <c r="N125">
        <f>(N24-N92)^2</f>
        <v>6.2573010541061014E-2</v>
      </c>
      <c r="O125">
        <f>(O24-O92)^2</f>
        <v>2.288149040544811E-2</v>
      </c>
      <c r="P125">
        <f>(P24-P92)^2</f>
        <v>6.5414021894843591E-2</v>
      </c>
      <c r="Q125">
        <f>(Q24-Q92)^2</f>
        <v>7.5237071119664059E-2</v>
      </c>
      <c r="R125">
        <f>(R24-R92)^2</f>
        <v>0.85220536898475518</v>
      </c>
      <c r="S125">
        <f>(S24-S92)^2</f>
        <v>0.47718682997272993</v>
      </c>
      <c r="T125">
        <f>(T24-T92)^2</f>
        <v>0.34244612347051362</v>
      </c>
      <c r="U125">
        <f>(U24-U92)^2</f>
        <v>0.27315271677355651</v>
      </c>
      <c r="V125">
        <f>(V24-V92)^2</f>
        <v>0.22583953825068984</v>
      </c>
      <c r="W125">
        <f>(W24-W92)^2</f>
        <v>0</v>
      </c>
      <c r="X125">
        <f>(X24-X92)^2</f>
        <v>3.1075836954521124E-2</v>
      </c>
      <c r="Y125">
        <f>(Y24-Y92)^2</f>
        <v>0.15845558347207689</v>
      </c>
      <c r="Z125">
        <f>(Z24-Z92)^2</f>
        <v>0.44517206953243021</v>
      </c>
      <c r="AA125">
        <f>(AA24-AA92)^2</f>
        <v>8.3976237867762815E-2</v>
      </c>
      <c r="AB125">
        <f>(AB24-AB92)^2</f>
        <v>1.4861310815757489</v>
      </c>
      <c r="AC125">
        <f>(AC24-AC92)^2</f>
        <v>0.77547193518704316</v>
      </c>
      <c r="AD125">
        <f>(AD24-AD92)^2</f>
        <v>0.1795645142151705</v>
      </c>
      <c r="AE125">
        <f>(AE24-AE92)^2</f>
        <v>0.91750776294951264</v>
      </c>
    </row>
    <row r="126" spans="1:31" x14ac:dyDescent="0.25">
      <c r="A126" t="s">
        <v>21</v>
      </c>
      <c r="B126">
        <f>(B25-B93)^2</f>
        <v>0.48669539255948291</v>
      </c>
      <c r="C126">
        <f>(C25-C93)^2</f>
        <v>2.1044612934447557E-4</v>
      </c>
      <c r="D126">
        <f>(D25-D93)^2</f>
        <v>0.68001456656303672</v>
      </c>
      <c r="E126">
        <f>(E25-E93)^2</f>
        <v>4.7488872991738845E-2</v>
      </c>
      <c r="F126">
        <f>(F25-F93)^2</f>
        <v>0.16123466444129111</v>
      </c>
      <c r="G126">
        <f>(G25-G93)^2</f>
        <v>0.44899986295085553</v>
      </c>
      <c r="H126">
        <f>(H25-H93)^2</f>
        <v>6.2609336337773588E-2</v>
      </c>
      <c r="I126">
        <f>(I25-I93)^2</f>
        <v>1.9848867397737306</v>
      </c>
      <c r="J126">
        <f>(J25-J93)^2</f>
        <v>3.5007456783503739</v>
      </c>
      <c r="K126">
        <f>(K25-K93)^2</f>
        <v>6.0022061426613241E-3</v>
      </c>
      <c r="L126">
        <f>(L25-L93)^2</f>
        <v>3.4616144115310263E-2</v>
      </c>
      <c r="M126">
        <f>(M25-M93)^2</f>
        <v>2.552780665076174E-2</v>
      </c>
      <c r="N126">
        <f>(N25-N93)^2</f>
        <v>2.8506617647259012E-2</v>
      </c>
      <c r="O126">
        <f>(O25-O93)^2</f>
        <v>0.87100606380774881</v>
      </c>
      <c r="P126">
        <f>(P25-P93)^2</f>
        <v>2.9863176918733594E-2</v>
      </c>
      <c r="Q126">
        <f>(Q25-Q93)^2</f>
        <v>5.370265346614723E-3</v>
      </c>
      <c r="R126">
        <f>(R25-R93)^2</f>
        <v>0.58975602214356992</v>
      </c>
      <c r="S126">
        <f>(S25-S93)^2</f>
        <v>0.80985539131779238</v>
      </c>
      <c r="T126">
        <f>(T25-T93)^2</f>
        <v>0.50578321528051462</v>
      </c>
      <c r="U126">
        <f>(U25-U93)^2</f>
        <v>1.2022197492559323</v>
      </c>
      <c r="V126">
        <f>(V25-V93)^2</f>
        <v>0.11206096566435811</v>
      </c>
      <c r="W126">
        <f>(W25-W93)^2</f>
        <v>3.1075836954521124E-2</v>
      </c>
      <c r="X126">
        <f>(X25-X93)^2</f>
        <v>0</v>
      </c>
      <c r="Y126">
        <f>(Y25-Y93)^2</f>
        <v>0.18895387633645103</v>
      </c>
      <c r="Z126">
        <f>(Z25-Z93)^2</f>
        <v>5.2039187892925422E-2</v>
      </c>
      <c r="AA126">
        <f>(AA25-AA93)^2</f>
        <v>3.8827049803188331E-2</v>
      </c>
      <c r="AB126">
        <f>(AB25-AB93)^2</f>
        <v>0.17243158836681499</v>
      </c>
      <c r="AC126">
        <f>(AC25-AC93)^2</f>
        <v>0.37962969036414129</v>
      </c>
      <c r="AD126">
        <f>(AD25-AD93)^2</f>
        <v>0.17141734231501618</v>
      </c>
      <c r="AE126">
        <f>(AE25-AE93)^2</f>
        <v>0.10548305340443559</v>
      </c>
    </row>
    <row r="127" spans="1:31" x14ac:dyDescent="0.25">
      <c r="A127" t="s">
        <v>35</v>
      </c>
      <c r="B127">
        <f>(B26-B94)^2</f>
        <v>0.20698568802067666</v>
      </c>
      <c r="C127">
        <f>(C26-C94)^2</f>
        <v>0.8438251104948794</v>
      </c>
      <c r="D127">
        <f>(D26-D94)^2</f>
        <v>1.1225328557613464E-3</v>
      </c>
      <c r="E127">
        <f>(E26-E94)^2</f>
        <v>1.4127119580531403E-2</v>
      </c>
      <c r="F127">
        <f>(F26-F94)^2</f>
        <v>8.1204946271972001E-2</v>
      </c>
      <c r="G127">
        <f>(G26-G94)^2</f>
        <v>0.14755340771925129</v>
      </c>
      <c r="H127">
        <f>(H26-H94)^2</f>
        <v>2.6907951496018931</v>
      </c>
      <c r="I127">
        <f>(I26-I94)^2</f>
        <v>3.7937204755909622E-2</v>
      </c>
      <c r="J127">
        <f>(J26-J94)^2</f>
        <v>2.964991750416112E-2</v>
      </c>
      <c r="K127">
        <f>(K26-K94)^2</f>
        <v>0.24315275682526261</v>
      </c>
      <c r="L127">
        <f>(L26-L94)^2</f>
        <v>6.2261257317043029E-3</v>
      </c>
      <c r="M127">
        <f>(M26-M94)^2</f>
        <v>0.26095936200108311</v>
      </c>
      <c r="N127">
        <f>(N26-N94)^2</f>
        <v>0.99411017061198548</v>
      </c>
      <c r="O127">
        <f>(O26-O94)^2</f>
        <v>0.92878562724453728</v>
      </c>
      <c r="P127">
        <f>(P26-P94)^2</f>
        <v>0.58086797876281104</v>
      </c>
      <c r="Q127">
        <f>(Q26-Q94)^2</f>
        <v>1.0840063412731906</v>
      </c>
      <c r="R127">
        <f>(R26-R94)^2</f>
        <v>6.0537487882990288E-3</v>
      </c>
      <c r="S127">
        <f>(S26-S94)^2</f>
        <v>6.7353002825115915E-2</v>
      </c>
      <c r="T127">
        <f>(T26-T94)^2</f>
        <v>1.7975769193226541E-2</v>
      </c>
      <c r="U127">
        <f>(U26-U94)^2</f>
        <v>0.16220206334796941</v>
      </c>
      <c r="V127">
        <f>(V26-V94)^2</f>
        <v>0.46194458478785638</v>
      </c>
      <c r="W127">
        <f>(W26-W94)^2</f>
        <v>0.15845558347207689</v>
      </c>
      <c r="X127">
        <f>(X26-X94)^2</f>
        <v>0.18895387633645114</v>
      </c>
      <c r="Y127">
        <f>(Y26-Y94)^2</f>
        <v>0</v>
      </c>
      <c r="Z127">
        <f>(Z26-Z94)^2</f>
        <v>7.1307257657136303E-2</v>
      </c>
      <c r="AA127">
        <f>(AA26-AA94)^2</f>
        <v>1.6807377664230717E-2</v>
      </c>
      <c r="AB127">
        <f>(AB26-AB94)^2</f>
        <v>1.9381948134190488</v>
      </c>
      <c r="AC127">
        <f>(AC26-AC94)^2</f>
        <v>4.3249101230265853E-2</v>
      </c>
      <c r="AD127">
        <f>(AD26-AD94)^2</f>
        <v>0.29849428498065128</v>
      </c>
      <c r="AE127">
        <f>(AE26-AE94)^2</f>
        <v>1.334467820586583</v>
      </c>
    </row>
    <row r="128" spans="1:31" x14ac:dyDescent="0.25">
      <c r="A128" t="s">
        <v>39</v>
      </c>
      <c r="B128">
        <f>(B27-B95)^2</f>
        <v>0.60352642573836035</v>
      </c>
      <c r="C128">
        <f>(C27-C95)^2</f>
        <v>0.18914602078026507</v>
      </c>
      <c r="D128">
        <f>(D27-D95)^2</f>
        <v>0.11364858925269618</v>
      </c>
      <c r="E128">
        <f>(E27-E95)^2</f>
        <v>0.28613743450492324</v>
      </c>
      <c r="F128">
        <f>(F27-F95)^2</f>
        <v>8.2854005453404343E-3</v>
      </c>
      <c r="G128">
        <f>(G27-G95)^2</f>
        <v>4.2167377045629529E-4</v>
      </c>
      <c r="H128">
        <f>(H27-H95)^2</f>
        <v>1.1006524638889454E-2</v>
      </c>
      <c r="I128">
        <f>(I27-I95)^2</f>
        <v>0.88205201092402064</v>
      </c>
      <c r="J128">
        <f>(J27-J95)^2</f>
        <v>0.24334582585856879</v>
      </c>
      <c r="K128">
        <f>(K27-K95)^2</f>
        <v>0.51146206872766331</v>
      </c>
      <c r="L128">
        <f>(L27-L95)^2</f>
        <v>0.44856045674874728</v>
      </c>
      <c r="M128">
        <f>(M27-M95)^2</f>
        <v>0.42567634834544965</v>
      </c>
      <c r="N128">
        <f>(N27-N95)^2</f>
        <v>0.44786389881932387</v>
      </c>
      <c r="O128">
        <f>(O27-O95)^2</f>
        <v>0.26328188064884972</v>
      </c>
      <c r="P128">
        <f>(P27-P95)^2</f>
        <v>2.8696277421521477</v>
      </c>
      <c r="Q128">
        <f>(Q27-Q95)^2</f>
        <v>0.16126815925924728</v>
      </c>
      <c r="R128">
        <f>(R27-R95)^2</f>
        <v>8.8298215711340444E-2</v>
      </c>
      <c r="S128">
        <f>(S27-S95)^2</f>
        <v>2.6207134059546426</v>
      </c>
      <c r="T128">
        <f>(T27-T95)^2</f>
        <v>1.6852097783382547</v>
      </c>
      <c r="U128">
        <f>(U27-U95)^2</f>
        <v>4.3817540858026617E-2</v>
      </c>
      <c r="V128">
        <f>(V27-V95)^2</f>
        <v>0.31543710117083223</v>
      </c>
      <c r="W128">
        <f>(W27-W95)^2</f>
        <v>0.44517206953243021</v>
      </c>
      <c r="X128">
        <f>(X27-X95)^2</f>
        <v>5.203918789292547E-2</v>
      </c>
      <c r="Y128">
        <f>(Y27-Y95)^2</f>
        <v>7.1307257657136303E-2</v>
      </c>
      <c r="Z128">
        <f>(Z27-Z95)^2</f>
        <v>0</v>
      </c>
      <c r="AA128">
        <f>(AA27-AA95)^2</f>
        <v>1.3536402956878613</v>
      </c>
      <c r="AB128">
        <f>(AB27-AB95)^2</f>
        <v>8.2534628484887101E-2</v>
      </c>
      <c r="AC128">
        <f>(AC27-AC95)^2</f>
        <v>0.68625145282477928</v>
      </c>
      <c r="AD128">
        <f>(AD27-AD95)^2</f>
        <v>0.46084781624469978</v>
      </c>
      <c r="AE128">
        <f>(AE27-AE95)^2</f>
        <v>5.0190843761581186E-2</v>
      </c>
    </row>
    <row r="129" spans="1:31" x14ac:dyDescent="0.25">
      <c r="A129" t="s">
        <v>15</v>
      </c>
      <c r="B129">
        <f>(B28-B96)^2</f>
        <v>1.3087970176276134</v>
      </c>
      <c r="C129">
        <f>(C28-C96)^2</f>
        <v>0.24890692747887652</v>
      </c>
      <c r="D129">
        <f>(D28-D96)^2</f>
        <v>0.35091722638334744</v>
      </c>
      <c r="E129">
        <f>(E28-E96)^2</f>
        <v>0.22392940217228852</v>
      </c>
      <c r="F129">
        <f>(F28-F96)^2</f>
        <v>2.9404949228105121E-2</v>
      </c>
      <c r="G129">
        <f>(G28-G96)^2</f>
        <v>3.7574965748408745E-3</v>
      </c>
      <c r="H129">
        <f>(H28-H96)^2</f>
        <v>7.1410164023105807E-2</v>
      </c>
      <c r="I129">
        <f>(I28-I96)^2</f>
        <v>0.68324134991308061</v>
      </c>
      <c r="J129">
        <f>(J28-J96)^2</f>
        <v>0.31925880468276713</v>
      </c>
      <c r="K129">
        <f>(K28-K96)^2</f>
        <v>1.4204430343935694</v>
      </c>
      <c r="L129">
        <f>(L28-L96)^2</f>
        <v>1.1309368760450522</v>
      </c>
      <c r="M129">
        <f>(M28-M96)^2</f>
        <v>0.33938344841415108</v>
      </c>
      <c r="N129">
        <f>(N28-N96)^2</f>
        <v>2.8766111201368294E-2</v>
      </c>
      <c r="O129">
        <f>(O28-O96)^2</f>
        <v>0.44470500034839311</v>
      </c>
      <c r="P129">
        <f>(P28-P96)^2</f>
        <v>2.0836053047804129E-2</v>
      </c>
      <c r="Q129">
        <f>(Q28-Q96)^2</f>
        <v>0.28307355738283113</v>
      </c>
      <c r="R129">
        <f>(R28-R96)^2</f>
        <v>0.39702976250623351</v>
      </c>
      <c r="S129">
        <f>(S28-S96)^2</f>
        <v>0.10776182198603733</v>
      </c>
      <c r="T129">
        <f>(T28-T96)^2</f>
        <v>2.0388403577287755</v>
      </c>
      <c r="U129">
        <f>(U28-U96)^2</f>
        <v>0.6714973653572458</v>
      </c>
      <c r="V129">
        <f>(V28-V96)^2</f>
        <v>3.2008901175868288E-3</v>
      </c>
      <c r="W129">
        <f>(W28-W96)^2</f>
        <v>8.3976237867762746E-2</v>
      </c>
      <c r="X129">
        <f>(X28-X96)^2</f>
        <v>3.8827049803188352E-2</v>
      </c>
      <c r="Y129">
        <f>(Y28-Y96)^2</f>
        <v>1.6807377664230832E-2</v>
      </c>
      <c r="Z129">
        <f>(Z28-Z96)^2</f>
        <v>1.3536402956878608</v>
      </c>
      <c r="AA129">
        <f>(AA28-AA96)^2</f>
        <v>0</v>
      </c>
      <c r="AB129">
        <f>(AB28-AB96)^2</f>
        <v>2.6659517128844564E-2</v>
      </c>
      <c r="AC129">
        <f>(AC28-AC96)^2</f>
        <v>6.2411828799944363E-2</v>
      </c>
      <c r="AD129">
        <f>(AD28-AD96)^2</f>
        <v>1.2425254947336504</v>
      </c>
      <c r="AE129">
        <f>(AE28-AE96)^2</f>
        <v>9.0159327165338574E-2</v>
      </c>
    </row>
    <row r="130" spans="1:31" x14ac:dyDescent="0.25">
      <c r="A130" t="s">
        <v>37</v>
      </c>
      <c r="B130">
        <f>(B29-B97)^2</f>
        <v>0.10918123701336788</v>
      </c>
      <c r="C130">
        <f>(C29-C97)^2</f>
        <v>0.78047445030752627</v>
      </c>
      <c r="D130">
        <f>(D29-D97)^2</f>
        <v>5.2030029665835462E-2</v>
      </c>
      <c r="E130">
        <f>(E29-E97)^2</f>
        <v>1.1644156714160687</v>
      </c>
      <c r="F130">
        <f>(F29-F97)^2</f>
        <v>0.20757230222919695</v>
      </c>
      <c r="G130">
        <f>(G29-G97)^2</f>
        <v>0.29114458922810332</v>
      </c>
      <c r="H130">
        <f>(H29-H97)^2</f>
        <v>0.59495606443636151</v>
      </c>
      <c r="I130">
        <f>(I29-I97)^2</f>
        <v>2.3686609103482263E-4</v>
      </c>
      <c r="J130">
        <f>(J29-J97)^2</f>
        <v>0.95113371899987276</v>
      </c>
      <c r="K130">
        <f>(K29-K97)^2</f>
        <v>0.12635016650322262</v>
      </c>
      <c r="L130">
        <f>(L29-L97)^2</f>
        <v>0.35595721322944229</v>
      </c>
      <c r="M130">
        <f>(M29-M97)^2</f>
        <v>1.4807406471160516</v>
      </c>
      <c r="N130">
        <f>(N29-N97)^2</f>
        <v>7.3024018114753175E-2</v>
      </c>
      <c r="O130">
        <f>(O29-O97)^2</f>
        <v>8.0137081636685134E-2</v>
      </c>
      <c r="P130">
        <f>(P29-P97)^2</f>
        <v>6.4996074056337047E-2</v>
      </c>
      <c r="Q130">
        <f>(Q29-Q97)^2</f>
        <v>0.71199896068735724</v>
      </c>
      <c r="R130">
        <f>(R29-R97)^2</f>
        <v>0.53321400469688496</v>
      </c>
      <c r="S130">
        <f>(S29-S97)^2</f>
        <v>0.57433472777184014</v>
      </c>
      <c r="T130">
        <f>(T29-T97)^2</f>
        <v>2.5627881926599254E-2</v>
      </c>
      <c r="U130">
        <f>(U29-U97)^2</f>
        <v>0.29770346393400998</v>
      </c>
      <c r="V130">
        <f>(V29-V97)^2</f>
        <v>9.5587320028274206E-2</v>
      </c>
      <c r="W130">
        <f>(W29-W97)^2</f>
        <v>1.4861310815757489</v>
      </c>
      <c r="X130">
        <f>(X29-X97)^2</f>
        <v>0.17243158836681488</v>
      </c>
      <c r="Y130">
        <f>(Y29-Y97)^2</f>
        <v>1.9381948134190481</v>
      </c>
      <c r="Z130">
        <f>(Z29-Z97)^2</f>
        <v>8.2534628484886852E-2</v>
      </c>
      <c r="AA130">
        <f>(AA29-AA97)^2</f>
        <v>2.6659517128844599E-2</v>
      </c>
      <c r="AB130">
        <f>(AB29-AB97)^2</f>
        <v>0</v>
      </c>
      <c r="AC130">
        <f>(AC29-AC97)^2</f>
        <v>0.3742658512983143</v>
      </c>
      <c r="AD130">
        <f>(AD29-AD97)^2</f>
        <v>0.30112474694481478</v>
      </c>
      <c r="AE130">
        <f>(AE29-AE97)^2</f>
        <v>0.11622115702731473</v>
      </c>
    </row>
    <row r="131" spans="1:31" x14ac:dyDescent="0.25">
      <c r="A131" t="s">
        <v>27</v>
      </c>
      <c r="B131">
        <f>(B30-B98)^2</f>
        <v>3.0988055336015123</v>
      </c>
      <c r="C131">
        <f>(C30-C98)^2</f>
        <v>0.32386960381898922</v>
      </c>
      <c r="D131">
        <f>(D30-D98)^2</f>
        <v>0.12345957141850408</v>
      </c>
      <c r="E131">
        <f>(E30-E98)^2</f>
        <v>0.40688628028084378</v>
      </c>
      <c r="F131">
        <f>(F30-F98)^2</f>
        <v>3.3719877984610709</v>
      </c>
      <c r="G131">
        <f>(G30-G98)^2</f>
        <v>0.38079486618893849</v>
      </c>
      <c r="H131">
        <f>(H30-H98)^2</f>
        <v>0.77400718492495002</v>
      </c>
      <c r="I131">
        <f>(I30-I98)^2</f>
        <v>0.36633576867539025</v>
      </c>
      <c r="J131">
        <f>(J30-J98)^2</f>
        <v>0.53879440426765735</v>
      </c>
      <c r="K131">
        <f>(K30-K98)^2</f>
        <v>0.13135110787196116</v>
      </c>
      <c r="L131">
        <f>(L30-L98)^2</f>
        <v>7.8029196565596412E-2</v>
      </c>
      <c r="M131">
        <f>(M30-M98)^2</f>
        <v>1.4867252742675077</v>
      </c>
      <c r="N131">
        <f>(N30-N98)^2</f>
        <v>1.7627454204026534</v>
      </c>
      <c r="O131">
        <f>(O30-O98)^2</f>
        <v>0.42963821747711078</v>
      </c>
      <c r="P131">
        <f>(P30-P98)^2</f>
        <v>0.10004196013001052</v>
      </c>
      <c r="Q131">
        <f>(Q30-Q98)^2</f>
        <v>6.1012112844767298E-2</v>
      </c>
      <c r="R131">
        <f>(R30-R98)^2</f>
        <v>9.0933261539373034E-2</v>
      </c>
      <c r="S131">
        <f>(S30-S98)^2</f>
        <v>6.7228020401539315E-2</v>
      </c>
      <c r="T131">
        <f>(T30-T98)^2</f>
        <v>0.92561728309172919</v>
      </c>
      <c r="U131">
        <f>(U30-U98)^2</f>
        <v>0.18706703711116204</v>
      </c>
      <c r="V131">
        <f>(V30-V98)^2</f>
        <v>2.444672747750511E-3</v>
      </c>
      <c r="W131">
        <f>(W30-W98)^2</f>
        <v>0.7754719351870436</v>
      </c>
      <c r="X131">
        <f>(X30-X98)^2</f>
        <v>0.37962969036414129</v>
      </c>
      <c r="Y131">
        <f>(Y30-Y98)^2</f>
        <v>4.3249101230265853E-2</v>
      </c>
      <c r="Z131">
        <f>(Z30-Z98)^2</f>
        <v>0.68625145282477951</v>
      </c>
      <c r="AA131">
        <f>(AA30-AA98)^2</f>
        <v>6.2411828799944363E-2</v>
      </c>
      <c r="AB131">
        <f>(AB30-AB98)^2</f>
        <v>0.37426585129831402</v>
      </c>
      <c r="AC131">
        <f>(AC30-AC98)^2</f>
        <v>0</v>
      </c>
      <c r="AD131">
        <f>(AD30-AD98)^2</f>
        <v>0.67533591141191329</v>
      </c>
      <c r="AE131">
        <f>(AE30-AE98)^2</f>
        <v>2.011294784972756</v>
      </c>
    </row>
    <row r="132" spans="1:31" x14ac:dyDescent="0.25">
      <c r="A132" t="s">
        <v>34</v>
      </c>
      <c r="B132">
        <f>(B31-B99)^2</f>
        <v>0.22757437264474678</v>
      </c>
      <c r="C132">
        <f>(C31-C99)^2</f>
        <v>0.78851510497251631</v>
      </c>
      <c r="D132">
        <f>(D31-D99)^2</f>
        <v>0.9947880368353188</v>
      </c>
      <c r="E132">
        <f>(E31-E99)^2</f>
        <v>2.2262772869194317E-2</v>
      </c>
      <c r="F132">
        <f>(F31-F99)^2</f>
        <v>6.5702064292569695E-2</v>
      </c>
      <c r="G132">
        <f>(G31-G99)^2</f>
        <v>0.12778620012655439</v>
      </c>
      <c r="H132">
        <f>(H31-H99)^2</f>
        <v>0.17276480303758804</v>
      </c>
      <c r="I132">
        <f>(I31-I99)^2</f>
        <v>0.21700067218796085</v>
      </c>
      <c r="J132">
        <f>(J31-J99)^2</f>
        <v>0.63678121661264542</v>
      </c>
      <c r="K132">
        <f>(K31-K99)^2</f>
        <v>0.2163228420686564</v>
      </c>
      <c r="L132">
        <f>(L31-L99)^2</f>
        <v>1.6460053124556062E-2</v>
      </c>
      <c r="M132">
        <f>(M31-M99)^2</f>
        <v>1.0185251695471111</v>
      </c>
      <c r="N132">
        <f>(N31-N99)^2</f>
        <v>1.0900064758449852</v>
      </c>
      <c r="O132">
        <f>(O31-O99)^2</f>
        <v>9.6452772920990484E-2</v>
      </c>
      <c r="P132">
        <f>(P31-P99)^2</f>
        <v>0.87654246543829006</v>
      </c>
      <c r="Q132">
        <f>(Q31-Q99)^2</f>
        <v>5.1785696841082857E-3</v>
      </c>
      <c r="R132">
        <f>(R31-R99)^2</f>
        <v>1.0962536935002167</v>
      </c>
      <c r="S132">
        <f>(S31-S99)^2</f>
        <v>8.7675207903435651E-2</v>
      </c>
      <c r="T132">
        <f>(T31-T99)^2</f>
        <v>3.1681482601331253E-2</v>
      </c>
      <c r="U132">
        <f>(U31-U99)^2</f>
        <v>0.14686324968023129</v>
      </c>
      <c r="V132">
        <f>(V31-V99)^2</f>
        <v>6.7509391048268752E-2</v>
      </c>
      <c r="W132">
        <f>(W31-W99)^2</f>
        <v>0.17956451421517039</v>
      </c>
      <c r="X132">
        <f>(X31-X99)^2</f>
        <v>0.17141734231501635</v>
      </c>
      <c r="Y132">
        <f>(Y31-Y99)^2</f>
        <v>0.29849428498065128</v>
      </c>
      <c r="Z132">
        <f>(Z31-Z99)^2</f>
        <v>0.46084781624469978</v>
      </c>
      <c r="AA132">
        <f>(AA31-AA99)^2</f>
        <v>1.242525494733651</v>
      </c>
      <c r="AB132">
        <f>(AB31-AB99)^2</f>
        <v>0.3011247469448145</v>
      </c>
      <c r="AC132">
        <f>(AC31-AC99)^2</f>
        <v>0.67533591141191296</v>
      </c>
      <c r="AD132">
        <f>(AD31-AD99)^2</f>
        <v>0</v>
      </c>
      <c r="AE132">
        <f>(AE31-AE99)^2</f>
        <v>0.7658122409273902</v>
      </c>
    </row>
    <row r="133" spans="1:31" x14ac:dyDescent="0.25">
      <c r="A133" t="s">
        <v>25</v>
      </c>
      <c r="B133">
        <f>(B32-B100)^2</f>
        <v>2.1978285181156479E-2</v>
      </c>
      <c r="C133">
        <f>(C32-C100)^2</f>
        <v>0.21835179007309696</v>
      </c>
      <c r="D133">
        <f>(D32-D100)^2</f>
        <v>0.10018159627647795</v>
      </c>
      <c r="E133">
        <f>(E32-E100)^2</f>
        <v>0.28962859535967178</v>
      </c>
      <c r="F133">
        <f>(F32-F100)^2</f>
        <v>7.3742438083421305E-2</v>
      </c>
      <c r="G133">
        <f>(G32-G100)^2</f>
        <v>0.26327600746748231</v>
      </c>
      <c r="H133">
        <f>(H32-H100)^2</f>
        <v>0.68290808578229178</v>
      </c>
      <c r="I133">
        <f>(I32-I100)^2</f>
        <v>0.42550138675242782</v>
      </c>
      <c r="J133">
        <f>(J32-J100)^2</f>
        <v>4.7117198070982194E-4</v>
      </c>
      <c r="K133">
        <f>(K32-K100)^2</f>
        <v>0.10965803319567129</v>
      </c>
      <c r="L133">
        <f>(L32-L100)^2</f>
        <v>0.10814893773923215</v>
      </c>
      <c r="M133">
        <f>(M32-M100)^2</f>
        <v>7.1779877695765132E-2</v>
      </c>
      <c r="N133">
        <f>(N32-N100)^2</f>
        <v>0.14100523578212176</v>
      </c>
      <c r="O133">
        <f>(O32-O100)^2</f>
        <v>0.14196941754332912</v>
      </c>
      <c r="P133">
        <f>(P32-P100)^2</f>
        <v>1.8619664757572787</v>
      </c>
      <c r="Q133">
        <f>(Q32-Q100)^2</f>
        <v>0.37185165635589917</v>
      </c>
      <c r="R133">
        <f>(R32-R100)^2</f>
        <v>0.14630814503719936</v>
      </c>
      <c r="S133">
        <f>(S32-S100)^2</f>
        <v>0.51132173033407169</v>
      </c>
      <c r="T133">
        <f>(T32-T100)^2</f>
        <v>1.1930138333253857</v>
      </c>
      <c r="U133">
        <f>(U32-U100)^2</f>
        <v>0.38782817399447317</v>
      </c>
      <c r="V133">
        <f>(V32-V100)^2</f>
        <v>0.98982078432660536</v>
      </c>
      <c r="W133">
        <f>(W32-W100)^2</f>
        <v>0.91750776294951308</v>
      </c>
      <c r="X133">
        <f>(X32-X100)^2</f>
        <v>0.10548305340443559</v>
      </c>
      <c r="Y133">
        <f>(Y32-Y100)^2</f>
        <v>1.3344678205865834</v>
      </c>
      <c r="Z133">
        <f>(Z32-Z100)^2</f>
        <v>5.019084376158104E-2</v>
      </c>
      <c r="AA133">
        <f>(AA32-AA100)^2</f>
        <v>9.0159327165338504E-2</v>
      </c>
      <c r="AB133">
        <f>(AB32-AB100)^2</f>
        <v>0.11622115702731473</v>
      </c>
      <c r="AC133">
        <f>(AC32-AC100)^2</f>
        <v>2.0112947849727552</v>
      </c>
      <c r="AD133">
        <f>(AD32-AD100)^2</f>
        <v>0.76581224092739042</v>
      </c>
      <c r="AE133">
        <f>(AE32-AE100)^2</f>
        <v>0</v>
      </c>
    </row>
    <row r="135" spans="1:31" x14ac:dyDescent="0.25">
      <c r="A135" t="s">
        <v>90</v>
      </c>
    </row>
    <row r="136" spans="1:31" x14ac:dyDescent="0.25">
      <c r="A136">
        <f>SUM(B103:AE133)</f>
        <v>391.52879264640603</v>
      </c>
    </row>
    <row r="138" spans="1:31" x14ac:dyDescent="0.25">
      <c r="A138" t="s">
        <v>91</v>
      </c>
    </row>
    <row r="139" spans="1:31" x14ac:dyDescent="0.25">
      <c r="A139" t="s">
        <v>78</v>
      </c>
      <c r="B139" t="s">
        <v>83</v>
      </c>
      <c r="C139" t="s">
        <v>81</v>
      </c>
    </row>
    <row r="140" spans="1:31" x14ac:dyDescent="0.25">
      <c r="B140" t="s">
        <v>82</v>
      </c>
      <c r="C140" t="s">
        <v>98</v>
      </c>
    </row>
    <row r="141" spans="1:31" x14ac:dyDescent="0.25">
      <c r="B141" t="s">
        <v>84</v>
      </c>
      <c r="C141" t="s">
        <v>96</v>
      </c>
    </row>
    <row r="142" spans="1:31" x14ac:dyDescent="0.25">
      <c r="A142" t="s">
        <v>92</v>
      </c>
    </row>
    <row r="143" spans="1:31" x14ac:dyDescent="0.25">
      <c r="B143" t="s">
        <v>83</v>
      </c>
      <c r="C143" t="s">
        <v>94</v>
      </c>
    </row>
    <row r="144" spans="1:31" x14ac:dyDescent="0.25">
      <c r="B144" t="s">
        <v>82</v>
      </c>
      <c r="C144" t="s">
        <v>95</v>
      </c>
    </row>
    <row r="145" spans="1:3" x14ac:dyDescent="0.25">
      <c r="B145" t="s">
        <v>84</v>
      </c>
      <c r="C145" t="s">
        <v>97</v>
      </c>
    </row>
    <row r="146" spans="1:3" x14ac:dyDescent="0.25">
      <c r="B146" t="s">
        <v>93</v>
      </c>
      <c r="C146" t="s">
        <v>26</v>
      </c>
    </row>
    <row r="147" spans="1:3" x14ac:dyDescent="0.25">
      <c r="B147" t="s">
        <v>99</v>
      </c>
      <c r="C147" t="s">
        <v>100</v>
      </c>
    </row>
    <row r="148" spans="1:3" x14ac:dyDescent="0.25">
      <c r="A148" t="s">
        <v>101</v>
      </c>
      <c r="B148" t="s">
        <v>102</v>
      </c>
    </row>
    <row r="149" spans="1:3" x14ac:dyDescent="0.25">
      <c r="A149" t="s">
        <v>103</v>
      </c>
      <c r="B149" t="s">
        <v>104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98"/>
  <sheetViews>
    <sheetView zoomScale="80" zoomScaleNormal="80" workbookViewId="0">
      <selection activeCell="AI2" sqref="AI2"/>
    </sheetView>
  </sheetViews>
  <sheetFormatPr defaultRowHeight="15" x14ac:dyDescent="0.25"/>
  <cols>
    <col min="2" max="31" width="4.7109375" customWidth="1"/>
  </cols>
  <sheetData>
    <row r="1" spans="1:35" x14ac:dyDescent="0.25">
      <c r="A1" t="s">
        <v>3</v>
      </c>
      <c r="B1" t="s">
        <v>26</v>
      </c>
      <c r="C1" t="s">
        <v>23</v>
      </c>
      <c r="D1" t="s">
        <v>22</v>
      </c>
      <c r="E1" t="s">
        <v>18</v>
      </c>
      <c r="F1" t="s">
        <v>30</v>
      </c>
      <c r="G1" t="s">
        <v>40</v>
      </c>
      <c r="H1" t="s">
        <v>14</v>
      </c>
      <c r="I1" t="s">
        <v>32</v>
      </c>
      <c r="J1" t="s">
        <v>33</v>
      </c>
      <c r="K1" t="s">
        <v>36</v>
      </c>
      <c r="L1" t="s">
        <v>16</v>
      </c>
      <c r="M1" t="s">
        <v>20</v>
      </c>
      <c r="N1" t="s">
        <v>41</v>
      </c>
      <c r="O1" t="s">
        <v>17</v>
      </c>
      <c r="P1" t="s">
        <v>28</v>
      </c>
      <c r="Q1" t="s">
        <v>24</v>
      </c>
      <c r="R1" t="s">
        <v>19</v>
      </c>
      <c r="S1" t="s">
        <v>29</v>
      </c>
      <c r="T1" t="s">
        <v>12</v>
      </c>
      <c r="U1" t="s">
        <v>31</v>
      </c>
      <c r="V1" t="s">
        <v>38</v>
      </c>
      <c r="W1" t="s">
        <v>13</v>
      </c>
      <c r="X1" t="s">
        <v>21</v>
      </c>
      <c r="Y1" t="s">
        <v>35</v>
      </c>
      <c r="Z1" t="s">
        <v>39</v>
      </c>
      <c r="AA1" t="s">
        <v>15</v>
      </c>
      <c r="AB1" t="s">
        <v>37</v>
      </c>
      <c r="AC1" t="s">
        <v>27</v>
      </c>
      <c r="AD1" t="s">
        <v>34</v>
      </c>
      <c r="AE1" t="s">
        <v>25</v>
      </c>
    </row>
    <row r="2" spans="1:35" x14ac:dyDescent="0.25">
      <c r="A2" t="s">
        <v>26</v>
      </c>
      <c r="B2">
        <f>IFERROR((SUMIFS(d_rs_sched!$J:$J,d_rs_sched!$D:$D,$A2,d_rs_sched!$I:$I,$A2,d_rs_sched!$K:$K,B$1)+SUMIFS(d_rs_sched!$L:$L,d_rs_sched!$D:$D,$A2,d_rs_sched!$K:$K,$A2,d_rs_sched!$I:$I,B$1))-(SUMIFS(d_rs_sched!$L:$L,d_rs_sched!$D:$D,$A2,d_rs_sched!$I:$I,$A2,d_rs_sched!$K:$K,B$1)+SUMIFS(d_rs_sched!$J:$J,d_rs_sched!$D:$D,$A2,d_rs_sched!$K:$K,$A2,d_rs_sched!$I:$I,B$1)),0)/IFERROR(IF((COUNTIFS(d_rs_sched!$D:$D,$A2,d_rs_sched!$I:$I,$A2,d_rs_sched!$K:$K,B$1)+COUNTIFS(d_rs_sched!$D:$D,$A2,d_rs_sched!$I:$I,B$1,d_rs_sched!$K:$K,$A2))&gt;0,(COUNTIFS(d_rs_sched!$D:$D,$A2,d_rs_sched!$I:$I,$A2,d_rs_sched!$K:$K,B$1)+COUNTIFS(d_rs_sched!$D:$D,$A2,d_rs_sched!$I:$I,B$1,d_rs_sched!$K:$K,$A2)),1),1)</f>
        <v>0</v>
      </c>
      <c r="C2">
        <f>IFERROR((SUMIFS(d_rs_sched!$J:$J,d_rs_sched!$D:$D,$A2,d_rs_sched!$I:$I,$A2,d_rs_sched!$K:$K,C$1)+SUMIFS(d_rs_sched!$L:$L,d_rs_sched!$D:$D,$A2,d_rs_sched!$K:$K,$A2,d_rs_sched!$I:$I,C$1))-(SUMIFS(d_rs_sched!$L:$L,d_rs_sched!$D:$D,$A2,d_rs_sched!$I:$I,$A2,d_rs_sched!$K:$K,C$1)+SUMIFS(d_rs_sched!$J:$J,d_rs_sched!$D:$D,$A2,d_rs_sched!$K:$K,$A2,d_rs_sched!$I:$I,C$1)),0)/IFERROR(IF((COUNTIFS(d_rs_sched!$D:$D,$A2,d_rs_sched!$I:$I,$A2,d_rs_sched!$K:$K,C$1)+COUNTIFS(d_rs_sched!$D:$D,$A2,d_rs_sched!$I:$I,C$1,d_rs_sched!$K:$K,$A2))&gt;0,(COUNTIFS(d_rs_sched!$D:$D,$A2,d_rs_sched!$I:$I,$A2,d_rs_sched!$K:$K,C$1)+COUNTIFS(d_rs_sched!$D:$D,$A2,d_rs_sched!$I:$I,C$1,d_rs_sched!$K:$K,$A2)),1),1)</f>
        <v>17.25</v>
      </c>
      <c r="D2">
        <f>IFERROR((SUMIFS(d_rs_sched!$J:$J,d_rs_sched!$D:$D,$A2,d_rs_sched!$I:$I,$A2,d_rs_sched!$K:$K,D$1)+SUMIFS(d_rs_sched!$L:$L,d_rs_sched!$D:$D,$A2,d_rs_sched!$K:$K,$A2,d_rs_sched!$I:$I,D$1))-(SUMIFS(d_rs_sched!$L:$L,d_rs_sched!$D:$D,$A2,d_rs_sched!$I:$I,$A2,d_rs_sched!$K:$K,D$1)+SUMIFS(d_rs_sched!$J:$J,d_rs_sched!$D:$D,$A2,d_rs_sched!$K:$K,$A2,d_rs_sched!$I:$I,D$1)),0)/IFERROR(IF((COUNTIFS(d_rs_sched!$D:$D,$A2,d_rs_sched!$I:$I,$A2,d_rs_sched!$K:$K,D$1)+COUNTIFS(d_rs_sched!$D:$D,$A2,d_rs_sched!$I:$I,D$1,d_rs_sched!$K:$K,$A2))&gt;0,(COUNTIFS(d_rs_sched!$D:$D,$A2,d_rs_sched!$I:$I,$A2,d_rs_sched!$K:$K,D$1)+COUNTIFS(d_rs_sched!$D:$D,$A2,d_rs_sched!$I:$I,D$1,d_rs_sched!$K:$K,$A2)),1),1)</f>
        <v>5.666666666666667</v>
      </c>
      <c r="E2">
        <f>IFERROR((SUMIFS(d_rs_sched!$J:$J,d_rs_sched!$D:$D,$A2,d_rs_sched!$I:$I,$A2,d_rs_sched!$K:$K,E$1)+SUMIFS(d_rs_sched!$L:$L,d_rs_sched!$D:$D,$A2,d_rs_sched!$K:$K,$A2,d_rs_sched!$I:$I,E$1))-(SUMIFS(d_rs_sched!$L:$L,d_rs_sched!$D:$D,$A2,d_rs_sched!$I:$I,$A2,d_rs_sched!$K:$K,E$1)+SUMIFS(d_rs_sched!$J:$J,d_rs_sched!$D:$D,$A2,d_rs_sched!$K:$K,$A2,d_rs_sched!$I:$I,E$1)),0)/IFERROR(IF((COUNTIFS(d_rs_sched!$D:$D,$A2,d_rs_sched!$I:$I,$A2,d_rs_sched!$K:$K,E$1)+COUNTIFS(d_rs_sched!$D:$D,$A2,d_rs_sched!$I:$I,E$1,d_rs_sched!$K:$K,$A2))&gt;0,(COUNTIFS(d_rs_sched!$D:$D,$A2,d_rs_sched!$I:$I,$A2,d_rs_sched!$K:$K,E$1)+COUNTIFS(d_rs_sched!$D:$D,$A2,d_rs_sched!$I:$I,E$1,d_rs_sched!$K:$K,$A2)),1),1)</f>
        <v>9</v>
      </c>
      <c r="F2">
        <f>IFERROR((SUMIFS(d_rs_sched!$J:$J,d_rs_sched!$D:$D,$A2,d_rs_sched!$I:$I,$A2,d_rs_sched!$K:$K,F$1)+SUMIFS(d_rs_sched!$L:$L,d_rs_sched!$D:$D,$A2,d_rs_sched!$K:$K,$A2,d_rs_sched!$I:$I,F$1))-(SUMIFS(d_rs_sched!$L:$L,d_rs_sched!$D:$D,$A2,d_rs_sched!$I:$I,$A2,d_rs_sched!$K:$K,F$1)+SUMIFS(d_rs_sched!$J:$J,d_rs_sched!$D:$D,$A2,d_rs_sched!$K:$K,$A2,d_rs_sched!$I:$I,F$1)),0)/IFERROR(IF((COUNTIFS(d_rs_sched!$D:$D,$A2,d_rs_sched!$I:$I,$A2,d_rs_sched!$K:$K,F$1)+COUNTIFS(d_rs_sched!$D:$D,$A2,d_rs_sched!$I:$I,F$1,d_rs_sched!$K:$K,$A2))&gt;0,(COUNTIFS(d_rs_sched!$D:$D,$A2,d_rs_sched!$I:$I,$A2,d_rs_sched!$K:$K,F$1)+COUNTIFS(d_rs_sched!$D:$D,$A2,d_rs_sched!$I:$I,F$1,d_rs_sched!$K:$K,$A2)),1),1)</f>
        <v>3</v>
      </c>
      <c r="G2">
        <f>IFERROR((SUMIFS(d_rs_sched!$J:$J,d_rs_sched!$D:$D,$A2,d_rs_sched!$I:$I,$A2,d_rs_sched!$K:$K,G$1)+SUMIFS(d_rs_sched!$L:$L,d_rs_sched!$D:$D,$A2,d_rs_sched!$K:$K,$A2,d_rs_sched!$I:$I,G$1))-(SUMIFS(d_rs_sched!$L:$L,d_rs_sched!$D:$D,$A2,d_rs_sched!$I:$I,$A2,d_rs_sched!$K:$K,G$1)+SUMIFS(d_rs_sched!$J:$J,d_rs_sched!$D:$D,$A2,d_rs_sched!$K:$K,$A2,d_rs_sched!$I:$I,G$1)),0)/IFERROR(IF((COUNTIFS(d_rs_sched!$D:$D,$A2,d_rs_sched!$I:$I,$A2,d_rs_sched!$K:$K,G$1)+COUNTIFS(d_rs_sched!$D:$D,$A2,d_rs_sched!$I:$I,G$1,d_rs_sched!$K:$K,$A2))&gt;0,(COUNTIFS(d_rs_sched!$D:$D,$A2,d_rs_sched!$I:$I,$A2,d_rs_sched!$K:$K,G$1)+COUNTIFS(d_rs_sched!$D:$D,$A2,d_rs_sched!$I:$I,G$1,d_rs_sched!$K:$K,$A2)),1),1)</f>
        <v>3.25</v>
      </c>
      <c r="H2">
        <f>IFERROR((SUMIFS(d_rs_sched!$J:$J,d_rs_sched!$D:$D,$A2,d_rs_sched!$I:$I,$A2,d_rs_sched!$K:$K,H$1)+SUMIFS(d_rs_sched!$L:$L,d_rs_sched!$D:$D,$A2,d_rs_sched!$K:$K,$A2,d_rs_sched!$I:$I,H$1))-(SUMIFS(d_rs_sched!$L:$L,d_rs_sched!$D:$D,$A2,d_rs_sched!$I:$I,$A2,d_rs_sched!$K:$K,H$1)+SUMIFS(d_rs_sched!$J:$J,d_rs_sched!$D:$D,$A2,d_rs_sched!$K:$K,$A2,d_rs_sched!$I:$I,H$1)),0)/IFERROR(IF((COUNTIFS(d_rs_sched!$D:$D,$A2,d_rs_sched!$I:$I,$A2,d_rs_sched!$K:$K,H$1)+COUNTIFS(d_rs_sched!$D:$D,$A2,d_rs_sched!$I:$I,H$1,d_rs_sched!$K:$K,$A2))&gt;0,(COUNTIFS(d_rs_sched!$D:$D,$A2,d_rs_sched!$I:$I,$A2,d_rs_sched!$K:$K,H$1)+COUNTIFS(d_rs_sched!$D:$D,$A2,d_rs_sched!$I:$I,H$1,d_rs_sched!$K:$K,$A2)),1),1)</f>
        <v>10</v>
      </c>
      <c r="I2">
        <f>IFERROR((SUMIFS(d_rs_sched!$J:$J,d_rs_sched!$D:$D,$A2,d_rs_sched!$I:$I,$A2,d_rs_sched!$K:$K,I$1)+SUMIFS(d_rs_sched!$L:$L,d_rs_sched!$D:$D,$A2,d_rs_sched!$K:$K,$A2,d_rs_sched!$I:$I,I$1))-(SUMIFS(d_rs_sched!$L:$L,d_rs_sched!$D:$D,$A2,d_rs_sched!$I:$I,$A2,d_rs_sched!$K:$K,I$1)+SUMIFS(d_rs_sched!$J:$J,d_rs_sched!$D:$D,$A2,d_rs_sched!$K:$K,$A2,d_rs_sched!$I:$I,I$1)),0)/IFERROR(IF((COUNTIFS(d_rs_sched!$D:$D,$A2,d_rs_sched!$I:$I,$A2,d_rs_sched!$K:$K,I$1)+COUNTIFS(d_rs_sched!$D:$D,$A2,d_rs_sched!$I:$I,I$1,d_rs_sched!$K:$K,$A2))&gt;0,(COUNTIFS(d_rs_sched!$D:$D,$A2,d_rs_sched!$I:$I,$A2,d_rs_sched!$K:$K,I$1)+COUNTIFS(d_rs_sched!$D:$D,$A2,d_rs_sched!$I:$I,I$1,d_rs_sched!$K:$K,$A2)),1),1)</f>
        <v>-0.5</v>
      </c>
      <c r="J2">
        <f>IFERROR((SUMIFS(d_rs_sched!$J:$J,d_rs_sched!$D:$D,$A2,d_rs_sched!$I:$I,$A2,d_rs_sched!$K:$K,J$1)+SUMIFS(d_rs_sched!$L:$L,d_rs_sched!$D:$D,$A2,d_rs_sched!$K:$K,$A2,d_rs_sched!$I:$I,J$1))-(SUMIFS(d_rs_sched!$L:$L,d_rs_sched!$D:$D,$A2,d_rs_sched!$I:$I,$A2,d_rs_sched!$K:$K,J$1)+SUMIFS(d_rs_sched!$J:$J,d_rs_sched!$D:$D,$A2,d_rs_sched!$K:$K,$A2,d_rs_sched!$I:$I,J$1)),0)/IFERROR(IF((COUNTIFS(d_rs_sched!$D:$D,$A2,d_rs_sched!$I:$I,$A2,d_rs_sched!$K:$K,J$1)+COUNTIFS(d_rs_sched!$D:$D,$A2,d_rs_sched!$I:$I,J$1,d_rs_sched!$K:$K,$A2))&gt;0,(COUNTIFS(d_rs_sched!$D:$D,$A2,d_rs_sched!$I:$I,$A2,d_rs_sched!$K:$K,J$1)+COUNTIFS(d_rs_sched!$D:$D,$A2,d_rs_sched!$I:$I,J$1,d_rs_sched!$K:$K,$A2)),1),1)</f>
        <v>3.5</v>
      </c>
      <c r="K2">
        <f>IFERROR((SUMIFS(d_rs_sched!$J:$J,d_rs_sched!$D:$D,$A2,d_rs_sched!$I:$I,$A2,d_rs_sched!$K:$K,K$1)+SUMIFS(d_rs_sched!$L:$L,d_rs_sched!$D:$D,$A2,d_rs_sched!$K:$K,$A2,d_rs_sched!$I:$I,K$1))-(SUMIFS(d_rs_sched!$L:$L,d_rs_sched!$D:$D,$A2,d_rs_sched!$I:$I,$A2,d_rs_sched!$K:$K,K$1)+SUMIFS(d_rs_sched!$J:$J,d_rs_sched!$D:$D,$A2,d_rs_sched!$K:$K,$A2,d_rs_sched!$I:$I,K$1)),0)/IFERROR(IF((COUNTIFS(d_rs_sched!$D:$D,$A2,d_rs_sched!$I:$I,$A2,d_rs_sched!$K:$K,K$1)+COUNTIFS(d_rs_sched!$D:$D,$A2,d_rs_sched!$I:$I,K$1,d_rs_sched!$K:$K,$A2))&gt;0,(COUNTIFS(d_rs_sched!$D:$D,$A2,d_rs_sched!$I:$I,$A2,d_rs_sched!$K:$K,K$1)+COUNTIFS(d_rs_sched!$D:$D,$A2,d_rs_sched!$I:$I,K$1,d_rs_sched!$K:$K,$A2)),1),1)</f>
        <v>-5.5</v>
      </c>
      <c r="L2">
        <f>IFERROR((SUMIFS(d_rs_sched!$J:$J,d_rs_sched!$D:$D,$A2,d_rs_sched!$I:$I,$A2,d_rs_sched!$K:$K,L$1)+SUMIFS(d_rs_sched!$L:$L,d_rs_sched!$D:$D,$A2,d_rs_sched!$K:$K,$A2,d_rs_sched!$I:$I,L$1))-(SUMIFS(d_rs_sched!$L:$L,d_rs_sched!$D:$D,$A2,d_rs_sched!$I:$I,$A2,d_rs_sched!$K:$K,L$1)+SUMIFS(d_rs_sched!$J:$J,d_rs_sched!$D:$D,$A2,d_rs_sched!$K:$K,$A2,d_rs_sched!$I:$I,L$1)),0)/IFERROR(IF((COUNTIFS(d_rs_sched!$D:$D,$A2,d_rs_sched!$I:$I,$A2,d_rs_sched!$K:$K,L$1)+COUNTIFS(d_rs_sched!$D:$D,$A2,d_rs_sched!$I:$I,L$1,d_rs_sched!$K:$K,$A2))&gt;0,(COUNTIFS(d_rs_sched!$D:$D,$A2,d_rs_sched!$I:$I,$A2,d_rs_sched!$K:$K,L$1)+COUNTIFS(d_rs_sched!$D:$D,$A2,d_rs_sched!$I:$I,L$1,d_rs_sched!$K:$K,$A2)),1),1)</f>
        <v>7.5</v>
      </c>
      <c r="M2">
        <f>IFERROR((SUMIFS(d_rs_sched!$J:$J,d_rs_sched!$D:$D,$A2,d_rs_sched!$I:$I,$A2,d_rs_sched!$K:$K,M$1)+SUMIFS(d_rs_sched!$L:$L,d_rs_sched!$D:$D,$A2,d_rs_sched!$K:$K,$A2,d_rs_sched!$I:$I,M$1))-(SUMIFS(d_rs_sched!$L:$L,d_rs_sched!$D:$D,$A2,d_rs_sched!$I:$I,$A2,d_rs_sched!$K:$K,M$1)+SUMIFS(d_rs_sched!$J:$J,d_rs_sched!$D:$D,$A2,d_rs_sched!$K:$K,$A2,d_rs_sched!$I:$I,M$1)),0)/IFERROR(IF((COUNTIFS(d_rs_sched!$D:$D,$A2,d_rs_sched!$I:$I,$A2,d_rs_sched!$K:$K,M$1)+COUNTIFS(d_rs_sched!$D:$D,$A2,d_rs_sched!$I:$I,M$1,d_rs_sched!$K:$K,$A2))&gt;0,(COUNTIFS(d_rs_sched!$D:$D,$A2,d_rs_sched!$I:$I,$A2,d_rs_sched!$K:$K,M$1)+COUNTIFS(d_rs_sched!$D:$D,$A2,d_rs_sched!$I:$I,M$1,d_rs_sched!$K:$K,$A2)),1),1)</f>
        <v>15</v>
      </c>
      <c r="N2">
        <f>IFERROR((SUMIFS(d_rs_sched!$J:$J,d_rs_sched!$D:$D,$A2,d_rs_sched!$I:$I,$A2,d_rs_sched!$K:$K,N$1)+SUMIFS(d_rs_sched!$L:$L,d_rs_sched!$D:$D,$A2,d_rs_sched!$K:$K,$A2,d_rs_sched!$I:$I,N$1))-(SUMIFS(d_rs_sched!$L:$L,d_rs_sched!$D:$D,$A2,d_rs_sched!$I:$I,$A2,d_rs_sched!$K:$K,N$1)+SUMIFS(d_rs_sched!$J:$J,d_rs_sched!$D:$D,$A2,d_rs_sched!$K:$K,$A2,d_rs_sched!$I:$I,N$1)),0)/IFERROR(IF((COUNTIFS(d_rs_sched!$D:$D,$A2,d_rs_sched!$I:$I,$A2,d_rs_sched!$K:$K,N$1)+COUNTIFS(d_rs_sched!$D:$D,$A2,d_rs_sched!$I:$I,N$1,d_rs_sched!$K:$K,$A2))&gt;0,(COUNTIFS(d_rs_sched!$D:$D,$A2,d_rs_sched!$I:$I,$A2,d_rs_sched!$K:$K,N$1)+COUNTIFS(d_rs_sched!$D:$D,$A2,d_rs_sched!$I:$I,N$1,d_rs_sched!$K:$K,$A2)),1),1)</f>
        <v>6</v>
      </c>
      <c r="O2">
        <f>IFERROR((SUMIFS(d_rs_sched!$J:$J,d_rs_sched!$D:$D,$A2,d_rs_sched!$I:$I,$A2,d_rs_sched!$K:$K,O$1)+SUMIFS(d_rs_sched!$L:$L,d_rs_sched!$D:$D,$A2,d_rs_sched!$K:$K,$A2,d_rs_sched!$I:$I,O$1))-(SUMIFS(d_rs_sched!$L:$L,d_rs_sched!$D:$D,$A2,d_rs_sched!$I:$I,$A2,d_rs_sched!$K:$K,O$1)+SUMIFS(d_rs_sched!$J:$J,d_rs_sched!$D:$D,$A2,d_rs_sched!$K:$K,$A2,d_rs_sched!$I:$I,O$1)),0)/IFERROR(IF((COUNTIFS(d_rs_sched!$D:$D,$A2,d_rs_sched!$I:$I,$A2,d_rs_sched!$K:$K,O$1)+COUNTIFS(d_rs_sched!$D:$D,$A2,d_rs_sched!$I:$I,O$1,d_rs_sched!$K:$K,$A2))&gt;0,(COUNTIFS(d_rs_sched!$D:$D,$A2,d_rs_sched!$I:$I,$A2,d_rs_sched!$K:$K,O$1)+COUNTIFS(d_rs_sched!$D:$D,$A2,d_rs_sched!$I:$I,O$1,d_rs_sched!$K:$K,$A2)),1),1)</f>
        <v>0</v>
      </c>
      <c r="P2">
        <f>IFERROR((SUMIFS(d_rs_sched!$J:$J,d_rs_sched!$D:$D,$A2,d_rs_sched!$I:$I,$A2,d_rs_sched!$K:$K,P$1)+SUMIFS(d_rs_sched!$L:$L,d_rs_sched!$D:$D,$A2,d_rs_sched!$K:$K,$A2,d_rs_sched!$I:$I,P$1))-(SUMIFS(d_rs_sched!$L:$L,d_rs_sched!$D:$D,$A2,d_rs_sched!$I:$I,$A2,d_rs_sched!$K:$K,P$1)+SUMIFS(d_rs_sched!$J:$J,d_rs_sched!$D:$D,$A2,d_rs_sched!$K:$K,$A2,d_rs_sched!$I:$I,P$1)),0)/IFERROR(IF((COUNTIFS(d_rs_sched!$D:$D,$A2,d_rs_sched!$I:$I,$A2,d_rs_sched!$K:$K,P$1)+COUNTIFS(d_rs_sched!$D:$D,$A2,d_rs_sched!$I:$I,P$1,d_rs_sched!$K:$K,$A2))&gt;0,(COUNTIFS(d_rs_sched!$D:$D,$A2,d_rs_sched!$I:$I,$A2,d_rs_sched!$K:$K,P$1)+COUNTIFS(d_rs_sched!$D:$D,$A2,d_rs_sched!$I:$I,P$1,d_rs_sched!$K:$K,$A2)),1),1)</f>
        <v>2</v>
      </c>
      <c r="Q2">
        <f>IFERROR((SUMIFS(d_rs_sched!$J:$J,d_rs_sched!$D:$D,$A2,d_rs_sched!$I:$I,$A2,d_rs_sched!$K:$K,Q$1)+SUMIFS(d_rs_sched!$L:$L,d_rs_sched!$D:$D,$A2,d_rs_sched!$K:$K,$A2,d_rs_sched!$I:$I,Q$1))-(SUMIFS(d_rs_sched!$L:$L,d_rs_sched!$D:$D,$A2,d_rs_sched!$I:$I,$A2,d_rs_sched!$K:$K,Q$1)+SUMIFS(d_rs_sched!$J:$J,d_rs_sched!$D:$D,$A2,d_rs_sched!$K:$K,$A2,d_rs_sched!$I:$I,Q$1)),0)/IFERROR(IF((COUNTIFS(d_rs_sched!$D:$D,$A2,d_rs_sched!$I:$I,$A2,d_rs_sched!$K:$K,Q$1)+COUNTIFS(d_rs_sched!$D:$D,$A2,d_rs_sched!$I:$I,Q$1,d_rs_sched!$K:$K,$A2))&gt;0,(COUNTIFS(d_rs_sched!$D:$D,$A2,d_rs_sched!$I:$I,$A2,d_rs_sched!$K:$K,Q$1)+COUNTIFS(d_rs_sched!$D:$D,$A2,d_rs_sched!$I:$I,Q$1,d_rs_sched!$K:$K,$A2)),1),1)</f>
        <v>9</v>
      </c>
      <c r="R2">
        <f>IFERROR((SUMIFS(d_rs_sched!$J:$J,d_rs_sched!$D:$D,$A2,d_rs_sched!$I:$I,$A2,d_rs_sched!$K:$K,R$1)+SUMIFS(d_rs_sched!$L:$L,d_rs_sched!$D:$D,$A2,d_rs_sched!$K:$K,$A2,d_rs_sched!$I:$I,R$1))-(SUMIFS(d_rs_sched!$L:$L,d_rs_sched!$D:$D,$A2,d_rs_sched!$I:$I,$A2,d_rs_sched!$K:$K,R$1)+SUMIFS(d_rs_sched!$J:$J,d_rs_sched!$D:$D,$A2,d_rs_sched!$K:$K,$A2,d_rs_sched!$I:$I,R$1)),0)/IFERROR(IF((COUNTIFS(d_rs_sched!$D:$D,$A2,d_rs_sched!$I:$I,$A2,d_rs_sched!$K:$K,R$1)+COUNTIFS(d_rs_sched!$D:$D,$A2,d_rs_sched!$I:$I,R$1,d_rs_sched!$K:$K,$A2))&gt;0,(COUNTIFS(d_rs_sched!$D:$D,$A2,d_rs_sched!$I:$I,$A2,d_rs_sched!$K:$K,R$1)+COUNTIFS(d_rs_sched!$D:$D,$A2,d_rs_sched!$I:$I,R$1,d_rs_sched!$K:$K,$A2)),1),1)</f>
        <v>-0.25</v>
      </c>
      <c r="S2">
        <f>IFERROR((SUMIFS(d_rs_sched!$J:$J,d_rs_sched!$D:$D,$A2,d_rs_sched!$I:$I,$A2,d_rs_sched!$K:$K,S$1)+SUMIFS(d_rs_sched!$L:$L,d_rs_sched!$D:$D,$A2,d_rs_sched!$K:$K,$A2,d_rs_sched!$I:$I,S$1))-(SUMIFS(d_rs_sched!$L:$L,d_rs_sched!$D:$D,$A2,d_rs_sched!$I:$I,$A2,d_rs_sched!$K:$K,S$1)+SUMIFS(d_rs_sched!$J:$J,d_rs_sched!$D:$D,$A2,d_rs_sched!$K:$K,$A2,d_rs_sched!$I:$I,S$1)),0)/IFERROR(IF((COUNTIFS(d_rs_sched!$D:$D,$A2,d_rs_sched!$I:$I,$A2,d_rs_sched!$K:$K,S$1)+COUNTIFS(d_rs_sched!$D:$D,$A2,d_rs_sched!$I:$I,S$1,d_rs_sched!$K:$K,$A2))&gt;0,(COUNTIFS(d_rs_sched!$D:$D,$A2,d_rs_sched!$I:$I,$A2,d_rs_sched!$K:$K,S$1)+COUNTIFS(d_rs_sched!$D:$D,$A2,d_rs_sched!$I:$I,S$1,d_rs_sched!$K:$K,$A2)),1),1)</f>
        <v>12</v>
      </c>
      <c r="T2">
        <f>IFERROR((SUMIFS(d_rs_sched!$J:$J,d_rs_sched!$D:$D,$A2,d_rs_sched!$I:$I,$A2,d_rs_sched!$K:$K,T$1)+SUMIFS(d_rs_sched!$L:$L,d_rs_sched!$D:$D,$A2,d_rs_sched!$K:$K,$A2,d_rs_sched!$I:$I,T$1))-(SUMIFS(d_rs_sched!$L:$L,d_rs_sched!$D:$D,$A2,d_rs_sched!$I:$I,$A2,d_rs_sched!$K:$K,T$1)+SUMIFS(d_rs_sched!$J:$J,d_rs_sched!$D:$D,$A2,d_rs_sched!$K:$K,$A2,d_rs_sched!$I:$I,T$1)),0)/IFERROR(IF((COUNTIFS(d_rs_sched!$D:$D,$A2,d_rs_sched!$I:$I,$A2,d_rs_sched!$K:$K,T$1)+COUNTIFS(d_rs_sched!$D:$D,$A2,d_rs_sched!$I:$I,T$1,d_rs_sched!$K:$K,$A2))&gt;0,(COUNTIFS(d_rs_sched!$D:$D,$A2,d_rs_sched!$I:$I,$A2,d_rs_sched!$K:$K,T$1)+COUNTIFS(d_rs_sched!$D:$D,$A2,d_rs_sched!$I:$I,T$1,d_rs_sched!$K:$K,$A2)),1),1)</f>
        <v>-3</v>
      </c>
      <c r="U2">
        <f>IFERROR((SUMIFS(d_rs_sched!$J:$J,d_rs_sched!$D:$D,$A2,d_rs_sched!$I:$I,$A2,d_rs_sched!$K:$K,U$1)+SUMIFS(d_rs_sched!$L:$L,d_rs_sched!$D:$D,$A2,d_rs_sched!$K:$K,$A2,d_rs_sched!$I:$I,U$1))-(SUMIFS(d_rs_sched!$L:$L,d_rs_sched!$D:$D,$A2,d_rs_sched!$I:$I,$A2,d_rs_sched!$K:$K,U$1)+SUMIFS(d_rs_sched!$J:$J,d_rs_sched!$D:$D,$A2,d_rs_sched!$K:$K,$A2,d_rs_sched!$I:$I,U$1)),0)/IFERROR(IF((COUNTIFS(d_rs_sched!$D:$D,$A2,d_rs_sched!$I:$I,$A2,d_rs_sched!$K:$K,U$1)+COUNTIFS(d_rs_sched!$D:$D,$A2,d_rs_sched!$I:$I,U$1,d_rs_sched!$K:$K,$A2))&gt;0,(COUNTIFS(d_rs_sched!$D:$D,$A2,d_rs_sched!$I:$I,$A2,d_rs_sched!$K:$K,U$1)+COUNTIFS(d_rs_sched!$D:$D,$A2,d_rs_sched!$I:$I,U$1,d_rs_sched!$K:$K,$A2)),1),1)</f>
        <v>3</v>
      </c>
      <c r="V2">
        <f>IFERROR((SUMIFS(d_rs_sched!$J:$J,d_rs_sched!$D:$D,$A2,d_rs_sched!$I:$I,$A2,d_rs_sched!$K:$K,V$1)+SUMIFS(d_rs_sched!$L:$L,d_rs_sched!$D:$D,$A2,d_rs_sched!$K:$K,$A2,d_rs_sched!$I:$I,V$1))-(SUMIFS(d_rs_sched!$L:$L,d_rs_sched!$D:$D,$A2,d_rs_sched!$I:$I,$A2,d_rs_sched!$K:$K,V$1)+SUMIFS(d_rs_sched!$J:$J,d_rs_sched!$D:$D,$A2,d_rs_sched!$K:$K,$A2,d_rs_sched!$I:$I,V$1)),0)/IFERROR(IF((COUNTIFS(d_rs_sched!$D:$D,$A2,d_rs_sched!$I:$I,$A2,d_rs_sched!$K:$K,V$1)+COUNTIFS(d_rs_sched!$D:$D,$A2,d_rs_sched!$I:$I,V$1,d_rs_sched!$K:$K,$A2))&gt;0,(COUNTIFS(d_rs_sched!$D:$D,$A2,d_rs_sched!$I:$I,$A2,d_rs_sched!$K:$K,V$1)+COUNTIFS(d_rs_sched!$D:$D,$A2,d_rs_sched!$I:$I,V$1,d_rs_sched!$K:$K,$A2)),1),1)</f>
        <v>1</v>
      </c>
      <c r="W2">
        <f>IFERROR((SUMIFS(d_rs_sched!$J:$J,d_rs_sched!$D:$D,$A2,d_rs_sched!$I:$I,$A2,d_rs_sched!$K:$K,W$1)+SUMIFS(d_rs_sched!$L:$L,d_rs_sched!$D:$D,$A2,d_rs_sched!$K:$K,$A2,d_rs_sched!$I:$I,W$1))-(SUMIFS(d_rs_sched!$L:$L,d_rs_sched!$D:$D,$A2,d_rs_sched!$I:$I,$A2,d_rs_sched!$K:$K,W$1)+SUMIFS(d_rs_sched!$J:$J,d_rs_sched!$D:$D,$A2,d_rs_sched!$K:$K,$A2,d_rs_sched!$I:$I,W$1)),0)/IFERROR(IF((COUNTIFS(d_rs_sched!$D:$D,$A2,d_rs_sched!$I:$I,$A2,d_rs_sched!$K:$K,W$1)+COUNTIFS(d_rs_sched!$D:$D,$A2,d_rs_sched!$I:$I,W$1,d_rs_sched!$K:$K,$A2))&gt;0,(COUNTIFS(d_rs_sched!$D:$D,$A2,d_rs_sched!$I:$I,$A2,d_rs_sched!$K:$K,W$1)+COUNTIFS(d_rs_sched!$D:$D,$A2,d_rs_sched!$I:$I,W$1,d_rs_sched!$K:$K,$A2)),1),1)</f>
        <v>6</v>
      </c>
      <c r="X2">
        <f>IFERROR((SUMIFS(d_rs_sched!$J:$J,d_rs_sched!$D:$D,$A2,d_rs_sched!$I:$I,$A2,d_rs_sched!$K:$K,X$1)+SUMIFS(d_rs_sched!$L:$L,d_rs_sched!$D:$D,$A2,d_rs_sched!$K:$K,$A2,d_rs_sched!$I:$I,X$1))-(SUMIFS(d_rs_sched!$L:$L,d_rs_sched!$D:$D,$A2,d_rs_sched!$I:$I,$A2,d_rs_sched!$K:$K,X$1)+SUMIFS(d_rs_sched!$J:$J,d_rs_sched!$D:$D,$A2,d_rs_sched!$K:$K,$A2,d_rs_sched!$I:$I,X$1)),0)/IFERROR(IF((COUNTIFS(d_rs_sched!$D:$D,$A2,d_rs_sched!$I:$I,$A2,d_rs_sched!$K:$K,X$1)+COUNTIFS(d_rs_sched!$D:$D,$A2,d_rs_sched!$I:$I,X$1,d_rs_sched!$K:$K,$A2))&gt;0,(COUNTIFS(d_rs_sched!$D:$D,$A2,d_rs_sched!$I:$I,$A2,d_rs_sched!$K:$K,X$1)+COUNTIFS(d_rs_sched!$D:$D,$A2,d_rs_sched!$I:$I,X$1,d_rs_sched!$K:$K,$A2)),1),1)</f>
        <v>8</v>
      </c>
      <c r="Y2">
        <f>IFERROR((SUMIFS(d_rs_sched!$J:$J,d_rs_sched!$D:$D,$A2,d_rs_sched!$I:$I,$A2,d_rs_sched!$K:$K,Y$1)+SUMIFS(d_rs_sched!$L:$L,d_rs_sched!$D:$D,$A2,d_rs_sched!$K:$K,$A2,d_rs_sched!$I:$I,Y$1))-(SUMIFS(d_rs_sched!$L:$L,d_rs_sched!$D:$D,$A2,d_rs_sched!$I:$I,$A2,d_rs_sched!$K:$K,Y$1)+SUMIFS(d_rs_sched!$J:$J,d_rs_sched!$D:$D,$A2,d_rs_sched!$K:$K,$A2,d_rs_sched!$I:$I,Y$1)),0)/IFERROR(IF((COUNTIFS(d_rs_sched!$D:$D,$A2,d_rs_sched!$I:$I,$A2,d_rs_sched!$K:$K,Y$1)+COUNTIFS(d_rs_sched!$D:$D,$A2,d_rs_sched!$I:$I,Y$1,d_rs_sched!$K:$K,$A2))&gt;0,(COUNTIFS(d_rs_sched!$D:$D,$A2,d_rs_sched!$I:$I,$A2,d_rs_sched!$K:$K,Y$1)+COUNTIFS(d_rs_sched!$D:$D,$A2,d_rs_sched!$I:$I,Y$1,d_rs_sched!$K:$K,$A2)),1),1)</f>
        <v>18</v>
      </c>
      <c r="Z2">
        <f>IFERROR((SUMIFS(d_rs_sched!$J:$J,d_rs_sched!$D:$D,$A2,d_rs_sched!$I:$I,$A2,d_rs_sched!$K:$K,Z$1)+SUMIFS(d_rs_sched!$L:$L,d_rs_sched!$D:$D,$A2,d_rs_sched!$K:$K,$A2,d_rs_sched!$I:$I,Z$1))-(SUMIFS(d_rs_sched!$L:$L,d_rs_sched!$D:$D,$A2,d_rs_sched!$I:$I,$A2,d_rs_sched!$K:$K,Z$1)+SUMIFS(d_rs_sched!$J:$J,d_rs_sched!$D:$D,$A2,d_rs_sched!$K:$K,$A2,d_rs_sched!$I:$I,Z$1)),0)/IFERROR(IF((COUNTIFS(d_rs_sched!$D:$D,$A2,d_rs_sched!$I:$I,$A2,d_rs_sched!$K:$K,Z$1)+COUNTIFS(d_rs_sched!$D:$D,$A2,d_rs_sched!$I:$I,Z$1,d_rs_sched!$K:$K,$A2))&gt;0,(COUNTIFS(d_rs_sched!$D:$D,$A2,d_rs_sched!$I:$I,$A2,d_rs_sched!$K:$K,Z$1)+COUNTIFS(d_rs_sched!$D:$D,$A2,d_rs_sched!$I:$I,Z$1,d_rs_sched!$K:$K,$A2)),1),1)</f>
        <v>7</v>
      </c>
      <c r="AA2">
        <f>IFERROR((SUMIFS(d_rs_sched!$J:$J,d_rs_sched!$D:$D,$A2,d_rs_sched!$I:$I,$A2,d_rs_sched!$K:$K,AA$1)+SUMIFS(d_rs_sched!$L:$L,d_rs_sched!$D:$D,$A2,d_rs_sched!$K:$K,$A2,d_rs_sched!$I:$I,AA$1))-(SUMIFS(d_rs_sched!$L:$L,d_rs_sched!$D:$D,$A2,d_rs_sched!$I:$I,$A2,d_rs_sched!$K:$K,AA$1)+SUMIFS(d_rs_sched!$J:$J,d_rs_sched!$D:$D,$A2,d_rs_sched!$K:$K,$A2,d_rs_sched!$I:$I,AA$1)),0)/IFERROR(IF((COUNTIFS(d_rs_sched!$D:$D,$A2,d_rs_sched!$I:$I,$A2,d_rs_sched!$K:$K,AA$1)+COUNTIFS(d_rs_sched!$D:$D,$A2,d_rs_sched!$I:$I,AA$1,d_rs_sched!$K:$K,$A2))&gt;0,(COUNTIFS(d_rs_sched!$D:$D,$A2,d_rs_sched!$I:$I,$A2,d_rs_sched!$K:$K,AA$1)+COUNTIFS(d_rs_sched!$D:$D,$A2,d_rs_sched!$I:$I,AA$1,d_rs_sched!$K:$K,$A2)),1),1)</f>
        <v>-10.5</v>
      </c>
      <c r="AB2">
        <f>IFERROR((SUMIFS(d_rs_sched!$J:$J,d_rs_sched!$D:$D,$A2,d_rs_sched!$I:$I,$A2,d_rs_sched!$K:$K,AB$1)+SUMIFS(d_rs_sched!$L:$L,d_rs_sched!$D:$D,$A2,d_rs_sched!$K:$K,$A2,d_rs_sched!$I:$I,AB$1))-(SUMIFS(d_rs_sched!$L:$L,d_rs_sched!$D:$D,$A2,d_rs_sched!$I:$I,$A2,d_rs_sched!$K:$K,AB$1)+SUMIFS(d_rs_sched!$J:$J,d_rs_sched!$D:$D,$A2,d_rs_sched!$K:$K,$A2,d_rs_sched!$I:$I,AB$1)),0)/IFERROR(IF((COUNTIFS(d_rs_sched!$D:$D,$A2,d_rs_sched!$I:$I,$A2,d_rs_sched!$K:$K,AB$1)+COUNTIFS(d_rs_sched!$D:$D,$A2,d_rs_sched!$I:$I,AB$1,d_rs_sched!$K:$K,$A2))&gt;0,(COUNTIFS(d_rs_sched!$D:$D,$A2,d_rs_sched!$I:$I,$A2,d_rs_sched!$K:$K,AB$1)+COUNTIFS(d_rs_sched!$D:$D,$A2,d_rs_sched!$I:$I,AB$1,d_rs_sched!$K:$K,$A2)),1),1)</f>
        <v>16</v>
      </c>
      <c r="AC2">
        <f>IFERROR((SUMIFS(d_rs_sched!$J:$J,d_rs_sched!$D:$D,$A2,d_rs_sched!$I:$I,$A2,d_rs_sched!$K:$K,AC$1)+SUMIFS(d_rs_sched!$L:$L,d_rs_sched!$D:$D,$A2,d_rs_sched!$K:$K,$A2,d_rs_sched!$I:$I,AC$1))-(SUMIFS(d_rs_sched!$L:$L,d_rs_sched!$D:$D,$A2,d_rs_sched!$I:$I,$A2,d_rs_sched!$K:$K,AC$1)+SUMIFS(d_rs_sched!$J:$J,d_rs_sched!$D:$D,$A2,d_rs_sched!$K:$K,$A2,d_rs_sched!$I:$I,AC$1)),0)/IFERROR(IF((COUNTIFS(d_rs_sched!$D:$D,$A2,d_rs_sched!$I:$I,$A2,d_rs_sched!$K:$K,AC$1)+COUNTIFS(d_rs_sched!$D:$D,$A2,d_rs_sched!$I:$I,AC$1,d_rs_sched!$K:$K,$A2))&gt;0,(COUNTIFS(d_rs_sched!$D:$D,$A2,d_rs_sched!$I:$I,$A2,d_rs_sched!$K:$K,AC$1)+COUNTIFS(d_rs_sched!$D:$D,$A2,d_rs_sched!$I:$I,AC$1,d_rs_sched!$K:$K,$A2)),1),1)</f>
        <v>-5.5</v>
      </c>
      <c r="AD2">
        <f>IFERROR((SUMIFS(d_rs_sched!$J:$J,d_rs_sched!$D:$D,$A2,d_rs_sched!$I:$I,$A2,d_rs_sched!$K:$K,AD$1)+SUMIFS(d_rs_sched!$L:$L,d_rs_sched!$D:$D,$A2,d_rs_sched!$K:$K,$A2,d_rs_sched!$I:$I,AD$1))-(SUMIFS(d_rs_sched!$L:$L,d_rs_sched!$D:$D,$A2,d_rs_sched!$I:$I,$A2,d_rs_sched!$K:$K,AD$1)+SUMIFS(d_rs_sched!$J:$J,d_rs_sched!$D:$D,$A2,d_rs_sched!$K:$K,$A2,d_rs_sched!$I:$I,AD$1)),0)/IFERROR(IF((COUNTIFS(d_rs_sched!$D:$D,$A2,d_rs_sched!$I:$I,$A2,d_rs_sched!$K:$K,AD$1)+COUNTIFS(d_rs_sched!$D:$D,$A2,d_rs_sched!$I:$I,AD$1,d_rs_sched!$K:$K,$A2))&gt;0,(COUNTIFS(d_rs_sched!$D:$D,$A2,d_rs_sched!$I:$I,$A2,d_rs_sched!$K:$K,AD$1)+COUNTIFS(d_rs_sched!$D:$D,$A2,d_rs_sched!$I:$I,AD$1,d_rs_sched!$K:$K,$A2)),1),1)</f>
        <v>4.5</v>
      </c>
      <c r="AE2">
        <f>IFERROR((SUMIFS(d_rs_sched!$J:$J,d_rs_sched!$D:$D,$A2,d_rs_sched!$I:$I,$A2,d_rs_sched!$K:$K,AE$1)+SUMIFS(d_rs_sched!$L:$L,d_rs_sched!$D:$D,$A2,d_rs_sched!$K:$K,$A2,d_rs_sched!$I:$I,AE$1))-(SUMIFS(d_rs_sched!$L:$L,d_rs_sched!$D:$D,$A2,d_rs_sched!$I:$I,$A2,d_rs_sched!$K:$K,AE$1)+SUMIFS(d_rs_sched!$J:$J,d_rs_sched!$D:$D,$A2,d_rs_sched!$K:$K,$A2,d_rs_sched!$I:$I,AE$1)),0)/IFERROR(IF((COUNTIFS(d_rs_sched!$D:$D,$A2,d_rs_sched!$I:$I,$A2,d_rs_sched!$K:$K,AE$1)+COUNTIFS(d_rs_sched!$D:$D,$A2,d_rs_sched!$I:$I,AE$1,d_rs_sched!$K:$K,$A2))&gt;0,(COUNTIFS(d_rs_sched!$D:$D,$A2,d_rs_sched!$I:$I,$A2,d_rs_sched!$K:$K,AE$1)+COUNTIFS(d_rs_sched!$D:$D,$A2,d_rs_sched!$I:$I,AE$1,d_rs_sched!$K:$K,$A2)),1),1)</f>
        <v>8.75</v>
      </c>
      <c r="AG2" t="s">
        <v>26</v>
      </c>
      <c r="AH2">
        <v>1</v>
      </c>
      <c r="AI2">
        <f>RANK(AH2,$AH$2:$AH$31)</f>
        <v>4</v>
      </c>
    </row>
    <row r="3" spans="1:35" x14ac:dyDescent="0.25">
      <c r="A3" t="s">
        <v>23</v>
      </c>
      <c r="B3">
        <f>IFERROR((SUMIFS(d_rs_sched!$J:$J,d_rs_sched!$D:$D,$A3,d_rs_sched!$I:$I,$A3,d_rs_sched!$K:$K,B$1)+SUMIFS(d_rs_sched!$L:$L,d_rs_sched!$D:$D,$A3,d_rs_sched!$K:$K,$A3,d_rs_sched!$I:$I,B$1))-(SUMIFS(d_rs_sched!$L:$L,d_rs_sched!$D:$D,$A3,d_rs_sched!$I:$I,$A3,d_rs_sched!$K:$K,B$1)+SUMIFS(d_rs_sched!$J:$J,d_rs_sched!$D:$D,$A3,d_rs_sched!$K:$K,$A3,d_rs_sched!$I:$I,B$1)),0)/IFERROR(IF((COUNTIFS(d_rs_sched!$D:$D,$A3,d_rs_sched!$I:$I,$A3,d_rs_sched!$K:$K,B$1)+COUNTIFS(d_rs_sched!$D:$D,$A3,d_rs_sched!$I:$I,B$1,d_rs_sched!$K:$K,$A3))&gt;0,(COUNTIFS(d_rs_sched!$D:$D,$A3,d_rs_sched!$I:$I,$A3,d_rs_sched!$K:$K,B$1)+COUNTIFS(d_rs_sched!$D:$D,$A3,d_rs_sched!$I:$I,B$1,d_rs_sched!$K:$K,$A3)),1),1)</f>
        <v>-17.25</v>
      </c>
      <c r="C3">
        <f>IFERROR((SUMIFS(d_rs_sched!$J:$J,d_rs_sched!$D:$D,$A3,d_rs_sched!$I:$I,$A3,d_rs_sched!$K:$K,C$1)+SUMIFS(d_rs_sched!$L:$L,d_rs_sched!$D:$D,$A3,d_rs_sched!$K:$K,$A3,d_rs_sched!$I:$I,C$1))-(SUMIFS(d_rs_sched!$L:$L,d_rs_sched!$D:$D,$A3,d_rs_sched!$I:$I,$A3,d_rs_sched!$K:$K,C$1)+SUMIFS(d_rs_sched!$J:$J,d_rs_sched!$D:$D,$A3,d_rs_sched!$K:$K,$A3,d_rs_sched!$I:$I,C$1)),0)/IFERROR(IF((COUNTIFS(d_rs_sched!$D:$D,$A3,d_rs_sched!$I:$I,$A3,d_rs_sched!$K:$K,C$1)+COUNTIFS(d_rs_sched!$D:$D,$A3,d_rs_sched!$I:$I,C$1,d_rs_sched!$K:$K,$A3))&gt;0,(COUNTIFS(d_rs_sched!$D:$D,$A3,d_rs_sched!$I:$I,$A3,d_rs_sched!$K:$K,C$1)+COUNTIFS(d_rs_sched!$D:$D,$A3,d_rs_sched!$I:$I,C$1,d_rs_sched!$K:$K,$A3)),1),1)</f>
        <v>0</v>
      </c>
      <c r="D3">
        <f>IFERROR((SUMIFS(d_rs_sched!$J:$J,d_rs_sched!$D:$D,$A3,d_rs_sched!$I:$I,$A3,d_rs_sched!$K:$K,D$1)+SUMIFS(d_rs_sched!$L:$L,d_rs_sched!$D:$D,$A3,d_rs_sched!$K:$K,$A3,d_rs_sched!$I:$I,D$1))-(SUMIFS(d_rs_sched!$L:$L,d_rs_sched!$D:$D,$A3,d_rs_sched!$I:$I,$A3,d_rs_sched!$K:$K,D$1)+SUMIFS(d_rs_sched!$J:$J,d_rs_sched!$D:$D,$A3,d_rs_sched!$K:$K,$A3,d_rs_sched!$I:$I,D$1)),0)/IFERROR(IF((COUNTIFS(d_rs_sched!$D:$D,$A3,d_rs_sched!$I:$I,$A3,d_rs_sched!$K:$K,D$1)+COUNTIFS(d_rs_sched!$D:$D,$A3,d_rs_sched!$I:$I,D$1,d_rs_sched!$K:$K,$A3))&gt;0,(COUNTIFS(d_rs_sched!$D:$D,$A3,d_rs_sched!$I:$I,$A3,d_rs_sched!$K:$K,D$1)+COUNTIFS(d_rs_sched!$D:$D,$A3,d_rs_sched!$I:$I,D$1,d_rs_sched!$K:$K,$A3)),1),1)</f>
        <v>-10.25</v>
      </c>
      <c r="E3">
        <f>IFERROR((SUMIFS(d_rs_sched!$J:$J,d_rs_sched!$D:$D,$A3,d_rs_sched!$I:$I,$A3,d_rs_sched!$K:$K,E$1)+SUMIFS(d_rs_sched!$L:$L,d_rs_sched!$D:$D,$A3,d_rs_sched!$K:$K,$A3,d_rs_sched!$I:$I,E$1))-(SUMIFS(d_rs_sched!$L:$L,d_rs_sched!$D:$D,$A3,d_rs_sched!$I:$I,$A3,d_rs_sched!$K:$K,E$1)+SUMIFS(d_rs_sched!$J:$J,d_rs_sched!$D:$D,$A3,d_rs_sched!$K:$K,$A3,d_rs_sched!$I:$I,E$1)),0)/IFERROR(IF((COUNTIFS(d_rs_sched!$D:$D,$A3,d_rs_sched!$I:$I,$A3,d_rs_sched!$K:$K,E$1)+COUNTIFS(d_rs_sched!$D:$D,$A3,d_rs_sched!$I:$I,E$1,d_rs_sched!$K:$K,$A3))&gt;0,(COUNTIFS(d_rs_sched!$D:$D,$A3,d_rs_sched!$I:$I,$A3,d_rs_sched!$K:$K,E$1)+COUNTIFS(d_rs_sched!$D:$D,$A3,d_rs_sched!$I:$I,E$1,d_rs_sched!$K:$K,$A3)),1),1)</f>
        <v>2</v>
      </c>
      <c r="F3">
        <f>IFERROR((SUMIFS(d_rs_sched!$J:$J,d_rs_sched!$D:$D,$A3,d_rs_sched!$I:$I,$A3,d_rs_sched!$K:$K,F$1)+SUMIFS(d_rs_sched!$L:$L,d_rs_sched!$D:$D,$A3,d_rs_sched!$K:$K,$A3,d_rs_sched!$I:$I,F$1))-(SUMIFS(d_rs_sched!$L:$L,d_rs_sched!$D:$D,$A3,d_rs_sched!$I:$I,$A3,d_rs_sched!$K:$K,F$1)+SUMIFS(d_rs_sched!$J:$J,d_rs_sched!$D:$D,$A3,d_rs_sched!$K:$K,$A3,d_rs_sched!$I:$I,F$1)),0)/IFERROR(IF((COUNTIFS(d_rs_sched!$D:$D,$A3,d_rs_sched!$I:$I,$A3,d_rs_sched!$K:$K,F$1)+COUNTIFS(d_rs_sched!$D:$D,$A3,d_rs_sched!$I:$I,F$1,d_rs_sched!$K:$K,$A3))&gt;0,(COUNTIFS(d_rs_sched!$D:$D,$A3,d_rs_sched!$I:$I,$A3,d_rs_sched!$K:$K,F$1)+COUNTIFS(d_rs_sched!$D:$D,$A3,d_rs_sched!$I:$I,F$1,d_rs_sched!$K:$K,$A3)),1),1)</f>
        <v>-14</v>
      </c>
      <c r="G3">
        <f>IFERROR((SUMIFS(d_rs_sched!$J:$J,d_rs_sched!$D:$D,$A3,d_rs_sched!$I:$I,$A3,d_rs_sched!$K:$K,G$1)+SUMIFS(d_rs_sched!$L:$L,d_rs_sched!$D:$D,$A3,d_rs_sched!$K:$K,$A3,d_rs_sched!$I:$I,G$1))-(SUMIFS(d_rs_sched!$L:$L,d_rs_sched!$D:$D,$A3,d_rs_sched!$I:$I,$A3,d_rs_sched!$K:$K,G$1)+SUMIFS(d_rs_sched!$J:$J,d_rs_sched!$D:$D,$A3,d_rs_sched!$K:$K,$A3,d_rs_sched!$I:$I,G$1)),0)/IFERROR(IF((COUNTIFS(d_rs_sched!$D:$D,$A3,d_rs_sched!$I:$I,$A3,d_rs_sched!$K:$K,G$1)+COUNTIFS(d_rs_sched!$D:$D,$A3,d_rs_sched!$I:$I,G$1,d_rs_sched!$K:$K,$A3))&gt;0,(COUNTIFS(d_rs_sched!$D:$D,$A3,d_rs_sched!$I:$I,$A3,d_rs_sched!$K:$K,G$1)+COUNTIFS(d_rs_sched!$D:$D,$A3,d_rs_sched!$I:$I,G$1,d_rs_sched!$K:$K,$A3)),1),1)</f>
        <v>-10.75</v>
      </c>
      <c r="H3">
        <f>IFERROR((SUMIFS(d_rs_sched!$J:$J,d_rs_sched!$D:$D,$A3,d_rs_sched!$I:$I,$A3,d_rs_sched!$K:$K,H$1)+SUMIFS(d_rs_sched!$L:$L,d_rs_sched!$D:$D,$A3,d_rs_sched!$K:$K,$A3,d_rs_sched!$I:$I,H$1))-(SUMIFS(d_rs_sched!$L:$L,d_rs_sched!$D:$D,$A3,d_rs_sched!$I:$I,$A3,d_rs_sched!$K:$K,H$1)+SUMIFS(d_rs_sched!$J:$J,d_rs_sched!$D:$D,$A3,d_rs_sched!$K:$K,$A3,d_rs_sched!$I:$I,H$1)),0)/IFERROR(IF((COUNTIFS(d_rs_sched!$D:$D,$A3,d_rs_sched!$I:$I,$A3,d_rs_sched!$K:$K,H$1)+COUNTIFS(d_rs_sched!$D:$D,$A3,d_rs_sched!$I:$I,H$1,d_rs_sched!$K:$K,$A3))&gt;0,(COUNTIFS(d_rs_sched!$D:$D,$A3,d_rs_sched!$I:$I,$A3,d_rs_sched!$K:$K,H$1)+COUNTIFS(d_rs_sched!$D:$D,$A3,d_rs_sched!$I:$I,H$1,d_rs_sched!$K:$K,$A3)),1),1)</f>
        <v>1</v>
      </c>
      <c r="I3">
        <f>IFERROR((SUMIFS(d_rs_sched!$J:$J,d_rs_sched!$D:$D,$A3,d_rs_sched!$I:$I,$A3,d_rs_sched!$K:$K,I$1)+SUMIFS(d_rs_sched!$L:$L,d_rs_sched!$D:$D,$A3,d_rs_sched!$K:$K,$A3,d_rs_sched!$I:$I,I$1))-(SUMIFS(d_rs_sched!$L:$L,d_rs_sched!$D:$D,$A3,d_rs_sched!$I:$I,$A3,d_rs_sched!$K:$K,I$1)+SUMIFS(d_rs_sched!$J:$J,d_rs_sched!$D:$D,$A3,d_rs_sched!$K:$K,$A3,d_rs_sched!$I:$I,I$1)),0)/IFERROR(IF((COUNTIFS(d_rs_sched!$D:$D,$A3,d_rs_sched!$I:$I,$A3,d_rs_sched!$K:$K,I$1)+COUNTIFS(d_rs_sched!$D:$D,$A3,d_rs_sched!$I:$I,I$1,d_rs_sched!$K:$K,$A3))&gt;0,(COUNTIFS(d_rs_sched!$D:$D,$A3,d_rs_sched!$I:$I,$A3,d_rs_sched!$K:$K,I$1)+COUNTIFS(d_rs_sched!$D:$D,$A3,d_rs_sched!$I:$I,I$1,d_rs_sched!$K:$K,$A3)),1),1)</f>
        <v>17</v>
      </c>
      <c r="J3">
        <f>IFERROR((SUMIFS(d_rs_sched!$J:$J,d_rs_sched!$D:$D,$A3,d_rs_sched!$I:$I,$A3,d_rs_sched!$K:$K,J$1)+SUMIFS(d_rs_sched!$L:$L,d_rs_sched!$D:$D,$A3,d_rs_sched!$K:$K,$A3,d_rs_sched!$I:$I,J$1))-(SUMIFS(d_rs_sched!$L:$L,d_rs_sched!$D:$D,$A3,d_rs_sched!$I:$I,$A3,d_rs_sched!$K:$K,J$1)+SUMIFS(d_rs_sched!$J:$J,d_rs_sched!$D:$D,$A3,d_rs_sched!$K:$K,$A3,d_rs_sched!$I:$I,J$1)),0)/IFERROR(IF((COUNTIFS(d_rs_sched!$D:$D,$A3,d_rs_sched!$I:$I,$A3,d_rs_sched!$K:$K,J$1)+COUNTIFS(d_rs_sched!$D:$D,$A3,d_rs_sched!$I:$I,J$1,d_rs_sched!$K:$K,$A3))&gt;0,(COUNTIFS(d_rs_sched!$D:$D,$A3,d_rs_sched!$I:$I,$A3,d_rs_sched!$K:$K,J$1)+COUNTIFS(d_rs_sched!$D:$D,$A3,d_rs_sched!$I:$I,J$1,d_rs_sched!$K:$K,$A3)),1),1)</f>
        <v>4</v>
      </c>
      <c r="K3">
        <f>IFERROR((SUMIFS(d_rs_sched!$J:$J,d_rs_sched!$D:$D,$A3,d_rs_sched!$I:$I,$A3,d_rs_sched!$K:$K,K$1)+SUMIFS(d_rs_sched!$L:$L,d_rs_sched!$D:$D,$A3,d_rs_sched!$K:$K,$A3,d_rs_sched!$I:$I,K$1))-(SUMIFS(d_rs_sched!$L:$L,d_rs_sched!$D:$D,$A3,d_rs_sched!$I:$I,$A3,d_rs_sched!$K:$K,K$1)+SUMIFS(d_rs_sched!$J:$J,d_rs_sched!$D:$D,$A3,d_rs_sched!$K:$K,$A3,d_rs_sched!$I:$I,K$1)),0)/IFERROR(IF((COUNTIFS(d_rs_sched!$D:$D,$A3,d_rs_sched!$I:$I,$A3,d_rs_sched!$K:$K,K$1)+COUNTIFS(d_rs_sched!$D:$D,$A3,d_rs_sched!$I:$I,K$1,d_rs_sched!$K:$K,$A3))&gt;0,(COUNTIFS(d_rs_sched!$D:$D,$A3,d_rs_sched!$I:$I,$A3,d_rs_sched!$K:$K,K$1)+COUNTIFS(d_rs_sched!$D:$D,$A3,d_rs_sched!$I:$I,K$1,d_rs_sched!$K:$K,$A3)),1),1)</f>
        <v>-3</v>
      </c>
      <c r="L3">
        <f>IFERROR((SUMIFS(d_rs_sched!$J:$J,d_rs_sched!$D:$D,$A3,d_rs_sched!$I:$I,$A3,d_rs_sched!$K:$K,L$1)+SUMIFS(d_rs_sched!$L:$L,d_rs_sched!$D:$D,$A3,d_rs_sched!$K:$K,$A3,d_rs_sched!$I:$I,L$1))-(SUMIFS(d_rs_sched!$L:$L,d_rs_sched!$D:$D,$A3,d_rs_sched!$I:$I,$A3,d_rs_sched!$K:$K,L$1)+SUMIFS(d_rs_sched!$J:$J,d_rs_sched!$D:$D,$A3,d_rs_sched!$K:$K,$A3,d_rs_sched!$I:$I,L$1)),0)/IFERROR(IF((COUNTIFS(d_rs_sched!$D:$D,$A3,d_rs_sched!$I:$I,$A3,d_rs_sched!$K:$K,L$1)+COUNTIFS(d_rs_sched!$D:$D,$A3,d_rs_sched!$I:$I,L$1,d_rs_sched!$K:$K,$A3))&gt;0,(COUNTIFS(d_rs_sched!$D:$D,$A3,d_rs_sched!$I:$I,$A3,d_rs_sched!$K:$K,L$1)+COUNTIFS(d_rs_sched!$D:$D,$A3,d_rs_sched!$I:$I,L$1,d_rs_sched!$K:$K,$A3)),1),1)</f>
        <v>-9</v>
      </c>
      <c r="M3">
        <f>IFERROR((SUMIFS(d_rs_sched!$J:$J,d_rs_sched!$D:$D,$A3,d_rs_sched!$I:$I,$A3,d_rs_sched!$K:$K,M$1)+SUMIFS(d_rs_sched!$L:$L,d_rs_sched!$D:$D,$A3,d_rs_sched!$K:$K,$A3,d_rs_sched!$I:$I,M$1))-(SUMIFS(d_rs_sched!$L:$L,d_rs_sched!$D:$D,$A3,d_rs_sched!$I:$I,$A3,d_rs_sched!$K:$K,M$1)+SUMIFS(d_rs_sched!$J:$J,d_rs_sched!$D:$D,$A3,d_rs_sched!$K:$K,$A3,d_rs_sched!$I:$I,M$1)),0)/IFERROR(IF((COUNTIFS(d_rs_sched!$D:$D,$A3,d_rs_sched!$I:$I,$A3,d_rs_sched!$K:$K,M$1)+COUNTIFS(d_rs_sched!$D:$D,$A3,d_rs_sched!$I:$I,M$1,d_rs_sched!$K:$K,$A3))&gt;0,(COUNTIFS(d_rs_sched!$D:$D,$A3,d_rs_sched!$I:$I,$A3,d_rs_sched!$K:$K,M$1)+COUNTIFS(d_rs_sched!$D:$D,$A3,d_rs_sched!$I:$I,M$1,d_rs_sched!$K:$K,$A3)),1),1)</f>
        <v>-2.6666666666666665</v>
      </c>
      <c r="N3">
        <f>IFERROR((SUMIFS(d_rs_sched!$J:$J,d_rs_sched!$D:$D,$A3,d_rs_sched!$I:$I,$A3,d_rs_sched!$K:$K,N$1)+SUMIFS(d_rs_sched!$L:$L,d_rs_sched!$D:$D,$A3,d_rs_sched!$K:$K,$A3,d_rs_sched!$I:$I,N$1))-(SUMIFS(d_rs_sched!$L:$L,d_rs_sched!$D:$D,$A3,d_rs_sched!$I:$I,$A3,d_rs_sched!$K:$K,N$1)+SUMIFS(d_rs_sched!$J:$J,d_rs_sched!$D:$D,$A3,d_rs_sched!$K:$K,$A3,d_rs_sched!$I:$I,N$1)),0)/IFERROR(IF((COUNTIFS(d_rs_sched!$D:$D,$A3,d_rs_sched!$I:$I,$A3,d_rs_sched!$K:$K,N$1)+COUNTIFS(d_rs_sched!$D:$D,$A3,d_rs_sched!$I:$I,N$1,d_rs_sched!$K:$K,$A3))&gt;0,(COUNTIFS(d_rs_sched!$D:$D,$A3,d_rs_sched!$I:$I,$A3,d_rs_sched!$K:$K,N$1)+COUNTIFS(d_rs_sched!$D:$D,$A3,d_rs_sched!$I:$I,N$1,d_rs_sched!$K:$K,$A3)),1),1)</f>
        <v>-18.5</v>
      </c>
      <c r="O3">
        <f>IFERROR((SUMIFS(d_rs_sched!$J:$J,d_rs_sched!$D:$D,$A3,d_rs_sched!$I:$I,$A3,d_rs_sched!$K:$K,O$1)+SUMIFS(d_rs_sched!$L:$L,d_rs_sched!$D:$D,$A3,d_rs_sched!$K:$K,$A3,d_rs_sched!$I:$I,O$1))-(SUMIFS(d_rs_sched!$L:$L,d_rs_sched!$D:$D,$A3,d_rs_sched!$I:$I,$A3,d_rs_sched!$K:$K,O$1)+SUMIFS(d_rs_sched!$J:$J,d_rs_sched!$D:$D,$A3,d_rs_sched!$K:$K,$A3,d_rs_sched!$I:$I,O$1)),0)/IFERROR(IF((COUNTIFS(d_rs_sched!$D:$D,$A3,d_rs_sched!$I:$I,$A3,d_rs_sched!$K:$K,O$1)+COUNTIFS(d_rs_sched!$D:$D,$A3,d_rs_sched!$I:$I,O$1,d_rs_sched!$K:$K,$A3))&gt;0,(COUNTIFS(d_rs_sched!$D:$D,$A3,d_rs_sched!$I:$I,$A3,d_rs_sched!$K:$K,O$1)+COUNTIFS(d_rs_sched!$D:$D,$A3,d_rs_sched!$I:$I,O$1,d_rs_sched!$K:$K,$A3)),1),1)</f>
        <v>8.5</v>
      </c>
      <c r="P3">
        <f>IFERROR((SUMIFS(d_rs_sched!$J:$J,d_rs_sched!$D:$D,$A3,d_rs_sched!$I:$I,$A3,d_rs_sched!$K:$K,P$1)+SUMIFS(d_rs_sched!$L:$L,d_rs_sched!$D:$D,$A3,d_rs_sched!$K:$K,$A3,d_rs_sched!$I:$I,P$1))-(SUMIFS(d_rs_sched!$L:$L,d_rs_sched!$D:$D,$A3,d_rs_sched!$I:$I,$A3,d_rs_sched!$K:$K,P$1)+SUMIFS(d_rs_sched!$J:$J,d_rs_sched!$D:$D,$A3,d_rs_sched!$K:$K,$A3,d_rs_sched!$I:$I,P$1)),0)/IFERROR(IF((COUNTIFS(d_rs_sched!$D:$D,$A3,d_rs_sched!$I:$I,$A3,d_rs_sched!$K:$K,P$1)+COUNTIFS(d_rs_sched!$D:$D,$A3,d_rs_sched!$I:$I,P$1,d_rs_sched!$K:$K,$A3))&gt;0,(COUNTIFS(d_rs_sched!$D:$D,$A3,d_rs_sched!$I:$I,$A3,d_rs_sched!$K:$K,P$1)+COUNTIFS(d_rs_sched!$D:$D,$A3,d_rs_sched!$I:$I,P$1,d_rs_sched!$K:$K,$A3)),1),1)</f>
        <v>-10</v>
      </c>
      <c r="Q3">
        <f>IFERROR((SUMIFS(d_rs_sched!$J:$J,d_rs_sched!$D:$D,$A3,d_rs_sched!$I:$I,$A3,d_rs_sched!$K:$K,Q$1)+SUMIFS(d_rs_sched!$L:$L,d_rs_sched!$D:$D,$A3,d_rs_sched!$K:$K,$A3,d_rs_sched!$I:$I,Q$1))-(SUMIFS(d_rs_sched!$L:$L,d_rs_sched!$D:$D,$A3,d_rs_sched!$I:$I,$A3,d_rs_sched!$K:$K,Q$1)+SUMIFS(d_rs_sched!$J:$J,d_rs_sched!$D:$D,$A3,d_rs_sched!$K:$K,$A3,d_rs_sched!$I:$I,Q$1)),0)/IFERROR(IF((COUNTIFS(d_rs_sched!$D:$D,$A3,d_rs_sched!$I:$I,$A3,d_rs_sched!$K:$K,Q$1)+COUNTIFS(d_rs_sched!$D:$D,$A3,d_rs_sched!$I:$I,Q$1,d_rs_sched!$K:$K,$A3))&gt;0,(COUNTIFS(d_rs_sched!$D:$D,$A3,d_rs_sched!$I:$I,$A3,d_rs_sched!$K:$K,Q$1)+COUNTIFS(d_rs_sched!$D:$D,$A3,d_rs_sched!$I:$I,Q$1,d_rs_sched!$K:$K,$A3)),1),1)</f>
        <v>-6.5</v>
      </c>
      <c r="R3">
        <f>IFERROR((SUMIFS(d_rs_sched!$J:$J,d_rs_sched!$D:$D,$A3,d_rs_sched!$I:$I,$A3,d_rs_sched!$K:$K,R$1)+SUMIFS(d_rs_sched!$L:$L,d_rs_sched!$D:$D,$A3,d_rs_sched!$K:$K,$A3,d_rs_sched!$I:$I,R$1))-(SUMIFS(d_rs_sched!$L:$L,d_rs_sched!$D:$D,$A3,d_rs_sched!$I:$I,$A3,d_rs_sched!$K:$K,R$1)+SUMIFS(d_rs_sched!$J:$J,d_rs_sched!$D:$D,$A3,d_rs_sched!$K:$K,$A3,d_rs_sched!$I:$I,R$1)),0)/IFERROR(IF((COUNTIFS(d_rs_sched!$D:$D,$A3,d_rs_sched!$I:$I,$A3,d_rs_sched!$K:$K,R$1)+COUNTIFS(d_rs_sched!$D:$D,$A3,d_rs_sched!$I:$I,R$1,d_rs_sched!$K:$K,$A3))&gt;0,(COUNTIFS(d_rs_sched!$D:$D,$A3,d_rs_sched!$I:$I,$A3,d_rs_sched!$K:$K,R$1)+COUNTIFS(d_rs_sched!$D:$D,$A3,d_rs_sched!$I:$I,R$1,d_rs_sched!$K:$K,$A3)),1),1)</f>
        <v>-7.75</v>
      </c>
      <c r="S3">
        <f>IFERROR((SUMIFS(d_rs_sched!$J:$J,d_rs_sched!$D:$D,$A3,d_rs_sched!$I:$I,$A3,d_rs_sched!$K:$K,S$1)+SUMIFS(d_rs_sched!$L:$L,d_rs_sched!$D:$D,$A3,d_rs_sched!$K:$K,$A3,d_rs_sched!$I:$I,S$1))-(SUMIFS(d_rs_sched!$L:$L,d_rs_sched!$D:$D,$A3,d_rs_sched!$I:$I,$A3,d_rs_sched!$K:$K,S$1)+SUMIFS(d_rs_sched!$J:$J,d_rs_sched!$D:$D,$A3,d_rs_sched!$K:$K,$A3,d_rs_sched!$I:$I,S$1)),0)/IFERROR(IF((COUNTIFS(d_rs_sched!$D:$D,$A3,d_rs_sched!$I:$I,$A3,d_rs_sched!$K:$K,S$1)+COUNTIFS(d_rs_sched!$D:$D,$A3,d_rs_sched!$I:$I,S$1,d_rs_sched!$K:$K,$A3))&gt;0,(COUNTIFS(d_rs_sched!$D:$D,$A3,d_rs_sched!$I:$I,$A3,d_rs_sched!$K:$K,S$1)+COUNTIFS(d_rs_sched!$D:$D,$A3,d_rs_sched!$I:$I,S$1,d_rs_sched!$K:$K,$A3)),1),1)</f>
        <v>4.5</v>
      </c>
      <c r="T3">
        <f>IFERROR((SUMIFS(d_rs_sched!$J:$J,d_rs_sched!$D:$D,$A3,d_rs_sched!$I:$I,$A3,d_rs_sched!$K:$K,T$1)+SUMIFS(d_rs_sched!$L:$L,d_rs_sched!$D:$D,$A3,d_rs_sched!$K:$K,$A3,d_rs_sched!$I:$I,T$1))-(SUMIFS(d_rs_sched!$L:$L,d_rs_sched!$D:$D,$A3,d_rs_sched!$I:$I,$A3,d_rs_sched!$K:$K,T$1)+SUMIFS(d_rs_sched!$J:$J,d_rs_sched!$D:$D,$A3,d_rs_sched!$K:$K,$A3,d_rs_sched!$I:$I,T$1)),0)/IFERROR(IF((COUNTIFS(d_rs_sched!$D:$D,$A3,d_rs_sched!$I:$I,$A3,d_rs_sched!$K:$K,T$1)+COUNTIFS(d_rs_sched!$D:$D,$A3,d_rs_sched!$I:$I,T$1,d_rs_sched!$K:$K,$A3))&gt;0,(COUNTIFS(d_rs_sched!$D:$D,$A3,d_rs_sched!$I:$I,$A3,d_rs_sched!$K:$K,T$1)+COUNTIFS(d_rs_sched!$D:$D,$A3,d_rs_sched!$I:$I,T$1,d_rs_sched!$K:$K,$A3)),1),1)</f>
        <v>-13</v>
      </c>
      <c r="U3">
        <f>IFERROR((SUMIFS(d_rs_sched!$J:$J,d_rs_sched!$D:$D,$A3,d_rs_sched!$I:$I,$A3,d_rs_sched!$K:$K,U$1)+SUMIFS(d_rs_sched!$L:$L,d_rs_sched!$D:$D,$A3,d_rs_sched!$K:$K,$A3,d_rs_sched!$I:$I,U$1))-(SUMIFS(d_rs_sched!$L:$L,d_rs_sched!$D:$D,$A3,d_rs_sched!$I:$I,$A3,d_rs_sched!$K:$K,U$1)+SUMIFS(d_rs_sched!$J:$J,d_rs_sched!$D:$D,$A3,d_rs_sched!$K:$K,$A3,d_rs_sched!$I:$I,U$1)),0)/IFERROR(IF((COUNTIFS(d_rs_sched!$D:$D,$A3,d_rs_sched!$I:$I,$A3,d_rs_sched!$K:$K,U$1)+COUNTIFS(d_rs_sched!$D:$D,$A3,d_rs_sched!$I:$I,U$1,d_rs_sched!$K:$K,$A3))&gt;0,(COUNTIFS(d_rs_sched!$D:$D,$A3,d_rs_sched!$I:$I,$A3,d_rs_sched!$K:$K,U$1)+COUNTIFS(d_rs_sched!$D:$D,$A3,d_rs_sched!$I:$I,U$1,d_rs_sched!$K:$K,$A3)),1),1)</f>
        <v>5.5</v>
      </c>
      <c r="V3">
        <f>IFERROR((SUMIFS(d_rs_sched!$J:$J,d_rs_sched!$D:$D,$A3,d_rs_sched!$I:$I,$A3,d_rs_sched!$K:$K,V$1)+SUMIFS(d_rs_sched!$L:$L,d_rs_sched!$D:$D,$A3,d_rs_sched!$K:$K,$A3,d_rs_sched!$I:$I,V$1))-(SUMIFS(d_rs_sched!$L:$L,d_rs_sched!$D:$D,$A3,d_rs_sched!$I:$I,$A3,d_rs_sched!$K:$K,V$1)+SUMIFS(d_rs_sched!$J:$J,d_rs_sched!$D:$D,$A3,d_rs_sched!$K:$K,$A3,d_rs_sched!$I:$I,V$1)),0)/IFERROR(IF((COUNTIFS(d_rs_sched!$D:$D,$A3,d_rs_sched!$I:$I,$A3,d_rs_sched!$K:$K,V$1)+COUNTIFS(d_rs_sched!$D:$D,$A3,d_rs_sched!$I:$I,V$1,d_rs_sched!$K:$K,$A3))&gt;0,(COUNTIFS(d_rs_sched!$D:$D,$A3,d_rs_sched!$I:$I,$A3,d_rs_sched!$K:$K,V$1)+COUNTIFS(d_rs_sched!$D:$D,$A3,d_rs_sched!$I:$I,V$1,d_rs_sched!$K:$K,$A3)),1),1)</f>
        <v>16.5</v>
      </c>
      <c r="W3">
        <f>IFERROR((SUMIFS(d_rs_sched!$J:$J,d_rs_sched!$D:$D,$A3,d_rs_sched!$I:$I,$A3,d_rs_sched!$K:$K,W$1)+SUMIFS(d_rs_sched!$L:$L,d_rs_sched!$D:$D,$A3,d_rs_sched!$K:$K,$A3,d_rs_sched!$I:$I,W$1))-(SUMIFS(d_rs_sched!$L:$L,d_rs_sched!$D:$D,$A3,d_rs_sched!$I:$I,$A3,d_rs_sched!$K:$K,W$1)+SUMIFS(d_rs_sched!$J:$J,d_rs_sched!$D:$D,$A3,d_rs_sched!$K:$K,$A3,d_rs_sched!$I:$I,W$1)),0)/IFERROR(IF((COUNTIFS(d_rs_sched!$D:$D,$A3,d_rs_sched!$I:$I,$A3,d_rs_sched!$K:$K,W$1)+COUNTIFS(d_rs_sched!$D:$D,$A3,d_rs_sched!$I:$I,W$1,d_rs_sched!$K:$K,$A3))&gt;0,(COUNTIFS(d_rs_sched!$D:$D,$A3,d_rs_sched!$I:$I,$A3,d_rs_sched!$K:$K,W$1)+COUNTIFS(d_rs_sched!$D:$D,$A3,d_rs_sched!$I:$I,W$1,d_rs_sched!$K:$K,$A3)),1),1)</f>
        <v>7.666666666666667</v>
      </c>
      <c r="X3">
        <f>IFERROR((SUMIFS(d_rs_sched!$J:$J,d_rs_sched!$D:$D,$A3,d_rs_sched!$I:$I,$A3,d_rs_sched!$K:$K,X$1)+SUMIFS(d_rs_sched!$L:$L,d_rs_sched!$D:$D,$A3,d_rs_sched!$K:$K,$A3,d_rs_sched!$I:$I,X$1))-(SUMIFS(d_rs_sched!$L:$L,d_rs_sched!$D:$D,$A3,d_rs_sched!$I:$I,$A3,d_rs_sched!$K:$K,X$1)+SUMIFS(d_rs_sched!$J:$J,d_rs_sched!$D:$D,$A3,d_rs_sched!$K:$K,$A3,d_rs_sched!$I:$I,X$1)),0)/IFERROR(IF((COUNTIFS(d_rs_sched!$D:$D,$A3,d_rs_sched!$I:$I,$A3,d_rs_sched!$K:$K,X$1)+COUNTIFS(d_rs_sched!$D:$D,$A3,d_rs_sched!$I:$I,X$1,d_rs_sched!$K:$K,$A3))&gt;0,(COUNTIFS(d_rs_sched!$D:$D,$A3,d_rs_sched!$I:$I,$A3,d_rs_sched!$K:$K,X$1)+COUNTIFS(d_rs_sched!$D:$D,$A3,d_rs_sched!$I:$I,X$1,d_rs_sched!$K:$K,$A3)),1),1)</f>
        <v>7.75</v>
      </c>
      <c r="Y3">
        <f>IFERROR((SUMIFS(d_rs_sched!$J:$J,d_rs_sched!$D:$D,$A3,d_rs_sched!$I:$I,$A3,d_rs_sched!$K:$K,Y$1)+SUMIFS(d_rs_sched!$L:$L,d_rs_sched!$D:$D,$A3,d_rs_sched!$K:$K,$A3,d_rs_sched!$I:$I,Y$1))-(SUMIFS(d_rs_sched!$L:$L,d_rs_sched!$D:$D,$A3,d_rs_sched!$I:$I,$A3,d_rs_sched!$K:$K,Y$1)+SUMIFS(d_rs_sched!$J:$J,d_rs_sched!$D:$D,$A3,d_rs_sched!$K:$K,$A3,d_rs_sched!$I:$I,Y$1)),0)/IFERROR(IF((COUNTIFS(d_rs_sched!$D:$D,$A3,d_rs_sched!$I:$I,$A3,d_rs_sched!$K:$K,Y$1)+COUNTIFS(d_rs_sched!$D:$D,$A3,d_rs_sched!$I:$I,Y$1,d_rs_sched!$K:$K,$A3))&gt;0,(COUNTIFS(d_rs_sched!$D:$D,$A3,d_rs_sched!$I:$I,$A3,d_rs_sched!$K:$K,Y$1)+COUNTIFS(d_rs_sched!$D:$D,$A3,d_rs_sched!$I:$I,Y$1,d_rs_sched!$K:$K,$A3)),1),1)</f>
        <v>-8</v>
      </c>
      <c r="Z3">
        <f>IFERROR((SUMIFS(d_rs_sched!$J:$J,d_rs_sched!$D:$D,$A3,d_rs_sched!$I:$I,$A3,d_rs_sched!$K:$K,Z$1)+SUMIFS(d_rs_sched!$L:$L,d_rs_sched!$D:$D,$A3,d_rs_sched!$K:$K,$A3,d_rs_sched!$I:$I,Z$1))-(SUMIFS(d_rs_sched!$L:$L,d_rs_sched!$D:$D,$A3,d_rs_sched!$I:$I,$A3,d_rs_sched!$K:$K,Z$1)+SUMIFS(d_rs_sched!$J:$J,d_rs_sched!$D:$D,$A3,d_rs_sched!$K:$K,$A3,d_rs_sched!$I:$I,Z$1)),0)/IFERROR(IF((COUNTIFS(d_rs_sched!$D:$D,$A3,d_rs_sched!$I:$I,$A3,d_rs_sched!$K:$K,Z$1)+COUNTIFS(d_rs_sched!$D:$D,$A3,d_rs_sched!$I:$I,Z$1,d_rs_sched!$K:$K,$A3))&gt;0,(COUNTIFS(d_rs_sched!$D:$D,$A3,d_rs_sched!$I:$I,$A3,d_rs_sched!$K:$K,Z$1)+COUNTIFS(d_rs_sched!$D:$D,$A3,d_rs_sched!$I:$I,Z$1,d_rs_sched!$K:$K,$A3)),1),1)</f>
        <v>0</v>
      </c>
      <c r="AA3">
        <f>IFERROR((SUMIFS(d_rs_sched!$J:$J,d_rs_sched!$D:$D,$A3,d_rs_sched!$I:$I,$A3,d_rs_sched!$K:$K,AA$1)+SUMIFS(d_rs_sched!$L:$L,d_rs_sched!$D:$D,$A3,d_rs_sched!$K:$K,$A3,d_rs_sched!$I:$I,AA$1))-(SUMIFS(d_rs_sched!$L:$L,d_rs_sched!$D:$D,$A3,d_rs_sched!$I:$I,$A3,d_rs_sched!$K:$K,AA$1)+SUMIFS(d_rs_sched!$J:$J,d_rs_sched!$D:$D,$A3,d_rs_sched!$K:$K,$A3,d_rs_sched!$I:$I,AA$1)),0)/IFERROR(IF((COUNTIFS(d_rs_sched!$D:$D,$A3,d_rs_sched!$I:$I,$A3,d_rs_sched!$K:$K,AA$1)+COUNTIFS(d_rs_sched!$D:$D,$A3,d_rs_sched!$I:$I,AA$1,d_rs_sched!$K:$K,$A3))&gt;0,(COUNTIFS(d_rs_sched!$D:$D,$A3,d_rs_sched!$I:$I,$A3,d_rs_sched!$K:$K,AA$1)+COUNTIFS(d_rs_sched!$D:$D,$A3,d_rs_sched!$I:$I,AA$1,d_rs_sched!$K:$K,$A3)),1),1)</f>
        <v>-5</v>
      </c>
      <c r="AB3">
        <f>IFERROR((SUMIFS(d_rs_sched!$J:$J,d_rs_sched!$D:$D,$A3,d_rs_sched!$I:$I,$A3,d_rs_sched!$K:$K,AB$1)+SUMIFS(d_rs_sched!$L:$L,d_rs_sched!$D:$D,$A3,d_rs_sched!$K:$K,$A3,d_rs_sched!$I:$I,AB$1))-(SUMIFS(d_rs_sched!$L:$L,d_rs_sched!$D:$D,$A3,d_rs_sched!$I:$I,$A3,d_rs_sched!$K:$K,AB$1)+SUMIFS(d_rs_sched!$J:$J,d_rs_sched!$D:$D,$A3,d_rs_sched!$K:$K,$A3,d_rs_sched!$I:$I,AB$1)),0)/IFERROR(IF((COUNTIFS(d_rs_sched!$D:$D,$A3,d_rs_sched!$I:$I,$A3,d_rs_sched!$K:$K,AB$1)+COUNTIFS(d_rs_sched!$D:$D,$A3,d_rs_sched!$I:$I,AB$1,d_rs_sched!$K:$K,$A3))&gt;0,(COUNTIFS(d_rs_sched!$D:$D,$A3,d_rs_sched!$I:$I,$A3,d_rs_sched!$K:$K,AB$1)+COUNTIFS(d_rs_sched!$D:$D,$A3,d_rs_sched!$I:$I,AB$1,d_rs_sched!$K:$K,$A3)),1),1)</f>
        <v>5.5</v>
      </c>
      <c r="AC3">
        <f>IFERROR((SUMIFS(d_rs_sched!$J:$J,d_rs_sched!$D:$D,$A3,d_rs_sched!$I:$I,$A3,d_rs_sched!$K:$K,AC$1)+SUMIFS(d_rs_sched!$L:$L,d_rs_sched!$D:$D,$A3,d_rs_sched!$K:$K,$A3,d_rs_sched!$I:$I,AC$1))-(SUMIFS(d_rs_sched!$L:$L,d_rs_sched!$D:$D,$A3,d_rs_sched!$I:$I,$A3,d_rs_sched!$K:$K,AC$1)+SUMIFS(d_rs_sched!$J:$J,d_rs_sched!$D:$D,$A3,d_rs_sched!$K:$K,$A3,d_rs_sched!$I:$I,AC$1)),0)/IFERROR(IF((COUNTIFS(d_rs_sched!$D:$D,$A3,d_rs_sched!$I:$I,$A3,d_rs_sched!$K:$K,AC$1)+COUNTIFS(d_rs_sched!$D:$D,$A3,d_rs_sched!$I:$I,AC$1,d_rs_sched!$K:$K,$A3))&gt;0,(COUNTIFS(d_rs_sched!$D:$D,$A3,d_rs_sched!$I:$I,$A3,d_rs_sched!$K:$K,AC$1)+COUNTIFS(d_rs_sched!$D:$D,$A3,d_rs_sched!$I:$I,AC$1,d_rs_sched!$K:$K,$A3)),1),1)</f>
        <v>0</v>
      </c>
      <c r="AD3">
        <f>IFERROR((SUMIFS(d_rs_sched!$J:$J,d_rs_sched!$D:$D,$A3,d_rs_sched!$I:$I,$A3,d_rs_sched!$K:$K,AD$1)+SUMIFS(d_rs_sched!$L:$L,d_rs_sched!$D:$D,$A3,d_rs_sched!$K:$K,$A3,d_rs_sched!$I:$I,AD$1))-(SUMIFS(d_rs_sched!$L:$L,d_rs_sched!$D:$D,$A3,d_rs_sched!$I:$I,$A3,d_rs_sched!$K:$K,AD$1)+SUMIFS(d_rs_sched!$J:$J,d_rs_sched!$D:$D,$A3,d_rs_sched!$K:$K,$A3,d_rs_sched!$I:$I,AD$1)),0)/IFERROR(IF((COUNTIFS(d_rs_sched!$D:$D,$A3,d_rs_sched!$I:$I,$A3,d_rs_sched!$K:$K,AD$1)+COUNTIFS(d_rs_sched!$D:$D,$A3,d_rs_sched!$I:$I,AD$1,d_rs_sched!$K:$K,$A3))&gt;0,(COUNTIFS(d_rs_sched!$D:$D,$A3,d_rs_sched!$I:$I,$A3,d_rs_sched!$K:$K,AD$1)+COUNTIFS(d_rs_sched!$D:$D,$A3,d_rs_sched!$I:$I,AD$1,d_rs_sched!$K:$K,$A3)),1),1)</f>
        <v>-21</v>
      </c>
      <c r="AE3">
        <f>IFERROR((SUMIFS(d_rs_sched!$J:$J,d_rs_sched!$D:$D,$A3,d_rs_sched!$I:$I,$A3,d_rs_sched!$K:$K,AE$1)+SUMIFS(d_rs_sched!$L:$L,d_rs_sched!$D:$D,$A3,d_rs_sched!$K:$K,$A3,d_rs_sched!$I:$I,AE$1))-(SUMIFS(d_rs_sched!$L:$L,d_rs_sched!$D:$D,$A3,d_rs_sched!$I:$I,$A3,d_rs_sched!$K:$K,AE$1)+SUMIFS(d_rs_sched!$J:$J,d_rs_sched!$D:$D,$A3,d_rs_sched!$K:$K,$A3,d_rs_sched!$I:$I,AE$1)),0)/IFERROR(IF((COUNTIFS(d_rs_sched!$D:$D,$A3,d_rs_sched!$I:$I,$A3,d_rs_sched!$K:$K,AE$1)+COUNTIFS(d_rs_sched!$D:$D,$A3,d_rs_sched!$I:$I,AE$1,d_rs_sched!$K:$K,$A3))&gt;0,(COUNTIFS(d_rs_sched!$D:$D,$A3,d_rs_sched!$I:$I,$A3,d_rs_sched!$K:$K,AE$1)+COUNTIFS(d_rs_sched!$D:$D,$A3,d_rs_sched!$I:$I,AE$1,d_rs_sched!$K:$K,$A3)),1),1)</f>
        <v>3.25</v>
      </c>
      <c r="AG3" t="s">
        <v>23</v>
      </c>
      <c r="AH3">
        <v>0.99229060783901701</v>
      </c>
      <c r="AI3">
        <f t="shared" ref="AI3:AI31" si="0">RANK(AH3,$AH$2:$AH$31)</f>
        <v>7</v>
      </c>
    </row>
    <row r="4" spans="1:35" x14ac:dyDescent="0.25">
      <c r="A4" t="s">
        <v>22</v>
      </c>
      <c r="B4">
        <f>IFERROR((SUMIFS(d_rs_sched!$J:$J,d_rs_sched!$D:$D,$A4,d_rs_sched!$I:$I,$A4,d_rs_sched!$K:$K,B$1)+SUMIFS(d_rs_sched!$L:$L,d_rs_sched!$D:$D,$A4,d_rs_sched!$K:$K,$A4,d_rs_sched!$I:$I,B$1))-(SUMIFS(d_rs_sched!$L:$L,d_rs_sched!$D:$D,$A4,d_rs_sched!$I:$I,$A4,d_rs_sched!$K:$K,B$1)+SUMIFS(d_rs_sched!$J:$J,d_rs_sched!$D:$D,$A4,d_rs_sched!$K:$K,$A4,d_rs_sched!$I:$I,B$1)),0)/IFERROR(IF((COUNTIFS(d_rs_sched!$D:$D,$A4,d_rs_sched!$I:$I,$A4,d_rs_sched!$K:$K,B$1)+COUNTIFS(d_rs_sched!$D:$D,$A4,d_rs_sched!$I:$I,B$1,d_rs_sched!$K:$K,$A4))&gt;0,(COUNTIFS(d_rs_sched!$D:$D,$A4,d_rs_sched!$I:$I,$A4,d_rs_sched!$K:$K,B$1)+COUNTIFS(d_rs_sched!$D:$D,$A4,d_rs_sched!$I:$I,B$1,d_rs_sched!$K:$K,$A4)),1),1)</f>
        <v>-5.666666666666667</v>
      </c>
      <c r="C4">
        <f>IFERROR((SUMIFS(d_rs_sched!$J:$J,d_rs_sched!$D:$D,$A4,d_rs_sched!$I:$I,$A4,d_rs_sched!$K:$K,C$1)+SUMIFS(d_rs_sched!$L:$L,d_rs_sched!$D:$D,$A4,d_rs_sched!$K:$K,$A4,d_rs_sched!$I:$I,C$1))-(SUMIFS(d_rs_sched!$L:$L,d_rs_sched!$D:$D,$A4,d_rs_sched!$I:$I,$A4,d_rs_sched!$K:$K,C$1)+SUMIFS(d_rs_sched!$J:$J,d_rs_sched!$D:$D,$A4,d_rs_sched!$K:$K,$A4,d_rs_sched!$I:$I,C$1)),0)/IFERROR(IF((COUNTIFS(d_rs_sched!$D:$D,$A4,d_rs_sched!$I:$I,$A4,d_rs_sched!$K:$K,C$1)+COUNTIFS(d_rs_sched!$D:$D,$A4,d_rs_sched!$I:$I,C$1,d_rs_sched!$K:$K,$A4))&gt;0,(COUNTIFS(d_rs_sched!$D:$D,$A4,d_rs_sched!$I:$I,$A4,d_rs_sched!$K:$K,C$1)+COUNTIFS(d_rs_sched!$D:$D,$A4,d_rs_sched!$I:$I,C$1,d_rs_sched!$K:$K,$A4)),1),1)</f>
        <v>10.25</v>
      </c>
      <c r="D4">
        <f>IFERROR((SUMIFS(d_rs_sched!$J:$J,d_rs_sched!$D:$D,$A4,d_rs_sched!$I:$I,$A4,d_rs_sched!$K:$K,D$1)+SUMIFS(d_rs_sched!$L:$L,d_rs_sched!$D:$D,$A4,d_rs_sched!$K:$K,$A4,d_rs_sched!$I:$I,D$1))-(SUMIFS(d_rs_sched!$L:$L,d_rs_sched!$D:$D,$A4,d_rs_sched!$I:$I,$A4,d_rs_sched!$K:$K,D$1)+SUMIFS(d_rs_sched!$J:$J,d_rs_sched!$D:$D,$A4,d_rs_sched!$K:$K,$A4,d_rs_sched!$I:$I,D$1)),0)/IFERROR(IF((COUNTIFS(d_rs_sched!$D:$D,$A4,d_rs_sched!$I:$I,$A4,d_rs_sched!$K:$K,D$1)+COUNTIFS(d_rs_sched!$D:$D,$A4,d_rs_sched!$I:$I,D$1,d_rs_sched!$K:$K,$A4))&gt;0,(COUNTIFS(d_rs_sched!$D:$D,$A4,d_rs_sched!$I:$I,$A4,d_rs_sched!$K:$K,D$1)+COUNTIFS(d_rs_sched!$D:$D,$A4,d_rs_sched!$I:$I,D$1,d_rs_sched!$K:$K,$A4)),1),1)</f>
        <v>0</v>
      </c>
      <c r="E4">
        <f>IFERROR((SUMIFS(d_rs_sched!$J:$J,d_rs_sched!$D:$D,$A4,d_rs_sched!$I:$I,$A4,d_rs_sched!$K:$K,E$1)+SUMIFS(d_rs_sched!$L:$L,d_rs_sched!$D:$D,$A4,d_rs_sched!$K:$K,$A4,d_rs_sched!$I:$I,E$1))-(SUMIFS(d_rs_sched!$L:$L,d_rs_sched!$D:$D,$A4,d_rs_sched!$I:$I,$A4,d_rs_sched!$K:$K,E$1)+SUMIFS(d_rs_sched!$J:$J,d_rs_sched!$D:$D,$A4,d_rs_sched!$K:$K,$A4,d_rs_sched!$I:$I,E$1)),0)/IFERROR(IF((COUNTIFS(d_rs_sched!$D:$D,$A4,d_rs_sched!$I:$I,$A4,d_rs_sched!$K:$K,E$1)+COUNTIFS(d_rs_sched!$D:$D,$A4,d_rs_sched!$I:$I,E$1,d_rs_sched!$K:$K,$A4))&gt;0,(COUNTIFS(d_rs_sched!$D:$D,$A4,d_rs_sched!$I:$I,$A4,d_rs_sched!$K:$K,E$1)+COUNTIFS(d_rs_sched!$D:$D,$A4,d_rs_sched!$I:$I,E$1,d_rs_sched!$K:$K,$A4)),1),1)</f>
        <v>0.5</v>
      </c>
      <c r="F4">
        <f>IFERROR((SUMIFS(d_rs_sched!$J:$J,d_rs_sched!$D:$D,$A4,d_rs_sched!$I:$I,$A4,d_rs_sched!$K:$K,F$1)+SUMIFS(d_rs_sched!$L:$L,d_rs_sched!$D:$D,$A4,d_rs_sched!$K:$K,$A4,d_rs_sched!$I:$I,F$1))-(SUMIFS(d_rs_sched!$L:$L,d_rs_sched!$D:$D,$A4,d_rs_sched!$I:$I,$A4,d_rs_sched!$K:$K,F$1)+SUMIFS(d_rs_sched!$J:$J,d_rs_sched!$D:$D,$A4,d_rs_sched!$K:$K,$A4,d_rs_sched!$I:$I,F$1)),0)/IFERROR(IF((COUNTIFS(d_rs_sched!$D:$D,$A4,d_rs_sched!$I:$I,$A4,d_rs_sched!$K:$K,F$1)+COUNTIFS(d_rs_sched!$D:$D,$A4,d_rs_sched!$I:$I,F$1,d_rs_sched!$K:$K,$A4))&gt;0,(COUNTIFS(d_rs_sched!$D:$D,$A4,d_rs_sched!$I:$I,$A4,d_rs_sched!$K:$K,F$1)+COUNTIFS(d_rs_sched!$D:$D,$A4,d_rs_sched!$I:$I,F$1,d_rs_sched!$K:$K,$A4)),1),1)</f>
        <v>-5.75</v>
      </c>
      <c r="G4">
        <f>IFERROR((SUMIFS(d_rs_sched!$J:$J,d_rs_sched!$D:$D,$A4,d_rs_sched!$I:$I,$A4,d_rs_sched!$K:$K,G$1)+SUMIFS(d_rs_sched!$L:$L,d_rs_sched!$D:$D,$A4,d_rs_sched!$K:$K,$A4,d_rs_sched!$I:$I,G$1))-(SUMIFS(d_rs_sched!$L:$L,d_rs_sched!$D:$D,$A4,d_rs_sched!$I:$I,$A4,d_rs_sched!$K:$K,G$1)+SUMIFS(d_rs_sched!$J:$J,d_rs_sched!$D:$D,$A4,d_rs_sched!$K:$K,$A4,d_rs_sched!$I:$I,G$1)),0)/IFERROR(IF((COUNTIFS(d_rs_sched!$D:$D,$A4,d_rs_sched!$I:$I,$A4,d_rs_sched!$K:$K,G$1)+COUNTIFS(d_rs_sched!$D:$D,$A4,d_rs_sched!$I:$I,G$1,d_rs_sched!$K:$K,$A4))&gt;0,(COUNTIFS(d_rs_sched!$D:$D,$A4,d_rs_sched!$I:$I,$A4,d_rs_sched!$K:$K,G$1)+COUNTIFS(d_rs_sched!$D:$D,$A4,d_rs_sched!$I:$I,G$1,d_rs_sched!$K:$K,$A4)),1),1)</f>
        <v>4</v>
      </c>
      <c r="H4">
        <f>IFERROR((SUMIFS(d_rs_sched!$J:$J,d_rs_sched!$D:$D,$A4,d_rs_sched!$I:$I,$A4,d_rs_sched!$K:$K,H$1)+SUMIFS(d_rs_sched!$L:$L,d_rs_sched!$D:$D,$A4,d_rs_sched!$K:$K,$A4,d_rs_sched!$I:$I,H$1))-(SUMIFS(d_rs_sched!$L:$L,d_rs_sched!$D:$D,$A4,d_rs_sched!$I:$I,$A4,d_rs_sched!$K:$K,H$1)+SUMIFS(d_rs_sched!$J:$J,d_rs_sched!$D:$D,$A4,d_rs_sched!$K:$K,$A4,d_rs_sched!$I:$I,H$1)),0)/IFERROR(IF((COUNTIFS(d_rs_sched!$D:$D,$A4,d_rs_sched!$I:$I,$A4,d_rs_sched!$K:$K,H$1)+COUNTIFS(d_rs_sched!$D:$D,$A4,d_rs_sched!$I:$I,H$1,d_rs_sched!$K:$K,$A4))&gt;0,(COUNTIFS(d_rs_sched!$D:$D,$A4,d_rs_sched!$I:$I,$A4,d_rs_sched!$K:$K,H$1)+COUNTIFS(d_rs_sched!$D:$D,$A4,d_rs_sched!$I:$I,H$1,d_rs_sched!$K:$K,$A4)),1),1)</f>
        <v>-11.5</v>
      </c>
      <c r="I4">
        <f>IFERROR((SUMIFS(d_rs_sched!$J:$J,d_rs_sched!$D:$D,$A4,d_rs_sched!$I:$I,$A4,d_rs_sched!$K:$K,I$1)+SUMIFS(d_rs_sched!$L:$L,d_rs_sched!$D:$D,$A4,d_rs_sched!$K:$K,$A4,d_rs_sched!$I:$I,I$1))-(SUMIFS(d_rs_sched!$L:$L,d_rs_sched!$D:$D,$A4,d_rs_sched!$I:$I,$A4,d_rs_sched!$K:$K,I$1)+SUMIFS(d_rs_sched!$J:$J,d_rs_sched!$D:$D,$A4,d_rs_sched!$K:$K,$A4,d_rs_sched!$I:$I,I$1)),0)/IFERROR(IF((COUNTIFS(d_rs_sched!$D:$D,$A4,d_rs_sched!$I:$I,$A4,d_rs_sched!$K:$K,I$1)+COUNTIFS(d_rs_sched!$D:$D,$A4,d_rs_sched!$I:$I,I$1,d_rs_sched!$K:$K,$A4))&gt;0,(COUNTIFS(d_rs_sched!$D:$D,$A4,d_rs_sched!$I:$I,$A4,d_rs_sched!$K:$K,I$1)+COUNTIFS(d_rs_sched!$D:$D,$A4,d_rs_sched!$I:$I,I$1,d_rs_sched!$K:$K,$A4)),1),1)</f>
        <v>2.5</v>
      </c>
      <c r="J4">
        <f>IFERROR((SUMIFS(d_rs_sched!$J:$J,d_rs_sched!$D:$D,$A4,d_rs_sched!$I:$I,$A4,d_rs_sched!$K:$K,J$1)+SUMIFS(d_rs_sched!$L:$L,d_rs_sched!$D:$D,$A4,d_rs_sched!$K:$K,$A4,d_rs_sched!$I:$I,J$1))-(SUMIFS(d_rs_sched!$L:$L,d_rs_sched!$D:$D,$A4,d_rs_sched!$I:$I,$A4,d_rs_sched!$K:$K,J$1)+SUMIFS(d_rs_sched!$J:$J,d_rs_sched!$D:$D,$A4,d_rs_sched!$K:$K,$A4,d_rs_sched!$I:$I,J$1)),0)/IFERROR(IF((COUNTIFS(d_rs_sched!$D:$D,$A4,d_rs_sched!$I:$I,$A4,d_rs_sched!$K:$K,J$1)+COUNTIFS(d_rs_sched!$D:$D,$A4,d_rs_sched!$I:$I,J$1,d_rs_sched!$K:$K,$A4))&gt;0,(COUNTIFS(d_rs_sched!$D:$D,$A4,d_rs_sched!$I:$I,$A4,d_rs_sched!$K:$K,J$1)+COUNTIFS(d_rs_sched!$D:$D,$A4,d_rs_sched!$I:$I,J$1,d_rs_sched!$K:$K,$A4)),1),1)</f>
        <v>3</v>
      </c>
      <c r="K4">
        <f>IFERROR((SUMIFS(d_rs_sched!$J:$J,d_rs_sched!$D:$D,$A4,d_rs_sched!$I:$I,$A4,d_rs_sched!$K:$K,K$1)+SUMIFS(d_rs_sched!$L:$L,d_rs_sched!$D:$D,$A4,d_rs_sched!$K:$K,$A4,d_rs_sched!$I:$I,K$1))-(SUMIFS(d_rs_sched!$L:$L,d_rs_sched!$D:$D,$A4,d_rs_sched!$I:$I,$A4,d_rs_sched!$K:$K,K$1)+SUMIFS(d_rs_sched!$J:$J,d_rs_sched!$D:$D,$A4,d_rs_sched!$K:$K,$A4,d_rs_sched!$I:$I,K$1)),0)/IFERROR(IF((COUNTIFS(d_rs_sched!$D:$D,$A4,d_rs_sched!$I:$I,$A4,d_rs_sched!$K:$K,K$1)+COUNTIFS(d_rs_sched!$D:$D,$A4,d_rs_sched!$I:$I,K$1,d_rs_sched!$K:$K,$A4))&gt;0,(COUNTIFS(d_rs_sched!$D:$D,$A4,d_rs_sched!$I:$I,$A4,d_rs_sched!$K:$K,K$1)+COUNTIFS(d_rs_sched!$D:$D,$A4,d_rs_sched!$I:$I,K$1,d_rs_sched!$K:$K,$A4)),1),1)</f>
        <v>-4</v>
      </c>
      <c r="L4">
        <f>IFERROR((SUMIFS(d_rs_sched!$J:$J,d_rs_sched!$D:$D,$A4,d_rs_sched!$I:$I,$A4,d_rs_sched!$K:$K,L$1)+SUMIFS(d_rs_sched!$L:$L,d_rs_sched!$D:$D,$A4,d_rs_sched!$K:$K,$A4,d_rs_sched!$I:$I,L$1))-(SUMIFS(d_rs_sched!$L:$L,d_rs_sched!$D:$D,$A4,d_rs_sched!$I:$I,$A4,d_rs_sched!$K:$K,L$1)+SUMIFS(d_rs_sched!$J:$J,d_rs_sched!$D:$D,$A4,d_rs_sched!$K:$K,$A4,d_rs_sched!$I:$I,L$1)),0)/IFERROR(IF((COUNTIFS(d_rs_sched!$D:$D,$A4,d_rs_sched!$I:$I,$A4,d_rs_sched!$K:$K,L$1)+COUNTIFS(d_rs_sched!$D:$D,$A4,d_rs_sched!$I:$I,L$1,d_rs_sched!$K:$K,$A4))&gt;0,(COUNTIFS(d_rs_sched!$D:$D,$A4,d_rs_sched!$I:$I,$A4,d_rs_sched!$K:$K,L$1)+COUNTIFS(d_rs_sched!$D:$D,$A4,d_rs_sched!$I:$I,L$1,d_rs_sched!$K:$K,$A4)),1),1)</f>
        <v>-10</v>
      </c>
      <c r="M4">
        <f>IFERROR((SUMIFS(d_rs_sched!$J:$J,d_rs_sched!$D:$D,$A4,d_rs_sched!$I:$I,$A4,d_rs_sched!$K:$K,M$1)+SUMIFS(d_rs_sched!$L:$L,d_rs_sched!$D:$D,$A4,d_rs_sched!$K:$K,$A4,d_rs_sched!$I:$I,M$1))-(SUMIFS(d_rs_sched!$L:$L,d_rs_sched!$D:$D,$A4,d_rs_sched!$I:$I,$A4,d_rs_sched!$K:$K,M$1)+SUMIFS(d_rs_sched!$J:$J,d_rs_sched!$D:$D,$A4,d_rs_sched!$K:$K,$A4,d_rs_sched!$I:$I,M$1)),0)/IFERROR(IF((COUNTIFS(d_rs_sched!$D:$D,$A4,d_rs_sched!$I:$I,$A4,d_rs_sched!$K:$K,M$1)+COUNTIFS(d_rs_sched!$D:$D,$A4,d_rs_sched!$I:$I,M$1,d_rs_sched!$K:$K,$A4))&gt;0,(COUNTIFS(d_rs_sched!$D:$D,$A4,d_rs_sched!$I:$I,$A4,d_rs_sched!$K:$K,M$1)+COUNTIFS(d_rs_sched!$D:$D,$A4,d_rs_sched!$I:$I,M$1,d_rs_sched!$K:$K,$A4)),1),1)</f>
        <v>4</v>
      </c>
      <c r="N4">
        <f>IFERROR((SUMIFS(d_rs_sched!$J:$J,d_rs_sched!$D:$D,$A4,d_rs_sched!$I:$I,$A4,d_rs_sched!$K:$K,N$1)+SUMIFS(d_rs_sched!$L:$L,d_rs_sched!$D:$D,$A4,d_rs_sched!$K:$K,$A4,d_rs_sched!$I:$I,N$1))-(SUMIFS(d_rs_sched!$L:$L,d_rs_sched!$D:$D,$A4,d_rs_sched!$I:$I,$A4,d_rs_sched!$K:$K,N$1)+SUMIFS(d_rs_sched!$J:$J,d_rs_sched!$D:$D,$A4,d_rs_sched!$K:$K,$A4,d_rs_sched!$I:$I,N$1)),0)/IFERROR(IF((COUNTIFS(d_rs_sched!$D:$D,$A4,d_rs_sched!$I:$I,$A4,d_rs_sched!$K:$K,N$1)+COUNTIFS(d_rs_sched!$D:$D,$A4,d_rs_sched!$I:$I,N$1,d_rs_sched!$K:$K,$A4))&gt;0,(COUNTIFS(d_rs_sched!$D:$D,$A4,d_rs_sched!$I:$I,$A4,d_rs_sched!$K:$K,N$1)+COUNTIFS(d_rs_sched!$D:$D,$A4,d_rs_sched!$I:$I,N$1,d_rs_sched!$K:$K,$A4)),1),1)</f>
        <v>-11</v>
      </c>
      <c r="O4">
        <f>IFERROR((SUMIFS(d_rs_sched!$J:$J,d_rs_sched!$D:$D,$A4,d_rs_sched!$I:$I,$A4,d_rs_sched!$K:$K,O$1)+SUMIFS(d_rs_sched!$L:$L,d_rs_sched!$D:$D,$A4,d_rs_sched!$K:$K,$A4,d_rs_sched!$I:$I,O$1))-(SUMIFS(d_rs_sched!$L:$L,d_rs_sched!$D:$D,$A4,d_rs_sched!$I:$I,$A4,d_rs_sched!$K:$K,O$1)+SUMIFS(d_rs_sched!$J:$J,d_rs_sched!$D:$D,$A4,d_rs_sched!$K:$K,$A4,d_rs_sched!$I:$I,O$1)),0)/IFERROR(IF((COUNTIFS(d_rs_sched!$D:$D,$A4,d_rs_sched!$I:$I,$A4,d_rs_sched!$K:$K,O$1)+COUNTIFS(d_rs_sched!$D:$D,$A4,d_rs_sched!$I:$I,O$1,d_rs_sched!$K:$K,$A4))&gt;0,(COUNTIFS(d_rs_sched!$D:$D,$A4,d_rs_sched!$I:$I,$A4,d_rs_sched!$K:$K,O$1)+COUNTIFS(d_rs_sched!$D:$D,$A4,d_rs_sched!$I:$I,O$1,d_rs_sched!$K:$K,$A4)),1),1)</f>
        <v>5</v>
      </c>
      <c r="P4">
        <f>IFERROR((SUMIFS(d_rs_sched!$J:$J,d_rs_sched!$D:$D,$A4,d_rs_sched!$I:$I,$A4,d_rs_sched!$K:$K,P$1)+SUMIFS(d_rs_sched!$L:$L,d_rs_sched!$D:$D,$A4,d_rs_sched!$K:$K,$A4,d_rs_sched!$I:$I,P$1))-(SUMIFS(d_rs_sched!$L:$L,d_rs_sched!$D:$D,$A4,d_rs_sched!$I:$I,$A4,d_rs_sched!$K:$K,P$1)+SUMIFS(d_rs_sched!$J:$J,d_rs_sched!$D:$D,$A4,d_rs_sched!$K:$K,$A4,d_rs_sched!$I:$I,P$1)),0)/IFERROR(IF((COUNTIFS(d_rs_sched!$D:$D,$A4,d_rs_sched!$I:$I,$A4,d_rs_sched!$K:$K,P$1)+COUNTIFS(d_rs_sched!$D:$D,$A4,d_rs_sched!$I:$I,P$1,d_rs_sched!$K:$K,$A4))&gt;0,(COUNTIFS(d_rs_sched!$D:$D,$A4,d_rs_sched!$I:$I,$A4,d_rs_sched!$K:$K,P$1)+COUNTIFS(d_rs_sched!$D:$D,$A4,d_rs_sched!$I:$I,P$1,d_rs_sched!$K:$K,$A4)),1),1)</f>
        <v>-7</v>
      </c>
      <c r="Q4">
        <f>IFERROR((SUMIFS(d_rs_sched!$J:$J,d_rs_sched!$D:$D,$A4,d_rs_sched!$I:$I,$A4,d_rs_sched!$K:$K,Q$1)+SUMIFS(d_rs_sched!$L:$L,d_rs_sched!$D:$D,$A4,d_rs_sched!$K:$K,$A4,d_rs_sched!$I:$I,Q$1))-(SUMIFS(d_rs_sched!$L:$L,d_rs_sched!$D:$D,$A4,d_rs_sched!$I:$I,$A4,d_rs_sched!$K:$K,Q$1)+SUMIFS(d_rs_sched!$J:$J,d_rs_sched!$D:$D,$A4,d_rs_sched!$K:$K,$A4,d_rs_sched!$I:$I,Q$1)),0)/IFERROR(IF((COUNTIFS(d_rs_sched!$D:$D,$A4,d_rs_sched!$I:$I,$A4,d_rs_sched!$K:$K,Q$1)+COUNTIFS(d_rs_sched!$D:$D,$A4,d_rs_sched!$I:$I,Q$1,d_rs_sched!$K:$K,$A4))&gt;0,(COUNTIFS(d_rs_sched!$D:$D,$A4,d_rs_sched!$I:$I,$A4,d_rs_sched!$K:$K,Q$1)+COUNTIFS(d_rs_sched!$D:$D,$A4,d_rs_sched!$I:$I,Q$1,d_rs_sched!$K:$K,$A4)),1),1)</f>
        <v>-5.25</v>
      </c>
      <c r="R4">
        <f>IFERROR((SUMIFS(d_rs_sched!$J:$J,d_rs_sched!$D:$D,$A4,d_rs_sched!$I:$I,$A4,d_rs_sched!$K:$K,R$1)+SUMIFS(d_rs_sched!$L:$L,d_rs_sched!$D:$D,$A4,d_rs_sched!$K:$K,$A4,d_rs_sched!$I:$I,R$1))-(SUMIFS(d_rs_sched!$L:$L,d_rs_sched!$D:$D,$A4,d_rs_sched!$I:$I,$A4,d_rs_sched!$K:$K,R$1)+SUMIFS(d_rs_sched!$J:$J,d_rs_sched!$D:$D,$A4,d_rs_sched!$K:$K,$A4,d_rs_sched!$I:$I,R$1)),0)/IFERROR(IF((COUNTIFS(d_rs_sched!$D:$D,$A4,d_rs_sched!$I:$I,$A4,d_rs_sched!$K:$K,R$1)+COUNTIFS(d_rs_sched!$D:$D,$A4,d_rs_sched!$I:$I,R$1,d_rs_sched!$K:$K,$A4))&gt;0,(COUNTIFS(d_rs_sched!$D:$D,$A4,d_rs_sched!$I:$I,$A4,d_rs_sched!$K:$K,R$1)+COUNTIFS(d_rs_sched!$D:$D,$A4,d_rs_sched!$I:$I,R$1,d_rs_sched!$K:$K,$A4)),1),1)</f>
        <v>-2.3333333333333335</v>
      </c>
      <c r="S4">
        <f>IFERROR((SUMIFS(d_rs_sched!$J:$J,d_rs_sched!$D:$D,$A4,d_rs_sched!$I:$I,$A4,d_rs_sched!$K:$K,S$1)+SUMIFS(d_rs_sched!$L:$L,d_rs_sched!$D:$D,$A4,d_rs_sched!$K:$K,$A4,d_rs_sched!$I:$I,S$1))-(SUMIFS(d_rs_sched!$L:$L,d_rs_sched!$D:$D,$A4,d_rs_sched!$I:$I,$A4,d_rs_sched!$K:$K,S$1)+SUMIFS(d_rs_sched!$J:$J,d_rs_sched!$D:$D,$A4,d_rs_sched!$K:$K,$A4,d_rs_sched!$I:$I,S$1)),0)/IFERROR(IF((COUNTIFS(d_rs_sched!$D:$D,$A4,d_rs_sched!$I:$I,$A4,d_rs_sched!$K:$K,S$1)+COUNTIFS(d_rs_sched!$D:$D,$A4,d_rs_sched!$I:$I,S$1,d_rs_sched!$K:$K,$A4))&gt;0,(COUNTIFS(d_rs_sched!$D:$D,$A4,d_rs_sched!$I:$I,$A4,d_rs_sched!$K:$K,S$1)+COUNTIFS(d_rs_sched!$D:$D,$A4,d_rs_sched!$I:$I,S$1,d_rs_sched!$K:$K,$A4)),1),1)</f>
        <v>2</v>
      </c>
      <c r="T4">
        <f>IFERROR((SUMIFS(d_rs_sched!$J:$J,d_rs_sched!$D:$D,$A4,d_rs_sched!$I:$I,$A4,d_rs_sched!$K:$K,T$1)+SUMIFS(d_rs_sched!$L:$L,d_rs_sched!$D:$D,$A4,d_rs_sched!$K:$K,$A4,d_rs_sched!$I:$I,T$1))-(SUMIFS(d_rs_sched!$L:$L,d_rs_sched!$D:$D,$A4,d_rs_sched!$I:$I,$A4,d_rs_sched!$K:$K,T$1)+SUMIFS(d_rs_sched!$J:$J,d_rs_sched!$D:$D,$A4,d_rs_sched!$K:$K,$A4,d_rs_sched!$I:$I,T$1)),0)/IFERROR(IF((COUNTIFS(d_rs_sched!$D:$D,$A4,d_rs_sched!$I:$I,$A4,d_rs_sched!$K:$K,T$1)+COUNTIFS(d_rs_sched!$D:$D,$A4,d_rs_sched!$I:$I,T$1,d_rs_sched!$K:$K,$A4))&gt;0,(COUNTIFS(d_rs_sched!$D:$D,$A4,d_rs_sched!$I:$I,$A4,d_rs_sched!$K:$K,T$1)+COUNTIFS(d_rs_sched!$D:$D,$A4,d_rs_sched!$I:$I,T$1,d_rs_sched!$K:$K,$A4)),1),1)</f>
        <v>7</v>
      </c>
      <c r="U4">
        <f>IFERROR((SUMIFS(d_rs_sched!$J:$J,d_rs_sched!$D:$D,$A4,d_rs_sched!$I:$I,$A4,d_rs_sched!$K:$K,U$1)+SUMIFS(d_rs_sched!$L:$L,d_rs_sched!$D:$D,$A4,d_rs_sched!$K:$K,$A4,d_rs_sched!$I:$I,U$1))-(SUMIFS(d_rs_sched!$L:$L,d_rs_sched!$D:$D,$A4,d_rs_sched!$I:$I,$A4,d_rs_sched!$K:$K,U$1)+SUMIFS(d_rs_sched!$J:$J,d_rs_sched!$D:$D,$A4,d_rs_sched!$K:$K,$A4,d_rs_sched!$I:$I,U$1)),0)/IFERROR(IF((COUNTIFS(d_rs_sched!$D:$D,$A4,d_rs_sched!$I:$I,$A4,d_rs_sched!$K:$K,U$1)+COUNTIFS(d_rs_sched!$D:$D,$A4,d_rs_sched!$I:$I,U$1,d_rs_sched!$K:$K,$A4))&gt;0,(COUNTIFS(d_rs_sched!$D:$D,$A4,d_rs_sched!$I:$I,$A4,d_rs_sched!$K:$K,U$1)+COUNTIFS(d_rs_sched!$D:$D,$A4,d_rs_sched!$I:$I,U$1,d_rs_sched!$K:$K,$A4)),1),1)</f>
        <v>7.5</v>
      </c>
      <c r="V4">
        <f>IFERROR((SUMIFS(d_rs_sched!$J:$J,d_rs_sched!$D:$D,$A4,d_rs_sched!$I:$I,$A4,d_rs_sched!$K:$K,V$1)+SUMIFS(d_rs_sched!$L:$L,d_rs_sched!$D:$D,$A4,d_rs_sched!$K:$K,$A4,d_rs_sched!$I:$I,V$1))-(SUMIFS(d_rs_sched!$L:$L,d_rs_sched!$D:$D,$A4,d_rs_sched!$I:$I,$A4,d_rs_sched!$K:$K,V$1)+SUMIFS(d_rs_sched!$J:$J,d_rs_sched!$D:$D,$A4,d_rs_sched!$K:$K,$A4,d_rs_sched!$I:$I,V$1)),0)/IFERROR(IF((COUNTIFS(d_rs_sched!$D:$D,$A4,d_rs_sched!$I:$I,$A4,d_rs_sched!$K:$K,V$1)+COUNTIFS(d_rs_sched!$D:$D,$A4,d_rs_sched!$I:$I,V$1,d_rs_sched!$K:$K,$A4))&gt;0,(COUNTIFS(d_rs_sched!$D:$D,$A4,d_rs_sched!$I:$I,$A4,d_rs_sched!$K:$K,V$1)+COUNTIFS(d_rs_sched!$D:$D,$A4,d_rs_sched!$I:$I,V$1,d_rs_sched!$K:$K,$A4)),1),1)</f>
        <v>-9.5</v>
      </c>
      <c r="W4">
        <f>IFERROR((SUMIFS(d_rs_sched!$J:$J,d_rs_sched!$D:$D,$A4,d_rs_sched!$I:$I,$A4,d_rs_sched!$K:$K,W$1)+SUMIFS(d_rs_sched!$L:$L,d_rs_sched!$D:$D,$A4,d_rs_sched!$K:$K,$A4,d_rs_sched!$I:$I,W$1))-(SUMIFS(d_rs_sched!$L:$L,d_rs_sched!$D:$D,$A4,d_rs_sched!$I:$I,$A4,d_rs_sched!$K:$K,W$1)+SUMIFS(d_rs_sched!$J:$J,d_rs_sched!$D:$D,$A4,d_rs_sched!$K:$K,$A4,d_rs_sched!$I:$I,W$1)),0)/IFERROR(IF((COUNTIFS(d_rs_sched!$D:$D,$A4,d_rs_sched!$I:$I,$A4,d_rs_sched!$K:$K,W$1)+COUNTIFS(d_rs_sched!$D:$D,$A4,d_rs_sched!$I:$I,W$1,d_rs_sched!$K:$K,$A4))&gt;0,(COUNTIFS(d_rs_sched!$D:$D,$A4,d_rs_sched!$I:$I,$A4,d_rs_sched!$K:$K,W$1)+COUNTIFS(d_rs_sched!$D:$D,$A4,d_rs_sched!$I:$I,W$1,d_rs_sched!$K:$K,$A4)),1),1)</f>
        <v>3.5</v>
      </c>
      <c r="X4">
        <f>IFERROR((SUMIFS(d_rs_sched!$J:$J,d_rs_sched!$D:$D,$A4,d_rs_sched!$I:$I,$A4,d_rs_sched!$K:$K,X$1)+SUMIFS(d_rs_sched!$L:$L,d_rs_sched!$D:$D,$A4,d_rs_sched!$K:$K,$A4,d_rs_sched!$I:$I,X$1))-(SUMIFS(d_rs_sched!$L:$L,d_rs_sched!$D:$D,$A4,d_rs_sched!$I:$I,$A4,d_rs_sched!$K:$K,X$1)+SUMIFS(d_rs_sched!$J:$J,d_rs_sched!$D:$D,$A4,d_rs_sched!$K:$K,$A4,d_rs_sched!$I:$I,X$1)),0)/IFERROR(IF((COUNTIFS(d_rs_sched!$D:$D,$A4,d_rs_sched!$I:$I,$A4,d_rs_sched!$K:$K,X$1)+COUNTIFS(d_rs_sched!$D:$D,$A4,d_rs_sched!$I:$I,X$1,d_rs_sched!$K:$K,$A4))&gt;0,(COUNTIFS(d_rs_sched!$D:$D,$A4,d_rs_sched!$I:$I,$A4,d_rs_sched!$K:$K,X$1)+COUNTIFS(d_rs_sched!$D:$D,$A4,d_rs_sched!$I:$I,X$1,d_rs_sched!$K:$K,$A4)),1),1)</f>
        <v>14.75</v>
      </c>
      <c r="Y4">
        <f>IFERROR((SUMIFS(d_rs_sched!$J:$J,d_rs_sched!$D:$D,$A4,d_rs_sched!$I:$I,$A4,d_rs_sched!$K:$K,Y$1)+SUMIFS(d_rs_sched!$L:$L,d_rs_sched!$D:$D,$A4,d_rs_sched!$K:$K,$A4,d_rs_sched!$I:$I,Y$1))-(SUMIFS(d_rs_sched!$L:$L,d_rs_sched!$D:$D,$A4,d_rs_sched!$I:$I,$A4,d_rs_sched!$K:$K,Y$1)+SUMIFS(d_rs_sched!$J:$J,d_rs_sched!$D:$D,$A4,d_rs_sched!$K:$K,$A4,d_rs_sched!$I:$I,Y$1)),0)/IFERROR(IF((COUNTIFS(d_rs_sched!$D:$D,$A4,d_rs_sched!$I:$I,$A4,d_rs_sched!$K:$K,Y$1)+COUNTIFS(d_rs_sched!$D:$D,$A4,d_rs_sched!$I:$I,Y$1,d_rs_sched!$K:$K,$A4))&gt;0,(COUNTIFS(d_rs_sched!$D:$D,$A4,d_rs_sched!$I:$I,$A4,d_rs_sched!$K:$K,Y$1)+COUNTIFS(d_rs_sched!$D:$D,$A4,d_rs_sched!$I:$I,Y$1,d_rs_sched!$K:$K,$A4)),1),1)</f>
        <v>0.5</v>
      </c>
      <c r="Z4">
        <f>IFERROR((SUMIFS(d_rs_sched!$J:$J,d_rs_sched!$D:$D,$A4,d_rs_sched!$I:$I,$A4,d_rs_sched!$K:$K,Z$1)+SUMIFS(d_rs_sched!$L:$L,d_rs_sched!$D:$D,$A4,d_rs_sched!$K:$K,$A4,d_rs_sched!$I:$I,Z$1))-(SUMIFS(d_rs_sched!$L:$L,d_rs_sched!$D:$D,$A4,d_rs_sched!$I:$I,$A4,d_rs_sched!$K:$K,Z$1)+SUMIFS(d_rs_sched!$J:$J,d_rs_sched!$D:$D,$A4,d_rs_sched!$K:$K,$A4,d_rs_sched!$I:$I,Z$1)),0)/IFERROR(IF((COUNTIFS(d_rs_sched!$D:$D,$A4,d_rs_sched!$I:$I,$A4,d_rs_sched!$K:$K,Z$1)+COUNTIFS(d_rs_sched!$D:$D,$A4,d_rs_sched!$I:$I,Z$1,d_rs_sched!$K:$K,$A4))&gt;0,(COUNTIFS(d_rs_sched!$D:$D,$A4,d_rs_sched!$I:$I,$A4,d_rs_sched!$K:$K,Z$1)+COUNTIFS(d_rs_sched!$D:$D,$A4,d_rs_sched!$I:$I,Z$1,d_rs_sched!$K:$K,$A4)),1),1)</f>
        <v>-2.5</v>
      </c>
      <c r="AA4">
        <f>IFERROR((SUMIFS(d_rs_sched!$J:$J,d_rs_sched!$D:$D,$A4,d_rs_sched!$I:$I,$A4,d_rs_sched!$K:$K,AA$1)+SUMIFS(d_rs_sched!$L:$L,d_rs_sched!$D:$D,$A4,d_rs_sched!$K:$K,$A4,d_rs_sched!$I:$I,AA$1))-(SUMIFS(d_rs_sched!$L:$L,d_rs_sched!$D:$D,$A4,d_rs_sched!$I:$I,$A4,d_rs_sched!$K:$K,AA$1)+SUMIFS(d_rs_sched!$J:$J,d_rs_sched!$D:$D,$A4,d_rs_sched!$K:$K,$A4,d_rs_sched!$I:$I,AA$1)),0)/IFERROR(IF((COUNTIFS(d_rs_sched!$D:$D,$A4,d_rs_sched!$I:$I,$A4,d_rs_sched!$K:$K,AA$1)+COUNTIFS(d_rs_sched!$D:$D,$A4,d_rs_sched!$I:$I,AA$1,d_rs_sched!$K:$K,$A4))&gt;0,(COUNTIFS(d_rs_sched!$D:$D,$A4,d_rs_sched!$I:$I,$A4,d_rs_sched!$K:$K,AA$1)+COUNTIFS(d_rs_sched!$D:$D,$A4,d_rs_sched!$I:$I,AA$1,d_rs_sched!$K:$K,$A4)),1),1)</f>
        <v>-17</v>
      </c>
      <c r="AB4">
        <f>IFERROR((SUMIFS(d_rs_sched!$J:$J,d_rs_sched!$D:$D,$A4,d_rs_sched!$I:$I,$A4,d_rs_sched!$K:$K,AB$1)+SUMIFS(d_rs_sched!$L:$L,d_rs_sched!$D:$D,$A4,d_rs_sched!$K:$K,$A4,d_rs_sched!$I:$I,AB$1))-(SUMIFS(d_rs_sched!$L:$L,d_rs_sched!$D:$D,$A4,d_rs_sched!$I:$I,$A4,d_rs_sched!$K:$K,AB$1)+SUMIFS(d_rs_sched!$J:$J,d_rs_sched!$D:$D,$A4,d_rs_sched!$K:$K,$A4,d_rs_sched!$I:$I,AB$1)),0)/IFERROR(IF((COUNTIFS(d_rs_sched!$D:$D,$A4,d_rs_sched!$I:$I,$A4,d_rs_sched!$K:$K,AB$1)+COUNTIFS(d_rs_sched!$D:$D,$A4,d_rs_sched!$I:$I,AB$1,d_rs_sched!$K:$K,$A4))&gt;0,(COUNTIFS(d_rs_sched!$D:$D,$A4,d_rs_sched!$I:$I,$A4,d_rs_sched!$K:$K,AB$1)+COUNTIFS(d_rs_sched!$D:$D,$A4,d_rs_sched!$I:$I,AB$1,d_rs_sched!$K:$K,$A4)),1),1)</f>
        <v>7</v>
      </c>
      <c r="AC4">
        <f>IFERROR((SUMIFS(d_rs_sched!$J:$J,d_rs_sched!$D:$D,$A4,d_rs_sched!$I:$I,$A4,d_rs_sched!$K:$K,AC$1)+SUMIFS(d_rs_sched!$L:$L,d_rs_sched!$D:$D,$A4,d_rs_sched!$K:$K,$A4,d_rs_sched!$I:$I,AC$1))-(SUMIFS(d_rs_sched!$L:$L,d_rs_sched!$D:$D,$A4,d_rs_sched!$I:$I,$A4,d_rs_sched!$K:$K,AC$1)+SUMIFS(d_rs_sched!$J:$J,d_rs_sched!$D:$D,$A4,d_rs_sched!$K:$K,$A4,d_rs_sched!$I:$I,AC$1)),0)/IFERROR(IF((COUNTIFS(d_rs_sched!$D:$D,$A4,d_rs_sched!$I:$I,$A4,d_rs_sched!$K:$K,AC$1)+COUNTIFS(d_rs_sched!$D:$D,$A4,d_rs_sched!$I:$I,AC$1,d_rs_sched!$K:$K,$A4))&gt;0,(COUNTIFS(d_rs_sched!$D:$D,$A4,d_rs_sched!$I:$I,$A4,d_rs_sched!$K:$K,AC$1)+COUNTIFS(d_rs_sched!$D:$D,$A4,d_rs_sched!$I:$I,AC$1,d_rs_sched!$K:$K,$A4)),1),1)</f>
        <v>-3.25</v>
      </c>
      <c r="AD4">
        <f>IFERROR((SUMIFS(d_rs_sched!$J:$J,d_rs_sched!$D:$D,$A4,d_rs_sched!$I:$I,$A4,d_rs_sched!$K:$K,AD$1)+SUMIFS(d_rs_sched!$L:$L,d_rs_sched!$D:$D,$A4,d_rs_sched!$K:$K,$A4,d_rs_sched!$I:$I,AD$1))-(SUMIFS(d_rs_sched!$L:$L,d_rs_sched!$D:$D,$A4,d_rs_sched!$I:$I,$A4,d_rs_sched!$K:$K,AD$1)+SUMIFS(d_rs_sched!$J:$J,d_rs_sched!$D:$D,$A4,d_rs_sched!$K:$K,$A4,d_rs_sched!$I:$I,AD$1)),0)/IFERROR(IF((COUNTIFS(d_rs_sched!$D:$D,$A4,d_rs_sched!$I:$I,$A4,d_rs_sched!$K:$K,AD$1)+COUNTIFS(d_rs_sched!$D:$D,$A4,d_rs_sched!$I:$I,AD$1,d_rs_sched!$K:$K,$A4))&gt;0,(COUNTIFS(d_rs_sched!$D:$D,$A4,d_rs_sched!$I:$I,$A4,d_rs_sched!$K:$K,AD$1)+COUNTIFS(d_rs_sched!$D:$D,$A4,d_rs_sched!$I:$I,AD$1,d_rs_sched!$K:$K,$A4)),1),1)</f>
        <v>5</v>
      </c>
      <c r="AE4">
        <f>IFERROR((SUMIFS(d_rs_sched!$J:$J,d_rs_sched!$D:$D,$A4,d_rs_sched!$I:$I,$A4,d_rs_sched!$K:$K,AE$1)+SUMIFS(d_rs_sched!$L:$L,d_rs_sched!$D:$D,$A4,d_rs_sched!$K:$K,$A4,d_rs_sched!$I:$I,AE$1))-(SUMIFS(d_rs_sched!$L:$L,d_rs_sched!$D:$D,$A4,d_rs_sched!$I:$I,$A4,d_rs_sched!$K:$K,AE$1)+SUMIFS(d_rs_sched!$J:$J,d_rs_sched!$D:$D,$A4,d_rs_sched!$K:$K,$A4,d_rs_sched!$I:$I,AE$1)),0)/IFERROR(IF((COUNTIFS(d_rs_sched!$D:$D,$A4,d_rs_sched!$I:$I,$A4,d_rs_sched!$K:$K,AE$1)+COUNTIFS(d_rs_sched!$D:$D,$A4,d_rs_sched!$I:$I,AE$1,d_rs_sched!$K:$K,$A4))&gt;0,(COUNTIFS(d_rs_sched!$D:$D,$A4,d_rs_sched!$I:$I,$A4,d_rs_sched!$K:$K,AE$1)+COUNTIFS(d_rs_sched!$D:$D,$A4,d_rs_sched!$I:$I,AE$1,d_rs_sched!$K:$K,$A4)),1),1)</f>
        <v>-2</v>
      </c>
      <c r="AG4" t="s">
        <v>22</v>
      </c>
      <c r="AH4">
        <v>0.96780162334657516</v>
      </c>
      <c r="AI4">
        <f t="shared" si="0"/>
        <v>19</v>
      </c>
    </row>
    <row r="5" spans="1:35" x14ac:dyDescent="0.25">
      <c r="A5" t="s">
        <v>18</v>
      </c>
      <c r="B5">
        <f>IFERROR((SUMIFS(d_rs_sched!$J:$J,d_rs_sched!$D:$D,$A5,d_rs_sched!$I:$I,$A5,d_rs_sched!$K:$K,B$1)+SUMIFS(d_rs_sched!$L:$L,d_rs_sched!$D:$D,$A5,d_rs_sched!$K:$K,$A5,d_rs_sched!$I:$I,B$1))-(SUMIFS(d_rs_sched!$L:$L,d_rs_sched!$D:$D,$A5,d_rs_sched!$I:$I,$A5,d_rs_sched!$K:$K,B$1)+SUMIFS(d_rs_sched!$J:$J,d_rs_sched!$D:$D,$A5,d_rs_sched!$K:$K,$A5,d_rs_sched!$I:$I,B$1)),0)/IFERROR(IF((COUNTIFS(d_rs_sched!$D:$D,$A5,d_rs_sched!$I:$I,$A5,d_rs_sched!$K:$K,B$1)+COUNTIFS(d_rs_sched!$D:$D,$A5,d_rs_sched!$I:$I,B$1,d_rs_sched!$K:$K,$A5))&gt;0,(COUNTIFS(d_rs_sched!$D:$D,$A5,d_rs_sched!$I:$I,$A5,d_rs_sched!$K:$K,B$1)+COUNTIFS(d_rs_sched!$D:$D,$A5,d_rs_sched!$I:$I,B$1,d_rs_sched!$K:$K,$A5)),1),1)</f>
        <v>-9</v>
      </c>
      <c r="C5">
        <f>IFERROR((SUMIFS(d_rs_sched!$J:$J,d_rs_sched!$D:$D,$A5,d_rs_sched!$I:$I,$A5,d_rs_sched!$K:$K,C$1)+SUMIFS(d_rs_sched!$L:$L,d_rs_sched!$D:$D,$A5,d_rs_sched!$K:$K,$A5,d_rs_sched!$I:$I,C$1))-(SUMIFS(d_rs_sched!$L:$L,d_rs_sched!$D:$D,$A5,d_rs_sched!$I:$I,$A5,d_rs_sched!$K:$K,C$1)+SUMIFS(d_rs_sched!$J:$J,d_rs_sched!$D:$D,$A5,d_rs_sched!$K:$K,$A5,d_rs_sched!$I:$I,C$1)),0)/IFERROR(IF((COUNTIFS(d_rs_sched!$D:$D,$A5,d_rs_sched!$I:$I,$A5,d_rs_sched!$K:$K,C$1)+COUNTIFS(d_rs_sched!$D:$D,$A5,d_rs_sched!$I:$I,C$1,d_rs_sched!$K:$K,$A5))&gt;0,(COUNTIFS(d_rs_sched!$D:$D,$A5,d_rs_sched!$I:$I,$A5,d_rs_sched!$K:$K,C$1)+COUNTIFS(d_rs_sched!$D:$D,$A5,d_rs_sched!$I:$I,C$1,d_rs_sched!$K:$K,$A5)),1),1)</f>
        <v>-2</v>
      </c>
      <c r="D5">
        <f>IFERROR((SUMIFS(d_rs_sched!$J:$J,d_rs_sched!$D:$D,$A5,d_rs_sched!$I:$I,$A5,d_rs_sched!$K:$K,D$1)+SUMIFS(d_rs_sched!$L:$L,d_rs_sched!$D:$D,$A5,d_rs_sched!$K:$K,$A5,d_rs_sched!$I:$I,D$1))-(SUMIFS(d_rs_sched!$L:$L,d_rs_sched!$D:$D,$A5,d_rs_sched!$I:$I,$A5,d_rs_sched!$K:$K,D$1)+SUMIFS(d_rs_sched!$J:$J,d_rs_sched!$D:$D,$A5,d_rs_sched!$K:$K,$A5,d_rs_sched!$I:$I,D$1)),0)/IFERROR(IF((COUNTIFS(d_rs_sched!$D:$D,$A5,d_rs_sched!$I:$I,$A5,d_rs_sched!$K:$K,D$1)+COUNTIFS(d_rs_sched!$D:$D,$A5,d_rs_sched!$I:$I,D$1,d_rs_sched!$K:$K,$A5))&gt;0,(COUNTIFS(d_rs_sched!$D:$D,$A5,d_rs_sched!$I:$I,$A5,d_rs_sched!$K:$K,D$1)+COUNTIFS(d_rs_sched!$D:$D,$A5,d_rs_sched!$I:$I,D$1,d_rs_sched!$K:$K,$A5)),1),1)</f>
        <v>-0.5</v>
      </c>
      <c r="E5">
        <f>IFERROR((SUMIFS(d_rs_sched!$J:$J,d_rs_sched!$D:$D,$A5,d_rs_sched!$I:$I,$A5,d_rs_sched!$K:$K,E$1)+SUMIFS(d_rs_sched!$L:$L,d_rs_sched!$D:$D,$A5,d_rs_sched!$K:$K,$A5,d_rs_sched!$I:$I,E$1))-(SUMIFS(d_rs_sched!$L:$L,d_rs_sched!$D:$D,$A5,d_rs_sched!$I:$I,$A5,d_rs_sched!$K:$K,E$1)+SUMIFS(d_rs_sched!$J:$J,d_rs_sched!$D:$D,$A5,d_rs_sched!$K:$K,$A5,d_rs_sched!$I:$I,E$1)),0)/IFERROR(IF((COUNTIFS(d_rs_sched!$D:$D,$A5,d_rs_sched!$I:$I,$A5,d_rs_sched!$K:$K,E$1)+COUNTIFS(d_rs_sched!$D:$D,$A5,d_rs_sched!$I:$I,E$1,d_rs_sched!$K:$K,$A5))&gt;0,(COUNTIFS(d_rs_sched!$D:$D,$A5,d_rs_sched!$I:$I,$A5,d_rs_sched!$K:$K,E$1)+COUNTIFS(d_rs_sched!$D:$D,$A5,d_rs_sched!$I:$I,E$1,d_rs_sched!$K:$K,$A5)),1),1)</f>
        <v>0</v>
      </c>
      <c r="F5">
        <f>IFERROR((SUMIFS(d_rs_sched!$J:$J,d_rs_sched!$D:$D,$A5,d_rs_sched!$I:$I,$A5,d_rs_sched!$K:$K,F$1)+SUMIFS(d_rs_sched!$L:$L,d_rs_sched!$D:$D,$A5,d_rs_sched!$K:$K,$A5,d_rs_sched!$I:$I,F$1))-(SUMIFS(d_rs_sched!$L:$L,d_rs_sched!$D:$D,$A5,d_rs_sched!$I:$I,$A5,d_rs_sched!$K:$K,F$1)+SUMIFS(d_rs_sched!$J:$J,d_rs_sched!$D:$D,$A5,d_rs_sched!$K:$K,$A5,d_rs_sched!$I:$I,F$1)),0)/IFERROR(IF((COUNTIFS(d_rs_sched!$D:$D,$A5,d_rs_sched!$I:$I,$A5,d_rs_sched!$K:$K,F$1)+COUNTIFS(d_rs_sched!$D:$D,$A5,d_rs_sched!$I:$I,F$1,d_rs_sched!$K:$K,$A5))&gt;0,(COUNTIFS(d_rs_sched!$D:$D,$A5,d_rs_sched!$I:$I,$A5,d_rs_sched!$K:$K,F$1)+COUNTIFS(d_rs_sched!$D:$D,$A5,d_rs_sched!$I:$I,F$1,d_rs_sched!$K:$K,$A5)),1),1)</f>
        <v>0.75</v>
      </c>
      <c r="G5">
        <f>IFERROR((SUMIFS(d_rs_sched!$J:$J,d_rs_sched!$D:$D,$A5,d_rs_sched!$I:$I,$A5,d_rs_sched!$K:$K,G$1)+SUMIFS(d_rs_sched!$L:$L,d_rs_sched!$D:$D,$A5,d_rs_sched!$K:$K,$A5,d_rs_sched!$I:$I,G$1))-(SUMIFS(d_rs_sched!$L:$L,d_rs_sched!$D:$D,$A5,d_rs_sched!$I:$I,$A5,d_rs_sched!$K:$K,G$1)+SUMIFS(d_rs_sched!$J:$J,d_rs_sched!$D:$D,$A5,d_rs_sched!$K:$K,$A5,d_rs_sched!$I:$I,G$1)),0)/IFERROR(IF((COUNTIFS(d_rs_sched!$D:$D,$A5,d_rs_sched!$I:$I,$A5,d_rs_sched!$K:$K,G$1)+COUNTIFS(d_rs_sched!$D:$D,$A5,d_rs_sched!$I:$I,G$1,d_rs_sched!$K:$K,$A5))&gt;0,(COUNTIFS(d_rs_sched!$D:$D,$A5,d_rs_sched!$I:$I,$A5,d_rs_sched!$K:$K,G$1)+COUNTIFS(d_rs_sched!$D:$D,$A5,d_rs_sched!$I:$I,G$1,d_rs_sched!$K:$K,$A5)),1),1)</f>
        <v>-17.333333333333332</v>
      </c>
      <c r="H5">
        <f>IFERROR((SUMIFS(d_rs_sched!$J:$J,d_rs_sched!$D:$D,$A5,d_rs_sched!$I:$I,$A5,d_rs_sched!$K:$K,H$1)+SUMIFS(d_rs_sched!$L:$L,d_rs_sched!$D:$D,$A5,d_rs_sched!$K:$K,$A5,d_rs_sched!$I:$I,H$1))-(SUMIFS(d_rs_sched!$L:$L,d_rs_sched!$D:$D,$A5,d_rs_sched!$I:$I,$A5,d_rs_sched!$K:$K,H$1)+SUMIFS(d_rs_sched!$J:$J,d_rs_sched!$D:$D,$A5,d_rs_sched!$K:$K,$A5,d_rs_sched!$I:$I,H$1)),0)/IFERROR(IF((COUNTIFS(d_rs_sched!$D:$D,$A5,d_rs_sched!$I:$I,$A5,d_rs_sched!$K:$K,H$1)+COUNTIFS(d_rs_sched!$D:$D,$A5,d_rs_sched!$I:$I,H$1,d_rs_sched!$K:$K,$A5))&gt;0,(COUNTIFS(d_rs_sched!$D:$D,$A5,d_rs_sched!$I:$I,$A5,d_rs_sched!$K:$K,H$1)+COUNTIFS(d_rs_sched!$D:$D,$A5,d_rs_sched!$I:$I,H$1,d_rs_sched!$K:$K,$A5)),1),1)</f>
        <v>-19</v>
      </c>
      <c r="I5">
        <f>IFERROR((SUMIFS(d_rs_sched!$J:$J,d_rs_sched!$D:$D,$A5,d_rs_sched!$I:$I,$A5,d_rs_sched!$K:$K,I$1)+SUMIFS(d_rs_sched!$L:$L,d_rs_sched!$D:$D,$A5,d_rs_sched!$K:$K,$A5,d_rs_sched!$I:$I,I$1))-(SUMIFS(d_rs_sched!$L:$L,d_rs_sched!$D:$D,$A5,d_rs_sched!$I:$I,$A5,d_rs_sched!$K:$K,I$1)+SUMIFS(d_rs_sched!$J:$J,d_rs_sched!$D:$D,$A5,d_rs_sched!$K:$K,$A5,d_rs_sched!$I:$I,I$1)),0)/IFERROR(IF((COUNTIFS(d_rs_sched!$D:$D,$A5,d_rs_sched!$I:$I,$A5,d_rs_sched!$K:$K,I$1)+COUNTIFS(d_rs_sched!$D:$D,$A5,d_rs_sched!$I:$I,I$1,d_rs_sched!$K:$K,$A5))&gt;0,(COUNTIFS(d_rs_sched!$D:$D,$A5,d_rs_sched!$I:$I,$A5,d_rs_sched!$K:$K,I$1)+COUNTIFS(d_rs_sched!$D:$D,$A5,d_rs_sched!$I:$I,I$1,d_rs_sched!$K:$K,$A5)),1),1)</f>
        <v>23</v>
      </c>
      <c r="J5">
        <f>IFERROR((SUMIFS(d_rs_sched!$J:$J,d_rs_sched!$D:$D,$A5,d_rs_sched!$I:$I,$A5,d_rs_sched!$K:$K,J$1)+SUMIFS(d_rs_sched!$L:$L,d_rs_sched!$D:$D,$A5,d_rs_sched!$K:$K,$A5,d_rs_sched!$I:$I,J$1))-(SUMIFS(d_rs_sched!$L:$L,d_rs_sched!$D:$D,$A5,d_rs_sched!$I:$I,$A5,d_rs_sched!$K:$K,J$1)+SUMIFS(d_rs_sched!$J:$J,d_rs_sched!$D:$D,$A5,d_rs_sched!$K:$K,$A5,d_rs_sched!$I:$I,J$1)),0)/IFERROR(IF((COUNTIFS(d_rs_sched!$D:$D,$A5,d_rs_sched!$I:$I,$A5,d_rs_sched!$K:$K,J$1)+COUNTIFS(d_rs_sched!$D:$D,$A5,d_rs_sched!$I:$I,J$1,d_rs_sched!$K:$K,$A5))&gt;0,(COUNTIFS(d_rs_sched!$D:$D,$A5,d_rs_sched!$I:$I,$A5,d_rs_sched!$K:$K,J$1)+COUNTIFS(d_rs_sched!$D:$D,$A5,d_rs_sched!$I:$I,J$1,d_rs_sched!$K:$K,$A5)),1),1)</f>
        <v>-9</v>
      </c>
      <c r="K5">
        <f>IFERROR((SUMIFS(d_rs_sched!$J:$J,d_rs_sched!$D:$D,$A5,d_rs_sched!$I:$I,$A5,d_rs_sched!$K:$K,K$1)+SUMIFS(d_rs_sched!$L:$L,d_rs_sched!$D:$D,$A5,d_rs_sched!$K:$K,$A5,d_rs_sched!$I:$I,K$1))-(SUMIFS(d_rs_sched!$L:$L,d_rs_sched!$D:$D,$A5,d_rs_sched!$I:$I,$A5,d_rs_sched!$K:$K,K$1)+SUMIFS(d_rs_sched!$J:$J,d_rs_sched!$D:$D,$A5,d_rs_sched!$K:$K,$A5,d_rs_sched!$I:$I,K$1)),0)/IFERROR(IF((COUNTIFS(d_rs_sched!$D:$D,$A5,d_rs_sched!$I:$I,$A5,d_rs_sched!$K:$K,K$1)+COUNTIFS(d_rs_sched!$D:$D,$A5,d_rs_sched!$I:$I,K$1,d_rs_sched!$K:$K,$A5))&gt;0,(COUNTIFS(d_rs_sched!$D:$D,$A5,d_rs_sched!$I:$I,$A5,d_rs_sched!$K:$K,K$1)+COUNTIFS(d_rs_sched!$D:$D,$A5,d_rs_sched!$I:$I,K$1,d_rs_sched!$K:$K,$A5)),1),1)</f>
        <v>-15</v>
      </c>
      <c r="L5">
        <f>IFERROR((SUMIFS(d_rs_sched!$J:$J,d_rs_sched!$D:$D,$A5,d_rs_sched!$I:$I,$A5,d_rs_sched!$K:$K,L$1)+SUMIFS(d_rs_sched!$L:$L,d_rs_sched!$D:$D,$A5,d_rs_sched!$K:$K,$A5,d_rs_sched!$I:$I,L$1))-(SUMIFS(d_rs_sched!$L:$L,d_rs_sched!$D:$D,$A5,d_rs_sched!$I:$I,$A5,d_rs_sched!$K:$K,L$1)+SUMIFS(d_rs_sched!$J:$J,d_rs_sched!$D:$D,$A5,d_rs_sched!$K:$K,$A5,d_rs_sched!$I:$I,L$1)),0)/IFERROR(IF((COUNTIFS(d_rs_sched!$D:$D,$A5,d_rs_sched!$I:$I,$A5,d_rs_sched!$K:$K,L$1)+COUNTIFS(d_rs_sched!$D:$D,$A5,d_rs_sched!$I:$I,L$1,d_rs_sched!$K:$K,$A5))&gt;0,(COUNTIFS(d_rs_sched!$D:$D,$A5,d_rs_sched!$I:$I,$A5,d_rs_sched!$K:$K,L$1)+COUNTIFS(d_rs_sched!$D:$D,$A5,d_rs_sched!$I:$I,L$1,d_rs_sched!$K:$K,$A5)),1),1)</f>
        <v>-14.5</v>
      </c>
      <c r="M5">
        <f>IFERROR((SUMIFS(d_rs_sched!$J:$J,d_rs_sched!$D:$D,$A5,d_rs_sched!$I:$I,$A5,d_rs_sched!$K:$K,M$1)+SUMIFS(d_rs_sched!$L:$L,d_rs_sched!$D:$D,$A5,d_rs_sched!$K:$K,$A5,d_rs_sched!$I:$I,M$1))-(SUMIFS(d_rs_sched!$L:$L,d_rs_sched!$D:$D,$A5,d_rs_sched!$I:$I,$A5,d_rs_sched!$K:$K,M$1)+SUMIFS(d_rs_sched!$J:$J,d_rs_sched!$D:$D,$A5,d_rs_sched!$K:$K,$A5,d_rs_sched!$I:$I,M$1)),0)/IFERROR(IF((COUNTIFS(d_rs_sched!$D:$D,$A5,d_rs_sched!$I:$I,$A5,d_rs_sched!$K:$K,M$1)+COUNTIFS(d_rs_sched!$D:$D,$A5,d_rs_sched!$I:$I,M$1,d_rs_sched!$K:$K,$A5))&gt;0,(COUNTIFS(d_rs_sched!$D:$D,$A5,d_rs_sched!$I:$I,$A5,d_rs_sched!$K:$K,M$1)+COUNTIFS(d_rs_sched!$D:$D,$A5,d_rs_sched!$I:$I,M$1,d_rs_sched!$K:$K,$A5)),1),1)</f>
        <v>-3.25</v>
      </c>
      <c r="N5">
        <f>IFERROR((SUMIFS(d_rs_sched!$J:$J,d_rs_sched!$D:$D,$A5,d_rs_sched!$I:$I,$A5,d_rs_sched!$K:$K,N$1)+SUMIFS(d_rs_sched!$L:$L,d_rs_sched!$D:$D,$A5,d_rs_sched!$K:$K,$A5,d_rs_sched!$I:$I,N$1))-(SUMIFS(d_rs_sched!$L:$L,d_rs_sched!$D:$D,$A5,d_rs_sched!$I:$I,$A5,d_rs_sched!$K:$K,N$1)+SUMIFS(d_rs_sched!$J:$J,d_rs_sched!$D:$D,$A5,d_rs_sched!$K:$K,$A5,d_rs_sched!$I:$I,N$1)),0)/IFERROR(IF((COUNTIFS(d_rs_sched!$D:$D,$A5,d_rs_sched!$I:$I,$A5,d_rs_sched!$K:$K,N$1)+COUNTIFS(d_rs_sched!$D:$D,$A5,d_rs_sched!$I:$I,N$1,d_rs_sched!$K:$K,$A5))&gt;0,(COUNTIFS(d_rs_sched!$D:$D,$A5,d_rs_sched!$I:$I,$A5,d_rs_sched!$K:$K,N$1)+COUNTIFS(d_rs_sched!$D:$D,$A5,d_rs_sched!$I:$I,N$1,d_rs_sched!$K:$K,$A5)),1),1)</f>
        <v>-14</v>
      </c>
      <c r="O5">
        <f>IFERROR((SUMIFS(d_rs_sched!$J:$J,d_rs_sched!$D:$D,$A5,d_rs_sched!$I:$I,$A5,d_rs_sched!$K:$K,O$1)+SUMIFS(d_rs_sched!$L:$L,d_rs_sched!$D:$D,$A5,d_rs_sched!$K:$K,$A5,d_rs_sched!$I:$I,O$1))-(SUMIFS(d_rs_sched!$L:$L,d_rs_sched!$D:$D,$A5,d_rs_sched!$I:$I,$A5,d_rs_sched!$K:$K,O$1)+SUMIFS(d_rs_sched!$J:$J,d_rs_sched!$D:$D,$A5,d_rs_sched!$K:$K,$A5,d_rs_sched!$I:$I,O$1)),0)/IFERROR(IF((COUNTIFS(d_rs_sched!$D:$D,$A5,d_rs_sched!$I:$I,$A5,d_rs_sched!$K:$K,O$1)+COUNTIFS(d_rs_sched!$D:$D,$A5,d_rs_sched!$I:$I,O$1,d_rs_sched!$K:$K,$A5))&gt;0,(COUNTIFS(d_rs_sched!$D:$D,$A5,d_rs_sched!$I:$I,$A5,d_rs_sched!$K:$K,O$1)+COUNTIFS(d_rs_sched!$D:$D,$A5,d_rs_sched!$I:$I,O$1,d_rs_sched!$K:$K,$A5)),1),1)</f>
        <v>-7</v>
      </c>
      <c r="P5">
        <f>IFERROR((SUMIFS(d_rs_sched!$J:$J,d_rs_sched!$D:$D,$A5,d_rs_sched!$I:$I,$A5,d_rs_sched!$K:$K,P$1)+SUMIFS(d_rs_sched!$L:$L,d_rs_sched!$D:$D,$A5,d_rs_sched!$K:$K,$A5,d_rs_sched!$I:$I,P$1))-(SUMIFS(d_rs_sched!$L:$L,d_rs_sched!$D:$D,$A5,d_rs_sched!$I:$I,$A5,d_rs_sched!$K:$K,P$1)+SUMIFS(d_rs_sched!$J:$J,d_rs_sched!$D:$D,$A5,d_rs_sched!$K:$K,$A5,d_rs_sched!$I:$I,P$1)),0)/IFERROR(IF((COUNTIFS(d_rs_sched!$D:$D,$A5,d_rs_sched!$I:$I,$A5,d_rs_sched!$K:$K,P$1)+COUNTIFS(d_rs_sched!$D:$D,$A5,d_rs_sched!$I:$I,P$1,d_rs_sched!$K:$K,$A5))&gt;0,(COUNTIFS(d_rs_sched!$D:$D,$A5,d_rs_sched!$I:$I,$A5,d_rs_sched!$K:$K,P$1)+COUNTIFS(d_rs_sched!$D:$D,$A5,d_rs_sched!$I:$I,P$1,d_rs_sched!$K:$K,$A5)),1),1)</f>
        <v>-4</v>
      </c>
      <c r="Q5">
        <f>IFERROR((SUMIFS(d_rs_sched!$J:$J,d_rs_sched!$D:$D,$A5,d_rs_sched!$I:$I,$A5,d_rs_sched!$K:$K,Q$1)+SUMIFS(d_rs_sched!$L:$L,d_rs_sched!$D:$D,$A5,d_rs_sched!$K:$K,$A5,d_rs_sched!$I:$I,Q$1))-(SUMIFS(d_rs_sched!$L:$L,d_rs_sched!$D:$D,$A5,d_rs_sched!$I:$I,$A5,d_rs_sched!$K:$K,Q$1)+SUMIFS(d_rs_sched!$J:$J,d_rs_sched!$D:$D,$A5,d_rs_sched!$K:$K,$A5,d_rs_sched!$I:$I,Q$1)),0)/IFERROR(IF((COUNTIFS(d_rs_sched!$D:$D,$A5,d_rs_sched!$I:$I,$A5,d_rs_sched!$K:$K,Q$1)+COUNTIFS(d_rs_sched!$D:$D,$A5,d_rs_sched!$I:$I,Q$1,d_rs_sched!$K:$K,$A5))&gt;0,(COUNTIFS(d_rs_sched!$D:$D,$A5,d_rs_sched!$I:$I,$A5,d_rs_sched!$K:$K,Q$1)+COUNTIFS(d_rs_sched!$D:$D,$A5,d_rs_sched!$I:$I,Q$1,d_rs_sched!$K:$K,$A5)),1),1)</f>
        <v>0.75</v>
      </c>
      <c r="R5">
        <f>IFERROR((SUMIFS(d_rs_sched!$J:$J,d_rs_sched!$D:$D,$A5,d_rs_sched!$I:$I,$A5,d_rs_sched!$K:$K,R$1)+SUMIFS(d_rs_sched!$L:$L,d_rs_sched!$D:$D,$A5,d_rs_sched!$K:$K,$A5,d_rs_sched!$I:$I,R$1))-(SUMIFS(d_rs_sched!$L:$L,d_rs_sched!$D:$D,$A5,d_rs_sched!$I:$I,$A5,d_rs_sched!$K:$K,R$1)+SUMIFS(d_rs_sched!$J:$J,d_rs_sched!$D:$D,$A5,d_rs_sched!$K:$K,$A5,d_rs_sched!$I:$I,R$1)),0)/IFERROR(IF((COUNTIFS(d_rs_sched!$D:$D,$A5,d_rs_sched!$I:$I,$A5,d_rs_sched!$K:$K,R$1)+COUNTIFS(d_rs_sched!$D:$D,$A5,d_rs_sched!$I:$I,R$1,d_rs_sched!$K:$K,$A5))&gt;0,(COUNTIFS(d_rs_sched!$D:$D,$A5,d_rs_sched!$I:$I,$A5,d_rs_sched!$K:$K,R$1)+COUNTIFS(d_rs_sched!$D:$D,$A5,d_rs_sched!$I:$I,R$1,d_rs_sched!$K:$K,$A5)),1),1)</f>
        <v>-0.33333333333333331</v>
      </c>
      <c r="S5">
        <f>IFERROR((SUMIFS(d_rs_sched!$J:$J,d_rs_sched!$D:$D,$A5,d_rs_sched!$I:$I,$A5,d_rs_sched!$K:$K,S$1)+SUMIFS(d_rs_sched!$L:$L,d_rs_sched!$D:$D,$A5,d_rs_sched!$K:$K,$A5,d_rs_sched!$I:$I,S$1))-(SUMIFS(d_rs_sched!$L:$L,d_rs_sched!$D:$D,$A5,d_rs_sched!$I:$I,$A5,d_rs_sched!$K:$K,S$1)+SUMIFS(d_rs_sched!$J:$J,d_rs_sched!$D:$D,$A5,d_rs_sched!$K:$K,$A5,d_rs_sched!$I:$I,S$1)),0)/IFERROR(IF((COUNTIFS(d_rs_sched!$D:$D,$A5,d_rs_sched!$I:$I,$A5,d_rs_sched!$K:$K,S$1)+COUNTIFS(d_rs_sched!$D:$D,$A5,d_rs_sched!$I:$I,S$1,d_rs_sched!$K:$K,$A5))&gt;0,(COUNTIFS(d_rs_sched!$D:$D,$A5,d_rs_sched!$I:$I,$A5,d_rs_sched!$K:$K,S$1)+COUNTIFS(d_rs_sched!$D:$D,$A5,d_rs_sched!$I:$I,S$1,d_rs_sched!$K:$K,$A5)),1),1)</f>
        <v>18</v>
      </c>
      <c r="T5">
        <f>IFERROR((SUMIFS(d_rs_sched!$J:$J,d_rs_sched!$D:$D,$A5,d_rs_sched!$I:$I,$A5,d_rs_sched!$K:$K,T$1)+SUMIFS(d_rs_sched!$L:$L,d_rs_sched!$D:$D,$A5,d_rs_sched!$K:$K,$A5,d_rs_sched!$I:$I,T$1))-(SUMIFS(d_rs_sched!$L:$L,d_rs_sched!$D:$D,$A5,d_rs_sched!$I:$I,$A5,d_rs_sched!$K:$K,T$1)+SUMIFS(d_rs_sched!$J:$J,d_rs_sched!$D:$D,$A5,d_rs_sched!$K:$K,$A5,d_rs_sched!$I:$I,T$1)),0)/IFERROR(IF((COUNTIFS(d_rs_sched!$D:$D,$A5,d_rs_sched!$I:$I,$A5,d_rs_sched!$K:$K,T$1)+COUNTIFS(d_rs_sched!$D:$D,$A5,d_rs_sched!$I:$I,T$1,d_rs_sched!$K:$K,$A5))&gt;0,(COUNTIFS(d_rs_sched!$D:$D,$A5,d_rs_sched!$I:$I,$A5,d_rs_sched!$K:$K,T$1)+COUNTIFS(d_rs_sched!$D:$D,$A5,d_rs_sched!$I:$I,T$1,d_rs_sched!$K:$K,$A5)),1),1)</f>
        <v>-2.5</v>
      </c>
      <c r="U5">
        <f>IFERROR((SUMIFS(d_rs_sched!$J:$J,d_rs_sched!$D:$D,$A5,d_rs_sched!$I:$I,$A5,d_rs_sched!$K:$K,U$1)+SUMIFS(d_rs_sched!$L:$L,d_rs_sched!$D:$D,$A5,d_rs_sched!$K:$K,$A5,d_rs_sched!$I:$I,U$1))-(SUMIFS(d_rs_sched!$L:$L,d_rs_sched!$D:$D,$A5,d_rs_sched!$I:$I,$A5,d_rs_sched!$K:$K,U$1)+SUMIFS(d_rs_sched!$J:$J,d_rs_sched!$D:$D,$A5,d_rs_sched!$K:$K,$A5,d_rs_sched!$I:$I,U$1)),0)/IFERROR(IF((COUNTIFS(d_rs_sched!$D:$D,$A5,d_rs_sched!$I:$I,$A5,d_rs_sched!$K:$K,U$1)+COUNTIFS(d_rs_sched!$D:$D,$A5,d_rs_sched!$I:$I,U$1,d_rs_sched!$K:$K,$A5))&gt;0,(COUNTIFS(d_rs_sched!$D:$D,$A5,d_rs_sched!$I:$I,$A5,d_rs_sched!$K:$K,U$1)+COUNTIFS(d_rs_sched!$D:$D,$A5,d_rs_sched!$I:$I,U$1,d_rs_sched!$K:$K,$A5)),1),1)</f>
        <v>7.75</v>
      </c>
      <c r="V5">
        <f>IFERROR((SUMIFS(d_rs_sched!$J:$J,d_rs_sched!$D:$D,$A5,d_rs_sched!$I:$I,$A5,d_rs_sched!$K:$K,V$1)+SUMIFS(d_rs_sched!$L:$L,d_rs_sched!$D:$D,$A5,d_rs_sched!$K:$K,$A5,d_rs_sched!$I:$I,V$1))-(SUMIFS(d_rs_sched!$L:$L,d_rs_sched!$D:$D,$A5,d_rs_sched!$I:$I,$A5,d_rs_sched!$K:$K,V$1)+SUMIFS(d_rs_sched!$J:$J,d_rs_sched!$D:$D,$A5,d_rs_sched!$K:$K,$A5,d_rs_sched!$I:$I,V$1)),0)/IFERROR(IF((COUNTIFS(d_rs_sched!$D:$D,$A5,d_rs_sched!$I:$I,$A5,d_rs_sched!$K:$K,V$1)+COUNTIFS(d_rs_sched!$D:$D,$A5,d_rs_sched!$I:$I,V$1,d_rs_sched!$K:$K,$A5))&gt;0,(COUNTIFS(d_rs_sched!$D:$D,$A5,d_rs_sched!$I:$I,$A5,d_rs_sched!$K:$K,V$1)+COUNTIFS(d_rs_sched!$D:$D,$A5,d_rs_sched!$I:$I,V$1,d_rs_sched!$K:$K,$A5)),1),1)</f>
        <v>-15</v>
      </c>
      <c r="W5">
        <f>IFERROR((SUMIFS(d_rs_sched!$J:$J,d_rs_sched!$D:$D,$A5,d_rs_sched!$I:$I,$A5,d_rs_sched!$K:$K,W$1)+SUMIFS(d_rs_sched!$L:$L,d_rs_sched!$D:$D,$A5,d_rs_sched!$K:$K,$A5,d_rs_sched!$I:$I,W$1))-(SUMIFS(d_rs_sched!$L:$L,d_rs_sched!$D:$D,$A5,d_rs_sched!$I:$I,$A5,d_rs_sched!$K:$K,W$1)+SUMIFS(d_rs_sched!$J:$J,d_rs_sched!$D:$D,$A5,d_rs_sched!$K:$K,$A5,d_rs_sched!$I:$I,W$1)),0)/IFERROR(IF((COUNTIFS(d_rs_sched!$D:$D,$A5,d_rs_sched!$I:$I,$A5,d_rs_sched!$K:$K,W$1)+COUNTIFS(d_rs_sched!$D:$D,$A5,d_rs_sched!$I:$I,W$1,d_rs_sched!$K:$K,$A5))&gt;0,(COUNTIFS(d_rs_sched!$D:$D,$A5,d_rs_sched!$I:$I,$A5,d_rs_sched!$K:$K,W$1)+COUNTIFS(d_rs_sched!$D:$D,$A5,d_rs_sched!$I:$I,W$1,d_rs_sched!$K:$K,$A5)),1),1)</f>
        <v>2.5</v>
      </c>
      <c r="X5">
        <f>IFERROR((SUMIFS(d_rs_sched!$J:$J,d_rs_sched!$D:$D,$A5,d_rs_sched!$I:$I,$A5,d_rs_sched!$K:$K,X$1)+SUMIFS(d_rs_sched!$L:$L,d_rs_sched!$D:$D,$A5,d_rs_sched!$K:$K,$A5,d_rs_sched!$I:$I,X$1))-(SUMIFS(d_rs_sched!$L:$L,d_rs_sched!$D:$D,$A5,d_rs_sched!$I:$I,$A5,d_rs_sched!$K:$K,X$1)+SUMIFS(d_rs_sched!$J:$J,d_rs_sched!$D:$D,$A5,d_rs_sched!$K:$K,$A5,d_rs_sched!$I:$I,X$1)),0)/IFERROR(IF((COUNTIFS(d_rs_sched!$D:$D,$A5,d_rs_sched!$I:$I,$A5,d_rs_sched!$K:$K,X$1)+COUNTIFS(d_rs_sched!$D:$D,$A5,d_rs_sched!$I:$I,X$1,d_rs_sched!$K:$K,$A5))&gt;0,(COUNTIFS(d_rs_sched!$D:$D,$A5,d_rs_sched!$I:$I,$A5,d_rs_sched!$K:$K,X$1)+COUNTIFS(d_rs_sched!$D:$D,$A5,d_rs_sched!$I:$I,X$1,d_rs_sched!$K:$K,$A5)),1),1)</f>
        <v>3.6666666666666665</v>
      </c>
      <c r="Y5">
        <f>IFERROR((SUMIFS(d_rs_sched!$J:$J,d_rs_sched!$D:$D,$A5,d_rs_sched!$I:$I,$A5,d_rs_sched!$K:$K,Y$1)+SUMIFS(d_rs_sched!$L:$L,d_rs_sched!$D:$D,$A5,d_rs_sched!$K:$K,$A5,d_rs_sched!$I:$I,Y$1))-(SUMIFS(d_rs_sched!$L:$L,d_rs_sched!$D:$D,$A5,d_rs_sched!$I:$I,$A5,d_rs_sched!$K:$K,Y$1)+SUMIFS(d_rs_sched!$J:$J,d_rs_sched!$D:$D,$A5,d_rs_sched!$K:$K,$A5,d_rs_sched!$I:$I,Y$1)),0)/IFERROR(IF((COUNTIFS(d_rs_sched!$D:$D,$A5,d_rs_sched!$I:$I,$A5,d_rs_sched!$K:$K,Y$1)+COUNTIFS(d_rs_sched!$D:$D,$A5,d_rs_sched!$I:$I,Y$1,d_rs_sched!$K:$K,$A5))&gt;0,(COUNTIFS(d_rs_sched!$D:$D,$A5,d_rs_sched!$I:$I,$A5,d_rs_sched!$K:$K,Y$1)+COUNTIFS(d_rs_sched!$D:$D,$A5,d_rs_sched!$I:$I,Y$1,d_rs_sched!$K:$K,$A5)),1),1)</f>
        <v>1.5</v>
      </c>
      <c r="Z5">
        <f>IFERROR((SUMIFS(d_rs_sched!$J:$J,d_rs_sched!$D:$D,$A5,d_rs_sched!$I:$I,$A5,d_rs_sched!$K:$K,Z$1)+SUMIFS(d_rs_sched!$L:$L,d_rs_sched!$D:$D,$A5,d_rs_sched!$K:$K,$A5,d_rs_sched!$I:$I,Z$1))-(SUMIFS(d_rs_sched!$L:$L,d_rs_sched!$D:$D,$A5,d_rs_sched!$I:$I,$A5,d_rs_sched!$K:$K,Z$1)+SUMIFS(d_rs_sched!$J:$J,d_rs_sched!$D:$D,$A5,d_rs_sched!$K:$K,$A5,d_rs_sched!$I:$I,Z$1)),0)/IFERROR(IF((COUNTIFS(d_rs_sched!$D:$D,$A5,d_rs_sched!$I:$I,$A5,d_rs_sched!$K:$K,Z$1)+COUNTIFS(d_rs_sched!$D:$D,$A5,d_rs_sched!$I:$I,Z$1,d_rs_sched!$K:$K,$A5))&gt;0,(COUNTIFS(d_rs_sched!$D:$D,$A5,d_rs_sched!$I:$I,$A5,d_rs_sched!$K:$K,Z$1)+COUNTIFS(d_rs_sched!$D:$D,$A5,d_rs_sched!$I:$I,Z$1,d_rs_sched!$K:$K,$A5)),1),1)</f>
        <v>-5</v>
      </c>
      <c r="AA5">
        <f>IFERROR((SUMIFS(d_rs_sched!$J:$J,d_rs_sched!$D:$D,$A5,d_rs_sched!$I:$I,$A5,d_rs_sched!$K:$K,AA$1)+SUMIFS(d_rs_sched!$L:$L,d_rs_sched!$D:$D,$A5,d_rs_sched!$K:$K,$A5,d_rs_sched!$I:$I,AA$1))-(SUMIFS(d_rs_sched!$L:$L,d_rs_sched!$D:$D,$A5,d_rs_sched!$I:$I,$A5,d_rs_sched!$K:$K,AA$1)+SUMIFS(d_rs_sched!$J:$J,d_rs_sched!$D:$D,$A5,d_rs_sched!$K:$K,$A5,d_rs_sched!$I:$I,AA$1)),0)/IFERROR(IF((COUNTIFS(d_rs_sched!$D:$D,$A5,d_rs_sched!$I:$I,$A5,d_rs_sched!$K:$K,AA$1)+COUNTIFS(d_rs_sched!$D:$D,$A5,d_rs_sched!$I:$I,AA$1,d_rs_sched!$K:$K,$A5))&gt;0,(COUNTIFS(d_rs_sched!$D:$D,$A5,d_rs_sched!$I:$I,$A5,d_rs_sched!$K:$K,AA$1)+COUNTIFS(d_rs_sched!$D:$D,$A5,d_rs_sched!$I:$I,AA$1,d_rs_sched!$K:$K,$A5)),1),1)</f>
        <v>-7</v>
      </c>
      <c r="AB5">
        <f>IFERROR((SUMIFS(d_rs_sched!$J:$J,d_rs_sched!$D:$D,$A5,d_rs_sched!$I:$I,$A5,d_rs_sched!$K:$K,AB$1)+SUMIFS(d_rs_sched!$L:$L,d_rs_sched!$D:$D,$A5,d_rs_sched!$K:$K,$A5,d_rs_sched!$I:$I,AB$1))-(SUMIFS(d_rs_sched!$L:$L,d_rs_sched!$D:$D,$A5,d_rs_sched!$I:$I,$A5,d_rs_sched!$K:$K,AB$1)+SUMIFS(d_rs_sched!$J:$J,d_rs_sched!$D:$D,$A5,d_rs_sched!$K:$K,$A5,d_rs_sched!$I:$I,AB$1)),0)/IFERROR(IF((COUNTIFS(d_rs_sched!$D:$D,$A5,d_rs_sched!$I:$I,$A5,d_rs_sched!$K:$K,AB$1)+COUNTIFS(d_rs_sched!$D:$D,$A5,d_rs_sched!$I:$I,AB$1,d_rs_sched!$K:$K,$A5))&gt;0,(COUNTIFS(d_rs_sched!$D:$D,$A5,d_rs_sched!$I:$I,$A5,d_rs_sched!$K:$K,AB$1)+COUNTIFS(d_rs_sched!$D:$D,$A5,d_rs_sched!$I:$I,AB$1,d_rs_sched!$K:$K,$A5)),1),1)</f>
        <v>-8.5</v>
      </c>
      <c r="AC5">
        <f>IFERROR((SUMIFS(d_rs_sched!$J:$J,d_rs_sched!$D:$D,$A5,d_rs_sched!$I:$I,$A5,d_rs_sched!$K:$K,AC$1)+SUMIFS(d_rs_sched!$L:$L,d_rs_sched!$D:$D,$A5,d_rs_sched!$K:$K,$A5,d_rs_sched!$I:$I,AC$1))-(SUMIFS(d_rs_sched!$L:$L,d_rs_sched!$D:$D,$A5,d_rs_sched!$I:$I,$A5,d_rs_sched!$K:$K,AC$1)+SUMIFS(d_rs_sched!$J:$J,d_rs_sched!$D:$D,$A5,d_rs_sched!$K:$K,$A5,d_rs_sched!$I:$I,AC$1)),0)/IFERROR(IF((COUNTIFS(d_rs_sched!$D:$D,$A5,d_rs_sched!$I:$I,$A5,d_rs_sched!$K:$K,AC$1)+COUNTIFS(d_rs_sched!$D:$D,$A5,d_rs_sched!$I:$I,AC$1,d_rs_sched!$K:$K,$A5))&gt;0,(COUNTIFS(d_rs_sched!$D:$D,$A5,d_rs_sched!$I:$I,$A5,d_rs_sched!$K:$K,AC$1)+COUNTIFS(d_rs_sched!$D:$D,$A5,d_rs_sched!$I:$I,AC$1,d_rs_sched!$K:$K,$A5)),1),1)</f>
        <v>-1.5</v>
      </c>
      <c r="AD5">
        <f>IFERROR((SUMIFS(d_rs_sched!$J:$J,d_rs_sched!$D:$D,$A5,d_rs_sched!$I:$I,$A5,d_rs_sched!$K:$K,AD$1)+SUMIFS(d_rs_sched!$L:$L,d_rs_sched!$D:$D,$A5,d_rs_sched!$K:$K,$A5,d_rs_sched!$I:$I,AD$1))-(SUMIFS(d_rs_sched!$L:$L,d_rs_sched!$D:$D,$A5,d_rs_sched!$I:$I,$A5,d_rs_sched!$K:$K,AD$1)+SUMIFS(d_rs_sched!$J:$J,d_rs_sched!$D:$D,$A5,d_rs_sched!$K:$K,$A5,d_rs_sched!$I:$I,AD$1)),0)/IFERROR(IF((COUNTIFS(d_rs_sched!$D:$D,$A5,d_rs_sched!$I:$I,$A5,d_rs_sched!$K:$K,AD$1)+COUNTIFS(d_rs_sched!$D:$D,$A5,d_rs_sched!$I:$I,AD$1,d_rs_sched!$K:$K,$A5))&gt;0,(COUNTIFS(d_rs_sched!$D:$D,$A5,d_rs_sched!$I:$I,$A5,d_rs_sched!$K:$K,AD$1)+COUNTIFS(d_rs_sched!$D:$D,$A5,d_rs_sched!$I:$I,AD$1,d_rs_sched!$K:$K,$A5)),1),1)</f>
        <v>-5</v>
      </c>
      <c r="AE5">
        <f>IFERROR((SUMIFS(d_rs_sched!$J:$J,d_rs_sched!$D:$D,$A5,d_rs_sched!$I:$I,$A5,d_rs_sched!$K:$K,AE$1)+SUMIFS(d_rs_sched!$L:$L,d_rs_sched!$D:$D,$A5,d_rs_sched!$K:$K,$A5,d_rs_sched!$I:$I,AE$1))-(SUMIFS(d_rs_sched!$L:$L,d_rs_sched!$D:$D,$A5,d_rs_sched!$I:$I,$A5,d_rs_sched!$K:$K,AE$1)+SUMIFS(d_rs_sched!$J:$J,d_rs_sched!$D:$D,$A5,d_rs_sched!$K:$K,$A5,d_rs_sched!$I:$I,AE$1)),0)/IFERROR(IF((COUNTIFS(d_rs_sched!$D:$D,$A5,d_rs_sched!$I:$I,$A5,d_rs_sched!$K:$K,AE$1)+COUNTIFS(d_rs_sched!$D:$D,$A5,d_rs_sched!$I:$I,AE$1,d_rs_sched!$K:$K,$A5))&gt;0,(COUNTIFS(d_rs_sched!$D:$D,$A5,d_rs_sched!$I:$I,$A5,d_rs_sched!$K:$K,AE$1)+COUNTIFS(d_rs_sched!$D:$D,$A5,d_rs_sched!$I:$I,AE$1,d_rs_sched!$K:$K,$A5)),1),1)</f>
        <v>-4.5</v>
      </c>
      <c r="AG5" t="s">
        <v>18</v>
      </c>
      <c r="AH5">
        <v>0.99152336121730844</v>
      </c>
      <c r="AI5">
        <f t="shared" si="0"/>
        <v>9</v>
      </c>
    </row>
    <row r="6" spans="1:35" x14ac:dyDescent="0.25">
      <c r="A6" t="s">
        <v>30</v>
      </c>
      <c r="B6">
        <f>IFERROR((SUMIFS(d_rs_sched!$J:$J,d_rs_sched!$D:$D,$A6,d_rs_sched!$I:$I,$A6,d_rs_sched!$K:$K,B$1)+SUMIFS(d_rs_sched!$L:$L,d_rs_sched!$D:$D,$A6,d_rs_sched!$K:$K,$A6,d_rs_sched!$I:$I,B$1))-(SUMIFS(d_rs_sched!$L:$L,d_rs_sched!$D:$D,$A6,d_rs_sched!$I:$I,$A6,d_rs_sched!$K:$K,B$1)+SUMIFS(d_rs_sched!$J:$J,d_rs_sched!$D:$D,$A6,d_rs_sched!$K:$K,$A6,d_rs_sched!$I:$I,B$1)),0)/IFERROR(IF((COUNTIFS(d_rs_sched!$D:$D,$A6,d_rs_sched!$I:$I,$A6,d_rs_sched!$K:$K,B$1)+COUNTIFS(d_rs_sched!$D:$D,$A6,d_rs_sched!$I:$I,B$1,d_rs_sched!$K:$K,$A6))&gt;0,(COUNTIFS(d_rs_sched!$D:$D,$A6,d_rs_sched!$I:$I,$A6,d_rs_sched!$K:$K,B$1)+COUNTIFS(d_rs_sched!$D:$D,$A6,d_rs_sched!$I:$I,B$1,d_rs_sched!$K:$K,$A6)),1),1)</f>
        <v>-3</v>
      </c>
      <c r="C6">
        <f>IFERROR((SUMIFS(d_rs_sched!$J:$J,d_rs_sched!$D:$D,$A6,d_rs_sched!$I:$I,$A6,d_rs_sched!$K:$K,C$1)+SUMIFS(d_rs_sched!$L:$L,d_rs_sched!$D:$D,$A6,d_rs_sched!$K:$K,$A6,d_rs_sched!$I:$I,C$1))-(SUMIFS(d_rs_sched!$L:$L,d_rs_sched!$D:$D,$A6,d_rs_sched!$I:$I,$A6,d_rs_sched!$K:$K,C$1)+SUMIFS(d_rs_sched!$J:$J,d_rs_sched!$D:$D,$A6,d_rs_sched!$K:$K,$A6,d_rs_sched!$I:$I,C$1)),0)/IFERROR(IF((COUNTIFS(d_rs_sched!$D:$D,$A6,d_rs_sched!$I:$I,$A6,d_rs_sched!$K:$K,C$1)+COUNTIFS(d_rs_sched!$D:$D,$A6,d_rs_sched!$I:$I,C$1,d_rs_sched!$K:$K,$A6))&gt;0,(COUNTIFS(d_rs_sched!$D:$D,$A6,d_rs_sched!$I:$I,$A6,d_rs_sched!$K:$K,C$1)+COUNTIFS(d_rs_sched!$D:$D,$A6,d_rs_sched!$I:$I,C$1,d_rs_sched!$K:$K,$A6)),1),1)</f>
        <v>14</v>
      </c>
      <c r="D6">
        <f>IFERROR((SUMIFS(d_rs_sched!$J:$J,d_rs_sched!$D:$D,$A6,d_rs_sched!$I:$I,$A6,d_rs_sched!$K:$K,D$1)+SUMIFS(d_rs_sched!$L:$L,d_rs_sched!$D:$D,$A6,d_rs_sched!$K:$K,$A6,d_rs_sched!$I:$I,D$1))-(SUMIFS(d_rs_sched!$L:$L,d_rs_sched!$D:$D,$A6,d_rs_sched!$I:$I,$A6,d_rs_sched!$K:$K,D$1)+SUMIFS(d_rs_sched!$J:$J,d_rs_sched!$D:$D,$A6,d_rs_sched!$K:$K,$A6,d_rs_sched!$I:$I,D$1)),0)/IFERROR(IF((COUNTIFS(d_rs_sched!$D:$D,$A6,d_rs_sched!$I:$I,$A6,d_rs_sched!$K:$K,D$1)+COUNTIFS(d_rs_sched!$D:$D,$A6,d_rs_sched!$I:$I,D$1,d_rs_sched!$K:$K,$A6))&gt;0,(COUNTIFS(d_rs_sched!$D:$D,$A6,d_rs_sched!$I:$I,$A6,d_rs_sched!$K:$K,D$1)+COUNTIFS(d_rs_sched!$D:$D,$A6,d_rs_sched!$I:$I,D$1,d_rs_sched!$K:$K,$A6)),1),1)</f>
        <v>5.75</v>
      </c>
      <c r="E6">
        <f>IFERROR((SUMIFS(d_rs_sched!$J:$J,d_rs_sched!$D:$D,$A6,d_rs_sched!$I:$I,$A6,d_rs_sched!$K:$K,E$1)+SUMIFS(d_rs_sched!$L:$L,d_rs_sched!$D:$D,$A6,d_rs_sched!$K:$K,$A6,d_rs_sched!$I:$I,E$1))-(SUMIFS(d_rs_sched!$L:$L,d_rs_sched!$D:$D,$A6,d_rs_sched!$I:$I,$A6,d_rs_sched!$K:$K,E$1)+SUMIFS(d_rs_sched!$J:$J,d_rs_sched!$D:$D,$A6,d_rs_sched!$K:$K,$A6,d_rs_sched!$I:$I,E$1)),0)/IFERROR(IF((COUNTIFS(d_rs_sched!$D:$D,$A6,d_rs_sched!$I:$I,$A6,d_rs_sched!$K:$K,E$1)+COUNTIFS(d_rs_sched!$D:$D,$A6,d_rs_sched!$I:$I,E$1,d_rs_sched!$K:$K,$A6))&gt;0,(COUNTIFS(d_rs_sched!$D:$D,$A6,d_rs_sched!$I:$I,$A6,d_rs_sched!$K:$K,E$1)+COUNTIFS(d_rs_sched!$D:$D,$A6,d_rs_sched!$I:$I,E$1,d_rs_sched!$K:$K,$A6)),1),1)</f>
        <v>-0.75</v>
      </c>
      <c r="F6">
        <f>IFERROR((SUMIFS(d_rs_sched!$J:$J,d_rs_sched!$D:$D,$A6,d_rs_sched!$I:$I,$A6,d_rs_sched!$K:$K,F$1)+SUMIFS(d_rs_sched!$L:$L,d_rs_sched!$D:$D,$A6,d_rs_sched!$K:$K,$A6,d_rs_sched!$I:$I,F$1))-(SUMIFS(d_rs_sched!$L:$L,d_rs_sched!$D:$D,$A6,d_rs_sched!$I:$I,$A6,d_rs_sched!$K:$K,F$1)+SUMIFS(d_rs_sched!$J:$J,d_rs_sched!$D:$D,$A6,d_rs_sched!$K:$K,$A6,d_rs_sched!$I:$I,F$1)),0)/IFERROR(IF((COUNTIFS(d_rs_sched!$D:$D,$A6,d_rs_sched!$I:$I,$A6,d_rs_sched!$K:$K,F$1)+COUNTIFS(d_rs_sched!$D:$D,$A6,d_rs_sched!$I:$I,F$1,d_rs_sched!$K:$K,$A6))&gt;0,(COUNTIFS(d_rs_sched!$D:$D,$A6,d_rs_sched!$I:$I,$A6,d_rs_sched!$K:$K,F$1)+COUNTIFS(d_rs_sched!$D:$D,$A6,d_rs_sched!$I:$I,F$1,d_rs_sched!$K:$K,$A6)),1),1)</f>
        <v>0</v>
      </c>
      <c r="G6">
        <f>IFERROR((SUMIFS(d_rs_sched!$J:$J,d_rs_sched!$D:$D,$A6,d_rs_sched!$I:$I,$A6,d_rs_sched!$K:$K,G$1)+SUMIFS(d_rs_sched!$L:$L,d_rs_sched!$D:$D,$A6,d_rs_sched!$K:$K,$A6,d_rs_sched!$I:$I,G$1))-(SUMIFS(d_rs_sched!$L:$L,d_rs_sched!$D:$D,$A6,d_rs_sched!$I:$I,$A6,d_rs_sched!$K:$K,G$1)+SUMIFS(d_rs_sched!$J:$J,d_rs_sched!$D:$D,$A6,d_rs_sched!$K:$K,$A6,d_rs_sched!$I:$I,G$1)),0)/IFERROR(IF((COUNTIFS(d_rs_sched!$D:$D,$A6,d_rs_sched!$I:$I,$A6,d_rs_sched!$K:$K,G$1)+COUNTIFS(d_rs_sched!$D:$D,$A6,d_rs_sched!$I:$I,G$1,d_rs_sched!$K:$K,$A6))&gt;0,(COUNTIFS(d_rs_sched!$D:$D,$A6,d_rs_sched!$I:$I,$A6,d_rs_sched!$K:$K,G$1)+COUNTIFS(d_rs_sched!$D:$D,$A6,d_rs_sched!$I:$I,G$1,d_rs_sched!$K:$K,$A6)),1),1)</f>
        <v>-2.5</v>
      </c>
      <c r="H6">
        <f>IFERROR((SUMIFS(d_rs_sched!$J:$J,d_rs_sched!$D:$D,$A6,d_rs_sched!$I:$I,$A6,d_rs_sched!$K:$K,H$1)+SUMIFS(d_rs_sched!$L:$L,d_rs_sched!$D:$D,$A6,d_rs_sched!$K:$K,$A6,d_rs_sched!$I:$I,H$1))-(SUMIFS(d_rs_sched!$L:$L,d_rs_sched!$D:$D,$A6,d_rs_sched!$I:$I,$A6,d_rs_sched!$K:$K,H$1)+SUMIFS(d_rs_sched!$J:$J,d_rs_sched!$D:$D,$A6,d_rs_sched!$K:$K,$A6,d_rs_sched!$I:$I,H$1)),0)/IFERROR(IF((COUNTIFS(d_rs_sched!$D:$D,$A6,d_rs_sched!$I:$I,$A6,d_rs_sched!$K:$K,H$1)+COUNTIFS(d_rs_sched!$D:$D,$A6,d_rs_sched!$I:$I,H$1,d_rs_sched!$K:$K,$A6))&gt;0,(COUNTIFS(d_rs_sched!$D:$D,$A6,d_rs_sched!$I:$I,$A6,d_rs_sched!$K:$K,H$1)+COUNTIFS(d_rs_sched!$D:$D,$A6,d_rs_sched!$I:$I,H$1,d_rs_sched!$K:$K,$A6)),1),1)</f>
        <v>0.5</v>
      </c>
      <c r="I6">
        <f>IFERROR((SUMIFS(d_rs_sched!$J:$J,d_rs_sched!$D:$D,$A6,d_rs_sched!$I:$I,$A6,d_rs_sched!$K:$K,I$1)+SUMIFS(d_rs_sched!$L:$L,d_rs_sched!$D:$D,$A6,d_rs_sched!$K:$K,$A6,d_rs_sched!$I:$I,I$1))-(SUMIFS(d_rs_sched!$L:$L,d_rs_sched!$D:$D,$A6,d_rs_sched!$I:$I,$A6,d_rs_sched!$K:$K,I$1)+SUMIFS(d_rs_sched!$J:$J,d_rs_sched!$D:$D,$A6,d_rs_sched!$K:$K,$A6,d_rs_sched!$I:$I,I$1)),0)/IFERROR(IF((COUNTIFS(d_rs_sched!$D:$D,$A6,d_rs_sched!$I:$I,$A6,d_rs_sched!$K:$K,I$1)+COUNTIFS(d_rs_sched!$D:$D,$A6,d_rs_sched!$I:$I,I$1,d_rs_sched!$K:$K,$A6))&gt;0,(COUNTIFS(d_rs_sched!$D:$D,$A6,d_rs_sched!$I:$I,$A6,d_rs_sched!$K:$K,I$1)+COUNTIFS(d_rs_sched!$D:$D,$A6,d_rs_sched!$I:$I,I$1,d_rs_sched!$K:$K,$A6)),1),1)</f>
        <v>0</v>
      </c>
      <c r="J6">
        <f>IFERROR((SUMIFS(d_rs_sched!$J:$J,d_rs_sched!$D:$D,$A6,d_rs_sched!$I:$I,$A6,d_rs_sched!$K:$K,J$1)+SUMIFS(d_rs_sched!$L:$L,d_rs_sched!$D:$D,$A6,d_rs_sched!$K:$K,$A6,d_rs_sched!$I:$I,J$1))-(SUMIFS(d_rs_sched!$L:$L,d_rs_sched!$D:$D,$A6,d_rs_sched!$I:$I,$A6,d_rs_sched!$K:$K,J$1)+SUMIFS(d_rs_sched!$J:$J,d_rs_sched!$D:$D,$A6,d_rs_sched!$K:$K,$A6,d_rs_sched!$I:$I,J$1)),0)/IFERROR(IF((COUNTIFS(d_rs_sched!$D:$D,$A6,d_rs_sched!$I:$I,$A6,d_rs_sched!$K:$K,J$1)+COUNTIFS(d_rs_sched!$D:$D,$A6,d_rs_sched!$I:$I,J$1,d_rs_sched!$K:$K,$A6))&gt;0,(COUNTIFS(d_rs_sched!$D:$D,$A6,d_rs_sched!$I:$I,$A6,d_rs_sched!$K:$K,J$1)+COUNTIFS(d_rs_sched!$D:$D,$A6,d_rs_sched!$I:$I,J$1,d_rs_sched!$K:$K,$A6)),1),1)</f>
        <v>-2</v>
      </c>
      <c r="K6">
        <f>IFERROR((SUMIFS(d_rs_sched!$J:$J,d_rs_sched!$D:$D,$A6,d_rs_sched!$I:$I,$A6,d_rs_sched!$K:$K,K$1)+SUMIFS(d_rs_sched!$L:$L,d_rs_sched!$D:$D,$A6,d_rs_sched!$K:$K,$A6,d_rs_sched!$I:$I,K$1))-(SUMIFS(d_rs_sched!$L:$L,d_rs_sched!$D:$D,$A6,d_rs_sched!$I:$I,$A6,d_rs_sched!$K:$K,K$1)+SUMIFS(d_rs_sched!$J:$J,d_rs_sched!$D:$D,$A6,d_rs_sched!$K:$K,$A6,d_rs_sched!$I:$I,K$1)),0)/IFERROR(IF((COUNTIFS(d_rs_sched!$D:$D,$A6,d_rs_sched!$I:$I,$A6,d_rs_sched!$K:$K,K$1)+COUNTIFS(d_rs_sched!$D:$D,$A6,d_rs_sched!$I:$I,K$1,d_rs_sched!$K:$K,$A6))&gt;0,(COUNTIFS(d_rs_sched!$D:$D,$A6,d_rs_sched!$I:$I,$A6,d_rs_sched!$K:$K,K$1)+COUNTIFS(d_rs_sched!$D:$D,$A6,d_rs_sched!$I:$I,K$1,d_rs_sched!$K:$K,$A6)),1),1)</f>
        <v>-4</v>
      </c>
      <c r="L6">
        <f>IFERROR((SUMIFS(d_rs_sched!$J:$J,d_rs_sched!$D:$D,$A6,d_rs_sched!$I:$I,$A6,d_rs_sched!$K:$K,L$1)+SUMIFS(d_rs_sched!$L:$L,d_rs_sched!$D:$D,$A6,d_rs_sched!$K:$K,$A6,d_rs_sched!$I:$I,L$1))-(SUMIFS(d_rs_sched!$L:$L,d_rs_sched!$D:$D,$A6,d_rs_sched!$I:$I,$A6,d_rs_sched!$K:$K,L$1)+SUMIFS(d_rs_sched!$J:$J,d_rs_sched!$D:$D,$A6,d_rs_sched!$K:$K,$A6,d_rs_sched!$I:$I,L$1)),0)/IFERROR(IF((COUNTIFS(d_rs_sched!$D:$D,$A6,d_rs_sched!$I:$I,$A6,d_rs_sched!$K:$K,L$1)+COUNTIFS(d_rs_sched!$D:$D,$A6,d_rs_sched!$I:$I,L$1,d_rs_sched!$K:$K,$A6))&gt;0,(COUNTIFS(d_rs_sched!$D:$D,$A6,d_rs_sched!$I:$I,$A6,d_rs_sched!$K:$K,L$1)+COUNTIFS(d_rs_sched!$D:$D,$A6,d_rs_sched!$I:$I,L$1,d_rs_sched!$K:$K,$A6)),1),1)</f>
        <v>-1</v>
      </c>
      <c r="M6">
        <f>IFERROR((SUMIFS(d_rs_sched!$J:$J,d_rs_sched!$D:$D,$A6,d_rs_sched!$I:$I,$A6,d_rs_sched!$K:$K,M$1)+SUMIFS(d_rs_sched!$L:$L,d_rs_sched!$D:$D,$A6,d_rs_sched!$K:$K,$A6,d_rs_sched!$I:$I,M$1))-(SUMIFS(d_rs_sched!$L:$L,d_rs_sched!$D:$D,$A6,d_rs_sched!$I:$I,$A6,d_rs_sched!$K:$K,M$1)+SUMIFS(d_rs_sched!$J:$J,d_rs_sched!$D:$D,$A6,d_rs_sched!$K:$K,$A6,d_rs_sched!$I:$I,M$1)),0)/IFERROR(IF((COUNTIFS(d_rs_sched!$D:$D,$A6,d_rs_sched!$I:$I,$A6,d_rs_sched!$K:$K,M$1)+COUNTIFS(d_rs_sched!$D:$D,$A6,d_rs_sched!$I:$I,M$1,d_rs_sched!$K:$K,$A6))&gt;0,(COUNTIFS(d_rs_sched!$D:$D,$A6,d_rs_sched!$I:$I,$A6,d_rs_sched!$K:$K,M$1)+COUNTIFS(d_rs_sched!$D:$D,$A6,d_rs_sched!$I:$I,M$1,d_rs_sched!$K:$K,$A6)),1),1)</f>
        <v>-1</v>
      </c>
      <c r="N6">
        <f>IFERROR((SUMIFS(d_rs_sched!$J:$J,d_rs_sched!$D:$D,$A6,d_rs_sched!$I:$I,$A6,d_rs_sched!$K:$K,N$1)+SUMIFS(d_rs_sched!$L:$L,d_rs_sched!$D:$D,$A6,d_rs_sched!$K:$K,$A6,d_rs_sched!$I:$I,N$1))-(SUMIFS(d_rs_sched!$L:$L,d_rs_sched!$D:$D,$A6,d_rs_sched!$I:$I,$A6,d_rs_sched!$K:$K,N$1)+SUMIFS(d_rs_sched!$J:$J,d_rs_sched!$D:$D,$A6,d_rs_sched!$K:$K,$A6,d_rs_sched!$I:$I,N$1)),0)/IFERROR(IF((COUNTIFS(d_rs_sched!$D:$D,$A6,d_rs_sched!$I:$I,$A6,d_rs_sched!$K:$K,N$1)+COUNTIFS(d_rs_sched!$D:$D,$A6,d_rs_sched!$I:$I,N$1,d_rs_sched!$K:$K,$A6))&gt;0,(COUNTIFS(d_rs_sched!$D:$D,$A6,d_rs_sched!$I:$I,$A6,d_rs_sched!$K:$K,N$1)+COUNTIFS(d_rs_sched!$D:$D,$A6,d_rs_sched!$I:$I,N$1,d_rs_sched!$K:$K,$A6)),1),1)</f>
        <v>3</v>
      </c>
      <c r="O6">
        <f>IFERROR((SUMIFS(d_rs_sched!$J:$J,d_rs_sched!$D:$D,$A6,d_rs_sched!$I:$I,$A6,d_rs_sched!$K:$K,O$1)+SUMIFS(d_rs_sched!$L:$L,d_rs_sched!$D:$D,$A6,d_rs_sched!$K:$K,$A6,d_rs_sched!$I:$I,O$1))-(SUMIFS(d_rs_sched!$L:$L,d_rs_sched!$D:$D,$A6,d_rs_sched!$I:$I,$A6,d_rs_sched!$K:$K,O$1)+SUMIFS(d_rs_sched!$J:$J,d_rs_sched!$D:$D,$A6,d_rs_sched!$K:$K,$A6,d_rs_sched!$I:$I,O$1)),0)/IFERROR(IF((COUNTIFS(d_rs_sched!$D:$D,$A6,d_rs_sched!$I:$I,$A6,d_rs_sched!$K:$K,O$1)+COUNTIFS(d_rs_sched!$D:$D,$A6,d_rs_sched!$I:$I,O$1,d_rs_sched!$K:$K,$A6))&gt;0,(COUNTIFS(d_rs_sched!$D:$D,$A6,d_rs_sched!$I:$I,$A6,d_rs_sched!$K:$K,O$1)+COUNTIFS(d_rs_sched!$D:$D,$A6,d_rs_sched!$I:$I,O$1,d_rs_sched!$K:$K,$A6)),1),1)</f>
        <v>7.5</v>
      </c>
      <c r="P6">
        <f>IFERROR((SUMIFS(d_rs_sched!$J:$J,d_rs_sched!$D:$D,$A6,d_rs_sched!$I:$I,$A6,d_rs_sched!$K:$K,P$1)+SUMIFS(d_rs_sched!$L:$L,d_rs_sched!$D:$D,$A6,d_rs_sched!$K:$K,$A6,d_rs_sched!$I:$I,P$1))-(SUMIFS(d_rs_sched!$L:$L,d_rs_sched!$D:$D,$A6,d_rs_sched!$I:$I,$A6,d_rs_sched!$K:$K,P$1)+SUMIFS(d_rs_sched!$J:$J,d_rs_sched!$D:$D,$A6,d_rs_sched!$K:$K,$A6,d_rs_sched!$I:$I,P$1)),0)/IFERROR(IF((COUNTIFS(d_rs_sched!$D:$D,$A6,d_rs_sched!$I:$I,$A6,d_rs_sched!$K:$K,P$1)+COUNTIFS(d_rs_sched!$D:$D,$A6,d_rs_sched!$I:$I,P$1,d_rs_sched!$K:$K,$A6))&gt;0,(COUNTIFS(d_rs_sched!$D:$D,$A6,d_rs_sched!$I:$I,$A6,d_rs_sched!$K:$K,P$1)+COUNTIFS(d_rs_sched!$D:$D,$A6,d_rs_sched!$I:$I,P$1,d_rs_sched!$K:$K,$A6)),1),1)</f>
        <v>-2</v>
      </c>
      <c r="Q6">
        <f>IFERROR((SUMIFS(d_rs_sched!$J:$J,d_rs_sched!$D:$D,$A6,d_rs_sched!$I:$I,$A6,d_rs_sched!$K:$K,Q$1)+SUMIFS(d_rs_sched!$L:$L,d_rs_sched!$D:$D,$A6,d_rs_sched!$K:$K,$A6,d_rs_sched!$I:$I,Q$1))-(SUMIFS(d_rs_sched!$L:$L,d_rs_sched!$D:$D,$A6,d_rs_sched!$I:$I,$A6,d_rs_sched!$K:$K,Q$1)+SUMIFS(d_rs_sched!$J:$J,d_rs_sched!$D:$D,$A6,d_rs_sched!$K:$K,$A6,d_rs_sched!$I:$I,Q$1)),0)/IFERROR(IF((COUNTIFS(d_rs_sched!$D:$D,$A6,d_rs_sched!$I:$I,$A6,d_rs_sched!$K:$K,Q$1)+COUNTIFS(d_rs_sched!$D:$D,$A6,d_rs_sched!$I:$I,Q$1,d_rs_sched!$K:$K,$A6))&gt;0,(COUNTIFS(d_rs_sched!$D:$D,$A6,d_rs_sched!$I:$I,$A6,d_rs_sched!$K:$K,Q$1)+COUNTIFS(d_rs_sched!$D:$D,$A6,d_rs_sched!$I:$I,Q$1,d_rs_sched!$K:$K,$A6)),1),1)</f>
        <v>5.666666666666667</v>
      </c>
      <c r="R6">
        <f>IFERROR((SUMIFS(d_rs_sched!$J:$J,d_rs_sched!$D:$D,$A6,d_rs_sched!$I:$I,$A6,d_rs_sched!$K:$K,R$1)+SUMIFS(d_rs_sched!$L:$L,d_rs_sched!$D:$D,$A6,d_rs_sched!$K:$K,$A6,d_rs_sched!$I:$I,R$1))-(SUMIFS(d_rs_sched!$L:$L,d_rs_sched!$D:$D,$A6,d_rs_sched!$I:$I,$A6,d_rs_sched!$K:$K,R$1)+SUMIFS(d_rs_sched!$J:$J,d_rs_sched!$D:$D,$A6,d_rs_sched!$K:$K,$A6,d_rs_sched!$I:$I,R$1)),0)/IFERROR(IF((COUNTIFS(d_rs_sched!$D:$D,$A6,d_rs_sched!$I:$I,$A6,d_rs_sched!$K:$K,R$1)+COUNTIFS(d_rs_sched!$D:$D,$A6,d_rs_sched!$I:$I,R$1,d_rs_sched!$K:$K,$A6))&gt;0,(COUNTIFS(d_rs_sched!$D:$D,$A6,d_rs_sched!$I:$I,$A6,d_rs_sched!$K:$K,R$1)+COUNTIFS(d_rs_sched!$D:$D,$A6,d_rs_sched!$I:$I,R$1,d_rs_sched!$K:$K,$A6)),1),1)</f>
        <v>7.25</v>
      </c>
      <c r="S6">
        <f>IFERROR((SUMIFS(d_rs_sched!$J:$J,d_rs_sched!$D:$D,$A6,d_rs_sched!$I:$I,$A6,d_rs_sched!$K:$K,S$1)+SUMIFS(d_rs_sched!$L:$L,d_rs_sched!$D:$D,$A6,d_rs_sched!$K:$K,$A6,d_rs_sched!$I:$I,S$1))-(SUMIFS(d_rs_sched!$L:$L,d_rs_sched!$D:$D,$A6,d_rs_sched!$I:$I,$A6,d_rs_sched!$K:$K,S$1)+SUMIFS(d_rs_sched!$J:$J,d_rs_sched!$D:$D,$A6,d_rs_sched!$K:$K,$A6,d_rs_sched!$I:$I,S$1)),0)/IFERROR(IF((COUNTIFS(d_rs_sched!$D:$D,$A6,d_rs_sched!$I:$I,$A6,d_rs_sched!$K:$K,S$1)+COUNTIFS(d_rs_sched!$D:$D,$A6,d_rs_sched!$I:$I,S$1,d_rs_sched!$K:$K,$A6))&gt;0,(COUNTIFS(d_rs_sched!$D:$D,$A6,d_rs_sched!$I:$I,$A6,d_rs_sched!$K:$K,S$1)+COUNTIFS(d_rs_sched!$D:$D,$A6,d_rs_sched!$I:$I,S$1,d_rs_sched!$K:$K,$A6)),1),1)</f>
        <v>4</v>
      </c>
      <c r="T6">
        <f>IFERROR((SUMIFS(d_rs_sched!$J:$J,d_rs_sched!$D:$D,$A6,d_rs_sched!$I:$I,$A6,d_rs_sched!$K:$K,T$1)+SUMIFS(d_rs_sched!$L:$L,d_rs_sched!$D:$D,$A6,d_rs_sched!$K:$K,$A6,d_rs_sched!$I:$I,T$1))-(SUMIFS(d_rs_sched!$L:$L,d_rs_sched!$D:$D,$A6,d_rs_sched!$I:$I,$A6,d_rs_sched!$K:$K,T$1)+SUMIFS(d_rs_sched!$J:$J,d_rs_sched!$D:$D,$A6,d_rs_sched!$K:$K,$A6,d_rs_sched!$I:$I,T$1)),0)/IFERROR(IF((COUNTIFS(d_rs_sched!$D:$D,$A6,d_rs_sched!$I:$I,$A6,d_rs_sched!$K:$K,T$1)+COUNTIFS(d_rs_sched!$D:$D,$A6,d_rs_sched!$I:$I,T$1,d_rs_sched!$K:$K,$A6))&gt;0,(COUNTIFS(d_rs_sched!$D:$D,$A6,d_rs_sched!$I:$I,$A6,d_rs_sched!$K:$K,T$1)+COUNTIFS(d_rs_sched!$D:$D,$A6,d_rs_sched!$I:$I,T$1,d_rs_sched!$K:$K,$A6)),1),1)</f>
        <v>21</v>
      </c>
      <c r="U6">
        <f>IFERROR((SUMIFS(d_rs_sched!$J:$J,d_rs_sched!$D:$D,$A6,d_rs_sched!$I:$I,$A6,d_rs_sched!$K:$K,U$1)+SUMIFS(d_rs_sched!$L:$L,d_rs_sched!$D:$D,$A6,d_rs_sched!$K:$K,$A6,d_rs_sched!$I:$I,U$1))-(SUMIFS(d_rs_sched!$L:$L,d_rs_sched!$D:$D,$A6,d_rs_sched!$I:$I,$A6,d_rs_sched!$K:$K,U$1)+SUMIFS(d_rs_sched!$J:$J,d_rs_sched!$D:$D,$A6,d_rs_sched!$K:$K,$A6,d_rs_sched!$I:$I,U$1)),0)/IFERROR(IF((COUNTIFS(d_rs_sched!$D:$D,$A6,d_rs_sched!$I:$I,$A6,d_rs_sched!$K:$K,U$1)+COUNTIFS(d_rs_sched!$D:$D,$A6,d_rs_sched!$I:$I,U$1,d_rs_sched!$K:$K,$A6))&gt;0,(COUNTIFS(d_rs_sched!$D:$D,$A6,d_rs_sched!$I:$I,$A6,d_rs_sched!$K:$K,U$1)+COUNTIFS(d_rs_sched!$D:$D,$A6,d_rs_sched!$I:$I,U$1,d_rs_sched!$K:$K,$A6)),1),1)</f>
        <v>20.333333333333332</v>
      </c>
      <c r="V6">
        <f>IFERROR((SUMIFS(d_rs_sched!$J:$J,d_rs_sched!$D:$D,$A6,d_rs_sched!$I:$I,$A6,d_rs_sched!$K:$K,V$1)+SUMIFS(d_rs_sched!$L:$L,d_rs_sched!$D:$D,$A6,d_rs_sched!$K:$K,$A6,d_rs_sched!$I:$I,V$1))-(SUMIFS(d_rs_sched!$L:$L,d_rs_sched!$D:$D,$A6,d_rs_sched!$I:$I,$A6,d_rs_sched!$K:$K,V$1)+SUMIFS(d_rs_sched!$J:$J,d_rs_sched!$D:$D,$A6,d_rs_sched!$K:$K,$A6,d_rs_sched!$I:$I,V$1)),0)/IFERROR(IF((COUNTIFS(d_rs_sched!$D:$D,$A6,d_rs_sched!$I:$I,$A6,d_rs_sched!$K:$K,V$1)+COUNTIFS(d_rs_sched!$D:$D,$A6,d_rs_sched!$I:$I,V$1,d_rs_sched!$K:$K,$A6))&gt;0,(COUNTIFS(d_rs_sched!$D:$D,$A6,d_rs_sched!$I:$I,$A6,d_rs_sched!$K:$K,V$1)+COUNTIFS(d_rs_sched!$D:$D,$A6,d_rs_sched!$I:$I,V$1,d_rs_sched!$K:$K,$A6)),1),1)</f>
        <v>-3</v>
      </c>
      <c r="W6">
        <f>IFERROR((SUMIFS(d_rs_sched!$J:$J,d_rs_sched!$D:$D,$A6,d_rs_sched!$I:$I,$A6,d_rs_sched!$K:$K,W$1)+SUMIFS(d_rs_sched!$L:$L,d_rs_sched!$D:$D,$A6,d_rs_sched!$K:$K,$A6,d_rs_sched!$I:$I,W$1))-(SUMIFS(d_rs_sched!$L:$L,d_rs_sched!$D:$D,$A6,d_rs_sched!$I:$I,$A6,d_rs_sched!$K:$K,W$1)+SUMIFS(d_rs_sched!$J:$J,d_rs_sched!$D:$D,$A6,d_rs_sched!$K:$K,$A6,d_rs_sched!$I:$I,W$1)),0)/IFERROR(IF((COUNTIFS(d_rs_sched!$D:$D,$A6,d_rs_sched!$I:$I,$A6,d_rs_sched!$K:$K,W$1)+COUNTIFS(d_rs_sched!$D:$D,$A6,d_rs_sched!$I:$I,W$1,d_rs_sched!$K:$K,$A6))&gt;0,(COUNTIFS(d_rs_sched!$D:$D,$A6,d_rs_sched!$I:$I,$A6,d_rs_sched!$K:$K,W$1)+COUNTIFS(d_rs_sched!$D:$D,$A6,d_rs_sched!$I:$I,W$1,d_rs_sched!$K:$K,$A6)),1),1)</f>
        <v>0</v>
      </c>
      <c r="X6">
        <f>IFERROR((SUMIFS(d_rs_sched!$J:$J,d_rs_sched!$D:$D,$A6,d_rs_sched!$I:$I,$A6,d_rs_sched!$K:$K,X$1)+SUMIFS(d_rs_sched!$L:$L,d_rs_sched!$D:$D,$A6,d_rs_sched!$K:$K,$A6,d_rs_sched!$I:$I,X$1))-(SUMIFS(d_rs_sched!$L:$L,d_rs_sched!$D:$D,$A6,d_rs_sched!$I:$I,$A6,d_rs_sched!$K:$K,X$1)+SUMIFS(d_rs_sched!$J:$J,d_rs_sched!$D:$D,$A6,d_rs_sched!$K:$K,$A6,d_rs_sched!$I:$I,X$1)),0)/IFERROR(IF((COUNTIFS(d_rs_sched!$D:$D,$A6,d_rs_sched!$I:$I,$A6,d_rs_sched!$K:$K,X$1)+COUNTIFS(d_rs_sched!$D:$D,$A6,d_rs_sched!$I:$I,X$1,d_rs_sched!$K:$K,$A6))&gt;0,(COUNTIFS(d_rs_sched!$D:$D,$A6,d_rs_sched!$I:$I,$A6,d_rs_sched!$K:$K,X$1)+COUNTIFS(d_rs_sched!$D:$D,$A6,d_rs_sched!$I:$I,X$1,d_rs_sched!$K:$K,$A6)),1),1)</f>
        <v>6.333333333333333</v>
      </c>
      <c r="Y6">
        <f>IFERROR((SUMIFS(d_rs_sched!$J:$J,d_rs_sched!$D:$D,$A6,d_rs_sched!$I:$I,$A6,d_rs_sched!$K:$K,Y$1)+SUMIFS(d_rs_sched!$L:$L,d_rs_sched!$D:$D,$A6,d_rs_sched!$K:$K,$A6,d_rs_sched!$I:$I,Y$1))-(SUMIFS(d_rs_sched!$L:$L,d_rs_sched!$D:$D,$A6,d_rs_sched!$I:$I,$A6,d_rs_sched!$K:$K,Y$1)+SUMIFS(d_rs_sched!$J:$J,d_rs_sched!$D:$D,$A6,d_rs_sched!$K:$K,$A6,d_rs_sched!$I:$I,Y$1)),0)/IFERROR(IF((COUNTIFS(d_rs_sched!$D:$D,$A6,d_rs_sched!$I:$I,$A6,d_rs_sched!$K:$K,Y$1)+COUNTIFS(d_rs_sched!$D:$D,$A6,d_rs_sched!$I:$I,Y$1,d_rs_sched!$K:$K,$A6))&gt;0,(COUNTIFS(d_rs_sched!$D:$D,$A6,d_rs_sched!$I:$I,$A6,d_rs_sched!$K:$K,Y$1)+COUNTIFS(d_rs_sched!$D:$D,$A6,d_rs_sched!$I:$I,Y$1,d_rs_sched!$K:$K,$A6)),1),1)</f>
        <v>-0.5</v>
      </c>
      <c r="Z6">
        <f>IFERROR((SUMIFS(d_rs_sched!$J:$J,d_rs_sched!$D:$D,$A6,d_rs_sched!$I:$I,$A6,d_rs_sched!$K:$K,Z$1)+SUMIFS(d_rs_sched!$L:$L,d_rs_sched!$D:$D,$A6,d_rs_sched!$K:$K,$A6,d_rs_sched!$I:$I,Z$1))-(SUMIFS(d_rs_sched!$L:$L,d_rs_sched!$D:$D,$A6,d_rs_sched!$I:$I,$A6,d_rs_sched!$K:$K,Z$1)+SUMIFS(d_rs_sched!$J:$J,d_rs_sched!$D:$D,$A6,d_rs_sched!$K:$K,$A6,d_rs_sched!$I:$I,Z$1)),0)/IFERROR(IF((COUNTIFS(d_rs_sched!$D:$D,$A6,d_rs_sched!$I:$I,$A6,d_rs_sched!$K:$K,Z$1)+COUNTIFS(d_rs_sched!$D:$D,$A6,d_rs_sched!$I:$I,Z$1,d_rs_sched!$K:$K,$A6))&gt;0,(COUNTIFS(d_rs_sched!$D:$D,$A6,d_rs_sched!$I:$I,$A6,d_rs_sched!$K:$K,Z$1)+COUNTIFS(d_rs_sched!$D:$D,$A6,d_rs_sched!$I:$I,Z$1,d_rs_sched!$K:$K,$A6)),1),1)</f>
        <v>0.5</v>
      </c>
      <c r="AA6">
        <f>IFERROR((SUMIFS(d_rs_sched!$J:$J,d_rs_sched!$D:$D,$A6,d_rs_sched!$I:$I,$A6,d_rs_sched!$K:$K,AA$1)+SUMIFS(d_rs_sched!$L:$L,d_rs_sched!$D:$D,$A6,d_rs_sched!$K:$K,$A6,d_rs_sched!$I:$I,AA$1))-(SUMIFS(d_rs_sched!$L:$L,d_rs_sched!$D:$D,$A6,d_rs_sched!$I:$I,$A6,d_rs_sched!$K:$K,AA$1)+SUMIFS(d_rs_sched!$J:$J,d_rs_sched!$D:$D,$A6,d_rs_sched!$K:$K,$A6,d_rs_sched!$I:$I,AA$1)),0)/IFERROR(IF((COUNTIFS(d_rs_sched!$D:$D,$A6,d_rs_sched!$I:$I,$A6,d_rs_sched!$K:$K,AA$1)+COUNTIFS(d_rs_sched!$D:$D,$A6,d_rs_sched!$I:$I,AA$1,d_rs_sched!$K:$K,$A6))&gt;0,(COUNTIFS(d_rs_sched!$D:$D,$A6,d_rs_sched!$I:$I,$A6,d_rs_sched!$K:$K,AA$1)+COUNTIFS(d_rs_sched!$D:$D,$A6,d_rs_sched!$I:$I,AA$1,d_rs_sched!$K:$K,$A6)),1),1)</f>
        <v>6</v>
      </c>
      <c r="AB6">
        <f>IFERROR((SUMIFS(d_rs_sched!$J:$J,d_rs_sched!$D:$D,$A6,d_rs_sched!$I:$I,$A6,d_rs_sched!$K:$K,AB$1)+SUMIFS(d_rs_sched!$L:$L,d_rs_sched!$D:$D,$A6,d_rs_sched!$K:$K,$A6,d_rs_sched!$I:$I,AB$1))-(SUMIFS(d_rs_sched!$L:$L,d_rs_sched!$D:$D,$A6,d_rs_sched!$I:$I,$A6,d_rs_sched!$K:$K,AB$1)+SUMIFS(d_rs_sched!$J:$J,d_rs_sched!$D:$D,$A6,d_rs_sched!$K:$K,$A6,d_rs_sched!$I:$I,AB$1)),0)/IFERROR(IF((COUNTIFS(d_rs_sched!$D:$D,$A6,d_rs_sched!$I:$I,$A6,d_rs_sched!$K:$K,AB$1)+COUNTIFS(d_rs_sched!$D:$D,$A6,d_rs_sched!$I:$I,AB$1,d_rs_sched!$K:$K,$A6))&gt;0,(COUNTIFS(d_rs_sched!$D:$D,$A6,d_rs_sched!$I:$I,$A6,d_rs_sched!$K:$K,AB$1)+COUNTIFS(d_rs_sched!$D:$D,$A6,d_rs_sched!$I:$I,AB$1,d_rs_sched!$K:$K,$A6)),1),1)</f>
        <v>1.5</v>
      </c>
      <c r="AC6">
        <f>IFERROR((SUMIFS(d_rs_sched!$J:$J,d_rs_sched!$D:$D,$A6,d_rs_sched!$I:$I,$A6,d_rs_sched!$K:$K,AC$1)+SUMIFS(d_rs_sched!$L:$L,d_rs_sched!$D:$D,$A6,d_rs_sched!$K:$K,$A6,d_rs_sched!$I:$I,AC$1))-(SUMIFS(d_rs_sched!$L:$L,d_rs_sched!$D:$D,$A6,d_rs_sched!$I:$I,$A6,d_rs_sched!$K:$K,AC$1)+SUMIFS(d_rs_sched!$J:$J,d_rs_sched!$D:$D,$A6,d_rs_sched!$K:$K,$A6,d_rs_sched!$I:$I,AC$1)),0)/IFERROR(IF((COUNTIFS(d_rs_sched!$D:$D,$A6,d_rs_sched!$I:$I,$A6,d_rs_sched!$K:$K,AC$1)+COUNTIFS(d_rs_sched!$D:$D,$A6,d_rs_sched!$I:$I,AC$1,d_rs_sched!$K:$K,$A6))&gt;0,(COUNTIFS(d_rs_sched!$D:$D,$A6,d_rs_sched!$I:$I,$A6,d_rs_sched!$K:$K,AC$1)+COUNTIFS(d_rs_sched!$D:$D,$A6,d_rs_sched!$I:$I,AC$1,d_rs_sched!$K:$K,$A6)),1),1)</f>
        <v>11.25</v>
      </c>
      <c r="AD6">
        <f>IFERROR((SUMIFS(d_rs_sched!$J:$J,d_rs_sched!$D:$D,$A6,d_rs_sched!$I:$I,$A6,d_rs_sched!$K:$K,AD$1)+SUMIFS(d_rs_sched!$L:$L,d_rs_sched!$D:$D,$A6,d_rs_sched!$K:$K,$A6,d_rs_sched!$I:$I,AD$1))-(SUMIFS(d_rs_sched!$L:$L,d_rs_sched!$D:$D,$A6,d_rs_sched!$I:$I,$A6,d_rs_sched!$K:$K,AD$1)+SUMIFS(d_rs_sched!$J:$J,d_rs_sched!$D:$D,$A6,d_rs_sched!$K:$K,$A6,d_rs_sched!$I:$I,AD$1)),0)/IFERROR(IF((COUNTIFS(d_rs_sched!$D:$D,$A6,d_rs_sched!$I:$I,$A6,d_rs_sched!$K:$K,AD$1)+COUNTIFS(d_rs_sched!$D:$D,$A6,d_rs_sched!$I:$I,AD$1,d_rs_sched!$K:$K,$A6))&gt;0,(COUNTIFS(d_rs_sched!$D:$D,$A6,d_rs_sched!$I:$I,$A6,d_rs_sched!$K:$K,AD$1)+COUNTIFS(d_rs_sched!$D:$D,$A6,d_rs_sched!$I:$I,AD$1,d_rs_sched!$K:$K,$A6)),1),1)</f>
        <v>-9</v>
      </c>
      <c r="AE6">
        <f>IFERROR((SUMIFS(d_rs_sched!$J:$J,d_rs_sched!$D:$D,$A6,d_rs_sched!$I:$I,$A6,d_rs_sched!$K:$K,AE$1)+SUMIFS(d_rs_sched!$L:$L,d_rs_sched!$D:$D,$A6,d_rs_sched!$K:$K,$A6,d_rs_sched!$I:$I,AE$1))-(SUMIFS(d_rs_sched!$L:$L,d_rs_sched!$D:$D,$A6,d_rs_sched!$I:$I,$A6,d_rs_sched!$K:$K,AE$1)+SUMIFS(d_rs_sched!$J:$J,d_rs_sched!$D:$D,$A6,d_rs_sched!$K:$K,$A6,d_rs_sched!$I:$I,AE$1)),0)/IFERROR(IF((COUNTIFS(d_rs_sched!$D:$D,$A6,d_rs_sched!$I:$I,$A6,d_rs_sched!$K:$K,AE$1)+COUNTIFS(d_rs_sched!$D:$D,$A6,d_rs_sched!$I:$I,AE$1,d_rs_sched!$K:$K,$A6))&gt;0,(COUNTIFS(d_rs_sched!$D:$D,$A6,d_rs_sched!$I:$I,$A6,d_rs_sched!$K:$K,AE$1)+COUNTIFS(d_rs_sched!$D:$D,$A6,d_rs_sched!$I:$I,AE$1,d_rs_sched!$K:$K,$A6)),1),1)</f>
        <v>-2.25</v>
      </c>
      <c r="AG6" t="s">
        <v>30</v>
      </c>
      <c r="AH6">
        <v>0.97206619930805471</v>
      </c>
      <c r="AI6">
        <f t="shared" si="0"/>
        <v>15</v>
      </c>
    </row>
    <row r="7" spans="1:35" x14ac:dyDescent="0.25">
      <c r="A7" t="s">
        <v>40</v>
      </c>
      <c r="B7">
        <f>IFERROR((SUMIFS(d_rs_sched!$J:$J,d_rs_sched!$D:$D,$A7,d_rs_sched!$I:$I,$A7,d_rs_sched!$K:$K,B$1)+SUMIFS(d_rs_sched!$L:$L,d_rs_sched!$D:$D,$A7,d_rs_sched!$K:$K,$A7,d_rs_sched!$I:$I,B$1))-(SUMIFS(d_rs_sched!$L:$L,d_rs_sched!$D:$D,$A7,d_rs_sched!$I:$I,$A7,d_rs_sched!$K:$K,B$1)+SUMIFS(d_rs_sched!$J:$J,d_rs_sched!$D:$D,$A7,d_rs_sched!$K:$K,$A7,d_rs_sched!$I:$I,B$1)),0)/IFERROR(IF((COUNTIFS(d_rs_sched!$D:$D,$A7,d_rs_sched!$I:$I,$A7,d_rs_sched!$K:$K,B$1)+COUNTIFS(d_rs_sched!$D:$D,$A7,d_rs_sched!$I:$I,B$1,d_rs_sched!$K:$K,$A7))&gt;0,(COUNTIFS(d_rs_sched!$D:$D,$A7,d_rs_sched!$I:$I,$A7,d_rs_sched!$K:$K,B$1)+COUNTIFS(d_rs_sched!$D:$D,$A7,d_rs_sched!$I:$I,B$1,d_rs_sched!$K:$K,$A7)),1),1)</f>
        <v>-3.25</v>
      </c>
      <c r="C7">
        <f>IFERROR((SUMIFS(d_rs_sched!$J:$J,d_rs_sched!$D:$D,$A7,d_rs_sched!$I:$I,$A7,d_rs_sched!$K:$K,C$1)+SUMIFS(d_rs_sched!$L:$L,d_rs_sched!$D:$D,$A7,d_rs_sched!$K:$K,$A7,d_rs_sched!$I:$I,C$1))-(SUMIFS(d_rs_sched!$L:$L,d_rs_sched!$D:$D,$A7,d_rs_sched!$I:$I,$A7,d_rs_sched!$K:$K,C$1)+SUMIFS(d_rs_sched!$J:$J,d_rs_sched!$D:$D,$A7,d_rs_sched!$K:$K,$A7,d_rs_sched!$I:$I,C$1)),0)/IFERROR(IF((COUNTIFS(d_rs_sched!$D:$D,$A7,d_rs_sched!$I:$I,$A7,d_rs_sched!$K:$K,C$1)+COUNTIFS(d_rs_sched!$D:$D,$A7,d_rs_sched!$I:$I,C$1,d_rs_sched!$K:$K,$A7))&gt;0,(COUNTIFS(d_rs_sched!$D:$D,$A7,d_rs_sched!$I:$I,$A7,d_rs_sched!$K:$K,C$1)+COUNTIFS(d_rs_sched!$D:$D,$A7,d_rs_sched!$I:$I,C$1,d_rs_sched!$K:$K,$A7)),1),1)</f>
        <v>10.75</v>
      </c>
      <c r="D7">
        <f>IFERROR((SUMIFS(d_rs_sched!$J:$J,d_rs_sched!$D:$D,$A7,d_rs_sched!$I:$I,$A7,d_rs_sched!$K:$K,D$1)+SUMIFS(d_rs_sched!$L:$L,d_rs_sched!$D:$D,$A7,d_rs_sched!$K:$K,$A7,d_rs_sched!$I:$I,D$1))-(SUMIFS(d_rs_sched!$L:$L,d_rs_sched!$D:$D,$A7,d_rs_sched!$I:$I,$A7,d_rs_sched!$K:$K,D$1)+SUMIFS(d_rs_sched!$J:$J,d_rs_sched!$D:$D,$A7,d_rs_sched!$K:$K,$A7,d_rs_sched!$I:$I,D$1)),0)/IFERROR(IF((COUNTIFS(d_rs_sched!$D:$D,$A7,d_rs_sched!$I:$I,$A7,d_rs_sched!$K:$K,D$1)+COUNTIFS(d_rs_sched!$D:$D,$A7,d_rs_sched!$I:$I,D$1,d_rs_sched!$K:$K,$A7))&gt;0,(COUNTIFS(d_rs_sched!$D:$D,$A7,d_rs_sched!$I:$I,$A7,d_rs_sched!$K:$K,D$1)+COUNTIFS(d_rs_sched!$D:$D,$A7,d_rs_sched!$I:$I,D$1,d_rs_sched!$K:$K,$A7)),1),1)</f>
        <v>-4</v>
      </c>
      <c r="E7">
        <f>IFERROR((SUMIFS(d_rs_sched!$J:$J,d_rs_sched!$D:$D,$A7,d_rs_sched!$I:$I,$A7,d_rs_sched!$K:$K,E$1)+SUMIFS(d_rs_sched!$L:$L,d_rs_sched!$D:$D,$A7,d_rs_sched!$K:$K,$A7,d_rs_sched!$I:$I,E$1))-(SUMIFS(d_rs_sched!$L:$L,d_rs_sched!$D:$D,$A7,d_rs_sched!$I:$I,$A7,d_rs_sched!$K:$K,E$1)+SUMIFS(d_rs_sched!$J:$J,d_rs_sched!$D:$D,$A7,d_rs_sched!$K:$K,$A7,d_rs_sched!$I:$I,E$1)),0)/IFERROR(IF((COUNTIFS(d_rs_sched!$D:$D,$A7,d_rs_sched!$I:$I,$A7,d_rs_sched!$K:$K,E$1)+COUNTIFS(d_rs_sched!$D:$D,$A7,d_rs_sched!$I:$I,E$1,d_rs_sched!$K:$K,$A7))&gt;0,(COUNTIFS(d_rs_sched!$D:$D,$A7,d_rs_sched!$I:$I,$A7,d_rs_sched!$K:$K,E$1)+COUNTIFS(d_rs_sched!$D:$D,$A7,d_rs_sched!$I:$I,E$1,d_rs_sched!$K:$K,$A7)),1),1)</f>
        <v>17.333333333333332</v>
      </c>
      <c r="F7">
        <f>IFERROR((SUMIFS(d_rs_sched!$J:$J,d_rs_sched!$D:$D,$A7,d_rs_sched!$I:$I,$A7,d_rs_sched!$K:$K,F$1)+SUMIFS(d_rs_sched!$L:$L,d_rs_sched!$D:$D,$A7,d_rs_sched!$K:$K,$A7,d_rs_sched!$I:$I,F$1))-(SUMIFS(d_rs_sched!$L:$L,d_rs_sched!$D:$D,$A7,d_rs_sched!$I:$I,$A7,d_rs_sched!$K:$K,F$1)+SUMIFS(d_rs_sched!$J:$J,d_rs_sched!$D:$D,$A7,d_rs_sched!$K:$K,$A7,d_rs_sched!$I:$I,F$1)),0)/IFERROR(IF((COUNTIFS(d_rs_sched!$D:$D,$A7,d_rs_sched!$I:$I,$A7,d_rs_sched!$K:$K,F$1)+COUNTIFS(d_rs_sched!$D:$D,$A7,d_rs_sched!$I:$I,F$1,d_rs_sched!$K:$K,$A7))&gt;0,(COUNTIFS(d_rs_sched!$D:$D,$A7,d_rs_sched!$I:$I,$A7,d_rs_sched!$K:$K,F$1)+COUNTIFS(d_rs_sched!$D:$D,$A7,d_rs_sched!$I:$I,F$1,d_rs_sched!$K:$K,$A7)),1),1)</f>
        <v>2.5</v>
      </c>
      <c r="G7">
        <f>IFERROR((SUMIFS(d_rs_sched!$J:$J,d_rs_sched!$D:$D,$A7,d_rs_sched!$I:$I,$A7,d_rs_sched!$K:$K,G$1)+SUMIFS(d_rs_sched!$L:$L,d_rs_sched!$D:$D,$A7,d_rs_sched!$K:$K,$A7,d_rs_sched!$I:$I,G$1))-(SUMIFS(d_rs_sched!$L:$L,d_rs_sched!$D:$D,$A7,d_rs_sched!$I:$I,$A7,d_rs_sched!$K:$K,G$1)+SUMIFS(d_rs_sched!$J:$J,d_rs_sched!$D:$D,$A7,d_rs_sched!$K:$K,$A7,d_rs_sched!$I:$I,G$1)),0)/IFERROR(IF((COUNTIFS(d_rs_sched!$D:$D,$A7,d_rs_sched!$I:$I,$A7,d_rs_sched!$K:$K,G$1)+COUNTIFS(d_rs_sched!$D:$D,$A7,d_rs_sched!$I:$I,G$1,d_rs_sched!$K:$K,$A7))&gt;0,(COUNTIFS(d_rs_sched!$D:$D,$A7,d_rs_sched!$I:$I,$A7,d_rs_sched!$K:$K,G$1)+COUNTIFS(d_rs_sched!$D:$D,$A7,d_rs_sched!$I:$I,G$1,d_rs_sched!$K:$K,$A7)),1),1)</f>
        <v>0</v>
      </c>
      <c r="H7">
        <f>IFERROR((SUMIFS(d_rs_sched!$J:$J,d_rs_sched!$D:$D,$A7,d_rs_sched!$I:$I,$A7,d_rs_sched!$K:$K,H$1)+SUMIFS(d_rs_sched!$L:$L,d_rs_sched!$D:$D,$A7,d_rs_sched!$K:$K,$A7,d_rs_sched!$I:$I,H$1))-(SUMIFS(d_rs_sched!$L:$L,d_rs_sched!$D:$D,$A7,d_rs_sched!$I:$I,$A7,d_rs_sched!$K:$K,H$1)+SUMIFS(d_rs_sched!$J:$J,d_rs_sched!$D:$D,$A7,d_rs_sched!$K:$K,$A7,d_rs_sched!$I:$I,H$1)),0)/IFERROR(IF((COUNTIFS(d_rs_sched!$D:$D,$A7,d_rs_sched!$I:$I,$A7,d_rs_sched!$K:$K,H$1)+COUNTIFS(d_rs_sched!$D:$D,$A7,d_rs_sched!$I:$I,H$1,d_rs_sched!$K:$K,$A7))&gt;0,(COUNTIFS(d_rs_sched!$D:$D,$A7,d_rs_sched!$I:$I,$A7,d_rs_sched!$K:$K,H$1)+COUNTIFS(d_rs_sched!$D:$D,$A7,d_rs_sched!$I:$I,H$1,d_rs_sched!$K:$K,$A7)),1),1)</f>
        <v>7</v>
      </c>
      <c r="I7">
        <f>IFERROR((SUMIFS(d_rs_sched!$J:$J,d_rs_sched!$D:$D,$A7,d_rs_sched!$I:$I,$A7,d_rs_sched!$K:$K,I$1)+SUMIFS(d_rs_sched!$L:$L,d_rs_sched!$D:$D,$A7,d_rs_sched!$K:$K,$A7,d_rs_sched!$I:$I,I$1))-(SUMIFS(d_rs_sched!$L:$L,d_rs_sched!$D:$D,$A7,d_rs_sched!$I:$I,$A7,d_rs_sched!$K:$K,I$1)+SUMIFS(d_rs_sched!$J:$J,d_rs_sched!$D:$D,$A7,d_rs_sched!$K:$K,$A7,d_rs_sched!$I:$I,I$1)),0)/IFERROR(IF((COUNTIFS(d_rs_sched!$D:$D,$A7,d_rs_sched!$I:$I,$A7,d_rs_sched!$K:$K,I$1)+COUNTIFS(d_rs_sched!$D:$D,$A7,d_rs_sched!$I:$I,I$1,d_rs_sched!$K:$K,$A7))&gt;0,(COUNTIFS(d_rs_sched!$D:$D,$A7,d_rs_sched!$I:$I,$A7,d_rs_sched!$K:$K,I$1)+COUNTIFS(d_rs_sched!$D:$D,$A7,d_rs_sched!$I:$I,I$1,d_rs_sched!$K:$K,$A7)),1),1)</f>
        <v>0</v>
      </c>
      <c r="J7">
        <f>IFERROR((SUMIFS(d_rs_sched!$J:$J,d_rs_sched!$D:$D,$A7,d_rs_sched!$I:$I,$A7,d_rs_sched!$K:$K,J$1)+SUMIFS(d_rs_sched!$L:$L,d_rs_sched!$D:$D,$A7,d_rs_sched!$K:$K,$A7,d_rs_sched!$I:$I,J$1))-(SUMIFS(d_rs_sched!$L:$L,d_rs_sched!$D:$D,$A7,d_rs_sched!$I:$I,$A7,d_rs_sched!$K:$K,J$1)+SUMIFS(d_rs_sched!$J:$J,d_rs_sched!$D:$D,$A7,d_rs_sched!$K:$K,$A7,d_rs_sched!$I:$I,J$1)),0)/IFERROR(IF((COUNTIFS(d_rs_sched!$D:$D,$A7,d_rs_sched!$I:$I,$A7,d_rs_sched!$K:$K,J$1)+COUNTIFS(d_rs_sched!$D:$D,$A7,d_rs_sched!$I:$I,J$1,d_rs_sched!$K:$K,$A7))&gt;0,(COUNTIFS(d_rs_sched!$D:$D,$A7,d_rs_sched!$I:$I,$A7,d_rs_sched!$K:$K,J$1)+COUNTIFS(d_rs_sched!$D:$D,$A7,d_rs_sched!$I:$I,J$1,d_rs_sched!$K:$K,$A7)),1),1)</f>
        <v>1.5</v>
      </c>
      <c r="K7">
        <f>IFERROR((SUMIFS(d_rs_sched!$J:$J,d_rs_sched!$D:$D,$A7,d_rs_sched!$I:$I,$A7,d_rs_sched!$K:$K,K$1)+SUMIFS(d_rs_sched!$L:$L,d_rs_sched!$D:$D,$A7,d_rs_sched!$K:$K,$A7,d_rs_sched!$I:$I,K$1))-(SUMIFS(d_rs_sched!$L:$L,d_rs_sched!$D:$D,$A7,d_rs_sched!$I:$I,$A7,d_rs_sched!$K:$K,K$1)+SUMIFS(d_rs_sched!$J:$J,d_rs_sched!$D:$D,$A7,d_rs_sched!$K:$K,$A7,d_rs_sched!$I:$I,K$1)),0)/IFERROR(IF((COUNTIFS(d_rs_sched!$D:$D,$A7,d_rs_sched!$I:$I,$A7,d_rs_sched!$K:$K,K$1)+COUNTIFS(d_rs_sched!$D:$D,$A7,d_rs_sched!$I:$I,K$1,d_rs_sched!$K:$K,$A7))&gt;0,(COUNTIFS(d_rs_sched!$D:$D,$A7,d_rs_sched!$I:$I,$A7,d_rs_sched!$K:$K,K$1)+COUNTIFS(d_rs_sched!$D:$D,$A7,d_rs_sched!$I:$I,K$1,d_rs_sched!$K:$K,$A7)),1),1)</f>
        <v>-3.5</v>
      </c>
      <c r="L7">
        <f>IFERROR((SUMIFS(d_rs_sched!$J:$J,d_rs_sched!$D:$D,$A7,d_rs_sched!$I:$I,$A7,d_rs_sched!$K:$K,L$1)+SUMIFS(d_rs_sched!$L:$L,d_rs_sched!$D:$D,$A7,d_rs_sched!$K:$K,$A7,d_rs_sched!$I:$I,L$1))-(SUMIFS(d_rs_sched!$L:$L,d_rs_sched!$D:$D,$A7,d_rs_sched!$I:$I,$A7,d_rs_sched!$K:$K,L$1)+SUMIFS(d_rs_sched!$J:$J,d_rs_sched!$D:$D,$A7,d_rs_sched!$K:$K,$A7,d_rs_sched!$I:$I,L$1)),0)/IFERROR(IF((COUNTIFS(d_rs_sched!$D:$D,$A7,d_rs_sched!$I:$I,$A7,d_rs_sched!$K:$K,L$1)+COUNTIFS(d_rs_sched!$D:$D,$A7,d_rs_sched!$I:$I,L$1,d_rs_sched!$K:$K,$A7))&gt;0,(COUNTIFS(d_rs_sched!$D:$D,$A7,d_rs_sched!$I:$I,$A7,d_rs_sched!$K:$K,L$1)+COUNTIFS(d_rs_sched!$D:$D,$A7,d_rs_sched!$I:$I,L$1,d_rs_sched!$K:$K,$A7)),1),1)</f>
        <v>-7</v>
      </c>
      <c r="M7">
        <f>IFERROR((SUMIFS(d_rs_sched!$J:$J,d_rs_sched!$D:$D,$A7,d_rs_sched!$I:$I,$A7,d_rs_sched!$K:$K,M$1)+SUMIFS(d_rs_sched!$L:$L,d_rs_sched!$D:$D,$A7,d_rs_sched!$K:$K,$A7,d_rs_sched!$I:$I,M$1))-(SUMIFS(d_rs_sched!$L:$L,d_rs_sched!$D:$D,$A7,d_rs_sched!$I:$I,$A7,d_rs_sched!$K:$K,M$1)+SUMIFS(d_rs_sched!$J:$J,d_rs_sched!$D:$D,$A7,d_rs_sched!$K:$K,$A7,d_rs_sched!$I:$I,M$1)),0)/IFERROR(IF((COUNTIFS(d_rs_sched!$D:$D,$A7,d_rs_sched!$I:$I,$A7,d_rs_sched!$K:$K,M$1)+COUNTIFS(d_rs_sched!$D:$D,$A7,d_rs_sched!$I:$I,M$1,d_rs_sched!$K:$K,$A7))&gt;0,(COUNTIFS(d_rs_sched!$D:$D,$A7,d_rs_sched!$I:$I,$A7,d_rs_sched!$K:$K,M$1)+COUNTIFS(d_rs_sched!$D:$D,$A7,d_rs_sched!$I:$I,M$1,d_rs_sched!$K:$K,$A7)),1),1)</f>
        <v>1</v>
      </c>
      <c r="N7">
        <f>IFERROR((SUMIFS(d_rs_sched!$J:$J,d_rs_sched!$D:$D,$A7,d_rs_sched!$I:$I,$A7,d_rs_sched!$K:$K,N$1)+SUMIFS(d_rs_sched!$L:$L,d_rs_sched!$D:$D,$A7,d_rs_sched!$K:$K,$A7,d_rs_sched!$I:$I,N$1))-(SUMIFS(d_rs_sched!$L:$L,d_rs_sched!$D:$D,$A7,d_rs_sched!$I:$I,$A7,d_rs_sched!$K:$K,N$1)+SUMIFS(d_rs_sched!$J:$J,d_rs_sched!$D:$D,$A7,d_rs_sched!$K:$K,$A7,d_rs_sched!$I:$I,N$1)),0)/IFERROR(IF((COUNTIFS(d_rs_sched!$D:$D,$A7,d_rs_sched!$I:$I,$A7,d_rs_sched!$K:$K,N$1)+COUNTIFS(d_rs_sched!$D:$D,$A7,d_rs_sched!$I:$I,N$1,d_rs_sched!$K:$K,$A7))&gt;0,(COUNTIFS(d_rs_sched!$D:$D,$A7,d_rs_sched!$I:$I,$A7,d_rs_sched!$K:$K,N$1)+COUNTIFS(d_rs_sched!$D:$D,$A7,d_rs_sched!$I:$I,N$1,d_rs_sched!$K:$K,$A7)),1),1)</f>
        <v>8</v>
      </c>
      <c r="O7">
        <f>IFERROR((SUMIFS(d_rs_sched!$J:$J,d_rs_sched!$D:$D,$A7,d_rs_sched!$I:$I,$A7,d_rs_sched!$K:$K,O$1)+SUMIFS(d_rs_sched!$L:$L,d_rs_sched!$D:$D,$A7,d_rs_sched!$K:$K,$A7,d_rs_sched!$I:$I,O$1))-(SUMIFS(d_rs_sched!$L:$L,d_rs_sched!$D:$D,$A7,d_rs_sched!$I:$I,$A7,d_rs_sched!$K:$K,O$1)+SUMIFS(d_rs_sched!$J:$J,d_rs_sched!$D:$D,$A7,d_rs_sched!$K:$K,$A7,d_rs_sched!$I:$I,O$1)),0)/IFERROR(IF((COUNTIFS(d_rs_sched!$D:$D,$A7,d_rs_sched!$I:$I,$A7,d_rs_sched!$K:$K,O$1)+COUNTIFS(d_rs_sched!$D:$D,$A7,d_rs_sched!$I:$I,O$1,d_rs_sched!$K:$K,$A7))&gt;0,(COUNTIFS(d_rs_sched!$D:$D,$A7,d_rs_sched!$I:$I,$A7,d_rs_sched!$K:$K,O$1)+COUNTIFS(d_rs_sched!$D:$D,$A7,d_rs_sched!$I:$I,O$1,d_rs_sched!$K:$K,$A7)),1),1)</f>
        <v>11</v>
      </c>
      <c r="P7">
        <f>IFERROR((SUMIFS(d_rs_sched!$J:$J,d_rs_sched!$D:$D,$A7,d_rs_sched!$I:$I,$A7,d_rs_sched!$K:$K,P$1)+SUMIFS(d_rs_sched!$L:$L,d_rs_sched!$D:$D,$A7,d_rs_sched!$K:$K,$A7,d_rs_sched!$I:$I,P$1))-(SUMIFS(d_rs_sched!$L:$L,d_rs_sched!$D:$D,$A7,d_rs_sched!$I:$I,$A7,d_rs_sched!$K:$K,P$1)+SUMIFS(d_rs_sched!$J:$J,d_rs_sched!$D:$D,$A7,d_rs_sched!$K:$K,$A7,d_rs_sched!$I:$I,P$1)),0)/IFERROR(IF((COUNTIFS(d_rs_sched!$D:$D,$A7,d_rs_sched!$I:$I,$A7,d_rs_sched!$K:$K,P$1)+COUNTIFS(d_rs_sched!$D:$D,$A7,d_rs_sched!$I:$I,P$1,d_rs_sched!$K:$K,$A7))&gt;0,(COUNTIFS(d_rs_sched!$D:$D,$A7,d_rs_sched!$I:$I,$A7,d_rs_sched!$K:$K,P$1)+COUNTIFS(d_rs_sched!$D:$D,$A7,d_rs_sched!$I:$I,P$1,d_rs_sched!$K:$K,$A7)),1),1)</f>
        <v>18</v>
      </c>
      <c r="Q7">
        <f>IFERROR((SUMIFS(d_rs_sched!$J:$J,d_rs_sched!$D:$D,$A7,d_rs_sched!$I:$I,$A7,d_rs_sched!$K:$K,Q$1)+SUMIFS(d_rs_sched!$L:$L,d_rs_sched!$D:$D,$A7,d_rs_sched!$K:$K,$A7,d_rs_sched!$I:$I,Q$1))-(SUMIFS(d_rs_sched!$L:$L,d_rs_sched!$D:$D,$A7,d_rs_sched!$I:$I,$A7,d_rs_sched!$K:$K,Q$1)+SUMIFS(d_rs_sched!$J:$J,d_rs_sched!$D:$D,$A7,d_rs_sched!$K:$K,$A7,d_rs_sched!$I:$I,Q$1)),0)/IFERROR(IF((COUNTIFS(d_rs_sched!$D:$D,$A7,d_rs_sched!$I:$I,$A7,d_rs_sched!$K:$K,Q$1)+COUNTIFS(d_rs_sched!$D:$D,$A7,d_rs_sched!$I:$I,Q$1,d_rs_sched!$K:$K,$A7))&gt;0,(COUNTIFS(d_rs_sched!$D:$D,$A7,d_rs_sched!$I:$I,$A7,d_rs_sched!$K:$K,Q$1)+COUNTIFS(d_rs_sched!$D:$D,$A7,d_rs_sched!$I:$I,Q$1,d_rs_sched!$K:$K,$A7)),1),1)</f>
        <v>5.5</v>
      </c>
      <c r="R7">
        <f>IFERROR((SUMIFS(d_rs_sched!$J:$J,d_rs_sched!$D:$D,$A7,d_rs_sched!$I:$I,$A7,d_rs_sched!$K:$K,R$1)+SUMIFS(d_rs_sched!$L:$L,d_rs_sched!$D:$D,$A7,d_rs_sched!$K:$K,$A7,d_rs_sched!$I:$I,R$1))-(SUMIFS(d_rs_sched!$L:$L,d_rs_sched!$D:$D,$A7,d_rs_sched!$I:$I,$A7,d_rs_sched!$K:$K,R$1)+SUMIFS(d_rs_sched!$J:$J,d_rs_sched!$D:$D,$A7,d_rs_sched!$K:$K,$A7,d_rs_sched!$I:$I,R$1)),0)/IFERROR(IF((COUNTIFS(d_rs_sched!$D:$D,$A7,d_rs_sched!$I:$I,$A7,d_rs_sched!$K:$K,R$1)+COUNTIFS(d_rs_sched!$D:$D,$A7,d_rs_sched!$I:$I,R$1,d_rs_sched!$K:$K,$A7))&gt;0,(COUNTIFS(d_rs_sched!$D:$D,$A7,d_rs_sched!$I:$I,$A7,d_rs_sched!$K:$K,R$1)+COUNTIFS(d_rs_sched!$D:$D,$A7,d_rs_sched!$I:$I,R$1,d_rs_sched!$K:$K,$A7)),1),1)</f>
        <v>2.5</v>
      </c>
      <c r="S7">
        <f>IFERROR((SUMIFS(d_rs_sched!$J:$J,d_rs_sched!$D:$D,$A7,d_rs_sched!$I:$I,$A7,d_rs_sched!$K:$K,S$1)+SUMIFS(d_rs_sched!$L:$L,d_rs_sched!$D:$D,$A7,d_rs_sched!$K:$K,$A7,d_rs_sched!$I:$I,S$1))-(SUMIFS(d_rs_sched!$L:$L,d_rs_sched!$D:$D,$A7,d_rs_sched!$I:$I,$A7,d_rs_sched!$K:$K,S$1)+SUMIFS(d_rs_sched!$J:$J,d_rs_sched!$D:$D,$A7,d_rs_sched!$K:$K,$A7,d_rs_sched!$I:$I,S$1)),0)/IFERROR(IF((COUNTIFS(d_rs_sched!$D:$D,$A7,d_rs_sched!$I:$I,$A7,d_rs_sched!$K:$K,S$1)+COUNTIFS(d_rs_sched!$D:$D,$A7,d_rs_sched!$I:$I,S$1,d_rs_sched!$K:$K,$A7))&gt;0,(COUNTIFS(d_rs_sched!$D:$D,$A7,d_rs_sched!$I:$I,$A7,d_rs_sched!$K:$K,S$1)+COUNTIFS(d_rs_sched!$D:$D,$A7,d_rs_sched!$I:$I,S$1,d_rs_sched!$K:$K,$A7)),1),1)</f>
        <v>18.5</v>
      </c>
      <c r="T7">
        <f>IFERROR((SUMIFS(d_rs_sched!$J:$J,d_rs_sched!$D:$D,$A7,d_rs_sched!$I:$I,$A7,d_rs_sched!$K:$K,T$1)+SUMIFS(d_rs_sched!$L:$L,d_rs_sched!$D:$D,$A7,d_rs_sched!$K:$K,$A7,d_rs_sched!$I:$I,T$1))-(SUMIFS(d_rs_sched!$L:$L,d_rs_sched!$D:$D,$A7,d_rs_sched!$I:$I,$A7,d_rs_sched!$K:$K,T$1)+SUMIFS(d_rs_sched!$J:$J,d_rs_sched!$D:$D,$A7,d_rs_sched!$K:$K,$A7,d_rs_sched!$I:$I,T$1)),0)/IFERROR(IF((COUNTIFS(d_rs_sched!$D:$D,$A7,d_rs_sched!$I:$I,$A7,d_rs_sched!$K:$K,T$1)+COUNTIFS(d_rs_sched!$D:$D,$A7,d_rs_sched!$I:$I,T$1,d_rs_sched!$K:$K,$A7))&gt;0,(COUNTIFS(d_rs_sched!$D:$D,$A7,d_rs_sched!$I:$I,$A7,d_rs_sched!$K:$K,T$1)+COUNTIFS(d_rs_sched!$D:$D,$A7,d_rs_sched!$I:$I,T$1,d_rs_sched!$K:$K,$A7)),1),1)</f>
        <v>1</v>
      </c>
      <c r="U7">
        <f>IFERROR((SUMIFS(d_rs_sched!$J:$J,d_rs_sched!$D:$D,$A7,d_rs_sched!$I:$I,$A7,d_rs_sched!$K:$K,U$1)+SUMIFS(d_rs_sched!$L:$L,d_rs_sched!$D:$D,$A7,d_rs_sched!$K:$K,$A7,d_rs_sched!$I:$I,U$1))-(SUMIFS(d_rs_sched!$L:$L,d_rs_sched!$D:$D,$A7,d_rs_sched!$I:$I,$A7,d_rs_sched!$K:$K,U$1)+SUMIFS(d_rs_sched!$J:$J,d_rs_sched!$D:$D,$A7,d_rs_sched!$K:$K,$A7,d_rs_sched!$I:$I,U$1)),0)/IFERROR(IF((COUNTIFS(d_rs_sched!$D:$D,$A7,d_rs_sched!$I:$I,$A7,d_rs_sched!$K:$K,U$1)+COUNTIFS(d_rs_sched!$D:$D,$A7,d_rs_sched!$I:$I,U$1,d_rs_sched!$K:$K,$A7))&gt;0,(COUNTIFS(d_rs_sched!$D:$D,$A7,d_rs_sched!$I:$I,$A7,d_rs_sched!$K:$K,U$1)+COUNTIFS(d_rs_sched!$D:$D,$A7,d_rs_sched!$I:$I,U$1,d_rs_sched!$K:$K,$A7)),1),1)</f>
        <v>5.333333333333333</v>
      </c>
      <c r="V7">
        <f>IFERROR((SUMIFS(d_rs_sched!$J:$J,d_rs_sched!$D:$D,$A7,d_rs_sched!$I:$I,$A7,d_rs_sched!$K:$K,V$1)+SUMIFS(d_rs_sched!$L:$L,d_rs_sched!$D:$D,$A7,d_rs_sched!$K:$K,$A7,d_rs_sched!$I:$I,V$1))-(SUMIFS(d_rs_sched!$L:$L,d_rs_sched!$D:$D,$A7,d_rs_sched!$I:$I,$A7,d_rs_sched!$K:$K,V$1)+SUMIFS(d_rs_sched!$J:$J,d_rs_sched!$D:$D,$A7,d_rs_sched!$K:$K,$A7,d_rs_sched!$I:$I,V$1)),0)/IFERROR(IF((COUNTIFS(d_rs_sched!$D:$D,$A7,d_rs_sched!$I:$I,$A7,d_rs_sched!$K:$K,V$1)+COUNTIFS(d_rs_sched!$D:$D,$A7,d_rs_sched!$I:$I,V$1,d_rs_sched!$K:$K,$A7))&gt;0,(COUNTIFS(d_rs_sched!$D:$D,$A7,d_rs_sched!$I:$I,$A7,d_rs_sched!$K:$K,V$1)+COUNTIFS(d_rs_sched!$D:$D,$A7,d_rs_sched!$I:$I,V$1,d_rs_sched!$K:$K,$A7)),1),1)</f>
        <v>0.5</v>
      </c>
      <c r="W7">
        <f>IFERROR((SUMIFS(d_rs_sched!$J:$J,d_rs_sched!$D:$D,$A7,d_rs_sched!$I:$I,$A7,d_rs_sched!$K:$K,W$1)+SUMIFS(d_rs_sched!$L:$L,d_rs_sched!$D:$D,$A7,d_rs_sched!$K:$K,$A7,d_rs_sched!$I:$I,W$1))-(SUMIFS(d_rs_sched!$L:$L,d_rs_sched!$D:$D,$A7,d_rs_sched!$I:$I,$A7,d_rs_sched!$K:$K,W$1)+SUMIFS(d_rs_sched!$J:$J,d_rs_sched!$D:$D,$A7,d_rs_sched!$K:$K,$A7,d_rs_sched!$I:$I,W$1)),0)/IFERROR(IF((COUNTIFS(d_rs_sched!$D:$D,$A7,d_rs_sched!$I:$I,$A7,d_rs_sched!$K:$K,W$1)+COUNTIFS(d_rs_sched!$D:$D,$A7,d_rs_sched!$I:$I,W$1,d_rs_sched!$K:$K,$A7))&gt;0,(COUNTIFS(d_rs_sched!$D:$D,$A7,d_rs_sched!$I:$I,$A7,d_rs_sched!$K:$K,W$1)+COUNTIFS(d_rs_sched!$D:$D,$A7,d_rs_sched!$I:$I,W$1,d_rs_sched!$K:$K,$A7)),1),1)</f>
        <v>18.666666666666668</v>
      </c>
      <c r="X7">
        <f>IFERROR((SUMIFS(d_rs_sched!$J:$J,d_rs_sched!$D:$D,$A7,d_rs_sched!$I:$I,$A7,d_rs_sched!$K:$K,X$1)+SUMIFS(d_rs_sched!$L:$L,d_rs_sched!$D:$D,$A7,d_rs_sched!$K:$K,$A7,d_rs_sched!$I:$I,X$1))-(SUMIFS(d_rs_sched!$L:$L,d_rs_sched!$D:$D,$A7,d_rs_sched!$I:$I,$A7,d_rs_sched!$K:$K,X$1)+SUMIFS(d_rs_sched!$J:$J,d_rs_sched!$D:$D,$A7,d_rs_sched!$K:$K,$A7,d_rs_sched!$I:$I,X$1)),0)/IFERROR(IF((COUNTIFS(d_rs_sched!$D:$D,$A7,d_rs_sched!$I:$I,$A7,d_rs_sched!$K:$K,X$1)+COUNTIFS(d_rs_sched!$D:$D,$A7,d_rs_sched!$I:$I,X$1,d_rs_sched!$K:$K,$A7))&gt;0,(COUNTIFS(d_rs_sched!$D:$D,$A7,d_rs_sched!$I:$I,$A7,d_rs_sched!$K:$K,X$1)+COUNTIFS(d_rs_sched!$D:$D,$A7,d_rs_sched!$I:$I,X$1,d_rs_sched!$K:$K,$A7)),1),1)</f>
        <v>3.6666666666666665</v>
      </c>
      <c r="Y7">
        <f>IFERROR((SUMIFS(d_rs_sched!$J:$J,d_rs_sched!$D:$D,$A7,d_rs_sched!$I:$I,$A7,d_rs_sched!$K:$K,Y$1)+SUMIFS(d_rs_sched!$L:$L,d_rs_sched!$D:$D,$A7,d_rs_sched!$K:$K,$A7,d_rs_sched!$I:$I,Y$1))-(SUMIFS(d_rs_sched!$L:$L,d_rs_sched!$D:$D,$A7,d_rs_sched!$I:$I,$A7,d_rs_sched!$K:$K,Y$1)+SUMIFS(d_rs_sched!$J:$J,d_rs_sched!$D:$D,$A7,d_rs_sched!$K:$K,$A7,d_rs_sched!$I:$I,Y$1)),0)/IFERROR(IF((COUNTIFS(d_rs_sched!$D:$D,$A7,d_rs_sched!$I:$I,$A7,d_rs_sched!$K:$K,Y$1)+COUNTIFS(d_rs_sched!$D:$D,$A7,d_rs_sched!$I:$I,Y$1,d_rs_sched!$K:$K,$A7))&gt;0,(COUNTIFS(d_rs_sched!$D:$D,$A7,d_rs_sched!$I:$I,$A7,d_rs_sched!$K:$K,Y$1)+COUNTIFS(d_rs_sched!$D:$D,$A7,d_rs_sched!$I:$I,Y$1,d_rs_sched!$K:$K,$A7)),1),1)</f>
        <v>1.5</v>
      </c>
      <c r="Z7">
        <f>IFERROR((SUMIFS(d_rs_sched!$J:$J,d_rs_sched!$D:$D,$A7,d_rs_sched!$I:$I,$A7,d_rs_sched!$K:$K,Z$1)+SUMIFS(d_rs_sched!$L:$L,d_rs_sched!$D:$D,$A7,d_rs_sched!$K:$K,$A7,d_rs_sched!$I:$I,Z$1))-(SUMIFS(d_rs_sched!$L:$L,d_rs_sched!$D:$D,$A7,d_rs_sched!$I:$I,$A7,d_rs_sched!$K:$K,Z$1)+SUMIFS(d_rs_sched!$J:$J,d_rs_sched!$D:$D,$A7,d_rs_sched!$K:$K,$A7,d_rs_sched!$I:$I,Z$1)),0)/IFERROR(IF((COUNTIFS(d_rs_sched!$D:$D,$A7,d_rs_sched!$I:$I,$A7,d_rs_sched!$K:$K,Z$1)+COUNTIFS(d_rs_sched!$D:$D,$A7,d_rs_sched!$I:$I,Z$1,d_rs_sched!$K:$K,$A7))&gt;0,(COUNTIFS(d_rs_sched!$D:$D,$A7,d_rs_sched!$I:$I,$A7,d_rs_sched!$K:$K,Z$1)+COUNTIFS(d_rs_sched!$D:$D,$A7,d_rs_sched!$I:$I,Z$1,d_rs_sched!$K:$K,$A7)),1),1)</f>
        <v>-7</v>
      </c>
      <c r="AA7">
        <f>IFERROR((SUMIFS(d_rs_sched!$J:$J,d_rs_sched!$D:$D,$A7,d_rs_sched!$I:$I,$A7,d_rs_sched!$K:$K,AA$1)+SUMIFS(d_rs_sched!$L:$L,d_rs_sched!$D:$D,$A7,d_rs_sched!$K:$K,$A7,d_rs_sched!$I:$I,AA$1))-(SUMIFS(d_rs_sched!$L:$L,d_rs_sched!$D:$D,$A7,d_rs_sched!$I:$I,$A7,d_rs_sched!$K:$K,AA$1)+SUMIFS(d_rs_sched!$J:$J,d_rs_sched!$D:$D,$A7,d_rs_sched!$K:$K,$A7,d_rs_sched!$I:$I,AA$1)),0)/IFERROR(IF((COUNTIFS(d_rs_sched!$D:$D,$A7,d_rs_sched!$I:$I,$A7,d_rs_sched!$K:$K,AA$1)+COUNTIFS(d_rs_sched!$D:$D,$A7,d_rs_sched!$I:$I,AA$1,d_rs_sched!$K:$K,$A7))&gt;0,(COUNTIFS(d_rs_sched!$D:$D,$A7,d_rs_sched!$I:$I,$A7,d_rs_sched!$K:$K,AA$1)+COUNTIFS(d_rs_sched!$D:$D,$A7,d_rs_sched!$I:$I,AA$1,d_rs_sched!$K:$K,$A7)),1),1)</f>
        <v>0.5</v>
      </c>
      <c r="AB7">
        <f>IFERROR((SUMIFS(d_rs_sched!$J:$J,d_rs_sched!$D:$D,$A7,d_rs_sched!$I:$I,$A7,d_rs_sched!$K:$K,AB$1)+SUMIFS(d_rs_sched!$L:$L,d_rs_sched!$D:$D,$A7,d_rs_sched!$K:$K,$A7,d_rs_sched!$I:$I,AB$1))-(SUMIFS(d_rs_sched!$L:$L,d_rs_sched!$D:$D,$A7,d_rs_sched!$I:$I,$A7,d_rs_sched!$K:$K,AB$1)+SUMIFS(d_rs_sched!$J:$J,d_rs_sched!$D:$D,$A7,d_rs_sched!$K:$K,$A7,d_rs_sched!$I:$I,AB$1)),0)/IFERROR(IF((COUNTIFS(d_rs_sched!$D:$D,$A7,d_rs_sched!$I:$I,$A7,d_rs_sched!$K:$K,AB$1)+COUNTIFS(d_rs_sched!$D:$D,$A7,d_rs_sched!$I:$I,AB$1,d_rs_sched!$K:$K,$A7))&gt;0,(COUNTIFS(d_rs_sched!$D:$D,$A7,d_rs_sched!$I:$I,$A7,d_rs_sched!$K:$K,AB$1)+COUNTIFS(d_rs_sched!$D:$D,$A7,d_rs_sched!$I:$I,AB$1,d_rs_sched!$K:$K,$A7)),1),1)</f>
        <v>-4</v>
      </c>
      <c r="AC7">
        <f>IFERROR((SUMIFS(d_rs_sched!$J:$J,d_rs_sched!$D:$D,$A7,d_rs_sched!$I:$I,$A7,d_rs_sched!$K:$K,AC$1)+SUMIFS(d_rs_sched!$L:$L,d_rs_sched!$D:$D,$A7,d_rs_sched!$K:$K,$A7,d_rs_sched!$I:$I,AC$1))-(SUMIFS(d_rs_sched!$L:$L,d_rs_sched!$D:$D,$A7,d_rs_sched!$I:$I,$A7,d_rs_sched!$K:$K,AC$1)+SUMIFS(d_rs_sched!$J:$J,d_rs_sched!$D:$D,$A7,d_rs_sched!$K:$K,$A7,d_rs_sched!$I:$I,AC$1)),0)/IFERROR(IF((COUNTIFS(d_rs_sched!$D:$D,$A7,d_rs_sched!$I:$I,$A7,d_rs_sched!$K:$K,AC$1)+COUNTIFS(d_rs_sched!$D:$D,$A7,d_rs_sched!$I:$I,AC$1,d_rs_sched!$K:$K,$A7))&gt;0,(COUNTIFS(d_rs_sched!$D:$D,$A7,d_rs_sched!$I:$I,$A7,d_rs_sched!$K:$K,AC$1)+COUNTIFS(d_rs_sched!$D:$D,$A7,d_rs_sched!$I:$I,AC$1,d_rs_sched!$K:$K,$A7)),1),1)</f>
        <v>2.25</v>
      </c>
      <c r="AD7">
        <f>IFERROR((SUMIFS(d_rs_sched!$J:$J,d_rs_sched!$D:$D,$A7,d_rs_sched!$I:$I,$A7,d_rs_sched!$K:$K,AD$1)+SUMIFS(d_rs_sched!$L:$L,d_rs_sched!$D:$D,$A7,d_rs_sched!$K:$K,$A7,d_rs_sched!$I:$I,AD$1))-(SUMIFS(d_rs_sched!$L:$L,d_rs_sched!$D:$D,$A7,d_rs_sched!$I:$I,$A7,d_rs_sched!$K:$K,AD$1)+SUMIFS(d_rs_sched!$J:$J,d_rs_sched!$D:$D,$A7,d_rs_sched!$K:$K,$A7,d_rs_sched!$I:$I,AD$1)),0)/IFERROR(IF((COUNTIFS(d_rs_sched!$D:$D,$A7,d_rs_sched!$I:$I,$A7,d_rs_sched!$K:$K,AD$1)+COUNTIFS(d_rs_sched!$D:$D,$A7,d_rs_sched!$I:$I,AD$1,d_rs_sched!$K:$K,$A7))&gt;0,(COUNTIFS(d_rs_sched!$D:$D,$A7,d_rs_sched!$I:$I,$A7,d_rs_sched!$K:$K,AD$1)+COUNTIFS(d_rs_sched!$D:$D,$A7,d_rs_sched!$I:$I,AD$1,d_rs_sched!$K:$K,$A7)),1),1)</f>
        <v>6</v>
      </c>
      <c r="AE7">
        <f>IFERROR((SUMIFS(d_rs_sched!$J:$J,d_rs_sched!$D:$D,$A7,d_rs_sched!$I:$I,$A7,d_rs_sched!$K:$K,AE$1)+SUMIFS(d_rs_sched!$L:$L,d_rs_sched!$D:$D,$A7,d_rs_sched!$K:$K,$A7,d_rs_sched!$I:$I,AE$1))-(SUMIFS(d_rs_sched!$L:$L,d_rs_sched!$D:$D,$A7,d_rs_sched!$I:$I,$A7,d_rs_sched!$K:$K,AE$1)+SUMIFS(d_rs_sched!$J:$J,d_rs_sched!$D:$D,$A7,d_rs_sched!$K:$K,$A7,d_rs_sched!$I:$I,AE$1)),0)/IFERROR(IF((COUNTIFS(d_rs_sched!$D:$D,$A7,d_rs_sched!$I:$I,$A7,d_rs_sched!$K:$K,AE$1)+COUNTIFS(d_rs_sched!$D:$D,$A7,d_rs_sched!$I:$I,AE$1,d_rs_sched!$K:$K,$A7))&gt;0,(COUNTIFS(d_rs_sched!$D:$D,$A7,d_rs_sched!$I:$I,$A7,d_rs_sched!$K:$K,AE$1)+COUNTIFS(d_rs_sched!$D:$D,$A7,d_rs_sched!$I:$I,AE$1,d_rs_sched!$K:$K,$A7)),1),1)</f>
        <v>14</v>
      </c>
      <c r="AG7" t="s">
        <v>40</v>
      </c>
      <c r="AH7">
        <v>0.99188617578037785</v>
      </c>
      <c r="AI7">
        <f t="shared" si="0"/>
        <v>8</v>
      </c>
    </row>
    <row r="8" spans="1:35" x14ac:dyDescent="0.25">
      <c r="A8" t="s">
        <v>14</v>
      </c>
      <c r="B8">
        <f>IFERROR((SUMIFS(d_rs_sched!$J:$J,d_rs_sched!$D:$D,$A8,d_rs_sched!$I:$I,$A8,d_rs_sched!$K:$K,B$1)+SUMIFS(d_rs_sched!$L:$L,d_rs_sched!$D:$D,$A8,d_rs_sched!$K:$K,$A8,d_rs_sched!$I:$I,B$1))-(SUMIFS(d_rs_sched!$L:$L,d_rs_sched!$D:$D,$A8,d_rs_sched!$I:$I,$A8,d_rs_sched!$K:$K,B$1)+SUMIFS(d_rs_sched!$J:$J,d_rs_sched!$D:$D,$A8,d_rs_sched!$K:$K,$A8,d_rs_sched!$I:$I,B$1)),0)/IFERROR(IF((COUNTIFS(d_rs_sched!$D:$D,$A8,d_rs_sched!$I:$I,$A8,d_rs_sched!$K:$K,B$1)+COUNTIFS(d_rs_sched!$D:$D,$A8,d_rs_sched!$I:$I,B$1,d_rs_sched!$K:$K,$A8))&gt;0,(COUNTIFS(d_rs_sched!$D:$D,$A8,d_rs_sched!$I:$I,$A8,d_rs_sched!$K:$K,B$1)+COUNTIFS(d_rs_sched!$D:$D,$A8,d_rs_sched!$I:$I,B$1,d_rs_sched!$K:$K,$A8)),1),1)</f>
        <v>-10</v>
      </c>
      <c r="C8">
        <f>IFERROR((SUMIFS(d_rs_sched!$J:$J,d_rs_sched!$D:$D,$A8,d_rs_sched!$I:$I,$A8,d_rs_sched!$K:$K,C$1)+SUMIFS(d_rs_sched!$L:$L,d_rs_sched!$D:$D,$A8,d_rs_sched!$K:$K,$A8,d_rs_sched!$I:$I,C$1))-(SUMIFS(d_rs_sched!$L:$L,d_rs_sched!$D:$D,$A8,d_rs_sched!$I:$I,$A8,d_rs_sched!$K:$K,C$1)+SUMIFS(d_rs_sched!$J:$J,d_rs_sched!$D:$D,$A8,d_rs_sched!$K:$K,$A8,d_rs_sched!$I:$I,C$1)),0)/IFERROR(IF((COUNTIFS(d_rs_sched!$D:$D,$A8,d_rs_sched!$I:$I,$A8,d_rs_sched!$K:$K,C$1)+COUNTIFS(d_rs_sched!$D:$D,$A8,d_rs_sched!$I:$I,C$1,d_rs_sched!$K:$K,$A8))&gt;0,(COUNTIFS(d_rs_sched!$D:$D,$A8,d_rs_sched!$I:$I,$A8,d_rs_sched!$K:$K,C$1)+COUNTIFS(d_rs_sched!$D:$D,$A8,d_rs_sched!$I:$I,C$1,d_rs_sched!$K:$K,$A8)),1),1)</f>
        <v>-1</v>
      </c>
      <c r="D8">
        <f>IFERROR((SUMIFS(d_rs_sched!$J:$J,d_rs_sched!$D:$D,$A8,d_rs_sched!$I:$I,$A8,d_rs_sched!$K:$K,D$1)+SUMIFS(d_rs_sched!$L:$L,d_rs_sched!$D:$D,$A8,d_rs_sched!$K:$K,$A8,d_rs_sched!$I:$I,D$1))-(SUMIFS(d_rs_sched!$L:$L,d_rs_sched!$D:$D,$A8,d_rs_sched!$I:$I,$A8,d_rs_sched!$K:$K,D$1)+SUMIFS(d_rs_sched!$J:$J,d_rs_sched!$D:$D,$A8,d_rs_sched!$K:$K,$A8,d_rs_sched!$I:$I,D$1)),0)/IFERROR(IF((COUNTIFS(d_rs_sched!$D:$D,$A8,d_rs_sched!$I:$I,$A8,d_rs_sched!$K:$K,D$1)+COUNTIFS(d_rs_sched!$D:$D,$A8,d_rs_sched!$I:$I,D$1,d_rs_sched!$K:$K,$A8))&gt;0,(COUNTIFS(d_rs_sched!$D:$D,$A8,d_rs_sched!$I:$I,$A8,d_rs_sched!$K:$K,D$1)+COUNTIFS(d_rs_sched!$D:$D,$A8,d_rs_sched!$I:$I,D$1,d_rs_sched!$K:$K,$A8)),1),1)</f>
        <v>11.5</v>
      </c>
      <c r="E8">
        <f>IFERROR((SUMIFS(d_rs_sched!$J:$J,d_rs_sched!$D:$D,$A8,d_rs_sched!$I:$I,$A8,d_rs_sched!$K:$K,E$1)+SUMIFS(d_rs_sched!$L:$L,d_rs_sched!$D:$D,$A8,d_rs_sched!$K:$K,$A8,d_rs_sched!$I:$I,E$1))-(SUMIFS(d_rs_sched!$L:$L,d_rs_sched!$D:$D,$A8,d_rs_sched!$I:$I,$A8,d_rs_sched!$K:$K,E$1)+SUMIFS(d_rs_sched!$J:$J,d_rs_sched!$D:$D,$A8,d_rs_sched!$K:$K,$A8,d_rs_sched!$I:$I,E$1)),0)/IFERROR(IF((COUNTIFS(d_rs_sched!$D:$D,$A8,d_rs_sched!$I:$I,$A8,d_rs_sched!$K:$K,E$1)+COUNTIFS(d_rs_sched!$D:$D,$A8,d_rs_sched!$I:$I,E$1,d_rs_sched!$K:$K,$A8))&gt;0,(COUNTIFS(d_rs_sched!$D:$D,$A8,d_rs_sched!$I:$I,$A8,d_rs_sched!$K:$K,E$1)+COUNTIFS(d_rs_sched!$D:$D,$A8,d_rs_sched!$I:$I,E$1,d_rs_sched!$K:$K,$A8)),1),1)</f>
        <v>19</v>
      </c>
      <c r="F8">
        <f>IFERROR((SUMIFS(d_rs_sched!$J:$J,d_rs_sched!$D:$D,$A8,d_rs_sched!$I:$I,$A8,d_rs_sched!$K:$K,F$1)+SUMIFS(d_rs_sched!$L:$L,d_rs_sched!$D:$D,$A8,d_rs_sched!$K:$K,$A8,d_rs_sched!$I:$I,F$1))-(SUMIFS(d_rs_sched!$L:$L,d_rs_sched!$D:$D,$A8,d_rs_sched!$I:$I,$A8,d_rs_sched!$K:$K,F$1)+SUMIFS(d_rs_sched!$J:$J,d_rs_sched!$D:$D,$A8,d_rs_sched!$K:$K,$A8,d_rs_sched!$I:$I,F$1)),0)/IFERROR(IF((COUNTIFS(d_rs_sched!$D:$D,$A8,d_rs_sched!$I:$I,$A8,d_rs_sched!$K:$K,F$1)+COUNTIFS(d_rs_sched!$D:$D,$A8,d_rs_sched!$I:$I,F$1,d_rs_sched!$K:$K,$A8))&gt;0,(COUNTIFS(d_rs_sched!$D:$D,$A8,d_rs_sched!$I:$I,$A8,d_rs_sched!$K:$K,F$1)+COUNTIFS(d_rs_sched!$D:$D,$A8,d_rs_sched!$I:$I,F$1,d_rs_sched!$K:$K,$A8)),1),1)</f>
        <v>-0.5</v>
      </c>
      <c r="G8">
        <f>IFERROR((SUMIFS(d_rs_sched!$J:$J,d_rs_sched!$D:$D,$A8,d_rs_sched!$I:$I,$A8,d_rs_sched!$K:$K,G$1)+SUMIFS(d_rs_sched!$L:$L,d_rs_sched!$D:$D,$A8,d_rs_sched!$K:$K,$A8,d_rs_sched!$I:$I,G$1))-(SUMIFS(d_rs_sched!$L:$L,d_rs_sched!$D:$D,$A8,d_rs_sched!$I:$I,$A8,d_rs_sched!$K:$K,G$1)+SUMIFS(d_rs_sched!$J:$J,d_rs_sched!$D:$D,$A8,d_rs_sched!$K:$K,$A8,d_rs_sched!$I:$I,G$1)),0)/IFERROR(IF((COUNTIFS(d_rs_sched!$D:$D,$A8,d_rs_sched!$I:$I,$A8,d_rs_sched!$K:$K,G$1)+COUNTIFS(d_rs_sched!$D:$D,$A8,d_rs_sched!$I:$I,G$1,d_rs_sched!$K:$K,$A8))&gt;0,(COUNTIFS(d_rs_sched!$D:$D,$A8,d_rs_sched!$I:$I,$A8,d_rs_sched!$K:$K,G$1)+COUNTIFS(d_rs_sched!$D:$D,$A8,d_rs_sched!$I:$I,G$1,d_rs_sched!$K:$K,$A8)),1),1)</f>
        <v>-7</v>
      </c>
      <c r="H8">
        <f>IFERROR((SUMIFS(d_rs_sched!$J:$J,d_rs_sched!$D:$D,$A8,d_rs_sched!$I:$I,$A8,d_rs_sched!$K:$K,H$1)+SUMIFS(d_rs_sched!$L:$L,d_rs_sched!$D:$D,$A8,d_rs_sched!$K:$K,$A8,d_rs_sched!$I:$I,H$1))-(SUMIFS(d_rs_sched!$L:$L,d_rs_sched!$D:$D,$A8,d_rs_sched!$I:$I,$A8,d_rs_sched!$K:$K,H$1)+SUMIFS(d_rs_sched!$J:$J,d_rs_sched!$D:$D,$A8,d_rs_sched!$K:$K,$A8,d_rs_sched!$I:$I,H$1)),0)/IFERROR(IF((COUNTIFS(d_rs_sched!$D:$D,$A8,d_rs_sched!$I:$I,$A8,d_rs_sched!$K:$K,H$1)+COUNTIFS(d_rs_sched!$D:$D,$A8,d_rs_sched!$I:$I,H$1,d_rs_sched!$K:$K,$A8))&gt;0,(COUNTIFS(d_rs_sched!$D:$D,$A8,d_rs_sched!$I:$I,$A8,d_rs_sched!$K:$K,H$1)+COUNTIFS(d_rs_sched!$D:$D,$A8,d_rs_sched!$I:$I,H$1,d_rs_sched!$K:$K,$A8)),1),1)</f>
        <v>0</v>
      </c>
      <c r="I8">
        <f>IFERROR((SUMIFS(d_rs_sched!$J:$J,d_rs_sched!$D:$D,$A8,d_rs_sched!$I:$I,$A8,d_rs_sched!$K:$K,I$1)+SUMIFS(d_rs_sched!$L:$L,d_rs_sched!$D:$D,$A8,d_rs_sched!$K:$K,$A8,d_rs_sched!$I:$I,I$1))-(SUMIFS(d_rs_sched!$L:$L,d_rs_sched!$D:$D,$A8,d_rs_sched!$I:$I,$A8,d_rs_sched!$K:$K,I$1)+SUMIFS(d_rs_sched!$J:$J,d_rs_sched!$D:$D,$A8,d_rs_sched!$K:$K,$A8,d_rs_sched!$I:$I,I$1)),0)/IFERROR(IF((COUNTIFS(d_rs_sched!$D:$D,$A8,d_rs_sched!$I:$I,$A8,d_rs_sched!$K:$K,I$1)+COUNTIFS(d_rs_sched!$D:$D,$A8,d_rs_sched!$I:$I,I$1,d_rs_sched!$K:$K,$A8))&gt;0,(COUNTIFS(d_rs_sched!$D:$D,$A8,d_rs_sched!$I:$I,$A8,d_rs_sched!$K:$K,I$1)+COUNTIFS(d_rs_sched!$D:$D,$A8,d_rs_sched!$I:$I,I$1,d_rs_sched!$K:$K,$A8)),1),1)</f>
        <v>0.66666666666666663</v>
      </c>
      <c r="J8">
        <f>IFERROR((SUMIFS(d_rs_sched!$J:$J,d_rs_sched!$D:$D,$A8,d_rs_sched!$I:$I,$A8,d_rs_sched!$K:$K,J$1)+SUMIFS(d_rs_sched!$L:$L,d_rs_sched!$D:$D,$A8,d_rs_sched!$K:$K,$A8,d_rs_sched!$I:$I,J$1))-(SUMIFS(d_rs_sched!$L:$L,d_rs_sched!$D:$D,$A8,d_rs_sched!$I:$I,$A8,d_rs_sched!$K:$K,J$1)+SUMIFS(d_rs_sched!$J:$J,d_rs_sched!$D:$D,$A8,d_rs_sched!$K:$K,$A8,d_rs_sched!$I:$I,J$1)),0)/IFERROR(IF((COUNTIFS(d_rs_sched!$D:$D,$A8,d_rs_sched!$I:$I,$A8,d_rs_sched!$K:$K,J$1)+COUNTIFS(d_rs_sched!$D:$D,$A8,d_rs_sched!$I:$I,J$1,d_rs_sched!$K:$K,$A8))&gt;0,(COUNTIFS(d_rs_sched!$D:$D,$A8,d_rs_sched!$I:$I,$A8,d_rs_sched!$K:$K,J$1)+COUNTIFS(d_rs_sched!$D:$D,$A8,d_rs_sched!$I:$I,J$1,d_rs_sched!$K:$K,$A8)),1),1)</f>
        <v>-1</v>
      </c>
      <c r="K8">
        <f>IFERROR((SUMIFS(d_rs_sched!$J:$J,d_rs_sched!$D:$D,$A8,d_rs_sched!$I:$I,$A8,d_rs_sched!$K:$K,K$1)+SUMIFS(d_rs_sched!$L:$L,d_rs_sched!$D:$D,$A8,d_rs_sched!$K:$K,$A8,d_rs_sched!$I:$I,K$1))-(SUMIFS(d_rs_sched!$L:$L,d_rs_sched!$D:$D,$A8,d_rs_sched!$I:$I,$A8,d_rs_sched!$K:$K,K$1)+SUMIFS(d_rs_sched!$J:$J,d_rs_sched!$D:$D,$A8,d_rs_sched!$K:$K,$A8,d_rs_sched!$I:$I,K$1)),0)/IFERROR(IF((COUNTIFS(d_rs_sched!$D:$D,$A8,d_rs_sched!$I:$I,$A8,d_rs_sched!$K:$K,K$1)+COUNTIFS(d_rs_sched!$D:$D,$A8,d_rs_sched!$I:$I,K$1,d_rs_sched!$K:$K,$A8))&gt;0,(COUNTIFS(d_rs_sched!$D:$D,$A8,d_rs_sched!$I:$I,$A8,d_rs_sched!$K:$K,K$1)+COUNTIFS(d_rs_sched!$D:$D,$A8,d_rs_sched!$I:$I,K$1,d_rs_sched!$K:$K,$A8)),1),1)</f>
        <v>-12.25</v>
      </c>
      <c r="L8">
        <f>IFERROR((SUMIFS(d_rs_sched!$J:$J,d_rs_sched!$D:$D,$A8,d_rs_sched!$I:$I,$A8,d_rs_sched!$K:$K,L$1)+SUMIFS(d_rs_sched!$L:$L,d_rs_sched!$D:$D,$A8,d_rs_sched!$K:$K,$A8,d_rs_sched!$I:$I,L$1))-(SUMIFS(d_rs_sched!$L:$L,d_rs_sched!$D:$D,$A8,d_rs_sched!$I:$I,$A8,d_rs_sched!$K:$K,L$1)+SUMIFS(d_rs_sched!$J:$J,d_rs_sched!$D:$D,$A8,d_rs_sched!$K:$K,$A8,d_rs_sched!$I:$I,L$1)),0)/IFERROR(IF((COUNTIFS(d_rs_sched!$D:$D,$A8,d_rs_sched!$I:$I,$A8,d_rs_sched!$K:$K,L$1)+COUNTIFS(d_rs_sched!$D:$D,$A8,d_rs_sched!$I:$I,L$1,d_rs_sched!$K:$K,$A8))&gt;0,(COUNTIFS(d_rs_sched!$D:$D,$A8,d_rs_sched!$I:$I,$A8,d_rs_sched!$K:$K,L$1)+COUNTIFS(d_rs_sched!$D:$D,$A8,d_rs_sched!$I:$I,L$1,d_rs_sched!$K:$K,$A8)),1),1)</f>
        <v>-1</v>
      </c>
      <c r="M8">
        <f>IFERROR((SUMIFS(d_rs_sched!$J:$J,d_rs_sched!$D:$D,$A8,d_rs_sched!$I:$I,$A8,d_rs_sched!$K:$K,M$1)+SUMIFS(d_rs_sched!$L:$L,d_rs_sched!$D:$D,$A8,d_rs_sched!$K:$K,$A8,d_rs_sched!$I:$I,M$1))-(SUMIFS(d_rs_sched!$L:$L,d_rs_sched!$D:$D,$A8,d_rs_sched!$I:$I,$A8,d_rs_sched!$K:$K,M$1)+SUMIFS(d_rs_sched!$J:$J,d_rs_sched!$D:$D,$A8,d_rs_sched!$K:$K,$A8,d_rs_sched!$I:$I,M$1)),0)/IFERROR(IF((COUNTIFS(d_rs_sched!$D:$D,$A8,d_rs_sched!$I:$I,$A8,d_rs_sched!$K:$K,M$1)+COUNTIFS(d_rs_sched!$D:$D,$A8,d_rs_sched!$I:$I,M$1,d_rs_sched!$K:$K,$A8))&gt;0,(COUNTIFS(d_rs_sched!$D:$D,$A8,d_rs_sched!$I:$I,$A8,d_rs_sched!$K:$K,M$1)+COUNTIFS(d_rs_sched!$D:$D,$A8,d_rs_sched!$I:$I,M$1,d_rs_sched!$K:$K,$A8)),1),1)</f>
        <v>-8</v>
      </c>
      <c r="N8">
        <f>IFERROR((SUMIFS(d_rs_sched!$J:$J,d_rs_sched!$D:$D,$A8,d_rs_sched!$I:$I,$A8,d_rs_sched!$K:$K,N$1)+SUMIFS(d_rs_sched!$L:$L,d_rs_sched!$D:$D,$A8,d_rs_sched!$K:$K,$A8,d_rs_sched!$I:$I,N$1))-(SUMIFS(d_rs_sched!$L:$L,d_rs_sched!$D:$D,$A8,d_rs_sched!$I:$I,$A8,d_rs_sched!$K:$K,N$1)+SUMIFS(d_rs_sched!$J:$J,d_rs_sched!$D:$D,$A8,d_rs_sched!$K:$K,$A8,d_rs_sched!$I:$I,N$1)),0)/IFERROR(IF((COUNTIFS(d_rs_sched!$D:$D,$A8,d_rs_sched!$I:$I,$A8,d_rs_sched!$K:$K,N$1)+COUNTIFS(d_rs_sched!$D:$D,$A8,d_rs_sched!$I:$I,N$1,d_rs_sched!$K:$K,$A8))&gt;0,(COUNTIFS(d_rs_sched!$D:$D,$A8,d_rs_sched!$I:$I,$A8,d_rs_sched!$K:$K,N$1)+COUNTIFS(d_rs_sched!$D:$D,$A8,d_rs_sched!$I:$I,N$1,d_rs_sched!$K:$K,$A8)),1),1)</f>
        <v>-2.3333333333333335</v>
      </c>
      <c r="O8">
        <f>IFERROR((SUMIFS(d_rs_sched!$J:$J,d_rs_sched!$D:$D,$A8,d_rs_sched!$I:$I,$A8,d_rs_sched!$K:$K,O$1)+SUMIFS(d_rs_sched!$L:$L,d_rs_sched!$D:$D,$A8,d_rs_sched!$K:$K,$A8,d_rs_sched!$I:$I,O$1))-(SUMIFS(d_rs_sched!$L:$L,d_rs_sched!$D:$D,$A8,d_rs_sched!$I:$I,$A8,d_rs_sched!$K:$K,O$1)+SUMIFS(d_rs_sched!$J:$J,d_rs_sched!$D:$D,$A8,d_rs_sched!$K:$K,$A8,d_rs_sched!$I:$I,O$1)),0)/IFERROR(IF((COUNTIFS(d_rs_sched!$D:$D,$A8,d_rs_sched!$I:$I,$A8,d_rs_sched!$K:$K,O$1)+COUNTIFS(d_rs_sched!$D:$D,$A8,d_rs_sched!$I:$I,O$1,d_rs_sched!$K:$K,$A8))&gt;0,(COUNTIFS(d_rs_sched!$D:$D,$A8,d_rs_sched!$I:$I,$A8,d_rs_sched!$K:$K,O$1)+COUNTIFS(d_rs_sched!$D:$D,$A8,d_rs_sched!$I:$I,O$1,d_rs_sched!$K:$K,$A8)),1),1)</f>
        <v>14.75</v>
      </c>
      <c r="P8">
        <f>IFERROR((SUMIFS(d_rs_sched!$J:$J,d_rs_sched!$D:$D,$A8,d_rs_sched!$I:$I,$A8,d_rs_sched!$K:$K,P$1)+SUMIFS(d_rs_sched!$L:$L,d_rs_sched!$D:$D,$A8,d_rs_sched!$K:$K,$A8,d_rs_sched!$I:$I,P$1))-(SUMIFS(d_rs_sched!$L:$L,d_rs_sched!$D:$D,$A8,d_rs_sched!$I:$I,$A8,d_rs_sched!$K:$K,P$1)+SUMIFS(d_rs_sched!$J:$J,d_rs_sched!$D:$D,$A8,d_rs_sched!$K:$K,$A8,d_rs_sched!$I:$I,P$1)),0)/IFERROR(IF((COUNTIFS(d_rs_sched!$D:$D,$A8,d_rs_sched!$I:$I,$A8,d_rs_sched!$K:$K,P$1)+COUNTIFS(d_rs_sched!$D:$D,$A8,d_rs_sched!$I:$I,P$1,d_rs_sched!$K:$K,$A8))&gt;0,(COUNTIFS(d_rs_sched!$D:$D,$A8,d_rs_sched!$I:$I,$A8,d_rs_sched!$K:$K,P$1)+COUNTIFS(d_rs_sched!$D:$D,$A8,d_rs_sched!$I:$I,P$1,d_rs_sched!$K:$K,$A8)),1),1)</f>
        <v>-7.75</v>
      </c>
      <c r="Q8">
        <f>IFERROR((SUMIFS(d_rs_sched!$J:$J,d_rs_sched!$D:$D,$A8,d_rs_sched!$I:$I,$A8,d_rs_sched!$K:$K,Q$1)+SUMIFS(d_rs_sched!$L:$L,d_rs_sched!$D:$D,$A8,d_rs_sched!$K:$K,$A8,d_rs_sched!$I:$I,Q$1))-(SUMIFS(d_rs_sched!$L:$L,d_rs_sched!$D:$D,$A8,d_rs_sched!$I:$I,$A8,d_rs_sched!$K:$K,Q$1)+SUMIFS(d_rs_sched!$J:$J,d_rs_sched!$D:$D,$A8,d_rs_sched!$K:$K,$A8,d_rs_sched!$I:$I,Q$1)),0)/IFERROR(IF((COUNTIFS(d_rs_sched!$D:$D,$A8,d_rs_sched!$I:$I,$A8,d_rs_sched!$K:$K,Q$1)+COUNTIFS(d_rs_sched!$D:$D,$A8,d_rs_sched!$I:$I,Q$1,d_rs_sched!$K:$K,$A8))&gt;0,(COUNTIFS(d_rs_sched!$D:$D,$A8,d_rs_sched!$I:$I,$A8,d_rs_sched!$K:$K,Q$1)+COUNTIFS(d_rs_sched!$D:$D,$A8,d_rs_sched!$I:$I,Q$1,d_rs_sched!$K:$K,$A8)),1),1)</f>
        <v>6</v>
      </c>
      <c r="R8">
        <f>IFERROR((SUMIFS(d_rs_sched!$J:$J,d_rs_sched!$D:$D,$A8,d_rs_sched!$I:$I,$A8,d_rs_sched!$K:$K,R$1)+SUMIFS(d_rs_sched!$L:$L,d_rs_sched!$D:$D,$A8,d_rs_sched!$K:$K,$A8,d_rs_sched!$I:$I,R$1))-(SUMIFS(d_rs_sched!$L:$L,d_rs_sched!$D:$D,$A8,d_rs_sched!$I:$I,$A8,d_rs_sched!$K:$K,R$1)+SUMIFS(d_rs_sched!$J:$J,d_rs_sched!$D:$D,$A8,d_rs_sched!$K:$K,$A8,d_rs_sched!$I:$I,R$1)),0)/IFERROR(IF((COUNTIFS(d_rs_sched!$D:$D,$A8,d_rs_sched!$I:$I,$A8,d_rs_sched!$K:$K,R$1)+COUNTIFS(d_rs_sched!$D:$D,$A8,d_rs_sched!$I:$I,R$1,d_rs_sched!$K:$K,$A8))&gt;0,(COUNTIFS(d_rs_sched!$D:$D,$A8,d_rs_sched!$I:$I,$A8,d_rs_sched!$K:$K,R$1)+COUNTIFS(d_rs_sched!$D:$D,$A8,d_rs_sched!$I:$I,R$1,d_rs_sched!$K:$K,$A8)),1),1)</f>
        <v>12.5</v>
      </c>
      <c r="S8">
        <f>IFERROR((SUMIFS(d_rs_sched!$J:$J,d_rs_sched!$D:$D,$A8,d_rs_sched!$I:$I,$A8,d_rs_sched!$K:$K,S$1)+SUMIFS(d_rs_sched!$L:$L,d_rs_sched!$D:$D,$A8,d_rs_sched!$K:$K,$A8,d_rs_sched!$I:$I,S$1))-(SUMIFS(d_rs_sched!$L:$L,d_rs_sched!$D:$D,$A8,d_rs_sched!$I:$I,$A8,d_rs_sched!$K:$K,S$1)+SUMIFS(d_rs_sched!$J:$J,d_rs_sched!$D:$D,$A8,d_rs_sched!$K:$K,$A8,d_rs_sched!$I:$I,S$1)),0)/IFERROR(IF((COUNTIFS(d_rs_sched!$D:$D,$A8,d_rs_sched!$I:$I,$A8,d_rs_sched!$K:$K,S$1)+COUNTIFS(d_rs_sched!$D:$D,$A8,d_rs_sched!$I:$I,S$1,d_rs_sched!$K:$K,$A8))&gt;0,(COUNTIFS(d_rs_sched!$D:$D,$A8,d_rs_sched!$I:$I,$A8,d_rs_sched!$K:$K,S$1)+COUNTIFS(d_rs_sched!$D:$D,$A8,d_rs_sched!$I:$I,S$1,d_rs_sched!$K:$K,$A8)),1),1)</f>
        <v>14.333333333333334</v>
      </c>
      <c r="T8">
        <f>IFERROR((SUMIFS(d_rs_sched!$J:$J,d_rs_sched!$D:$D,$A8,d_rs_sched!$I:$I,$A8,d_rs_sched!$K:$K,T$1)+SUMIFS(d_rs_sched!$L:$L,d_rs_sched!$D:$D,$A8,d_rs_sched!$K:$K,$A8,d_rs_sched!$I:$I,T$1))-(SUMIFS(d_rs_sched!$L:$L,d_rs_sched!$D:$D,$A8,d_rs_sched!$I:$I,$A8,d_rs_sched!$K:$K,T$1)+SUMIFS(d_rs_sched!$J:$J,d_rs_sched!$D:$D,$A8,d_rs_sched!$K:$K,$A8,d_rs_sched!$I:$I,T$1)),0)/IFERROR(IF((COUNTIFS(d_rs_sched!$D:$D,$A8,d_rs_sched!$I:$I,$A8,d_rs_sched!$K:$K,T$1)+COUNTIFS(d_rs_sched!$D:$D,$A8,d_rs_sched!$I:$I,T$1,d_rs_sched!$K:$K,$A8))&gt;0,(COUNTIFS(d_rs_sched!$D:$D,$A8,d_rs_sched!$I:$I,$A8,d_rs_sched!$K:$K,T$1)+COUNTIFS(d_rs_sched!$D:$D,$A8,d_rs_sched!$I:$I,T$1,d_rs_sched!$K:$K,$A8)),1),1)</f>
        <v>4</v>
      </c>
      <c r="U8">
        <f>IFERROR((SUMIFS(d_rs_sched!$J:$J,d_rs_sched!$D:$D,$A8,d_rs_sched!$I:$I,$A8,d_rs_sched!$K:$K,U$1)+SUMIFS(d_rs_sched!$L:$L,d_rs_sched!$D:$D,$A8,d_rs_sched!$K:$K,$A8,d_rs_sched!$I:$I,U$1))-(SUMIFS(d_rs_sched!$L:$L,d_rs_sched!$D:$D,$A8,d_rs_sched!$I:$I,$A8,d_rs_sched!$K:$K,U$1)+SUMIFS(d_rs_sched!$J:$J,d_rs_sched!$D:$D,$A8,d_rs_sched!$K:$K,$A8,d_rs_sched!$I:$I,U$1)),0)/IFERROR(IF((COUNTIFS(d_rs_sched!$D:$D,$A8,d_rs_sched!$I:$I,$A8,d_rs_sched!$K:$K,U$1)+COUNTIFS(d_rs_sched!$D:$D,$A8,d_rs_sched!$I:$I,U$1,d_rs_sched!$K:$K,$A8))&gt;0,(COUNTIFS(d_rs_sched!$D:$D,$A8,d_rs_sched!$I:$I,$A8,d_rs_sched!$K:$K,U$1)+COUNTIFS(d_rs_sched!$D:$D,$A8,d_rs_sched!$I:$I,U$1,d_rs_sched!$K:$K,$A8)),1),1)</f>
        <v>13.5</v>
      </c>
      <c r="V8">
        <f>IFERROR((SUMIFS(d_rs_sched!$J:$J,d_rs_sched!$D:$D,$A8,d_rs_sched!$I:$I,$A8,d_rs_sched!$K:$K,V$1)+SUMIFS(d_rs_sched!$L:$L,d_rs_sched!$D:$D,$A8,d_rs_sched!$K:$K,$A8,d_rs_sched!$I:$I,V$1))-(SUMIFS(d_rs_sched!$L:$L,d_rs_sched!$D:$D,$A8,d_rs_sched!$I:$I,$A8,d_rs_sched!$K:$K,V$1)+SUMIFS(d_rs_sched!$J:$J,d_rs_sched!$D:$D,$A8,d_rs_sched!$K:$K,$A8,d_rs_sched!$I:$I,V$1)),0)/IFERROR(IF((COUNTIFS(d_rs_sched!$D:$D,$A8,d_rs_sched!$I:$I,$A8,d_rs_sched!$K:$K,V$1)+COUNTIFS(d_rs_sched!$D:$D,$A8,d_rs_sched!$I:$I,V$1,d_rs_sched!$K:$K,$A8))&gt;0,(COUNTIFS(d_rs_sched!$D:$D,$A8,d_rs_sched!$I:$I,$A8,d_rs_sched!$K:$K,V$1)+COUNTIFS(d_rs_sched!$D:$D,$A8,d_rs_sched!$I:$I,V$1,d_rs_sched!$K:$K,$A8)),1),1)</f>
        <v>-0.5</v>
      </c>
      <c r="W8">
        <f>IFERROR((SUMIFS(d_rs_sched!$J:$J,d_rs_sched!$D:$D,$A8,d_rs_sched!$I:$I,$A8,d_rs_sched!$K:$K,W$1)+SUMIFS(d_rs_sched!$L:$L,d_rs_sched!$D:$D,$A8,d_rs_sched!$K:$K,$A8,d_rs_sched!$I:$I,W$1))-(SUMIFS(d_rs_sched!$L:$L,d_rs_sched!$D:$D,$A8,d_rs_sched!$I:$I,$A8,d_rs_sched!$K:$K,W$1)+SUMIFS(d_rs_sched!$J:$J,d_rs_sched!$D:$D,$A8,d_rs_sched!$K:$K,$A8,d_rs_sched!$I:$I,W$1)),0)/IFERROR(IF((COUNTIFS(d_rs_sched!$D:$D,$A8,d_rs_sched!$I:$I,$A8,d_rs_sched!$K:$K,W$1)+COUNTIFS(d_rs_sched!$D:$D,$A8,d_rs_sched!$I:$I,W$1,d_rs_sched!$K:$K,$A8))&gt;0,(COUNTIFS(d_rs_sched!$D:$D,$A8,d_rs_sched!$I:$I,$A8,d_rs_sched!$K:$K,W$1)+COUNTIFS(d_rs_sched!$D:$D,$A8,d_rs_sched!$I:$I,W$1,d_rs_sched!$K:$K,$A8)),1),1)</f>
        <v>10</v>
      </c>
      <c r="X8">
        <f>IFERROR((SUMIFS(d_rs_sched!$J:$J,d_rs_sched!$D:$D,$A8,d_rs_sched!$I:$I,$A8,d_rs_sched!$K:$K,X$1)+SUMIFS(d_rs_sched!$L:$L,d_rs_sched!$D:$D,$A8,d_rs_sched!$K:$K,$A8,d_rs_sched!$I:$I,X$1))-(SUMIFS(d_rs_sched!$L:$L,d_rs_sched!$D:$D,$A8,d_rs_sched!$I:$I,$A8,d_rs_sched!$K:$K,X$1)+SUMIFS(d_rs_sched!$J:$J,d_rs_sched!$D:$D,$A8,d_rs_sched!$K:$K,$A8,d_rs_sched!$I:$I,X$1)),0)/IFERROR(IF((COUNTIFS(d_rs_sched!$D:$D,$A8,d_rs_sched!$I:$I,$A8,d_rs_sched!$K:$K,X$1)+COUNTIFS(d_rs_sched!$D:$D,$A8,d_rs_sched!$I:$I,X$1,d_rs_sched!$K:$K,$A8))&gt;0,(COUNTIFS(d_rs_sched!$D:$D,$A8,d_rs_sched!$I:$I,$A8,d_rs_sched!$K:$K,X$1)+COUNTIFS(d_rs_sched!$D:$D,$A8,d_rs_sched!$I:$I,X$1,d_rs_sched!$K:$K,$A8)),1),1)</f>
        <v>30</v>
      </c>
      <c r="Y8">
        <f>IFERROR((SUMIFS(d_rs_sched!$J:$J,d_rs_sched!$D:$D,$A8,d_rs_sched!$I:$I,$A8,d_rs_sched!$K:$K,Y$1)+SUMIFS(d_rs_sched!$L:$L,d_rs_sched!$D:$D,$A8,d_rs_sched!$K:$K,$A8,d_rs_sched!$I:$I,Y$1))-(SUMIFS(d_rs_sched!$L:$L,d_rs_sched!$D:$D,$A8,d_rs_sched!$I:$I,$A8,d_rs_sched!$K:$K,Y$1)+SUMIFS(d_rs_sched!$J:$J,d_rs_sched!$D:$D,$A8,d_rs_sched!$K:$K,$A8,d_rs_sched!$I:$I,Y$1)),0)/IFERROR(IF((COUNTIFS(d_rs_sched!$D:$D,$A8,d_rs_sched!$I:$I,$A8,d_rs_sched!$K:$K,Y$1)+COUNTIFS(d_rs_sched!$D:$D,$A8,d_rs_sched!$I:$I,Y$1,d_rs_sched!$K:$K,$A8))&gt;0,(COUNTIFS(d_rs_sched!$D:$D,$A8,d_rs_sched!$I:$I,$A8,d_rs_sched!$K:$K,Y$1)+COUNTIFS(d_rs_sched!$D:$D,$A8,d_rs_sched!$I:$I,Y$1,d_rs_sched!$K:$K,$A8)),1),1)</f>
        <v>-6</v>
      </c>
      <c r="Z8">
        <f>IFERROR((SUMIFS(d_rs_sched!$J:$J,d_rs_sched!$D:$D,$A8,d_rs_sched!$I:$I,$A8,d_rs_sched!$K:$K,Z$1)+SUMIFS(d_rs_sched!$L:$L,d_rs_sched!$D:$D,$A8,d_rs_sched!$K:$K,$A8,d_rs_sched!$I:$I,Z$1))-(SUMIFS(d_rs_sched!$L:$L,d_rs_sched!$D:$D,$A8,d_rs_sched!$I:$I,$A8,d_rs_sched!$K:$K,Z$1)+SUMIFS(d_rs_sched!$J:$J,d_rs_sched!$D:$D,$A8,d_rs_sched!$K:$K,$A8,d_rs_sched!$I:$I,Z$1)),0)/IFERROR(IF((COUNTIFS(d_rs_sched!$D:$D,$A8,d_rs_sched!$I:$I,$A8,d_rs_sched!$K:$K,Z$1)+COUNTIFS(d_rs_sched!$D:$D,$A8,d_rs_sched!$I:$I,Z$1,d_rs_sched!$K:$K,$A8))&gt;0,(COUNTIFS(d_rs_sched!$D:$D,$A8,d_rs_sched!$I:$I,$A8,d_rs_sched!$K:$K,Z$1)+COUNTIFS(d_rs_sched!$D:$D,$A8,d_rs_sched!$I:$I,Z$1,d_rs_sched!$K:$K,$A8)),1),1)</f>
        <v>-3.5</v>
      </c>
      <c r="AA8">
        <f>IFERROR((SUMIFS(d_rs_sched!$J:$J,d_rs_sched!$D:$D,$A8,d_rs_sched!$I:$I,$A8,d_rs_sched!$K:$K,AA$1)+SUMIFS(d_rs_sched!$L:$L,d_rs_sched!$D:$D,$A8,d_rs_sched!$K:$K,$A8,d_rs_sched!$I:$I,AA$1))-(SUMIFS(d_rs_sched!$L:$L,d_rs_sched!$D:$D,$A8,d_rs_sched!$I:$I,$A8,d_rs_sched!$K:$K,AA$1)+SUMIFS(d_rs_sched!$J:$J,d_rs_sched!$D:$D,$A8,d_rs_sched!$K:$K,$A8,d_rs_sched!$I:$I,AA$1)),0)/IFERROR(IF((COUNTIFS(d_rs_sched!$D:$D,$A8,d_rs_sched!$I:$I,$A8,d_rs_sched!$K:$K,AA$1)+COUNTIFS(d_rs_sched!$D:$D,$A8,d_rs_sched!$I:$I,AA$1,d_rs_sched!$K:$K,$A8))&gt;0,(COUNTIFS(d_rs_sched!$D:$D,$A8,d_rs_sched!$I:$I,$A8,d_rs_sched!$K:$K,AA$1)+COUNTIFS(d_rs_sched!$D:$D,$A8,d_rs_sched!$I:$I,AA$1,d_rs_sched!$K:$K,$A8)),1),1)</f>
        <v>-1.5</v>
      </c>
      <c r="AB8">
        <f>IFERROR((SUMIFS(d_rs_sched!$J:$J,d_rs_sched!$D:$D,$A8,d_rs_sched!$I:$I,$A8,d_rs_sched!$K:$K,AB$1)+SUMIFS(d_rs_sched!$L:$L,d_rs_sched!$D:$D,$A8,d_rs_sched!$K:$K,$A8,d_rs_sched!$I:$I,AB$1))-(SUMIFS(d_rs_sched!$L:$L,d_rs_sched!$D:$D,$A8,d_rs_sched!$I:$I,$A8,d_rs_sched!$K:$K,AB$1)+SUMIFS(d_rs_sched!$J:$J,d_rs_sched!$D:$D,$A8,d_rs_sched!$K:$K,$A8,d_rs_sched!$I:$I,AB$1)),0)/IFERROR(IF((COUNTIFS(d_rs_sched!$D:$D,$A8,d_rs_sched!$I:$I,$A8,d_rs_sched!$K:$K,AB$1)+COUNTIFS(d_rs_sched!$D:$D,$A8,d_rs_sched!$I:$I,AB$1,d_rs_sched!$K:$K,$A8))&gt;0,(COUNTIFS(d_rs_sched!$D:$D,$A8,d_rs_sched!$I:$I,$A8,d_rs_sched!$K:$K,AB$1)+COUNTIFS(d_rs_sched!$D:$D,$A8,d_rs_sched!$I:$I,AB$1,d_rs_sched!$K:$K,$A8)),1),1)</f>
        <v>11.666666666666666</v>
      </c>
      <c r="AC8">
        <f>IFERROR((SUMIFS(d_rs_sched!$J:$J,d_rs_sched!$D:$D,$A8,d_rs_sched!$I:$I,$A8,d_rs_sched!$K:$K,AC$1)+SUMIFS(d_rs_sched!$L:$L,d_rs_sched!$D:$D,$A8,d_rs_sched!$K:$K,$A8,d_rs_sched!$I:$I,AC$1))-(SUMIFS(d_rs_sched!$L:$L,d_rs_sched!$D:$D,$A8,d_rs_sched!$I:$I,$A8,d_rs_sched!$K:$K,AC$1)+SUMIFS(d_rs_sched!$J:$J,d_rs_sched!$D:$D,$A8,d_rs_sched!$K:$K,$A8,d_rs_sched!$I:$I,AC$1)),0)/IFERROR(IF((COUNTIFS(d_rs_sched!$D:$D,$A8,d_rs_sched!$I:$I,$A8,d_rs_sched!$K:$K,AC$1)+COUNTIFS(d_rs_sched!$D:$D,$A8,d_rs_sched!$I:$I,AC$1,d_rs_sched!$K:$K,$A8))&gt;0,(COUNTIFS(d_rs_sched!$D:$D,$A8,d_rs_sched!$I:$I,$A8,d_rs_sched!$K:$K,AC$1)+COUNTIFS(d_rs_sched!$D:$D,$A8,d_rs_sched!$I:$I,AC$1,d_rs_sched!$K:$K,$A8)),1),1)</f>
        <v>5.5</v>
      </c>
      <c r="AD8">
        <f>IFERROR((SUMIFS(d_rs_sched!$J:$J,d_rs_sched!$D:$D,$A8,d_rs_sched!$I:$I,$A8,d_rs_sched!$K:$K,AD$1)+SUMIFS(d_rs_sched!$L:$L,d_rs_sched!$D:$D,$A8,d_rs_sched!$K:$K,$A8,d_rs_sched!$I:$I,AD$1))-(SUMIFS(d_rs_sched!$L:$L,d_rs_sched!$D:$D,$A8,d_rs_sched!$I:$I,$A8,d_rs_sched!$K:$K,AD$1)+SUMIFS(d_rs_sched!$J:$J,d_rs_sched!$D:$D,$A8,d_rs_sched!$K:$K,$A8,d_rs_sched!$I:$I,AD$1)),0)/IFERROR(IF((COUNTIFS(d_rs_sched!$D:$D,$A8,d_rs_sched!$I:$I,$A8,d_rs_sched!$K:$K,AD$1)+COUNTIFS(d_rs_sched!$D:$D,$A8,d_rs_sched!$I:$I,AD$1,d_rs_sched!$K:$K,$A8))&gt;0,(COUNTIFS(d_rs_sched!$D:$D,$A8,d_rs_sched!$I:$I,$A8,d_rs_sched!$K:$K,AD$1)+COUNTIFS(d_rs_sched!$D:$D,$A8,d_rs_sched!$I:$I,AD$1,d_rs_sched!$K:$K,$A8)),1),1)</f>
        <v>7.25</v>
      </c>
      <c r="AE8">
        <f>IFERROR((SUMIFS(d_rs_sched!$J:$J,d_rs_sched!$D:$D,$A8,d_rs_sched!$I:$I,$A8,d_rs_sched!$K:$K,AE$1)+SUMIFS(d_rs_sched!$L:$L,d_rs_sched!$D:$D,$A8,d_rs_sched!$K:$K,$A8,d_rs_sched!$I:$I,AE$1))-(SUMIFS(d_rs_sched!$L:$L,d_rs_sched!$D:$D,$A8,d_rs_sched!$I:$I,$A8,d_rs_sched!$K:$K,AE$1)+SUMIFS(d_rs_sched!$J:$J,d_rs_sched!$D:$D,$A8,d_rs_sched!$K:$K,$A8,d_rs_sched!$I:$I,AE$1)),0)/IFERROR(IF((COUNTIFS(d_rs_sched!$D:$D,$A8,d_rs_sched!$I:$I,$A8,d_rs_sched!$K:$K,AE$1)+COUNTIFS(d_rs_sched!$D:$D,$A8,d_rs_sched!$I:$I,AE$1,d_rs_sched!$K:$K,$A8))&gt;0,(COUNTIFS(d_rs_sched!$D:$D,$A8,d_rs_sched!$I:$I,$A8,d_rs_sched!$K:$K,AE$1)+COUNTIFS(d_rs_sched!$D:$D,$A8,d_rs_sched!$I:$I,AE$1,d_rs_sched!$K:$K,$A8)),1),1)</f>
        <v>15</v>
      </c>
      <c r="AG8" t="s">
        <v>14</v>
      </c>
      <c r="AH8">
        <v>0.96745186128534766</v>
      </c>
      <c r="AI8">
        <f t="shared" si="0"/>
        <v>20</v>
      </c>
    </row>
    <row r="9" spans="1:35" x14ac:dyDescent="0.25">
      <c r="A9" t="s">
        <v>32</v>
      </c>
      <c r="B9">
        <f>IFERROR((SUMIFS(d_rs_sched!$J:$J,d_rs_sched!$D:$D,$A9,d_rs_sched!$I:$I,$A9,d_rs_sched!$K:$K,B$1)+SUMIFS(d_rs_sched!$L:$L,d_rs_sched!$D:$D,$A9,d_rs_sched!$K:$K,$A9,d_rs_sched!$I:$I,B$1))-(SUMIFS(d_rs_sched!$L:$L,d_rs_sched!$D:$D,$A9,d_rs_sched!$I:$I,$A9,d_rs_sched!$K:$K,B$1)+SUMIFS(d_rs_sched!$J:$J,d_rs_sched!$D:$D,$A9,d_rs_sched!$K:$K,$A9,d_rs_sched!$I:$I,B$1)),0)/IFERROR(IF((COUNTIFS(d_rs_sched!$D:$D,$A9,d_rs_sched!$I:$I,$A9,d_rs_sched!$K:$K,B$1)+COUNTIFS(d_rs_sched!$D:$D,$A9,d_rs_sched!$I:$I,B$1,d_rs_sched!$K:$K,$A9))&gt;0,(COUNTIFS(d_rs_sched!$D:$D,$A9,d_rs_sched!$I:$I,$A9,d_rs_sched!$K:$K,B$1)+COUNTIFS(d_rs_sched!$D:$D,$A9,d_rs_sched!$I:$I,B$1,d_rs_sched!$K:$K,$A9)),1),1)</f>
        <v>0.5</v>
      </c>
      <c r="C9">
        <f>IFERROR((SUMIFS(d_rs_sched!$J:$J,d_rs_sched!$D:$D,$A9,d_rs_sched!$I:$I,$A9,d_rs_sched!$K:$K,C$1)+SUMIFS(d_rs_sched!$L:$L,d_rs_sched!$D:$D,$A9,d_rs_sched!$K:$K,$A9,d_rs_sched!$I:$I,C$1))-(SUMIFS(d_rs_sched!$L:$L,d_rs_sched!$D:$D,$A9,d_rs_sched!$I:$I,$A9,d_rs_sched!$K:$K,C$1)+SUMIFS(d_rs_sched!$J:$J,d_rs_sched!$D:$D,$A9,d_rs_sched!$K:$K,$A9,d_rs_sched!$I:$I,C$1)),0)/IFERROR(IF((COUNTIFS(d_rs_sched!$D:$D,$A9,d_rs_sched!$I:$I,$A9,d_rs_sched!$K:$K,C$1)+COUNTIFS(d_rs_sched!$D:$D,$A9,d_rs_sched!$I:$I,C$1,d_rs_sched!$K:$K,$A9))&gt;0,(COUNTIFS(d_rs_sched!$D:$D,$A9,d_rs_sched!$I:$I,$A9,d_rs_sched!$K:$K,C$1)+COUNTIFS(d_rs_sched!$D:$D,$A9,d_rs_sched!$I:$I,C$1,d_rs_sched!$K:$K,$A9)),1),1)</f>
        <v>-17</v>
      </c>
      <c r="D9">
        <f>IFERROR((SUMIFS(d_rs_sched!$J:$J,d_rs_sched!$D:$D,$A9,d_rs_sched!$I:$I,$A9,d_rs_sched!$K:$K,D$1)+SUMIFS(d_rs_sched!$L:$L,d_rs_sched!$D:$D,$A9,d_rs_sched!$K:$K,$A9,d_rs_sched!$I:$I,D$1))-(SUMIFS(d_rs_sched!$L:$L,d_rs_sched!$D:$D,$A9,d_rs_sched!$I:$I,$A9,d_rs_sched!$K:$K,D$1)+SUMIFS(d_rs_sched!$J:$J,d_rs_sched!$D:$D,$A9,d_rs_sched!$K:$K,$A9,d_rs_sched!$I:$I,D$1)),0)/IFERROR(IF((COUNTIFS(d_rs_sched!$D:$D,$A9,d_rs_sched!$I:$I,$A9,d_rs_sched!$K:$K,D$1)+COUNTIFS(d_rs_sched!$D:$D,$A9,d_rs_sched!$I:$I,D$1,d_rs_sched!$K:$K,$A9))&gt;0,(COUNTIFS(d_rs_sched!$D:$D,$A9,d_rs_sched!$I:$I,$A9,d_rs_sched!$K:$K,D$1)+COUNTIFS(d_rs_sched!$D:$D,$A9,d_rs_sched!$I:$I,D$1,d_rs_sched!$K:$K,$A9)),1),1)</f>
        <v>-2.5</v>
      </c>
      <c r="E9">
        <f>IFERROR((SUMIFS(d_rs_sched!$J:$J,d_rs_sched!$D:$D,$A9,d_rs_sched!$I:$I,$A9,d_rs_sched!$K:$K,E$1)+SUMIFS(d_rs_sched!$L:$L,d_rs_sched!$D:$D,$A9,d_rs_sched!$K:$K,$A9,d_rs_sched!$I:$I,E$1))-(SUMIFS(d_rs_sched!$L:$L,d_rs_sched!$D:$D,$A9,d_rs_sched!$I:$I,$A9,d_rs_sched!$K:$K,E$1)+SUMIFS(d_rs_sched!$J:$J,d_rs_sched!$D:$D,$A9,d_rs_sched!$K:$K,$A9,d_rs_sched!$I:$I,E$1)),0)/IFERROR(IF((COUNTIFS(d_rs_sched!$D:$D,$A9,d_rs_sched!$I:$I,$A9,d_rs_sched!$K:$K,E$1)+COUNTIFS(d_rs_sched!$D:$D,$A9,d_rs_sched!$I:$I,E$1,d_rs_sched!$K:$K,$A9))&gt;0,(COUNTIFS(d_rs_sched!$D:$D,$A9,d_rs_sched!$I:$I,$A9,d_rs_sched!$K:$K,E$1)+COUNTIFS(d_rs_sched!$D:$D,$A9,d_rs_sched!$I:$I,E$1,d_rs_sched!$K:$K,$A9)),1),1)</f>
        <v>-23</v>
      </c>
      <c r="F9">
        <f>IFERROR((SUMIFS(d_rs_sched!$J:$J,d_rs_sched!$D:$D,$A9,d_rs_sched!$I:$I,$A9,d_rs_sched!$K:$K,F$1)+SUMIFS(d_rs_sched!$L:$L,d_rs_sched!$D:$D,$A9,d_rs_sched!$K:$K,$A9,d_rs_sched!$I:$I,F$1))-(SUMIFS(d_rs_sched!$L:$L,d_rs_sched!$D:$D,$A9,d_rs_sched!$I:$I,$A9,d_rs_sched!$K:$K,F$1)+SUMIFS(d_rs_sched!$J:$J,d_rs_sched!$D:$D,$A9,d_rs_sched!$K:$K,$A9,d_rs_sched!$I:$I,F$1)),0)/IFERROR(IF((COUNTIFS(d_rs_sched!$D:$D,$A9,d_rs_sched!$I:$I,$A9,d_rs_sched!$K:$K,F$1)+COUNTIFS(d_rs_sched!$D:$D,$A9,d_rs_sched!$I:$I,F$1,d_rs_sched!$K:$K,$A9))&gt;0,(COUNTIFS(d_rs_sched!$D:$D,$A9,d_rs_sched!$I:$I,$A9,d_rs_sched!$K:$K,F$1)+COUNTIFS(d_rs_sched!$D:$D,$A9,d_rs_sched!$I:$I,F$1,d_rs_sched!$K:$K,$A9)),1),1)</f>
        <v>0</v>
      </c>
      <c r="G9">
        <f>IFERROR((SUMIFS(d_rs_sched!$J:$J,d_rs_sched!$D:$D,$A9,d_rs_sched!$I:$I,$A9,d_rs_sched!$K:$K,G$1)+SUMIFS(d_rs_sched!$L:$L,d_rs_sched!$D:$D,$A9,d_rs_sched!$K:$K,$A9,d_rs_sched!$I:$I,G$1))-(SUMIFS(d_rs_sched!$L:$L,d_rs_sched!$D:$D,$A9,d_rs_sched!$I:$I,$A9,d_rs_sched!$K:$K,G$1)+SUMIFS(d_rs_sched!$J:$J,d_rs_sched!$D:$D,$A9,d_rs_sched!$K:$K,$A9,d_rs_sched!$I:$I,G$1)),0)/IFERROR(IF((COUNTIFS(d_rs_sched!$D:$D,$A9,d_rs_sched!$I:$I,$A9,d_rs_sched!$K:$K,G$1)+COUNTIFS(d_rs_sched!$D:$D,$A9,d_rs_sched!$I:$I,G$1,d_rs_sched!$K:$K,$A9))&gt;0,(COUNTIFS(d_rs_sched!$D:$D,$A9,d_rs_sched!$I:$I,$A9,d_rs_sched!$K:$K,G$1)+COUNTIFS(d_rs_sched!$D:$D,$A9,d_rs_sched!$I:$I,G$1,d_rs_sched!$K:$K,$A9)),1),1)</f>
        <v>0</v>
      </c>
      <c r="H9">
        <f>IFERROR((SUMIFS(d_rs_sched!$J:$J,d_rs_sched!$D:$D,$A9,d_rs_sched!$I:$I,$A9,d_rs_sched!$K:$K,H$1)+SUMIFS(d_rs_sched!$L:$L,d_rs_sched!$D:$D,$A9,d_rs_sched!$K:$K,$A9,d_rs_sched!$I:$I,H$1))-(SUMIFS(d_rs_sched!$L:$L,d_rs_sched!$D:$D,$A9,d_rs_sched!$I:$I,$A9,d_rs_sched!$K:$K,H$1)+SUMIFS(d_rs_sched!$J:$J,d_rs_sched!$D:$D,$A9,d_rs_sched!$K:$K,$A9,d_rs_sched!$I:$I,H$1)),0)/IFERROR(IF((COUNTIFS(d_rs_sched!$D:$D,$A9,d_rs_sched!$I:$I,$A9,d_rs_sched!$K:$K,H$1)+COUNTIFS(d_rs_sched!$D:$D,$A9,d_rs_sched!$I:$I,H$1,d_rs_sched!$K:$K,$A9))&gt;0,(COUNTIFS(d_rs_sched!$D:$D,$A9,d_rs_sched!$I:$I,$A9,d_rs_sched!$K:$K,H$1)+COUNTIFS(d_rs_sched!$D:$D,$A9,d_rs_sched!$I:$I,H$1,d_rs_sched!$K:$K,$A9)),1),1)</f>
        <v>-0.66666666666666663</v>
      </c>
      <c r="I9">
        <f>IFERROR((SUMIFS(d_rs_sched!$J:$J,d_rs_sched!$D:$D,$A9,d_rs_sched!$I:$I,$A9,d_rs_sched!$K:$K,I$1)+SUMIFS(d_rs_sched!$L:$L,d_rs_sched!$D:$D,$A9,d_rs_sched!$K:$K,$A9,d_rs_sched!$I:$I,I$1))-(SUMIFS(d_rs_sched!$L:$L,d_rs_sched!$D:$D,$A9,d_rs_sched!$I:$I,$A9,d_rs_sched!$K:$K,I$1)+SUMIFS(d_rs_sched!$J:$J,d_rs_sched!$D:$D,$A9,d_rs_sched!$K:$K,$A9,d_rs_sched!$I:$I,I$1)),0)/IFERROR(IF((COUNTIFS(d_rs_sched!$D:$D,$A9,d_rs_sched!$I:$I,$A9,d_rs_sched!$K:$K,I$1)+COUNTIFS(d_rs_sched!$D:$D,$A9,d_rs_sched!$I:$I,I$1,d_rs_sched!$K:$K,$A9))&gt;0,(COUNTIFS(d_rs_sched!$D:$D,$A9,d_rs_sched!$I:$I,$A9,d_rs_sched!$K:$K,I$1)+COUNTIFS(d_rs_sched!$D:$D,$A9,d_rs_sched!$I:$I,I$1,d_rs_sched!$K:$K,$A9)),1),1)</f>
        <v>0</v>
      </c>
      <c r="J9">
        <f>IFERROR((SUMIFS(d_rs_sched!$J:$J,d_rs_sched!$D:$D,$A9,d_rs_sched!$I:$I,$A9,d_rs_sched!$K:$K,J$1)+SUMIFS(d_rs_sched!$L:$L,d_rs_sched!$D:$D,$A9,d_rs_sched!$K:$K,$A9,d_rs_sched!$I:$I,J$1))-(SUMIFS(d_rs_sched!$L:$L,d_rs_sched!$D:$D,$A9,d_rs_sched!$I:$I,$A9,d_rs_sched!$K:$K,J$1)+SUMIFS(d_rs_sched!$J:$J,d_rs_sched!$D:$D,$A9,d_rs_sched!$K:$K,$A9,d_rs_sched!$I:$I,J$1)),0)/IFERROR(IF((COUNTIFS(d_rs_sched!$D:$D,$A9,d_rs_sched!$I:$I,$A9,d_rs_sched!$K:$K,J$1)+COUNTIFS(d_rs_sched!$D:$D,$A9,d_rs_sched!$I:$I,J$1,d_rs_sched!$K:$K,$A9))&gt;0,(COUNTIFS(d_rs_sched!$D:$D,$A9,d_rs_sched!$I:$I,$A9,d_rs_sched!$K:$K,J$1)+COUNTIFS(d_rs_sched!$D:$D,$A9,d_rs_sched!$I:$I,J$1,d_rs_sched!$K:$K,$A9)),1),1)</f>
        <v>0</v>
      </c>
      <c r="K9">
        <f>IFERROR((SUMIFS(d_rs_sched!$J:$J,d_rs_sched!$D:$D,$A9,d_rs_sched!$I:$I,$A9,d_rs_sched!$K:$K,K$1)+SUMIFS(d_rs_sched!$L:$L,d_rs_sched!$D:$D,$A9,d_rs_sched!$K:$K,$A9,d_rs_sched!$I:$I,K$1))-(SUMIFS(d_rs_sched!$L:$L,d_rs_sched!$D:$D,$A9,d_rs_sched!$I:$I,$A9,d_rs_sched!$K:$K,K$1)+SUMIFS(d_rs_sched!$J:$J,d_rs_sched!$D:$D,$A9,d_rs_sched!$K:$K,$A9,d_rs_sched!$I:$I,K$1)),0)/IFERROR(IF((COUNTIFS(d_rs_sched!$D:$D,$A9,d_rs_sched!$I:$I,$A9,d_rs_sched!$K:$K,K$1)+COUNTIFS(d_rs_sched!$D:$D,$A9,d_rs_sched!$I:$I,K$1,d_rs_sched!$K:$K,$A9))&gt;0,(COUNTIFS(d_rs_sched!$D:$D,$A9,d_rs_sched!$I:$I,$A9,d_rs_sched!$K:$K,K$1)+COUNTIFS(d_rs_sched!$D:$D,$A9,d_rs_sched!$I:$I,K$1,d_rs_sched!$K:$K,$A9)),1),1)</f>
        <v>-13</v>
      </c>
      <c r="L9">
        <f>IFERROR((SUMIFS(d_rs_sched!$J:$J,d_rs_sched!$D:$D,$A9,d_rs_sched!$I:$I,$A9,d_rs_sched!$K:$K,L$1)+SUMIFS(d_rs_sched!$L:$L,d_rs_sched!$D:$D,$A9,d_rs_sched!$K:$K,$A9,d_rs_sched!$I:$I,L$1))-(SUMIFS(d_rs_sched!$L:$L,d_rs_sched!$D:$D,$A9,d_rs_sched!$I:$I,$A9,d_rs_sched!$K:$K,L$1)+SUMIFS(d_rs_sched!$J:$J,d_rs_sched!$D:$D,$A9,d_rs_sched!$K:$K,$A9,d_rs_sched!$I:$I,L$1)),0)/IFERROR(IF((COUNTIFS(d_rs_sched!$D:$D,$A9,d_rs_sched!$I:$I,$A9,d_rs_sched!$K:$K,L$1)+COUNTIFS(d_rs_sched!$D:$D,$A9,d_rs_sched!$I:$I,L$1,d_rs_sched!$K:$K,$A9))&gt;0,(COUNTIFS(d_rs_sched!$D:$D,$A9,d_rs_sched!$I:$I,$A9,d_rs_sched!$K:$K,L$1)+COUNTIFS(d_rs_sched!$D:$D,$A9,d_rs_sched!$I:$I,L$1,d_rs_sched!$K:$K,$A9)),1),1)</f>
        <v>-10</v>
      </c>
      <c r="M9">
        <f>IFERROR((SUMIFS(d_rs_sched!$J:$J,d_rs_sched!$D:$D,$A9,d_rs_sched!$I:$I,$A9,d_rs_sched!$K:$K,M$1)+SUMIFS(d_rs_sched!$L:$L,d_rs_sched!$D:$D,$A9,d_rs_sched!$K:$K,$A9,d_rs_sched!$I:$I,M$1))-(SUMIFS(d_rs_sched!$L:$L,d_rs_sched!$D:$D,$A9,d_rs_sched!$I:$I,$A9,d_rs_sched!$K:$K,M$1)+SUMIFS(d_rs_sched!$J:$J,d_rs_sched!$D:$D,$A9,d_rs_sched!$K:$K,$A9,d_rs_sched!$I:$I,M$1)),0)/IFERROR(IF((COUNTIFS(d_rs_sched!$D:$D,$A9,d_rs_sched!$I:$I,$A9,d_rs_sched!$K:$K,M$1)+COUNTIFS(d_rs_sched!$D:$D,$A9,d_rs_sched!$I:$I,M$1,d_rs_sched!$K:$K,$A9))&gt;0,(COUNTIFS(d_rs_sched!$D:$D,$A9,d_rs_sched!$I:$I,$A9,d_rs_sched!$K:$K,M$1)+COUNTIFS(d_rs_sched!$D:$D,$A9,d_rs_sched!$I:$I,M$1,d_rs_sched!$K:$K,$A9)),1),1)</f>
        <v>12</v>
      </c>
      <c r="N9">
        <f>IFERROR((SUMIFS(d_rs_sched!$J:$J,d_rs_sched!$D:$D,$A9,d_rs_sched!$I:$I,$A9,d_rs_sched!$K:$K,N$1)+SUMIFS(d_rs_sched!$L:$L,d_rs_sched!$D:$D,$A9,d_rs_sched!$K:$K,$A9,d_rs_sched!$I:$I,N$1))-(SUMIFS(d_rs_sched!$L:$L,d_rs_sched!$D:$D,$A9,d_rs_sched!$I:$I,$A9,d_rs_sched!$K:$K,N$1)+SUMIFS(d_rs_sched!$J:$J,d_rs_sched!$D:$D,$A9,d_rs_sched!$K:$K,$A9,d_rs_sched!$I:$I,N$1)),0)/IFERROR(IF((COUNTIFS(d_rs_sched!$D:$D,$A9,d_rs_sched!$I:$I,$A9,d_rs_sched!$K:$K,N$1)+COUNTIFS(d_rs_sched!$D:$D,$A9,d_rs_sched!$I:$I,N$1,d_rs_sched!$K:$K,$A9))&gt;0,(COUNTIFS(d_rs_sched!$D:$D,$A9,d_rs_sched!$I:$I,$A9,d_rs_sched!$K:$K,N$1)+COUNTIFS(d_rs_sched!$D:$D,$A9,d_rs_sched!$I:$I,N$1,d_rs_sched!$K:$K,$A9)),1),1)</f>
        <v>-5.75</v>
      </c>
      <c r="O9">
        <f>IFERROR((SUMIFS(d_rs_sched!$J:$J,d_rs_sched!$D:$D,$A9,d_rs_sched!$I:$I,$A9,d_rs_sched!$K:$K,O$1)+SUMIFS(d_rs_sched!$L:$L,d_rs_sched!$D:$D,$A9,d_rs_sched!$K:$K,$A9,d_rs_sched!$I:$I,O$1))-(SUMIFS(d_rs_sched!$L:$L,d_rs_sched!$D:$D,$A9,d_rs_sched!$I:$I,$A9,d_rs_sched!$K:$K,O$1)+SUMIFS(d_rs_sched!$J:$J,d_rs_sched!$D:$D,$A9,d_rs_sched!$K:$K,$A9,d_rs_sched!$I:$I,O$1)),0)/IFERROR(IF((COUNTIFS(d_rs_sched!$D:$D,$A9,d_rs_sched!$I:$I,$A9,d_rs_sched!$K:$K,O$1)+COUNTIFS(d_rs_sched!$D:$D,$A9,d_rs_sched!$I:$I,O$1,d_rs_sched!$K:$K,$A9))&gt;0,(COUNTIFS(d_rs_sched!$D:$D,$A9,d_rs_sched!$I:$I,$A9,d_rs_sched!$K:$K,O$1)+COUNTIFS(d_rs_sched!$D:$D,$A9,d_rs_sched!$I:$I,O$1,d_rs_sched!$K:$K,$A9)),1),1)</f>
        <v>6.75</v>
      </c>
      <c r="P9">
        <f>IFERROR((SUMIFS(d_rs_sched!$J:$J,d_rs_sched!$D:$D,$A9,d_rs_sched!$I:$I,$A9,d_rs_sched!$K:$K,P$1)+SUMIFS(d_rs_sched!$L:$L,d_rs_sched!$D:$D,$A9,d_rs_sched!$K:$K,$A9,d_rs_sched!$I:$I,P$1))-(SUMIFS(d_rs_sched!$L:$L,d_rs_sched!$D:$D,$A9,d_rs_sched!$I:$I,$A9,d_rs_sched!$K:$K,P$1)+SUMIFS(d_rs_sched!$J:$J,d_rs_sched!$D:$D,$A9,d_rs_sched!$K:$K,$A9,d_rs_sched!$I:$I,P$1)),0)/IFERROR(IF((COUNTIFS(d_rs_sched!$D:$D,$A9,d_rs_sched!$I:$I,$A9,d_rs_sched!$K:$K,P$1)+COUNTIFS(d_rs_sched!$D:$D,$A9,d_rs_sched!$I:$I,P$1,d_rs_sched!$K:$K,$A9))&gt;0,(COUNTIFS(d_rs_sched!$D:$D,$A9,d_rs_sched!$I:$I,$A9,d_rs_sched!$K:$K,P$1)+COUNTIFS(d_rs_sched!$D:$D,$A9,d_rs_sched!$I:$I,P$1,d_rs_sched!$K:$K,$A9)),1),1)</f>
        <v>-4</v>
      </c>
      <c r="Q9">
        <f>IFERROR((SUMIFS(d_rs_sched!$J:$J,d_rs_sched!$D:$D,$A9,d_rs_sched!$I:$I,$A9,d_rs_sched!$K:$K,Q$1)+SUMIFS(d_rs_sched!$L:$L,d_rs_sched!$D:$D,$A9,d_rs_sched!$K:$K,$A9,d_rs_sched!$I:$I,Q$1))-(SUMIFS(d_rs_sched!$L:$L,d_rs_sched!$D:$D,$A9,d_rs_sched!$I:$I,$A9,d_rs_sched!$K:$K,Q$1)+SUMIFS(d_rs_sched!$J:$J,d_rs_sched!$D:$D,$A9,d_rs_sched!$K:$K,$A9,d_rs_sched!$I:$I,Q$1)),0)/IFERROR(IF((COUNTIFS(d_rs_sched!$D:$D,$A9,d_rs_sched!$I:$I,$A9,d_rs_sched!$K:$K,Q$1)+COUNTIFS(d_rs_sched!$D:$D,$A9,d_rs_sched!$I:$I,Q$1,d_rs_sched!$K:$K,$A9))&gt;0,(COUNTIFS(d_rs_sched!$D:$D,$A9,d_rs_sched!$I:$I,$A9,d_rs_sched!$K:$K,Q$1)+COUNTIFS(d_rs_sched!$D:$D,$A9,d_rs_sched!$I:$I,Q$1,d_rs_sched!$K:$K,$A9)),1),1)</f>
        <v>1.5</v>
      </c>
      <c r="R9">
        <f>IFERROR((SUMIFS(d_rs_sched!$J:$J,d_rs_sched!$D:$D,$A9,d_rs_sched!$I:$I,$A9,d_rs_sched!$K:$K,R$1)+SUMIFS(d_rs_sched!$L:$L,d_rs_sched!$D:$D,$A9,d_rs_sched!$K:$K,$A9,d_rs_sched!$I:$I,R$1))-(SUMIFS(d_rs_sched!$L:$L,d_rs_sched!$D:$D,$A9,d_rs_sched!$I:$I,$A9,d_rs_sched!$K:$K,R$1)+SUMIFS(d_rs_sched!$J:$J,d_rs_sched!$D:$D,$A9,d_rs_sched!$K:$K,$A9,d_rs_sched!$I:$I,R$1)),0)/IFERROR(IF((COUNTIFS(d_rs_sched!$D:$D,$A9,d_rs_sched!$I:$I,$A9,d_rs_sched!$K:$K,R$1)+COUNTIFS(d_rs_sched!$D:$D,$A9,d_rs_sched!$I:$I,R$1,d_rs_sched!$K:$K,$A9))&gt;0,(COUNTIFS(d_rs_sched!$D:$D,$A9,d_rs_sched!$I:$I,$A9,d_rs_sched!$K:$K,R$1)+COUNTIFS(d_rs_sched!$D:$D,$A9,d_rs_sched!$I:$I,R$1,d_rs_sched!$K:$K,$A9)),1),1)</f>
        <v>1.5</v>
      </c>
      <c r="S9">
        <f>IFERROR((SUMIFS(d_rs_sched!$J:$J,d_rs_sched!$D:$D,$A9,d_rs_sched!$I:$I,$A9,d_rs_sched!$K:$K,S$1)+SUMIFS(d_rs_sched!$L:$L,d_rs_sched!$D:$D,$A9,d_rs_sched!$K:$K,$A9,d_rs_sched!$I:$I,S$1))-(SUMIFS(d_rs_sched!$L:$L,d_rs_sched!$D:$D,$A9,d_rs_sched!$I:$I,$A9,d_rs_sched!$K:$K,S$1)+SUMIFS(d_rs_sched!$J:$J,d_rs_sched!$D:$D,$A9,d_rs_sched!$K:$K,$A9,d_rs_sched!$I:$I,S$1)),0)/IFERROR(IF((COUNTIFS(d_rs_sched!$D:$D,$A9,d_rs_sched!$I:$I,$A9,d_rs_sched!$K:$K,S$1)+COUNTIFS(d_rs_sched!$D:$D,$A9,d_rs_sched!$I:$I,S$1,d_rs_sched!$K:$K,$A9))&gt;0,(COUNTIFS(d_rs_sched!$D:$D,$A9,d_rs_sched!$I:$I,$A9,d_rs_sched!$K:$K,S$1)+COUNTIFS(d_rs_sched!$D:$D,$A9,d_rs_sched!$I:$I,S$1,d_rs_sched!$K:$K,$A9)),1),1)</f>
        <v>5</v>
      </c>
      <c r="T9">
        <f>IFERROR((SUMIFS(d_rs_sched!$J:$J,d_rs_sched!$D:$D,$A9,d_rs_sched!$I:$I,$A9,d_rs_sched!$K:$K,T$1)+SUMIFS(d_rs_sched!$L:$L,d_rs_sched!$D:$D,$A9,d_rs_sched!$K:$K,$A9,d_rs_sched!$I:$I,T$1))-(SUMIFS(d_rs_sched!$L:$L,d_rs_sched!$D:$D,$A9,d_rs_sched!$I:$I,$A9,d_rs_sched!$K:$K,T$1)+SUMIFS(d_rs_sched!$J:$J,d_rs_sched!$D:$D,$A9,d_rs_sched!$K:$K,$A9,d_rs_sched!$I:$I,T$1)),0)/IFERROR(IF((COUNTIFS(d_rs_sched!$D:$D,$A9,d_rs_sched!$I:$I,$A9,d_rs_sched!$K:$K,T$1)+COUNTIFS(d_rs_sched!$D:$D,$A9,d_rs_sched!$I:$I,T$1,d_rs_sched!$K:$K,$A9))&gt;0,(COUNTIFS(d_rs_sched!$D:$D,$A9,d_rs_sched!$I:$I,$A9,d_rs_sched!$K:$K,T$1)+COUNTIFS(d_rs_sched!$D:$D,$A9,d_rs_sched!$I:$I,T$1,d_rs_sched!$K:$K,$A9)),1),1)</f>
        <v>7</v>
      </c>
      <c r="U9">
        <f>IFERROR((SUMIFS(d_rs_sched!$J:$J,d_rs_sched!$D:$D,$A9,d_rs_sched!$I:$I,$A9,d_rs_sched!$K:$K,U$1)+SUMIFS(d_rs_sched!$L:$L,d_rs_sched!$D:$D,$A9,d_rs_sched!$K:$K,$A9,d_rs_sched!$I:$I,U$1))-(SUMIFS(d_rs_sched!$L:$L,d_rs_sched!$D:$D,$A9,d_rs_sched!$I:$I,$A9,d_rs_sched!$K:$K,U$1)+SUMIFS(d_rs_sched!$J:$J,d_rs_sched!$D:$D,$A9,d_rs_sched!$K:$K,$A9,d_rs_sched!$I:$I,U$1)),0)/IFERROR(IF((COUNTIFS(d_rs_sched!$D:$D,$A9,d_rs_sched!$I:$I,$A9,d_rs_sched!$K:$K,U$1)+COUNTIFS(d_rs_sched!$D:$D,$A9,d_rs_sched!$I:$I,U$1,d_rs_sched!$K:$K,$A9))&gt;0,(COUNTIFS(d_rs_sched!$D:$D,$A9,d_rs_sched!$I:$I,$A9,d_rs_sched!$K:$K,U$1)+COUNTIFS(d_rs_sched!$D:$D,$A9,d_rs_sched!$I:$I,U$1,d_rs_sched!$K:$K,$A9)),1),1)</f>
        <v>6</v>
      </c>
      <c r="V9">
        <f>IFERROR((SUMIFS(d_rs_sched!$J:$J,d_rs_sched!$D:$D,$A9,d_rs_sched!$I:$I,$A9,d_rs_sched!$K:$K,V$1)+SUMIFS(d_rs_sched!$L:$L,d_rs_sched!$D:$D,$A9,d_rs_sched!$K:$K,$A9,d_rs_sched!$I:$I,V$1))-(SUMIFS(d_rs_sched!$L:$L,d_rs_sched!$D:$D,$A9,d_rs_sched!$I:$I,$A9,d_rs_sched!$K:$K,V$1)+SUMIFS(d_rs_sched!$J:$J,d_rs_sched!$D:$D,$A9,d_rs_sched!$K:$K,$A9,d_rs_sched!$I:$I,V$1)),0)/IFERROR(IF((COUNTIFS(d_rs_sched!$D:$D,$A9,d_rs_sched!$I:$I,$A9,d_rs_sched!$K:$K,V$1)+COUNTIFS(d_rs_sched!$D:$D,$A9,d_rs_sched!$I:$I,V$1,d_rs_sched!$K:$K,$A9))&gt;0,(COUNTIFS(d_rs_sched!$D:$D,$A9,d_rs_sched!$I:$I,$A9,d_rs_sched!$K:$K,V$1)+COUNTIFS(d_rs_sched!$D:$D,$A9,d_rs_sched!$I:$I,V$1,d_rs_sched!$K:$K,$A9)),1),1)</f>
        <v>-9.75</v>
      </c>
      <c r="W9">
        <f>IFERROR((SUMIFS(d_rs_sched!$J:$J,d_rs_sched!$D:$D,$A9,d_rs_sched!$I:$I,$A9,d_rs_sched!$K:$K,W$1)+SUMIFS(d_rs_sched!$L:$L,d_rs_sched!$D:$D,$A9,d_rs_sched!$K:$K,$A9,d_rs_sched!$I:$I,W$1))-(SUMIFS(d_rs_sched!$L:$L,d_rs_sched!$D:$D,$A9,d_rs_sched!$I:$I,$A9,d_rs_sched!$K:$K,W$1)+SUMIFS(d_rs_sched!$J:$J,d_rs_sched!$D:$D,$A9,d_rs_sched!$K:$K,$A9,d_rs_sched!$I:$I,W$1)),0)/IFERROR(IF((COUNTIFS(d_rs_sched!$D:$D,$A9,d_rs_sched!$I:$I,$A9,d_rs_sched!$K:$K,W$1)+COUNTIFS(d_rs_sched!$D:$D,$A9,d_rs_sched!$I:$I,W$1,d_rs_sched!$K:$K,$A9))&gt;0,(COUNTIFS(d_rs_sched!$D:$D,$A9,d_rs_sched!$I:$I,$A9,d_rs_sched!$K:$K,W$1)+COUNTIFS(d_rs_sched!$D:$D,$A9,d_rs_sched!$I:$I,W$1,d_rs_sched!$K:$K,$A9)),1),1)</f>
        <v>11</v>
      </c>
      <c r="X9">
        <f>IFERROR((SUMIFS(d_rs_sched!$J:$J,d_rs_sched!$D:$D,$A9,d_rs_sched!$I:$I,$A9,d_rs_sched!$K:$K,X$1)+SUMIFS(d_rs_sched!$L:$L,d_rs_sched!$D:$D,$A9,d_rs_sched!$K:$K,$A9,d_rs_sched!$I:$I,X$1))-(SUMIFS(d_rs_sched!$L:$L,d_rs_sched!$D:$D,$A9,d_rs_sched!$I:$I,$A9,d_rs_sched!$K:$K,X$1)+SUMIFS(d_rs_sched!$J:$J,d_rs_sched!$D:$D,$A9,d_rs_sched!$K:$K,$A9,d_rs_sched!$I:$I,X$1)),0)/IFERROR(IF((COUNTIFS(d_rs_sched!$D:$D,$A9,d_rs_sched!$I:$I,$A9,d_rs_sched!$K:$K,X$1)+COUNTIFS(d_rs_sched!$D:$D,$A9,d_rs_sched!$I:$I,X$1,d_rs_sched!$K:$K,$A9))&gt;0,(COUNTIFS(d_rs_sched!$D:$D,$A9,d_rs_sched!$I:$I,$A9,d_rs_sched!$K:$K,X$1)+COUNTIFS(d_rs_sched!$D:$D,$A9,d_rs_sched!$I:$I,X$1,d_rs_sched!$K:$K,$A9)),1),1)</f>
        <v>-10.5</v>
      </c>
      <c r="Y9">
        <f>IFERROR((SUMIFS(d_rs_sched!$J:$J,d_rs_sched!$D:$D,$A9,d_rs_sched!$I:$I,$A9,d_rs_sched!$K:$K,Y$1)+SUMIFS(d_rs_sched!$L:$L,d_rs_sched!$D:$D,$A9,d_rs_sched!$K:$K,$A9,d_rs_sched!$I:$I,Y$1))-(SUMIFS(d_rs_sched!$L:$L,d_rs_sched!$D:$D,$A9,d_rs_sched!$I:$I,$A9,d_rs_sched!$K:$K,Y$1)+SUMIFS(d_rs_sched!$J:$J,d_rs_sched!$D:$D,$A9,d_rs_sched!$K:$K,$A9,d_rs_sched!$I:$I,Y$1)),0)/IFERROR(IF((COUNTIFS(d_rs_sched!$D:$D,$A9,d_rs_sched!$I:$I,$A9,d_rs_sched!$K:$K,Y$1)+COUNTIFS(d_rs_sched!$D:$D,$A9,d_rs_sched!$I:$I,Y$1,d_rs_sched!$K:$K,$A9))&gt;0,(COUNTIFS(d_rs_sched!$D:$D,$A9,d_rs_sched!$I:$I,$A9,d_rs_sched!$K:$K,Y$1)+COUNTIFS(d_rs_sched!$D:$D,$A9,d_rs_sched!$I:$I,Y$1,d_rs_sched!$K:$K,$A9)),1),1)</f>
        <v>1</v>
      </c>
      <c r="Z9">
        <f>IFERROR((SUMIFS(d_rs_sched!$J:$J,d_rs_sched!$D:$D,$A9,d_rs_sched!$I:$I,$A9,d_rs_sched!$K:$K,Z$1)+SUMIFS(d_rs_sched!$L:$L,d_rs_sched!$D:$D,$A9,d_rs_sched!$K:$K,$A9,d_rs_sched!$I:$I,Z$1))-(SUMIFS(d_rs_sched!$L:$L,d_rs_sched!$D:$D,$A9,d_rs_sched!$I:$I,$A9,d_rs_sched!$K:$K,Z$1)+SUMIFS(d_rs_sched!$J:$J,d_rs_sched!$D:$D,$A9,d_rs_sched!$K:$K,$A9,d_rs_sched!$I:$I,Z$1)),0)/IFERROR(IF((COUNTIFS(d_rs_sched!$D:$D,$A9,d_rs_sched!$I:$I,$A9,d_rs_sched!$K:$K,Z$1)+COUNTIFS(d_rs_sched!$D:$D,$A9,d_rs_sched!$I:$I,Z$1,d_rs_sched!$K:$K,$A9))&gt;0,(COUNTIFS(d_rs_sched!$D:$D,$A9,d_rs_sched!$I:$I,$A9,d_rs_sched!$K:$K,Z$1)+COUNTIFS(d_rs_sched!$D:$D,$A9,d_rs_sched!$I:$I,Z$1,d_rs_sched!$K:$K,$A9)),1),1)</f>
        <v>-10.25</v>
      </c>
      <c r="AA9">
        <f>IFERROR((SUMIFS(d_rs_sched!$J:$J,d_rs_sched!$D:$D,$A9,d_rs_sched!$I:$I,$A9,d_rs_sched!$K:$K,AA$1)+SUMIFS(d_rs_sched!$L:$L,d_rs_sched!$D:$D,$A9,d_rs_sched!$K:$K,$A9,d_rs_sched!$I:$I,AA$1))-(SUMIFS(d_rs_sched!$L:$L,d_rs_sched!$D:$D,$A9,d_rs_sched!$I:$I,$A9,d_rs_sched!$K:$K,AA$1)+SUMIFS(d_rs_sched!$J:$J,d_rs_sched!$D:$D,$A9,d_rs_sched!$K:$K,$A9,d_rs_sched!$I:$I,AA$1)),0)/IFERROR(IF((COUNTIFS(d_rs_sched!$D:$D,$A9,d_rs_sched!$I:$I,$A9,d_rs_sched!$K:$K,AA$1)+COUNTIFS(d_rs_sched!$D:$D,$A9,d_rs_sched!$I:$I,AA$1,d_rs_sched!$K:$K,$A9))&gt;0,(COUNTIFS(d_rs_sched!$D:$D,$A9,d_rs_sched!$I:$I,$A9,d_rs_sched!$K:$K,AA$1)+COUNTIFS(d_rs_sched!$D:$D,$A9,d_rs_sched!$I:$I,AA$1,d_rs_sched!$K:$K,$A9)),1),1)</f>
        <v>-14.25</v>
      </c>
      <c r="AB9">
        <f>IFERROR((SUMIFS(d_rs_sched!$J:$J,d_rs_sched!$D:$D,$A9,d_rs_sched!$I:$I,$A9,d_rs_sched!$K:$K,AB$1)+SUMIFS(d_rs_sched!$L:$L,d_rs_sched!$D:$D,$A9,d_rs_sched!$K:$K,$A9,d_rs_sched!$I:$I,AB$1))-(SUMIFS(d_rs_sched!$L:$L,d_rs_sched!$D:$D,$A9,d_rs_sched!$I:$I,$A9,d_rs_sched!$K:$K,AB$1)+SUMIFS(d_rs_sched!$J:$J,d_rs_sched!$D:$D,$A9,d_rs_sched!$K:$K,$A9,d_rs_sched!$I:$I,AB$1)),0)/IFERROR(IF((COUNTIFS(d_rs_sched!$D:$D,$A9,d_rs_sched!$I:$I,$A9,d_rs_sched!$K:$K,AB$1)+COUNTIFS(d_rs_sched!$D:$D,$A9,d_rs_sched!$I:$I,AB$1,d_rs_sched!$K:$K,$A9))&gt;0,(COUNTIFS(d_rs_sched!$D:$D,$A9,d_rs_sched!$I:$I,$A9,d_rs_sched!$K:$K,AB$1)+COUNTIFS(d_rs_sched!$D:$D,$A9,d_rs_sched!$I:$I,AB$1,d_rs_sched!$K:$K,$A9)),1),1)</f>
        <v>-1.5</v>
      </c>
      <c r="AC9">
        <f>IFERROR((SUMIFS(d_rs_sched!$J:$J,d_rs_sched!$D:$D,$A9,d_rs_sched!$I:$I,$A9,d_rs_sched!$K:$K,AC$1)+SUMIFS(d_rs_sched!$L:$L,d_rs_sched!$D:$D,$A9,d_rs_sched!$K:$K,$A9,d_rs_sched!$I:$I,AC$1))-(SUMIFS(d_rs_sched!$L:$L,d_rs_sched!$D:$D,$A9,d_rs_sched!$I:$I,$A9,d_rs_sched!$K:$K,AC$1)+SUMIFS(d_rs_sched!$J:$J,d_rs_sched!$D:$D,$A9,d_rs_sched!$K:$K,$A9,d_rs_sched!$I:$I,AC$1)),0)/IFERROR(IF((COUNTIFS(d_rs_sched!$D:$D,$A9,d_rs_sched!$I:$I,$A9,d_rs_sched!$K:$K,AC$1)+COUNTIFS(d_rs_sched!$D:$D,$A9,d_rs_sched!$I:$I,AC$1,d_rs_sched!$K:$K,$A9))&gt;0,(COUNTIFS(d_rs_sched!$D:$D,$A9,d_rs_sched!$I:$I,$A9,d_rs_sched!$K:$K,AC$1)+COUNTIFS(d_rs_sched!$D:$D,$A9,d_rs_sched!$I:$I,AC$1,d_rs_sched!$K:$K,$A9)),1),1)</f>
        <v>-9.5</v>
      </c>
      <c r="AD9">
        <f>IFERROR((SUMIFS(d_rs_sched!$J:$J,d_rs_sched!$D:$D,$A9,d_rs_sched!$I:$I,$A9,d_rs_sched!$K:$K,AD$1)+SUMIFS(d_rs_sched!$L:$L,d_rs_sched!$D:$D,$A9,d_rs_sched!$K:$K,$A9,d_rs_sched!$I:$I,AD$1))-(SUMIFS(d_rs_sched!$L:$L,d_rs_sched!$D:$D,$A9,d_rs_sched!$I:$I,$A9,d_rs_sched!$K:$K,AD$1)+SUMIFS(d_rs_sched!$J:$J,d_rs_sched!$D:$D,$A9,d_rs_sched!$K:$K,$A9,d_rs_sched!$I:$I,AD$1)),0)/IFERROR(IF((COUNTIFS(d_rs_sched!$D:$D,$A9,d_rs_sched!$I:$I,$A9,d_rs_sched!$K:$K,AD$1)+COUNTIFS(d_rs_sched!$D:$D,$A9,d_rs_sched!$I:$I,AD$1,d_rs_sched!$K:$K,$A9))&gt;0,(COUNTIFS(d_rs_sched!$D:$D,$A9,d_rs_sched!$I:$I,$A9,d_rs_sched!$K:$K,AD$1)+COUNTIFS(d_rs_sched!$D:$D,$A9,d_rs_sched!$I:$I,AD$1,d_rs_sched!$K:$K,$A9)),1),1)</f>
        <v>-4.5</v>
      </c>
      <c r="AE9">
        <f>IFERROR((SUMIFS(d_rs_sched!$J:$J,d_rs_sched!$D:$D,$A9,d_rs_sched!$I:$I,$A9,d_rs_sched!$K:$K,AE$1)+SUMIFS(d_rs_sched!$L:$L,d_rs_sched!$D:$D,$A9,d_rs_sched!$K:$K,$A9,d_rs_sched!$I:$I,AE$1))-(SUMIFS(d_rs_sched!$L:$L,d_rs_sched!$D:$D,$A9,d_rs_sched!$I:$I,$A9,d_rs_sched!$K:$K,AE$1)+SUMIFS(d_rs_sched!$J:$J,d_rs_sched!$D:$D,$A9,d_rs_sched!$K:$K,$A9,d_rs_sched!$I:$I,AE$1)),0)/IFERROR(IF((COUNTIFS(d_rs_sched!$D:$D,$A9,d_rs_sched!$I:$I,$A9,d_rs_sched!$K:$K,AE$1)+COUNTIFS(d_rs_sched!$D:$D,$A9,d_rs_sched!$I:$I,AE$1,d_rs_sched!$K:$K,$A9))&gt;0,(COUNTIFS(d_rs_sched!$D:$D,$A9,d_rs_sched!$I:$I,$A9,d_rs_sched!$K:$K,AE$1)+COUNTIFS(d_rs_sched!$D:$D,$A9,d_rs_sched!$I:$I,AE$1,d_rs_sched!$K:$K,$A9)),1),1)</f>
        <v>-16</v>
      </c>
      <c r="AG9" t="s">
        <v>32</v>
      </c>
      <c r="AH9">
        <v>0.97813473760253278</v>
      </c>
      <c r="AI9">
        <f t="shared" si="0"/>
        <v>13</v>
      </c>
    </row>
    <row r="10" spans="1:35" x14ac:dyDescent="0.25">
      <c r="A10" t="s">
        <v>33</v>
      </c>
      <c r="B10">
        <f>IFERROR((SUMIFS(d_rs_sched!$J:$J,d_rs_sched!$D:$D,$A10,d_rs_sched!$I:$I,$A10,d_rs_sched!$K:$K,B$1)+SUMIFS(d_rs_sched!$L:$L,d_rs_sched!$D:$D,$A10,d_rs_sched!$K:$K,$A10,d_rs_sched!$I:$I,B$1))-(SUMIFS(d_rs_sched!$L:$L,d_rs_sched!$D:$D,$A10,d_rs_sched!$I:$I,$A10,d_rs_sched!$K:$K,B$1)+SUMIFS(d_rs_sched!$J:$J,d_rs_sched!$D:$D,$A10,d_rs_sched!$K:$K,$A10,d_rs_sched!$I:$I,B$1)),0)/IFERROR(IF((COUNTIFS(d_rs_sched!$D:$D,$A10,d_rs_sched!$I:$I,$A10,d_rs_sched!$K:$K,B$1)+COUNTIFS(d_rs_sched!$D:$D,$A10,d_rs_sched!$I:$I,B$1,d_rs_sched!$K:$K,$A10))&gt;0,(COUNTIFS(d_rs_sched!$D:$D,$A10,d_rs_sched!$I:$I,$A10,d_rs_sched!$K:$K,B$1)+COUNTIFS(d_rs_sched!$D:$D,$A10,d_rs_sched!$I:$I,B$1,d_rs_sched!$K:$K,$A10)),1),1)</f>
        <v>-3.5</v>
      </c>
      <c r="C10">
        <f>IFERROR((SUMIFS(d_rs_sched!$J:$J,d_rs_sched!$D:$D,$A10,d_rs_sched!$I:$I,$A10,d_rs_sched!$K:$K,C$1)+SUMIFS(d_rs_sched!$L:$L,d_rs_sched!$D:$D,$A10,d_rs_sched!$K:$K,$A10,d_rs_sched!$I:$I,C$1))-(SUMIFS(d_rs_sched!$L:$L,d_rs_sched!$D:$D,$A10,d_rs_sched!$I:$I,$A10,d_rs_sched!$K:$K,C$1)+SUMIFS(d_rs_sched!$J:$J,d_rs_sched!$D:$D,$A10,d_rs_sched!$K:$K,$A10,d_rs_sched!$I:$I,C$1)),0)/IFERROR(IF((COUNTIFS(d_rs_sched!$D:$D,$A10,d_rs_sched!$I:$I,$A10,d_rs_sched!$K:$K,C$1)+COUNTIFS(d_rs_sched!$D:$D,$A10,d_rs_sched!$I:$I,C$1,d_rs_sched!$K:$K,$A10))&gt;0,(COUNTIFS(d_rs_sched!$D:$D,$A10,d_rs_sched!$I:$I,$A10,d_rs_sched!$K:$K,C$1)+COUNTIFS(d_rs_sched!$D:$D,$A10,d_rs_sched!$I:$I,C$1,d_rs_sched!$K:$K,$A10)),1),1)</f>
        <v>-4</v>
      </c>
      <c r="D10">
        <f>IFERROR((SUMIFS(d_rs_sched!$J:$J,d_rs_sched!$D:$D,$A10,d_rs_sched!$I:$I,$A10,d_rs_sched!$K:$K,D$1)+SUMIFS(d_rs_sched!$L:$L,d_rs_sched!$D:$D,$A10,d_rs_sched!$K:$K,$A10,d_rs_sched!$I:$I,D$1))-(SUMIFS(d_rs_sched!$L:$L,d_rs_sched!$D:$D,$A10,d_rs_sched!$I:$I,$A10,d_rs_sched!$K:$K,D$1)+SUMIFS(d_rs_sched!$J:$J,d_rs_sched!$D:$D,$A10,d_rs_sched!$K:$K,$A10,d_rs_sched!$I:$I,D$1)),0)/IFERROR(IF((COUNTIFS(d_rs_sched!$D:$D,$A10,d_rs_sched!$I:$I,$A10,d_rs_sched!$K:$K,D$1)+COUNTIFS(d_rs_sched!$D:$D,$A10,d_rs_sched!$I:$I,D$1,d_rs_sched!$K:$K,$A10))&gt;0,(COUNTIFS(d_rs_sched!$D:$D,$A10,d_rs_sched!$I:$I,$A10,d_rs_sched!$K:$K,D$1)+COUNTIFS(d_rs_sched!$D:$D,$A10,d_rs_sched!$I:$I,D$1,d_rs_sched!$K:$K,$A10)),1),1)</f>
        <v>-3</v>
      </c>
      <c r="E10">
        <f>IFERROR((SUMIFS(d_rs_sched!$J:$J,d_rs_sched!$D:$D,$A10,d_rs_sched!$I:$I,$A10,d_rs_sched!$K:$K,E$1)+SUMIFS(d_rs_sched!$L:$L,d_rs_sched!$D:$D,$A10,d_rs_sched!$K:$K,$A10,d_rs_sched!$I:$I,E$1))-(SUMIFS(d_rs_sched!$L:$L,d_rs_sched!$D:$D,$A10,d_rs_sched!$I:$I,$A10,d_rs_sched!$K:$K,E$1)+SUMIFS(d_rs_sched!$J:$J,d_rs_sched!$D:$D,$A10,d_rs_sched!$K:$K,$A10,d_rs_sched!$I:$I,E$1)),0)/IFERROR(IF((COUNTIFS(d_rs_sched!$D:$D,$A10,d_rs_sched!$I:$I,$A10,d_rs_sched!$K:$K,E$1)+COUNTIFS(d_rs_sched!$D:$D,$A10,d_rs_sched!$I:$I,E$1,d_rs_sched!$K:$K,$A10))&gt;0,(COUNTIFS(d_rs_sched!$D:$D,$A10,d_rs_sched!$I:$I,$A10,d_rs_sched!$K:$K,E$1)+COUNTIFS(d_rs_sched!$D:$D,$A10,d_rs_sched!$I:$I,E$1,d_rs_sched!$K:$K,$A10)),1),1)</f>
        <v>9</v>
      </c>
      <c r="F10">
        <f>IFERROR((SUMIFS(d_rs_sched!$J:$J,d_rs_sched!$D:$D,$A10,d_rs_sched!$I:$I,$A10,d_rs_sched!$K:$K,F$1)+SUMIFS(d_rs_sched!$L:$L,d_rs_sched!$D:$D,$A10,d_rs_sched!$K:$K,$A10,d_rs_sched!$I:$I,F$1))-(SUMIFS(d_rs_sched!$L:$L,d_rs_sched!$D:$D,$A10,d_rs_sched!$I:$I,$A10,d_rs_sched!$K:$K,F$1)+SUMIFS(d_rs_sched!$J:$J,d_rs_sched!$D:$D,$A10,d_rs_sched!$K:$K,$A10,d_rs_sched!$I:$I,F$1)),0)/IFERROR(IF((COUNTIFS(d_rs_sched!$D:$D,$A10,d_rs_sched!$I:$I,$A10,d_rs_sched!$K:$K,F$1)+COUNTIFS(d_rs_sched!$D:$D,$A10,d_rs_sched!$I:$I,F$1,d_rs_sched!$K:$K,$A10))&gt;0,(COUNTIFS(d_rs_sched!$D:$D,$A10,d_rs_sched!$I:$I,$A10,d_rs_sched!$K:$K,F$1)+COUNTIFS(d_rs_sched!$D:$D,$A10,d_rs_sched!$I:$I,F$1,d_rs_sched!$K:$K,$A10)),1),1)</f>
        <v>2</v>
      </c>
      <c r="G10">
        <f>IFERROR((SUMIFS(d_rs_sched!$J:$J,d_rs_sched!$D:$D,$A10,d_rs_sched!$I:$I,$A10,d_rs_sched!$K:$K,G$1)+SUMIFS(d_rs_sched!$L:$L,d_rs_sched!$D:$D,$A10,d_rs_sched!$K:$K,$A10,d_rs_sched!$I:$I,G$1))-(SUMIFS(d_rs_sched!$L:$L,d_rs_sched!$D:$D,$A10,d_rs_sched!$I:$I,$A10,d_rs_sched!$K:$K,G$1)+SUMIFS(d_rs_sched!$J:$J,d_rs_sched!$D:$D,$A10,d_rs_sched!$K:$K,$A10,d_rs_sched!$I:$I,G$1)),0)/IFERROR(IF((COUNTIFS(d_rs_sched!$D:$D,$A10,d_rs_sched!$I:$I,$A10,d_rs_sched!$K:$K,G$1)+COUNTIFS(d_rs_sched!$D:$D,$A10,d_rs_sched!$I:$I,G$1,d_rs_sched!$K:$K,$A10))&gt;0,(COUNTIFS(d_rs_sched!$D:$D,$A10,d_rs_sched!$I:$I,$A10,d_rs_sched!$K:$K,G$1)+COUNTIFS(d_rs_sched!$D:$D,$A10,d_rs_sched!$I:$I,G$1,d_rs_sched!$K:$K,$A10)),1),1)</f>
        <v>-1.5</v>
      </c>
      <c r="H10">
        <f>IFERROR((SUMIFS(d_rs_sched!$J:$J,d_rs_sched!$D:$D,$A10,d_rs_sched!$I:$I,$A10,d_rs_sched!$K:$K,H$1)+SUMIFS(d_rs_sched!$L:$L,d_rs_sched!$D:$D,$A10,d_rs_sched!$K:$K,$A10,d_rs_sched!$I:$I,H$1))-(SUMIFS(d_rs_sched!$L:$L,d_rs_sched!$D:$D,$A10,d_rs_sched!$I:$I,$A10,d_rs_sched!$K:$K,H$1)+SUMIFS(d_rs_sched!$J:$J,d_rs_sched!$D:$D,$A10,d_rs_sched!$K:$K,$A10,d_rs_sched!$I:$I,H$1)),0)/IFERROR(IF((COUNTIFS(d_rs_sched!$D:$D,$A10,d_rs_sched!$I:$I,$A10,d_rs_sched!$K:$K,H$1)+COUNTIFS(d_rs_sched!$D:$D,$A10,d_rs_sched!$I:$I,H$1,d_rs_sched!$K:$K,$A10))&gt;0,(COUNTIFS(d_rs_sched!$D:$D,$A10,d_rs_sched!$I:$I,$A10,d_rs_sched!$K:$K,H$1)+COUNTIFS(d_rs_sched!$D:$D,$A10,d_rs_sched!$I:$I,H$1,d_rs_sched!$K:$K,$A10)),1),1)</f>
        <v>1</v>
      </c>
      <c r="I10">
        <f>IFERROR((SUMIFS(d_rs_sched!$J:$J,d_rs_sched!$D:$D,$A10,d_rs_sched!$I:$I,$A10,d_rs_sched!$K:$K,I$1)+SUMIFS(d_rs_sched!$L:$L,d_rs_sched!$D:$D,$A10,d_rs_sched!$K:$K,$A10,d_rs_sched!$I:$I,I$1))-(SUMIFS(d_rs_sched!$L:$L,d_rs_sched!$D:$D,$A10,d_rs_sched!$I:$I,$A10,d_rs_sched!$K:$K,I$1)+SUMIFS(d_rs_sched!$J:$J,d_rs_sched!$D:$D,$A10,d_rs_sched!$K:$K,$A10,d_rs_sched!$I:$I,I$1)),0)/IFERROR(IF((COUNTIFS(d_rs_sched!$D:$D,$A10,d_rs_sched!$I:$I,$A10,d_rs_sched!$K:$K,I$1)+COUNTIFS(d_rs_sched!$D:$D,$A10,d_rs_sched!$I:$I,I$1,d_rs_sched!$K:$K,$A10))&gt;0,(COUNTIFS(d_rs_sched!$D:$D,$A10,d_rs_sched!$I:$I,$A10,d_rs_sched!$K:$K,I$1)+COUNTIFS(d_rs_sched!$D:$D,$A10,d_rs_sched!$I:$I,I$1,d_rs_sched!$K:$K,$A10)),1),1)</f>
        <v>0</v>
      </c>
      <c r="J10">
        <f>IFERROR((SUMIFS(d_rs_sched!$J:$J,d_rs_sched!$D:$D,$A10,d_rs_sched!$I:$I,$A10,d_rs_sched!$K:$K,J$1)+SUMIFS(d_rs_sched!$L:$L,d_rs_sched!$D:$D,$A10,d_rs_sched!$K:$K,$A10,d_rs_sched!$I:$I,J$1))-(SUMIFS(d_rs_sched!$L:$L,d_rs_sched!$D:$D,$A10,d_rs_sched!$I:$I,$A10,d_rs_sched!$K:$K,J$1)+SUMIFS(d_rs_sched!$J:$J,d_rs_sched!$D:$D,$A10,d_rs_sched!$K:$K,$A10,d_rs_sched!$I:$I,J$1)),0)/IFERROR(IF((COUNTIFS(d_rs_sched!$D:$D,$A10,d_rs_sched!$I:$I,$A10,d_rs_sched!$K:$K,J$1)+COUNTIFS(d_rs_sched!$D:$D,$A10,d_rs_sched!$I:$I,J$1,d_rs_sched!$K:$K,$A10))&gt;0,(COUNTIFS(d_rs_sched!$D:$D,$A10,d_rs_sched!$I:$I,$A10,d_rs_sched!$K:$K,J$1)+COUNTIFS(d_rs_sched!$D:$D,$A10,d_rs_sched!$I:$I,J$1,d_rs_sched!$K:$K,$A10)),1),1)</f>
        <v>0</v>
      </c>
      <c r="K10">
        <f>IFERROR((SUMIFS(d_rs_sched!$J:$J,d_rs_sched!$D:$D,$A10,d_rs_sched!$I:$I,$A10,d_rs_sched!$K:$K,K$1)+SUMIFS(d_rs_sched!$L:$L,d_rs_sched!$D:$D,$A10,d_rs_sched!$K:$K,$A10,d_rs_sched!$I:$I,K$1))-(SUMIFS(d_rs_sched!$L:$L,d_rs_sched!$D:$D,$A10,d_rs_sched!$I:$I,$A10,d_rs_sched!$K:$K,K$1)+SUMIFS(d_rs_sched!$J:$J,d_rs_sched!$D:$D,$A10,d_rs_sched!$K:$K,$A10,d_rs_sched!$I:$I,K$1)),0)/IFERROR(IF((COUNTIFS(d_rs_sched!$D:$D,$A10,d_rs_sched!$I:$I,$A10,d_rs_sched!$K:$K,K$1)+COUNTIFS(d_rs_sched!$D:$D,$A10,d_rs_sched!$I:$I,K$1,d_rs_sched!$K:$K,$A10))&gt;0,(COUNTIFS(d_rs_sched!$D:$D,$A10,d_rs_sched!$I:$I,$A10,d_rs_sched!$K:$K,K$1)+COUNTIFS(d_rs_sched!$D:$D,$A10,d_rs_sched!$I:$I,K$1,d_rs_sched!$K:$K,$A10)),1),1)</f>
        <v>-9</v>
      </c>
      <c r="L10">
        <f>IFERROR((SUMIFS(d_rs_sched!$J:$J,d_rs_sched!$D:$D,$A10,d_rs_sched!$I:$I,$A10,d_rs_sched!$K:$K,L$1)+SUMIFS(d_rs_sched!$L:$L,d_rs_sched!$D:$D,$A10,d_rs_sched!$K:$K,$A10,d_rs_sched!$I:$I,L$1))-(SUMIFS(d_rs_sched!$L:$L,d_rs_sched!$D:$D,$A10,d_rs_sched!$I:$I,$A10,d_rs_sched!$K:$K,L$1)+SUMIFS(d_rs_sched!$J:$J,d_rs_sched!$D:$D,$A10,d_rs_sched!$K:$K,$A10,d_rs_sched!$I:$I,L$1)),0)/IFERROR(IF((COUNTIFS(d_rs_sched!$D:$D,$A10,d_rs_sched!$I:$I,$A10,d_rs_sched!$K:$K,L$1)+COUNTIFS(d_rs_sched!$D:$D,$A10,d_rs_sched!$I:$I,L$1,d_rs_sched!$K:$K,$A10))&gt;0,(COUNTIFS(d_rs_sched!$D:$D,$A10,d_rs_sched!$I:$I,$A10,d_rs_sched!$K:$K,L$1)+COUNTIFS(d_rs_sched!$D:$D,$A10,d_rs_sched!$I:$I,L$1,d_rs_sched!$K:$K,$A10)),1),1)</f>
        <v>1.5</v>
      </c>
      <c r="M10">
        <f>IFERROR((SUMIFS(d_rs_sched!$J:$J,d_rs_sched!$D:$D,$A10,d_rs_sched!$I:$I,$A10,d_rs_sched!$K:$K,M$1)+SUMIFS(d_rs_sched!$L:$L,d_rs_sched!$D:$D,$A10,d_rs_sched!$K:$K,$A10,d_rs_sched!$I:$I,M$1))-(SUMIFS(d_rs_sched!$L:$L,d_rs_sched!$D:$D,$A10,d_rs_sched!$I:$I,$A10,d_rs_sched!$K:$K,M$1)+SUMIFS(d_rs_sched!$J:$J,d_rs_sched!$D:$D,$A10,d_rs_sched!$K:$K,$A10,d_rs_sched!$I:$I,M$1)),0)/IFERROR(IF((COUNTIFS(d_rs_sched!$D:$D,$A10,d_rs_sched!$I:$I,$A10,d_rs_sched!$K:$K,M$1)+COUNTIFS(d_rs_sched!$D:$D,$A10,d_rs_sched!$I:$I,M$1,d_rs_sched!$K:$K,$A10))&gt;0,(COUNTIFS(d_rs_sched!$D:$D,$A10,d_rs_sched!$I:$I,$A10,d_rs_sched!$K:$K,M$1)+COUNTIFS(d_rs_sched!$D:$D,$A10,d_rs_sched!$I:$I,M$1,d_rs_sched!$K:$K,$A10)),1),1)</f>
        <v>0.75</v>
      </c>
      <c r="N10">
        <f>IFERROR((SUMIFS(d_rs_sched!$J:$J,d_rs_sched!$D:$D,$A10,d_rs_sched!$I:$I,$A10,d_rs_sched!$K:$K,N$1)+SUMIFS(d_rs_sched!$L:$L,d_rs_sched!$D:$D,$A10,d_rs_sched!$K:$K,$A10,d_rs_sched!$I:$I,N$1))-(SUMIFS(d_rs_sched!$L:$L,d_rs_sched!$D:$D,$A10,d_rs_sched!$I:$I,$A10,d_rs_sched!$K:$K,N$1)+SUMIFS(d_rs_sched!$J:$J,d_rs_sched!$D:$D,$A10,d_rs_sched!$K:$K,$A10,d_rs_sched!$I:$I,N$1)),0)/IFERROR(IF((COUNTIFS(d_rs_sched!$D:$D,$A10,d_rs_sched!$I:$I,$A10,d_rs_sched!$K:$K,N$1)+COUNTIFS(d_rs_sched!$D:$D,$A10,d_rs_sched!$I:$I,N$1,d_rs_sched!$K:$K,$A10))&gt;0,(COUNTIFS(d_rs_sched!$D:$D,$A10,d_rs_sched!$I:$I,$A10,d_rs_sched!$K:$K,N$1)+COUNTIFS(d_rs_sched!$D:$D,$A10,d_rs_sched!$I:$I,N$1,d_rs_sched!$K:$K,$A10)),1),1)</f>
        <v>-14</v>
      </c>
      <c r="O10">
        <f>IFERROR((SUMIFS(d_rs_sched!$J:$J,d_rs_sched!$D:$D,$A10,d_rs_sched!$I:$I,$A10,d_rs_sched!$K:$K,O$1)+SUMIFS(d_rs_sched!$L:$L,d_rs_sched!$D:$D,$A10,d_rs_sched!$K:$K,$A10,d_rs_sched!$I:$I,O$1))-(SUMIFS(d_rs_sched!$L:$L,d_rs_sched!$D:$D,$A10,d_rs_sched!$I:$I,$A10,d_rs_sched!$K:$K,O$1)+SUMIFS(d_rs_sched!$J:$J,d_rs_sched!$D:$D,$A10,d_rs_sched!$K:$K,$A10,d_rs_sched!$I:$I,O$1)),0)/IFERROR(IF((COUNTIFS(d_rs_sched!$D:$D,$A10,d_rs_sched!$I:$I,$A10,d_rs_sched!$K:$K,O$1)+COUNTIFS(d_rs_sched!$D:$D,$A10,d_rs_sched!$I:$I,O$1,d_rs_sched!$K:$K,$A10))&gt;0,(COUNTIFS(d_rs_sched!$D:$D,$A10,d_rs_sched!$I:$I,$A10,d_rs_sched!$K:$K,O$1)+COUNTIFS(d_rs_sched!$D:$D,$A10,d_rs_sched!$I:$I,O$1,d_rs_sched!$K:$K,$A10)),1),1)</f>
        <v>-9</v>
      </c>
      <c r="P10">
        <f>IFERROR((SUMIFS(d_rs_sched!$J:$J,d_rs_sched!$D:$D,$A10,d_rs_sched!$I:$I,$A10,d_rs_sched!$K:$K,P$1)+SUMIFS(d_rs_sched!$L:$L,d_rs_sched!$D:$D,$A10,d_rs_sched!$K:$K,$A10,d_rs_sched!$I:$I,P$1))-(SUMIFS(d_rs_sched!$L:$L,d_rs_sched!$D:$D,$A10,d_rs_sched!$I:$I,$A10,d_rs_sched!$K:$K,P$1)+SUMIFS(d_rs_sched!$J:$J,d_rs_sched!$D:$D,$A10,d_rs_sched!$K:$K,$A10,d_rs_sched!$I:$I,P$1)),0)/IFERROR(IF((COUNTIFS(d_rs_sched!$D:$D,$A10,d_rs_sched!$I:$I,$A10,d_rs_sched!$K:$K,P$1)+COUNTIFS(d_rs_sched!$D:$D,$A10,d_rs_sched!$I:$I,P$1,d_rs_sched!$K:$K,$A10))&gt;0,(COUNTIFS(d_rs_sched!$D:$D,$A10,d_rs_sched!$I:$I,$A10,d_rs_sched!$K:$K,P$1)+COUNTIFS(d_rs_sched!$D:$D,$A10,d_rs_sched!$I:$I,P$1,d_rs_sched!$K:$K,$A10)),1),1)</f>
        <v>1.5</v>
      </c>
      <c r="Q10">
        <f>IFERROR((SUMIFS(d_rs_sched!$J:$J,d_rs_sched!$D:$D,$A10,d_rs_sched!$I:$I,$A10,d_rs_sched!$K:$K,Q$1)+SUMIFS(d_rs_sched!$L:$L,d_rs_sched!$D:$D,$A10,d_rs_sched!$K:$K,$A10,d_rs_sched!$I:$I,Q$1))-(SUMIFS(d_rs_sched!$L:$L,d_rs_sched!$D:$D,$A10,d_rs_sched!$I:$I,$A10,d_rs_sched!$K:$K,Q$1)+SUMIFS(d_rs_sched!$J:$J,d_rs_sched!$D:$D,$A10,d_rs_sched!$K:$K,$A10,d_rs_sched!$I:$I,Q$1)),0)/IFERROR(IF((COUNTIFS(d_rs_sched!$D:$D,$A10,d_rs_sched!$I:$I,$A10,d_rs_sched!$K:$K,Q$1)+COUNTIFS(d_rs_sched!$D:$D,$A10,d_rs_sched!$I:$I,Q$1,d_rs_sched!$K:$K,$A10))&gt;0,(COUNTIFS(d_rs_sched!$D:$D,$A10,d_rs_sched!$I:$I,$A10,d_rs_sched!$K:$K,Q$1)+COUNTIFS(d_rs_sched!$D:$D,$A10,d_rs_sched!$I:$I,Q$1,d_rs_sched!$K:$K,$A10)),1),1)</f>
        <v>3.6666666666666665</v>
      </c>
      <c r="R10">
        <f>IFERROR((SUMIFS(d_rs_sched!$J:$J,d_rs_sched!$D:$D,$A10,d_rs_sched!$I:$I,$A10,d_rs_sched!$K:$K,R$1)+SUMIFS(d_rs_sched!$L:$L,d_rs_sched!$D:$D,$A10,d_rs_sched!$K:$K,$A10,d_rs_sched!$I:$I,R$1))-(SUMIFS(d_rs_sched!$L:$L,d_rs_sched!$D:$D,$A10,d_rs_sched!$I:$I,$A10,d_rs_sched!$K:$K,R$1)+SUMIFS(d_rs_sched!$J:$J,d_rs_sched!$D:$D,$A10,d_rs_sched!$K:$K,$A10,d_rs_sched!$I:$I,R$1)),0)/IFERROR(IF((COUNTIFS(d_rs_sched!$D:$D,$A10,d_rs_sched!$I:$I,$A10,d_rs_sched!$K:$K,R$1)+COUNTIFS(d_rs_sched!$D:$D,$A10,d_rs_sched!$I:$I,R$1,d_rs_sched!$K:$K,$A10))&gt;0,(COUNTIFS(d_rs_sched!$D:$D,$A10,d_rs_sched!$I:$I,$A10,d_rs_sched!$K:$K,R$1)+COUNTIFS(d_rs_sched!$D:$D,$A10,d_rs_sched!$I:$I,R$1,d_rs_sched!$K:$K,$A10)),1),1)</f>
        <v>-10</v>
      </c>
      <c r="S10">
        <f>IFERROR((SUMIFS(d_rs_sched!$J:$J,d_rs_sched!$D:$D,$A10,d_rs_sched!$I:$I,$A10,d_rs_sched!$K:$K,S$1)+SUMIFS(d_rs_sched!$L:$L,d_rs_sched!$D:$D,$A10,d_rs_sched!$K:$K,$A10,d_rs_sched!$I:$I,S$1))-(SUMIFS(d_rs_sched!$L:$L,d_rs_sched!$D:$D,$A10,d_rs_sched!$I:$I,$A10,d_rs_sched!$K:$K,S$1)+SUMIFS(d_rs_sched!$J:$J,d_rs_sched!$D:$D,$A10,d_rs_sched!$K:$K,$A10,d_rs_sched!$I:$I,S$1)),0)/IFERROR(IF((COUNTIFS(d_rs_sched!$D:$D,$A10,d_rs_sched!$I:$I,$A10,d_rs_sched!$K:$K,S$1)+COUNTIFS(d_rs_sched!$D:$D,$A10,d_rs_sched!$I:$I,S$1,d_rs_sched!$K:$K,$A10))&gt;0,(COUNTIFS(d_rs_sched!$D:$D,$A10,d_rs_sched!$I:$I,$A10,d_rs_sched!$K:$K,S$1)+COUNTIFS(d_rs_sched!$D:$D,$A10,d_rs_sched!$I:$I,S$1,d_rs_sched!$K:$K,$A10)),1),1)</f>
        <v>-8.5</v>
      </c>
      <c r="T10">
        <f>IFERROR((SUMIFS(d_rs_sched!$J:$J,d_rs_sched!$D:$D,$A10,d_rs_sched!$I:$I,$A10,d_rs_sched!$K:$K,T$1)+SUMIFS(d_rs_sched!$L:$L,d_rs_sched!$D:$D,$A10,d_rs_sched!$K:$K,$A10,d_rs_sched!$I:$I,T$1))-(SUMIFS(d_rs_sched!$L:$L,d_rs_sched!$D:$D,$A10,d_rs_sched!$I:$I,$A10,d_rs_sched!$K:$K,T$1)+SUMIFS(d_rs_sched!$J:$J,d_rs_sched!$D:$D,$A10,d_rs_sched!$K:$K,$A10,d_rs_sched!$I:$I,T$1)),0)/IFERROR(IF((COUNTIFS(d_rs_sched!$D:$D,$A10,d_rs_sched!$I:$I,$A10,d_rs_sched!$K:$K,T$1)+COUNTIFS(d_rs_sched!$D:$D,$A10,d_rs_sched!$I:$I,T$1,d_rs_sched!$K:$K,$A10))&gt;0,(COUNTIFS(d_rs_sched!$D:$D,$A10,d_rs_sched!$I:$I,$A10,d_rs_sched!$K:$K,T$1)+COUNTIFS(d_rs_sched!$D:$D,$A10,d_rs_sched!$I:$I,T$1,d_rs_sched!$K:$K,$A10)),1),1)</f>
        <v>-7</v>
      </c>
      <c r="U10">
        <f>IFERROR((SUMIFS(d_rs_sched!$J:$J,d_rs_sched!$D:$D,$A10,d_rs_sched!$I:$I,$A10,d_rs_sched!$K:$K,U$1)+SUMIFS(d_rs_sched!$L:$L,d_rs_sched!$D:$D,$A10,d_rs_sched!$K:$K,$A10,d_rs_sched!$I:$I,U$1))-(SUMIFS(d_rs_sched!$L:$L,d_rs_sched!$D:$D,$A10,d_rs_sched!$I:$I,$A10,d_rs_sched!$K:$K,U$1)+SUMIFS(d_rs_sched!$J:$J,d_rs_sched!$D:$D,$A10,d_rs_sched!$K:$K,$A10,d_rs_sched!$I:$I,U$1)),0)/IFERROR(IF((COUNTIFS(d_rs_sched!$D:$D,$A10,d_rs_sched!$I:$I,$A10,d_rs_sched!$K:$K,U$1)+COUNTIFS(d_rs_sched!$D:$D,$A10,d_rs_sched!$I:$I,U$1,d_rs_sched!$K:$K,$A10))&gt;0,(COUNTIFS(d_rs_sched!$D:$D,$A10,d_rs_sched!$I:$I,$A10,d_rs_sched!$K:$K,U$1)+COUNTIFS(d_rs_sched!$D:$D,$A10,d_rs_sched!$I:$I,U$1,d_rs_sched!$K:$K,$A10)),1),1)</f>
        <v>8.75</v>
      </c>
      <c r="V10">
        <f>IFERROR((SUMIFS(d_rs_sched!$J:$J,d_rs_sched!$D:$D,$A10,d_rs_sched!$I:$I,$A10,d_rs_sched!$K:$K,V$1)+SUMIFS(d_rs_sched!$L:$L,d_rs_sched!$D:$D,$A10,d_rs_sched!$K:$K,$A10,d_rs_sched!$I:$I,V$1))-(SUMIFS(d_rs_sched!$L:$L,d_rs_sched!$D:$D,$A10,d_rs_sched!$I:$I,$A10,d_rs_sched!$K:$K,V$1)+SUMIFS(d_rs_sched!$J:$J,d_rs_sched!$D:$D,$A10,d_rs_sched!$K:$K,$A10,d_rs_sched!$I:$I,V$1)),0)/IFERROR(IF((COUNTIFS(d_rs_sched!$D:$D,$A10,d_rs_sched!$I:$I,$A10,d_rs_sched!$K:$K,V$1)+COUNTIFS(d_rs_sched!$D:$D,$A10,d_rs_sched!$I:$I,V$1,d_rs_sched!$K:$K,$A10))&gt;0,(COUNTIFS(d_rs_sched!$D:$D,$A10,d_rs_sched!$I:$I,$A10,d_rs_sched!$K:$K,V$1)+COUNTIFS(d_rs_sched!$D:$D,$A10,d_rs_sched!$I:$I,V$1,d_rs_sched!$K:$K,$A10)),1),1)</f>
        <v>2.5</v>
      </c>
      <c r="W10">
        <f>IFERROR((SUMIFS(d_rs_sched!$J:$J,d_rs_sched!$D:$D,$A10,d_rs_sched!$I:$I,$A10,d_rs_sched!$K:$K,W$1)+SUMIFS(d_rs_sched!$L:$L,d_rs_sched!$D:$D,$A10,d_rs_sched!$K:$K,$A10,d_rs_sched!$I:$I,W$1))-(SUMIFS(d_rs_sched!$L:$L,d_rs_sched!$D:$D,$A10,d_rs_sched!$I:$I,$A10,d_rs_sched!$K:$K,W$1)+SUMIFS(d_rs_sched!$J:$J,d_rs_sched!$D:$D,$A10,d_rs_sched!$K:$K,$A10,d_rs_sched!$I:$I,W$1)),0)/IFERROR(IF((COUNTIFS(d_rs_sched!$D:$D,$A10,d_rs_sched!$I:$I,$A10,d_rs_sched!$K:$K,W$1)+COUNTIFS(d_rs_sched!$D:$D,$A10,d_rs_sched!$I:$I,W$1,d_rs_sched!$K:$K,$A10))&gt;0,(COUNTIFS(d_rs_sched!$D:$D,$A10,d_rs_sched!$I:$I,$A10,d_rs_sched!$K:$K,W$1)+COUNTIFS(d_rs_sched!$D:$D,$A10,d_rs_sched!$I:$I,W$1,d_rs_sched!$K:$K,$A10)),1),1)</f>
        <v>8.25</v>
      </c>
      <c r="X10">
        <f>IFERROR((SUMIFS(d_rs_sched!$J:$J,d_rs_sched!$D:$D,$A10,d_rs_sched!$I:$I,$A10,d_rs_sched!$K:$K,X$1)+SUMIFS(d_rs_sched!$L:$L,d_rs_sched!$D:$D,$A10,d_rs_sched!$K:$K,$A10,d_rs_sched!$I:$I,X$1))-(SUMIFS(d_rs_sched!$L:$L,d_rs_sched!$D:$D,$A10,d_rs_sched!$I:$I,$A10,d_rs_sched!$K:$K,X$1)+SUMIFS(d_rs_sched!$J:$J,d_rs_sched!$D:$D,$A10,d_rs_sched!$K:$K,$A10,d_rs_sched!$I:$I,X$1)),0)/IFERROR(IF((COUNTIFS(d_rs_sched!$D:$D,$A10,d_rs_sched!$I:$I,$A10,d_rs_sched!$K:$K,X$1)+COUNTIFS(d_rs_sched!$D:$D,$A10,d_rs_sched!$I:$I,X$1,d_rs_sched!$K:$K,$A10))&gt;0,(COUNTIFS(d_rs_sched!$D:$D,$A10,d_rs_sched!$I:$I,$A10,d_rs_sched!$K:$K,X$1)+COUNTIFS(d_rs_sched!$D:$D,$A10,d_rs_sched!$I:$I,X$1,d_rs_sched!$K:$K,$A10)),1),1)</f>
        <v>-5</v>
      </c>
      <c r="Y10">
        <f>IFERROR((SUMIFS(d_rs_sched!$J:$J,d_rs_sched!$D:$D,$A10,d_rs_sched!$I:$I,$A10,d_rs_sched!$K:$K,Y$1)+SUMIFS(d_rs_sched!$L:$L,d_rs_sched!$D:$D,$A10,d_rs_sched!$K:$K,$A10,d_rs_sched!$I:$I,Y$1))-(SUMIFS(d_rs_sched!$L:$L,d_rs_sched!$D:$D,$A10,d_rs_sched!$I:$I,$A10,d_rs_sched!$K:$K,Y$1)+SUMIFS(d_rs_sched!$J:$J,d_rs_sched!$D:$D,$A10,d_rs_sched!$K:$K,$A10,d_rs_sched!$I:$I,Y$1)),0)/IFERROR(IF((COUNTIFS(d_rs_sched!$D:$D,$A10,d_rs_sched!$I:$I,$A10,d_rs_sched!$K:$K,Y$1)+COUNTIFS(d_rs_sched!$D:$D,$A10,d_rs_sched!$I:$I,Y$1,d_rs_sched!$K:$K,$A10))&gt;0,(COUNTIFS(d_rs_sched!$D:$D,$A10,d_rs_sched!$I:$I,$A10,d_rs_sched!$K:$K,Y$1)+COUNTIFS(d_rs_sched!$D:$D,$A10,d_rs_sched!$I:$I,Y$1,d_rs_sched!$K:$K,$A10)),1),1)</f>
        <v>0</v>
      </c>
      <c r="Z10">
        <f>IFERROR((SUMIFS(d_rs_sched!$J:$J,d_rs_sched!$D:$D,$A10,d_rs_sched!$I:$I,$A10,d_rs_sched!$K:$K,Z$1)+SUMIFS(d_rs_sched!$L:$L,d_rs_sched!$D:$D,$A10,d_rs_sched!$K:$K,$A10,d_rs_sched!$I:$I,Z$1))-(SUMIFS(d_rs_sched!$L:$L,d_rs_sched!$D:$D,$A10,d_rs_sched!$I:$I,$A10,d_rs_sched!$K:$K,Z$1)+SUMIFS(d_rs_sched!$J:$J,d_rs_sched!$D:$D,$A10,d_rs_sched!$K:$K,$A10,d_rs_sched!$I:$I,Z$1)),0)/IFERROR(IF((COUNTIFS(d_rs_sched!$D:$D,$A10,d_rs_sched!$I:$I,$A10,d_rs_sched!$K:$K,Z$1)+COUNTIFS(d_rs_sched!$D:$D,$A10,d_rs_sched!$I:$I,Z$1,d_rs_sched!$K:$K,$A10))&gt;0,(COUNTIFS(d_rs_sched!$D:$D,$A10,d_rs_sched!$I:$I,$A10,d_rs_sched!$K:$K,Z$1)+COUNTIFS(d_rs_sched!$D:$D,$A10,d_rs_sched!$I:$I,Z$1,d_rs_sched!$K:$K,$A10)),1),1)</f>
        <v>-15.5</v>
      </c>
      <c r="AA10">
        <f>IFERROR((SUMIFS(d_rs_sched!$J:$J,d_rs_sched!$D:$D,$A10,d_rs_sched!$I:$I,$A10,d_rs_sched!$K:$K,AA$1)+SUMIFS(d_rs_sched!$L:$L,d_rs_sched!$D:$D,$A10,d_rs_sched!$K:$K,$A10,d_rs_sched!$I:$I,AA$1))-(SUMIFS(d_rs_sched!$L:$L,d_rs_sched!$D:$D,$A10,d_rs_sched!$I:$I,$A10,d_rs_sched!$K:$K,AA$1)+SUMIFS(d_rs_sched!$J:$J,d_rs_sched!$D:$D,$A10,d_rs_sched!$K:$K,$A10,d_rs_sched!$I:$I,AA$1)),0)/IFERROR(IF((COUNTIFS(d_rs_sched!$D:$D,$A10,d_rs_sched!$I:$I,$A10,d_rs_sched!$K:$K,AA$1)+COUNTIFS(d_rs_sched!$D:$D,$A10,d_rs_sched!$I:$I,AA$1,d_rs_sched!$K:$K,$A10))&gt;0,(COUNTIFS(d_rs_sched!$D:$D,$A10,d_rs_sched!$I:$I,$A10,d_rs_sched!$K:$K,AA$1)+COUNTIFS(d_rs_sched!$D:$D,$A10,d_rs_sched!$I:$I,AA$1,d_rs_sched!$K:$K,$A10)),1),1)</f>
        <v>-8</v>
      </c>
      <c r="AB10">
        <f>IFERROR((SUMIFS(d_rs_sched!$J:$J,d_rs_sched!$D:$D,$A10,d_rs_sched!$I:$I,$A10,d_rs_sched!$K:$K,AB$1)+SUMIFS(d_rs_sched!$L:$L,d_rs_sched!$D:$D,$A10,d_rs_sched!$K:$K,$A10,d_rs_sched!$I:$I,AB$1))-(SUMIFS(d_rs_sched!$L:$L,d_rs_sched!$D:$D,$A10,d_rs_sched!$I:$I,$A10,d_rs_sched!$K:$K,AB$1)+SUMIFS(d_rs_sched!$J:$J,d_rs_sched!$D:$D,$A10,d_rs_sched!$K:$K,$A10,d_rs_sched!$I:$I,AB$1)),0)/IFERROR(IF((COUNTIFS(d_rs_sched!$D:$D,$A10,d_rs_sched!$I:$I,$A10,d_rs_sched!$K:$K,AB$1)+COUNTIFS(d_rs_sched!$D:$D,$A10,d_rs_sched!$I:$I,AB$1,d_rs_sched!$K:$K,$A10))&gt;0,(COUNTIFS(d_rs_sched!$D:$D,$A10,d_rs_sched!$I:$I,$A10,d_rs_sched!$K:$K,AB$1)+COUNTIFS(d_rs_sched!$D:$D,$A10,d_rs_sched!$I:$I,AB$1,d_rs_sched!$K:$K,$A10)),1),1)</f>
        <v>12</v>
      </c>
      <c r="AC10">
        <f>IFERROR((SUMIFS(d_rs_sched!$J:$J,d_rs_sched!$D:$D,$A10,d_rs_sched!$I:$I,$A10,d_rs_sched!$K:$K,AC$1)+SUMIFS(d_rs_sched!$L:$L,d_rs_sched!$D:$D,$A10,d_rs_sched!$K:$K,$A10,d_rs_sched!$I:$I,AC$1))-(SUMIFS(d_rs_sched!$L:$L,d_rs_sched!$D:$D,$A10,d_rs_sched!$I:$I,$A10,d_rs_sched!$K:$K,AC$1)+SUMIFS(d_rs_sched!$J:$J,d_rs_sched!$D:$D,$A10,d_rs_sched!$K:$K,$A10,d_rs_sched!$I:$I,AC$1)),0)/IFERROR(IF((COUNTIFS(d_rs_sched!$D:$D,$A10,d_rs_sched!$I:$I,$A10,d_rs_sched!$K:$K,AC$1)+COUNTIFS(d_rs_sched!$D:$D,$A10,d_rs_sched!$I:$I,AC$1,d_rs_sched!$K:$K,$A10))&gt;0,(COUNTIFS(d_rs_sched!$D:$D,$A10,d_rs_sched!$I:$I,$A10,d_rs_sched!$K:$K,AC$1)+COUNTIFS(d_rs_sched!$D:$D,$A10,d_rs_sched!$I:$I,AC$1,d_rs_sched!$K:$K,$A10)),1),1)</f>
        <v>-1.75</v>
      </c>
      <c r="AD10">
        <f>IFERROR((SUMIFS(d_rs_sched!$J:$J,d_rs_sched!$D:$D,$A10,d_rs_sched!$I:$I,$A10,d_rs_sched!$K:$K,AD$1)+SUMIFS(d_rs_sched!$L:$L,d_rs_sched!$D:$D,$A10,d_rs_sched!$K:$K,$A10,d_rs_sched!$I:$I,AD$1))-(SUMIFS(d_rs_sched!$L:$L,d_rs_sched!$D:$D,$A10,d_rs_sched!$I:$I,$A10,d_rs_sched!$K:$K,AD$1)+SUMIFS(d_rs_sched!$J:$J,d_rs_sched!$D:$D,$A10,d_rs_sched!$K:$K,$A10,d_rs_sched!$I:$I,AD$1)),0)/IFERROR(IF((COUNTIFS(d_rs_sched!$D:$D,$A10,d_rs_sched!$I:$I,$A10,d_rs_sched!$K:$K,AD$1)+COUNTIFS(d_rs_sched!$D:$D,$A10,d_rs_sched!$I:$I,AD$1,d_rs_sched!$K:$K,$A10))&gt;0,(COUNTIFS(d_rs_sched!$D:$D,$A10,d_rs_sched!$I:$I,$A10,d_rs_sched!$K:$K,AD$1)+COUNTIFS(d_rs_sched!$D:$D,$A10,d_rs_sched!$I:$I,AD$1,d_rs_sched!$K:$K,$A10)),1),1)</f>
        <v>-2</v>
      </c>
      <c r="AE10">
        <f>IFERROR((SUMIFS(d_rs_sched!$J:$J,d_rs_sched!$D:$D,$A10,d_rs_sched!$I:$I,$A10,d_rs_sched!$K:$K,AE$1)+SUMIFS(d_rs_sched!$L:$L,d_rs_sched!$D:$D,$A10,d_rs_sched!$K:$K,$A10,d_rs_sched!$I:$I,AE$1))-(SUMIFS(d_rs_sched!$L:$L,d_rs_sched!$D:$D,$A10,d_rs_sched!$I:$I,$A10,d_rs_sched!$K:$K,AE$1)+SUMIFS(d_rs_sched!$J:$J,d_rs_sched!$D:$D,$A10,d_rs_sched!$K:$K,$A10,d_rs_sched!$I:$I,AE$1)),0)/IFERROR(IF((COUNTIFS(d_rs_sched!$D:$D,$A10,d_rs_sched!$I:$I,$A10,d_rs_sched!$K:$K,AE$1)+COUNTIFS(d_rs_sched!$D:$D,$A10,d_rs_sched!$I:$I,AE$1,d_rs_sched!$K:$K,$A10))&gt;0,(COUNTIFS(d_rs_sched!$D:$D,$A10,d_rs_sched!$I:$I,$A10,d_rs_sched!$K:$K,AE$1)+COUNTIFS(d_rs_sched!$D:$D,$A10,d_rs_sched!$I:$I,AE$1,d_rs_sched!$K:$K,$A10)),1),1)</f>
        <v>3</v>
      </c>
      <c r="AG10" t="s">
        <v>33</v>
      </c>
      <c r="AH10">
        <v>1.0074063083085634</v>
      </c>
      <c r="AI10">
        <f t="shared" si="0"/>
        <v>3</v>
      </c>
    </row>
    <row r="11" spans="1:35" x14ac:dyDescent="0.25">
      <c r="A11" t="s">
        <v>36</v>
      </c>
      <c r="B11">
        <f>IFERROR((SUMIFS(d_rs_sched!$J:$J,d_rs_sched!$D:$D,$A11,d_rs_sched!$I:$I,$A11,d_rs_sched!$K:$K,B$1)+SUMIFS(d_rs_sched!$L:$L,d_rs_sched!$D:$D,$A11,d_rs_sched!$K:$K,$A11,d_rs_sched!$I:$I,B$1))-(SUMIFS(d_rs_sched!$L:$L,d_rs_sched!$D:$D,$A11,d_rs_sched!$I:$I,$A11,d_rs_sched!$K:$K,B$1)+SUMIFS(d_rs_sched!$J:$J,d_rs_sched!$D:$D,$A11,d_rs_sched!$K:$K,$A11,d_rs_sched!$I:$I,B$1)),0)/IFERROR(IF((COUNTIFS(d_rs_sched!$D:$D,$A11,d_rs_sched!$I:$I,$A11,d_rs_sched!$K:$K,B$1)+COUNTIFS(d_rs_sched!$D:$D,$A11,d_rs_sched!$I:$I,B$1,d_rs_sched!$K:$K,$A11))&gt;0,(COUNTIFS(d_rs_sched!$D:$D,$A11,d_rs_sched!$I:$I,$A11,d_rs_sched!$K:$K,B$1)+COUNTIFS(d_rs_sched!$D:$D,$A11,d_rs_sched!$I:$I,B$1,d_rs_sched!$K:$K,$A11)),1),1)</f>
        <v>5.5</v>
      </c>
      <c r="C11">
        <f>IFERROR((SUMIFS(d_rs_sched!$J:$J,d_rs_sched!$D:$D,$A11,d_rs_sched!$I:$I,$A11,d_rs_sched!$K:$K,C$1)+SUMIFS(d_rs_sched!$L:$L,d_rs_sched!$D:$D,$A11,d_rs_sched!$K:$K,$A11,d_rs_sched!$I:$I,C$1))-(SUMIFS(d_rs_sched!$L:$L,d_rs_sched!$D:$D,$A11,d_rs_sched!$I:$I,$A11,d_rs_sched!$K:$K,C$1)+SUMIFS(d_rs_sched!$J:$J,d_rs_sched!$D:$D,$A11,d_rs_sched!$K:$K,$A11,d_rs_sched!$I:$I,C$1)),0)/IFERROR(IF((COUNTIFS(d_rs_sched!$D:$D,$A11,d_rs_sched!$I:$I,$A11,d_rs_sched!$K:$K,C$1)+COUNTIFS(d_rs_sched!$D:$D,$A11,d_rs_sched!$I:$I,C$1,d_rs_sched!$K:$K,$A11))&gt;0,(COUNTIFS(d_rs_sched!$D:$D,$A11,d_rs_sched!$I:$I,$A11,d_rs_sched!$K:$K,C$1)+COUNTIFS(d_rs_sched!$D:$D,$A11,d_rs_sched!$I:$I,C$1,d_rs_sched!$K:$K,$A11)),1),1)</f>
        <v>3</v>
      </c>
      <c r="D11">
        <f>IFERROR((SUMIFS(d_rs_sched!$J:$J,d_rs_sched!$D:$D,$A11,d_rs_sched!$I:$I,$A11,d_rs_sched!$K:$K,D$1)+SUMIFS(d_rs_sched!$L:$L,d_rs_sched!$D:$D,$A11,d_rs_sched!$K:$K,$A11,d_rs_sched!$I:$I,D$1))-(SUMIFS(d_rs_sched!$L:$L,d_rs_sched!$D:$D,$A11,d_rs_sched!$I:$I,$A11,d_rs_sched!$K:$K,D$1)+SUMIFS(d_rs_sched!$J:$J,d_rs_sched!$D:$D,$A11,d_rs_sched!$K:$K,$A11,d_rs_sched!$I:$I,D$1)),0)/IFERROR(IF((COUNTIFS(d_rs_sched!$D:$D,$A11,d_rs_sched!$I:$I,$A11,d_rs_sched!$K:$K,D$1)+COUNTIFS(d_rs_sched!$D:$D,$A11,d_rs_sched!$I:$I,D$1,d_rs_sched!$K:$K,$A11))&gt;0,(COUNTIFS(d_rs_sched!$D:$D,$A11,d_rs_sched!$I:$I,$A11,d_rs_sched!$K:$K,D$1)+COUNTIFS(d_rs_sched!$D:$D,$A11,d_rs_sched!$I:$I,D$1,d_rs_sched!$K:$K,$A11)),1),1)</f>
        <v>4</v>
      </c>
      <c r="E11">
        <f>IFERROR((SUMIFS(d_rs_sched!$J:$J,d_rs_sched!$D:$D,$A11,d_rs_sched!$I:$I,$A11,d_rs_sched!$K:$K,E$1)+SUMIFS(d_rs_sched!$L:$L,d_rs_sched!$D:$D,$A11,d_rs_sched!$K:$K,$A11,d_rs_sched!$I:$I,E$1))-(SUMIFS(d_rs_sched!$L:$L,d_rs_sched!$D:$D,$A11,d_rs_sched!$I:$I,$A11,d_rs_sched!$K:$K,E$1)+SUMIFS(d_rs_sched!$J:$J,d_rs_sched!$D:$D,$A11,d_rs_sched!$K:$K,$A11,d_rs_sched!$I:$I,E$1)),0)/IFERROR(IF((COUNTIFS(d_rs_sched!$D:$D,$A11,d_rs_sched!$I:$I,$A11,d_rs_sched!$K:$K,E$1)+COUNTIFS(d_rs_sched!$D:$D,$A11,d_rs_sched!$I:$I,E$1,d_rs_sched!$K:$K,$A11))&gt;0,(COUNTIFS(d_rs_sched!$D:$D,$A11,d_rs_sched!$I:$I,$A11,d_rs_sched!$K:$K,E$1)+COUNTIFS(d_rs_sched!$D:$D,$A11,d_rs_sched!$I:$I,E$1,d_rs_sched!$K:$K,$A11)),1),1)</f>
        <v>15</v>
      </c>
      <c r="F11">
        <f>IFERROR((SUMIFS(d_rs_sched!$J:$J,d_rs_sched!$D:$D,$A11,d_rs_sched!$I:$I,$A11,d_rs_sched!$K:$K,F$1)+SUMIFS(d_rs_sched!$L:$L,d_rs_sched!$D:$D,$A11,d_rs_sched!$K:$K,$A11,d_rs_sched!$I:$I,F$1))-(SUMIFS(d_rs_sched!$L:$L,d_rs_sched!$D:$D,$A11,d_rs_sched!$I:$I,$A11,d_rs_sched!$K:$K,F$1)+SUMIFS(d_rs_sched!$J:$J,d_rs_sched!$D:$D,$A11,d_rs_sched!$K:$K,$A11,d_rs_sched!$I:$I,F$1)),0)/IFERROR(IF((COUNTIFS(d_rs_sched!$D:$D,$A11,d_rs_sched!$I:$I,$A11,d_rs_sched!$K:$K,F$1)+COUNTIFS(d_rs_sched!$D:$D,$A11,d_rs_sched!$I:$I,F$1,d_rs_sched!$K:$K,$A11))&gt;0,(COUNTIFS(d_rs_sched!$D:$D,$A11,d_rs_sched!$I:$I,$A11,d_rs_sched!$K:$K,F$1)+COUNTIFS(d_rs_sched!$D:$D,$A11,d_rs_sched!$I:$I,F$1,d_rs_sched!$K:$K,$A11)),1),1)</f>
        <v>4</v>
      </c>
      <c r="G11">
        <f>IFERROR((SUMIFS(d_rs_sched!$J:$J,d_rs_sched!$D:$D,$A11,d_rs_sched!$I:$I,$A11,d_rs_sched!$K:$K,G$1)+SUMIFS(d_rs_sched!$L:$L,d_rs_sched!$D:$D,$A11,d_rs_sched!$K:$K,$A11,d_rs_sched!$I:$I,G$1))-(SUMIFS(d_rs_sched!$L:$L,d_rs_sched!$D:$D,$A11,d_rs_sched!$I:$I,$A11,d_rs_sched!$K:$K,G$1)+SUMIFS(d_rs_sched!$J:$J,d_rs_sched!$D:$D,$A11,d_rs_sched!$K:$K,$A11,d_rs_sched!$I:$I,G$1)),0)/IFERROR(IF((COUNTIFS(d_rs_sched!$D:$D,$A11,d_rs_sched!$I:$I,$A11,d_rs_sched!$K:$K,G$1)+COUNTIFS(d_rs_sched!$D:$D,$A11,d_rs_sched!$I:$I,G$1,d_rs_sched!$K:$K,$A11))&gt;0,(COUNTIFS(d_rs_sched!$D:$D,$A11,d_rs_sched!$I:$I,$A11,d_rs_sched!$K:$K,G$1)+COUNTIFS(d_rs_sched!$D:$D,$A11,d_rs_sched!$I:$I,G$1,d_rs_sched!$K:$K,$A11)),1),1)</f>
        <v>3.5</v>
      </c>
      <c r="H11">
        <f>IFERROR((SUMIFS(d_rs_sched!$J:$J,d_rs_sched!$D:$D,$A11,d_rs_sched!$I:$I,$A11,d_rs_sched!$K:$K,H$1)+SUMIFS(d_rs_sched!$L:$L,d_rs_sched!$D:$D,$A11,d_rs_sched!$K:$K,$A11,d_rs_sched!$I:$I,H$1))-(SUMIFS(d_rs_sched!$L:$L,d_rs_sched!$D:$D,$A11,d_rs_sched!$I:$I,$A11,d_rs_sched!$K:$K,H$1)+SUMIFS(d_rs_sched!$J:$J,d_rs_sched!$D:$D,$A11,d_rs_sched!$K:$K,$A11,d_rs_sched!$I:$I,H$1)),0)/IFERROR(IF((COUNTIFS(d_rs_sched!$D:$D,$A11,d_rs_sched!$I:$I,$A11,d_rs_sched!$K:$K,H$1)+COUNTIFS(d_rs_sched!$D:$D,$A11,d_rs_sched!$I:$I,H$1,d_rs_sched!$K:$K,$A11))&gt;0,(COUNTIFS(d_rs_sched!$D:$D,$A11,d_rs_sched!$I:$I,$A11,d_rs_sched!$K:$K,H$1)+COUNTIFS(d_rs_sched!$D:$D,$A11,d_rs_sched!$I:$I,H$1,d_rs_sched!$K:$K,$A11)),1),1)</f>
        <v>12.25</v>
      </c>
      <c r="I11">
        <f>IFERROR((SUMIFS(d_rs_sched!$J:$J,d_rs_sched!$D:$D,$A11,d_rs_sched!$I:$I,$A11,d_rs_sched!$K:$K,I$1)+SUMIFS(d_rs_sched!$L:$L,d_rs_sched!$D:$D,$A11,d_rs_sched!$K:$K,$A11,d_rs_sched!$I:$I,I$1))-(SUMIFS(d_rs_sched!$L:$L,d_rs_sched!$D:$D,$A11,d_rs_sched!$I:$I,$A11,d_rs_sched!$K:$K,I$1)+SUMIFS(d_rs_sched!$J:$J,d_rs_sched!$D:$D,$A11,d_rs_sched!$K:$K,$A11,d_rs_sched!$I:$I,I$1)),0)/IFERROR(IF((COUNTIFS(d_rs_sched!$D:$D,$A11,d_rs_sched!$I:$I,$A11,d_rs_sched!$K:$K,I$1)+COUNTIFS(d_rs_sched!$D:$D,$A11,d_rs_sched!$I:$I,I$1,d_rs_sched!$K:$K,$A11))&gt;0,(COUNTIFS(d_rs_sched!$D:$D,$A11,d_rs_sched!$I:$I,$A11,d_rs_sched!$K:$K,I$1)+COUNTIFS(d_rs_sched!$D:$D,$A11,d_rs_sched!$I:$I,I$1,d_rs_sched!$K:$K,$A11)),1),1)</f>
        <v>13</v>
      </c>
      <c r="J11">
        <f>IFERROR((SUMIFS(d_rs_sched!$J:$J,d_rs_sched!$D:$D,$A11,d_rs_sched!$I:$I,$A11,d_rs_sched!$K:$K,J$1)+SUMIFS(d_rs_sched!$L:$L,d_rs_sched!$D:$D,$A11,d_rs_sched!$K:$K,$A11,d_rs_sched!$I:$I,J$1))-(SUMIFS(d_rs_sched!$L:$L,d_rs_sched!$D:$D,$A11,d_rs_sched!$I:$I,$A11,d_rs_sched!$K:$K,J$1)+SUMIFS(d_rs_sched!$J:$J,d_rs_sched!$D:$D,$A11,d_rs_sched!$K:$K,$A11,d_rs_sched!$I:$I,J$1)),0)/IFERROR(IF((COUNTIFS(d_rs_sched!$D:$D,$A11,d_rs_sched!$I:$I,$A11,d_rs_sched!$K:$K,J$1)+COUNTIFS(d_rs_sched!$D:$D,$A11,d_rs_sched!$I:$I,J$1,d_rs_sched!$K:$K,$A11))&gt;0,(COUNTIFS(d_rs_sched!$D:$D,$A11,d_rs_sched!$I:$I,$A11,d_rs_sched!$K:$K,J$1)+COUNTIFS(d_rs_sched!$D:$D,$A11,d_rs_sched!$I:$I,J$1,d_rs_sched!$K:$K,$A11)),1),1)</f>
        <v>9</v>
      </c>
      <c r="K11">
        <f>IFERROR((SUMIFS(d_rs_sched!$J:$J,d_rs_sched!$D:$D,$A11,d_rs_sched!$I:$I,$A11,d_rs_sched!$K:$K,K$1)+SUMIFS(d_rs_sched!$L:$L,d_rs_sched!$D:$D,$A11,d_rs_sched!$K:$K,$A11,d_rs_sched!$I:$I,K$1))-(SUMIFS(d_rs_sched!$L:$L,d_rs_sched!$D:$D,$A11,d_rs_sched!$I:$I,$A11,d_rs_sched!$K:$K,K$1)+SUMIFS(d_rs_sched!$J:$J,d_rs_sched!$D:$D,$A11,d_rs_sched!$K:$K,$A11,d_rs_sched!$I:$I,K$1)),0)/IFERROR(IF((COUNTIFS(d_rs_sched!$D:$D,$A11,d_rs_sched!$I:$I,$A11,d_rs_sched!$K:$K,K$1)+COUNTIFS(d_rs_sched!$D:$D,$A11,d_rs_sched!$I:$I,K$1,d_rs_sched!$K:$K,$A11))&gt;0,(COUNTIFS(d_rs_sched!$D:$D,$A11,d_rs_sched!$I:$I,$A11,d_rs_sched!$K:$K,K$1)+COUNTIFS(d_rs_sched!$D:$D,$A11,d_rs_sched!$I:$I,K$1,d_rs_sched!$K:$K,$A11)),1),1)</f>
        <v>0</v>
      </c>
      <c r="L11">
        <f>IFERROR((SUMIFS(d_rs_sched!$J:$J,d_rs_sched!$D:$D,$A11,d_rs_sched!$I:$I,$A11,d_rs_sched!$K:$K,L$1)+SUMIFS(d_rs_sched!$L:$L,d_rs_sched!$D:$D,$A11,d_rs_sched!$K:$K,$A11,d_rs_sched!$I:$I,L$1))-(SUMIFS(d_rs_sched!$L:$L,d_rs_sched!$D:$D,$A11,d_rs_sched!$I:$I,$A11,d_rs_sched!$K:$K,L$1)+SUMIFS(d_rs_sched!$J:$J,d_rs_sched!$D:$D,$A11,d_rs_sched!$K:$K,$A11,d_rs_sched!$I:$I,L$1)),0)/IFERROR(IF((COUNTIFS(d_rs_sched!$D:$D,$A11,d_rs_sched!$I:$I,$A11,d_rs_sched!$K:$K,L$1)+COUNTIFS(d_rs_sched!$D:$D,$A11,d_rs_sched!$I:$I,L$1,d_rs_sched!$K:$K,$A11))&gt;0,(COUNTIFS(d_rs_sched!$D:$D,$A11,d_rs_sched!$I:$I,$A11,d_rs_sched!$K:$K,L$1)+COUNTIFS(d_rs_sched!$D:$D,$A11,d_rs_sched!$I:$I,L$1,d_rs_sched!$K:$K,$A11)),1),1)</f>
        <v>15.25</v>
      </c>
      <c r="M11">
        <f>IFERROR((SUMIFS(d_rs_sched!$J:$J,d_rs_sched!$D:$D,$A11,d_rs_sched!$I:$I,$A11,d_rs_sched!$K:$K,M$1)+SUMIFS(d_rs_sched!$L:$L,d_rs_sched!$D:$D,$A11,d_rs_sched!$K:$K,$A11,d_rs_sched!$I:$I,M$1))-(SUMIFS(d_rs_sched!$L:$L,d_rs_sched!$D:$D,$A11,d_rs_sched!$I:$I,$A11,d_rs_sched!$K:$K,M$1)+SUMIFS(d_rs_sched!$J:$J,d_rs_sched!$D:$D,$A11,d_rs_sched!$K:$K,$A11,d_rs_sched!$I:$I,M$1)),0)/IFERROR(IF((COUNTIFS(d_rs_sched!$D:$D,$A11,d_rs_sched!$I:$I,$A11,d_rs_sched!$K:$K,M$1)+COUNTIFS(d_rs_sched!$D:$D,$A11,d_rs_sched!$I:$I,M$1,d_rs_sched!$K:$K,$A11))&gt;0,(COUNTIFS(d_rs_sched!$D:$D,$A11,d_rs_sched!$I:$I,$A11,d_rs_sched!$K:$K,M$1)+COUNTIFS(d_rs_sched!$D:$D,$A11,d_rs_sched!$I:$I,M$1,d_rs_sched!$K:$K,$A11)),1),1)</f>
        <v>4.5</v>
      </c>
      <c r="N11">
        <f>IFERROR((SUMIFS(d_rs_sched!$J:$J,d_rs_sched!$D:$D,$A11,d_rs_sched!$I:$I,$A11,d_rs_sched!$K:$K,N$1)+SUMIFS(d_rs_sched!$L:$L,d_rs_sched!$D:$D,$A11,d_rs_sched!$K:$K,$A11,d_rs_sched!$I:$I,N$1))-(SUMIFS(d_rs_sched!$L:$L,d_rs_sched!$D:$D,$A11,d_rs_sched!$I:$I,$A11,d_rs_sched!$K:$K,N$1)+SUMIFS(d_rs_sched!$J:$J,d_rs_sched!$D:$D,$A11,d_rs_sched!$K:$K,$A11,d_rs_sched!$I:$I,N$1)),0)/IFERROR(IF((COUNTIFS(d_rs_sched!$D:$D,$A11,d_rs_sched!$I:$I,$A11,d_rs_sched!$K:$K,N$1)+COUNTIFS(d_rs_sched!$D:$D,$A11,d_rs_sched!$I:$I,N$1,d_rs_sched!$K:$K,$A11))&gt;0,(COUNTIFS(d_rs_sched!$D:$D,$A11,d_rs_sched!$I:$I,$A11,d_rs_sched!$K:$K,N$1)+COUNTIFS(d_rs_sched!$D:$D,$A11,d_rs_sched!$I:$I,N$1,d_rs_sched!$K:$K,$A11)),1),1)</f>
        <v>3.75</v>
      </c>
      <c r="O11">
        <f>IFERROR((SUMIFS(d_rs_sched!$J:$J,d_rs_sched!$D:$D,$A11,d_rs_sched!$I:$I,$A11,d_rs_sched!$K:$K,O$1)+SUMIFS(d_rs_sched!$L:$L,d_rs_sched!$D:$D,$A11,d_rs_sched!$K:$K,$A11,d_rs_sched!$I:$I,O$1))-(SUMIFS(d_rs_sched!$L:$L,d_rs_sched!$D:$D,$A11,d_rs_sched!$I:$I,$A11,d_rs_sched!$K:$K,O$1)+SUMIFS(d_rs_sched!$J:$J,d_rs_sched!$D:$D,$A11,d_rs_sched!$K:$K,$A11,d_rs_sched!$I:$I,O$1)),0)/IFERROR(IF((COUNTIFS(d_rs_sched!$D:$D,$A11,d_rs_sched!$I:$I,$A11,d_rs_sched!$K:$K,O$1)+COUNTIFS(d_rs_sched!$D:$D,$A11,d_rs_sched!$I:$I,O$1,d_rs_sched!$K:$K,$A11))&gt;0,(COUNTIFS(d_rs_sched!$D:$D,$A11,d_rs_sched!$I:$I,$A11,d_rs_sched!$K:$K,O$1)+COUNTIFS(d_rs_sched!$D:$D,$A11,d_rs_sched!$I:$I,O$1,d_rs_sched!$K:$K,$A11)),1),1)</f>
        <v>9.25</v>
      </c>
      <c r="P11">
        <f>IFERROR((SUMIFS(d_rs_sched!$J:$J,d_rs_sched!$D:$D,$A11,d_rs_sched!$I:$I,$A11,d_rs_sched!$K:$K,P$1)+SUMIFS(d_rs_sched!$L:$L,d_rs_sched!$D:$D,$A11,d_rs_sched!$K:$K,$A11,d_rs_sched!$I:$I,P$1))-(SUMIFS(d_rs_sched!$L:$L,d_rs_sched!$D:$D,$A11,d_rs_sched!$I:$I,$A11,d_rs_sched!$K:$K,P$1)+SUMIFS(d_rs_sched!$J:$J,d_rs_sched!$D:$D,$A11,d_rs_sched!$K:$K,$A11,d_rs_sched!$I:$I,P$1)),0)/IFERROR(IF((COUNTIFS(d_rs_sched!$D:$D,$A11,d_rs_sched!$I:$I,$A11,d_rs_sched!$K:$K,P$1)+COUNTIFS(d_rs_sched!$D:$D,$A11,d_rs_sched!$I:$I,P$1,d_rs_sched!$K:$K,$A11))&gt;0,(COUNTIFS(d_rs_sched!$D:$D,$A11,d_rs_sched!$I:$I,$A11,d_rs_sched!$K:$K,P$1)+COUNTIFS(d_rs_sched!$D:$D,$A11,d_rs_sched!$I:$I,P$1,d_rs_sched!$K:$K,$A11)),1),1)</f>
        <v>6.666666666666667</v>
      </c>
      <c r="Q11">
        <f>IFERROR((SUMIFS(d_rs_sched!$J:$J,d_rs_sched!$D:$D,$A11,d_rs_sched!$I:$I,$A11,d_rs_sched!$K:$K,Q$1)+SUMIFS(d_rs_sched!$L:$L,d_rs_sched!$D:$D,$A11,d_rs_sched!$K:$K,$A11,d_rs_sched!$I:$I,Q$1))-(SUMIFS(d_rs_sched!$L:$L,d_rs_sched!$D:$D,$A11,d_rs_sched!$I:$I,$A11,d_rs_sched!$K:$K,Q$1)+SUMIFS(d_rs_sched!$J:$J,d_rs_sched!$D:$D,$A11,d_rs_sched!$K:$K,$A11,d_rs_sched!$I:$I,Q$1)),0)/IFERROR(IF((COUNTIFS(d_rs_sched!$D:$D,$A11,d_rs_sched!$I:$I,$A11,d_rs_sched!$K:$K,Q$1)+COUNTIFS(d_rs_sched!$D:$D,$A11,d_rs_sched!$I:$I,Q$1,d_rs_sched!$K:$K,$A11))&gt;0,(COUNTIFS(d_rs_sched!$D:$D,$A11,d_rs_sched!$I:$I,$A11,d_rs_sched!$K:$K,Q$1)+COUNTIFS(d_rs_sched!$D:$D,$A11,d_rs_sched!$I:$I,Q$1,d_rs_sched!$K:$K,$A11)),1),1)</f>
        <v>16</v>
      </c>
      <c r="R11">
        <f>IFERROR((SUMIFS(d_rs_sched!$J:$J,d_rs_sched!$D:$D,$A11,d_rs_sched!$I:$I,$A11,d_rs_sched!$K:$K,R$1)+SUMIFS(d_rs_sched!$L:$L,d_rs_sched!$D:$D,$A11,d_rs_sched!$K:$K,$A11,d_rs_sched!$I:$I,R$1))-(SUMIFS(d_rs_sched!$L:$L,d_rs_sched!$D:$D,$A11,d_rs_sched!$I:$I,$A11,d_rs_sched!$K:$K,R$1)+SUMIFS(d_rs_sched!$J:$J,d_rs_sched!$D:$D,$A11,d_rs_sched!$K:$K,$A11,d_rs_sched!$I:$I,R$1)),0)/IFERROR(IF((COUNTIFS(d_rs_sched!$D:$D,$A11,d_rs_sched!$I:$I,$A11,d_rs_sched!$K:$K,R$1)+COUNTIFS(d_rs_sched!$D:$D,$A11,d_rs_sched!$I:$I,R$1,d_rs_sched!$K:$K,$A11))&gt;0,(COUNTIFS(d_rs_sched!$D:$D,$A11,d_rs_sched!$I:$I,$A11,d_rs_sched!$K:$K,R$1)+COUNTIFS(d_rs_sched!$D:$D,$A11,d_rs_sched!$I:$I,R$1,d_rs_sched!$K:$K,$A11)),1),1)</f>
        <v>11</v>
      </c>
      <c r="S11">
        <f>IFERROR((SUMIFS(d_rs_sched!$J:$J,d_rs_sched!$D:$D,$A11,d_rs_sched!$I:$I,$A11,d_rs_sched!$K:$K,S$1)+SUMIFS(d_rs_sched!$L:$L,d_rs_sched!$D:$D,$A11,d_rs_sched!$K:$K,$A11,d_rs_sched!$I:$I,S$1))-(SUMIFS(d_rs_sched!$L:$L,d_rs_sched!$D:$D,$A11,d_rs_sched!$I:$I,$A11,d_rs_sched!$K:$K,S$1)+SUMIFS(d_rs_sched!$J:$J,d_rs_sched!$D:$D,$A11,d_rs_sched!$K:$K,$A11,d_rs_sched!$I:$I,S$1)),0)/IFERROR(IF((COUNTIFS(d_rs_sched!$D:$D,$A11,d_rs_sched!$I:$I,$A11,d_rs_sched!$K:$K,S$1)+COUNTIFS(d_rs_sched!$D:$D,$A11,d_rs_sched!$I:$I,S$1,d_rs_sched!$K:$K,$A11))&gt;0,(COUNTIFS(d_rs_sched!$D:$D,$A11,d_rs_sched!$I:$I,$A11,d_rs_sched!$K:$K,S$1)+COUNTIFS(d_rs_sched!$D:$D,$A11,d_rs_sched!$I:$I,S$1,d_rs_sched!$K:$K,$A11)),1),1)</f>
        <v>10.25</v>
      </c>
      <c r="T11">
        <f>IFERROR((SUMIFS(d_rs_sched!$J:$J,d_rs_sched!$D:$D,$A11,d_rs_sched!$I:$I,$A11,d_rs_sched!$K:$K,T$1)+SUMIFS(d_rs_sched!$L:$L,d_rs_sched!$D:$D,$A11,d_rs_sched!$K:$K,$A11,d_rs_sched!$I:$I,T$1))-(SUMIFS(d_rs_sched!$L:$L,d_rs_sched!$D:$D,$A11,d_rs_sched!$I:$I,$A11,d_rs_sched!$K:$K,T$1)+SUMIFS(d_rs_sched!$J:$J,d_rs_sched!$D:$D,$A11,d_rs_sched!$K:$K,$A11,d_rs_sched!$I:$I,T$1)),0)/IFERROR(IF((COUNTIFS(d_rs_sched!$D:$D,$A11,d_rs_sched!$I:$I,$A11,d_rs_sched!$K:$K,T$1)+COUNTIFS(d_rs_sched!$D:$D,$A11,d_rs_sched!$I:$I,T$1,d_rs_sched!$K:$K,$A11))&gt;0,(COUNTIFS(d_rs_sched!$D:$D,$A11,d_rs_sched!$I:$I,$A11,d_rs_sched!$K:$K,T$1)+COUNTIFS(d_rs_sched!$D:$D,$A11,d_rs_sched!$I:$I,T$1,d_rs_sched!$K:$K,$A11)),1),1)</f>
        <v>11.5</v>
      </c>
      <c r="U11">
        <f>IFERROR((SUMIFS(d_rs_sched!$J:$J,d_rs_sched!$D:$D,$A11,d_rs_sched!$I:$I,$A11,d_rs_sched!$K:$K,U$1)+SUMIFS(d_rs_sched!$L:$L,d_rs_sched!$D:$D,$A11,d_rs_sched!$K:$K,$A11,d_rs_sched!$I:$I,U$1))-(SUMIFS(d_rs_sched!$L:$L,d_rs_sched!$D:$D,$A11,d_rs_sched!$I:$I,$A11,d_rs_sched!$K:$K,U$1)+SUMIFS(d_rs_sched!$J:$J,d_rs_sched!$D:$D,$A11,d_rs_sched!$K:$K,$A11,d_rs_sched!$I:$I,U$1)),0)/IFERROR(IF((COUNTIFS(d_rs_sched!$D:$D,$A11,d_rs_sched!$I:$I,$A11,d_rs_sched!$K:$K,U$1)+COUNTIFS(d_rs_sched!$D:$D,$A11,d_rs_sched!$I:$I,U$1,d_rs_sched!$K:$K,$A11))&gt;0,(COUNTIFS(d_rs_sched!$D:$D,$A11,d_rs_sched!$I:$I,$A11,d_rs_sched!$K:$K,U$1)+COUNTIFS(d_rs_sched!$D:$D,$A11,d_rs_sched!$I:$I,U$1,d_rs_sched!$K:$K,$A11)),1),1)</f>
        <v>22.5</v>
      </c>
      <c r="V11">
        <f>IFERROR((SUMIFS(d_rs_sched!$J:$J,d_rs_sched!$D:$D,$A11,d_rs_sched!$I:$I,$A11,d_rs_sched!$K:$K,V$1)+SUMIFS(d_rs_sched!$L:$L,d_rs_sched!$D:$D,$A11,d_rs_sched!$K:$K,$A11,d_rs_sched!$I:$I,V$1))-(SUMIFS(d_rs_sched!$L:$L,d_rs_sched!$D:$D,$A11,d_rs_sched!$I:$I,$A11,d_rs_sched!$K:$K,V$1)+SUMIFS(d_rs_sched!$J:$J,d_rs_sched!$D:$D,$A11,d_rs_sched!$K:$K,$A11,d_rs_sched!$I:$I,V$1)),0)/IFERROR(IF((COUNTIFS(d_rs_sched!$D:$D,$A11,d_rs_sched!$I:$I,$A11,d_rs_sched!$K:$K,V$1)+COUNTIFS(d_rs_sched!$D:$D,$A11,d_rs_sched!$I:$I,V$1,d_rs_sched!$K:$K,$A11))&gt;0,(COUNTIFS(d_rs_sched!$D:$D,$A11,d_rs_sched!$I:$I,$A11,d_rs_sched!$K:$K,V$1)+COUNTIFS(d_rs_sched!$D:$D,$A11,d_rs_sched!$I:$I,V$1,d_rs_sched!$K:$K,$A11)),1),1)</f>
        <v>6</v>
      </c>
      <c r="W11">
        <f>IFERROR((SUMIFS(d_rs_sched!$J:$J,d_rs_sched!$D:$D,$A11,d_rs_sched!$I:$I,$A11,d_rs_sched!$K:$K,W$1)+SUMIFS(d_rs_sched!$L:$L,d_rs_sched!$D:$D,$A11,d_rs_sched!$K:$K,$A11,d_rs_sched!$I:$I,W$1))-(SUMIFS(d_rs_sched!$L:$L,d_rs_sched!$D:$D,$A11,d_rs_sched!$I:$I,$A11,d_rs_sched!$K:$K,W$1)+SUMIFS(d_rs_sched!$J:$J,d_rs_sched!$D:$D,$A11,d_rs_sched!$K:$K,$A11,d_rs_sched!$I:$I,W$1)),0)/IFERROR(IF((COUNTIFS(d_rs_sched!$D:$D,$A11,d_rs_sched!$I:$I,$A11,d_rs_sched!$K:$K,W$1)+COUNTIFS(d_rs_sched!$D:$D,$A11,d_rs_sched!$I:$I,W$1,d_rs_sched!$K:$K,$A11))&gt;0,(COUNTIFS(d_rs_sched!$D:$D,$A11,d_rs_sched!$I:$I,$A11,d_rs_sched!$K:$K,W$1)+COUNTIFS(d_rs_sched!$D:$D,$A11,d_rs_sched!$I:$I,W$1,d_rs_sched!$K:$K,$A11)),1),1)</f>
        <v>8</v>
      </c>
      <c r="X11">
        <f>IFERROR((SUMIFS(d_rs_sched!$J:$J,d_rs_sched!$D:$D,$A11,d_rs_sched!$I:$I,$A11,d_rs_sched!$K:$K,X$1)+SUMIFS(d_rs_sched!$L:$L,d_rs_sched!$D:$D,$A11,d_rs_sched!$K:$K,$A11,d_rs_sched!$I:$I,X$1))-(SUMIFS(d_rs_sched!$L:$L,d_rs_sched!$D:$D,$A11,d_rs_sched!$I:$I,$A11,d_rs_sched!$K:$K,X$1)+SUMIFS(d_rs_sched!$J:$J,d_rs_sched!$D:$D,$A11,d_rs_sched!$K:$K,$A11,d_rs_sched!$I:$I,X$1)),0)/IFERROR(IF((COUNTIFS(d_rs_sched!$D:$D,$A11,d_rs_sched!$I:$I,$A11,d_rs_sched!$K:$K,X$1)+COUNTIFS(d_rs_sched!$D:$D,$A11,d_rs_sched!$I:$I,X$1,d_rs_sched!$K:$K,$A11))&gt;0,(COUNTIFS(d_rs_sched!$D:$D,$A11,d_rs_sched!$I:$I,$A11,d_rs_sched!$K:$K,X$1)+COUNTIFS(d_rs_sched!$D:$D,$A11,d_rs_sched!$I:$I,X$1,d_rs_sched!$K:$K,$A11)),1),1)</f>
        <v>22.5</v>
      </c>
      <c r="Y11">
        <f>IFERROR((SUMIFS(d_rs_sched!$J:$J,d_rs_sched!$D:$D,$A11,d_rs_sched!$I:$I,$A11,d_rs_sched!$K:$K,Y$1)+SUMIFS(d_rs_sched!$L:$L,d_rs_sched!$D:$D,$A11,d_rs_sched!$K:$K,$A11,d_rs_sched!$I:$I,Y$1))-(SUMIFS(d_rs_sched!$L:$L,d_rs_sched!$D:$D,$A11,d_rs_sched!$I:$I,$A11,d_rs_sched!$K:$K,Y$1)+SUMIFS(d_rs_sched!$J:$J,d_rs_sched!$D:$D,$A11,d_rs_sched!$K:$K,$A11,d_rs_sched!$I:$I,Y$1)),0)/IFERROR(IF((COUNTIFS(d_rs_sched!$D:$D,$A11,d_rs_sched!$I:$I,$A11,d_rs_sched!$K:$K,Y$1)+COUNTIFS(d_rs_sched!$D:$D,$A11,d_rs_sched!$I:$I,Y$1,d_rs_sched!$K:$K,$A11))&gt;0,(COUNTIFS(d_rs_sched!$D:$D,$A11,d_rs_sched!$I:$I,$A11,d_rs_sched!$K:$K,Y$1)+COUNTIFS(d_rs_sched!$D:$D,$A11,d_rs_sched!$I:$I,Y$1,d_rs_sched!$K:$K,$A11)),1),1)</f>
        <v>6.5</v>
      </c>
      <c r="Z11">
        <f>IFERROR((SUMIFS(d_rs_sched!$J:$J,d_rs_sched!$D:$D,$A11,d_rs_sched!$I:$I,$A11,d_rs_sched!$K:$K,Z$1)+SUMIFS(d_rs_sched!$L:$L,d_rs_sched!$D:$D,$A11,d_rs_sched!$K:$K,$A11,d_rs_sched!$I:$I,Z$1))-(SUMIFS(d_rs_sched!$L:$L,d_rs_sched!$D:$D,$A11,d_rs_sched!$I:$I,$A11,d_rs_sched!$K:$K,Z$1)+SUMIFS(d_rs_sched!$J:$J,d_rs_sched!$D:$D,$A11,d_rs_sched!$K:$K,$A11,d_rs_sched!$I:$I,Z$1)),0)/IFERROR(IF((COUNTIFS(d_rs_sched!$D:$D,$A11,d_rs_sched!$I:$I,$A11,d_rs_sched!$K:$K,Z$1)+COUNTIFS(d_rs_sched!$D:$D,$A11,d_rs_sched!$I:$I,Z$1,d_rs_sched!$K:$K,$A11))&gt;0,(COUNTIFS(d_rs_sched!$D:$D,$A11,d_rs_sched!$I:$I,$A11,d_rs_sched!$K:$K,Z$1)+COUNTIFS(d_rs_sched!$D:$D,$A11,d_rs_sched!$I:$I,Z$1,d_rs_sched!$K:$K,$A11)),1),1)</f>
        <v>10</v>
      </c>
      <c r="AA11">
        <f>IFERROR((SUMIFS(d_rs_sched!$J:$J,d_rs_sched!$D:$D,$A11,d_rs_sched!$I:$I,$A11,d_rs_sched!$K:$K,AA$1)+SUMIFS(d_rs_sched!$L:$L,d_rs_sched!$D:$D,$A11,d_rs_sched!$K:$K,$A11,d_rs_sched!$I:$I,AA$1))-(SUMIFS(d_rs_sched!$L:$L,d_rs_sched!$D:$D,$A11,d_rs_sched!$I:$I,$A11,d_rs_sched!$K:$K,AA$1)+SUMIFS(d_rs_sched!$J:$J,d_rs_sched!$D:$D,$A11,d_rs_sched!$K:$K,$A11,d_rs_sched!$I:$I,AA$1)),0)/IFERROR(IF((COUNTIFS(d_rs_sched!$D:$D,$A11,d_rs_sched!$I:$I,$A11,d_rs_sched!$K:$K,AA$1)+COUNTIFS(d_rs_sched!$D:$D,$A11,d_rs_sched!$I:$I,AA$1,d_rs_sched!$K:$K,$A11))&gt;0,(COUNTIFS(d_rs_sched!$D:$D,$A11,d_rs_sched!$I:$I,$A11,d_rs_sched!$K:$K,AA$1)+COUNTIFS(d_rs_sched!$D:$D,$A11,d_rs_sched!$I:$I,AA$1,d_rs_sched!$K:$K,$A11)),1),1)</f>
        <v>-5.666666666666667</v>
      </c>
      <c r="AB11">
        <f>IFERROR((SUMIFS(d_rs_sched!$J:$J,d_rs_sched!$D:$D,$A11,d_rs_sched!$I:$I,$A11,d_rs_sched!$K:$K,AB$1)+SUMIFS(d_rs_sched!$L:$L,d_rs_sched!$D:$D,$A11,d_rs_sched!$K:$K,$A11,d_rs_sched!$I:$I,AB$1))-(SUMIFS(d_rs_sched!$L:$L,d_rs_sched!$D:$D,$A11,d_rs_sched!$I:$I,$A11,d_rs_sched!$K:$K,AB$1)+SUMIFS(d_rs_sched!$J:$J,d_rs_sched!$D:$D,$A11,d_rs_sched!$K:$K,$A11,d_rs_sched!$I:$I,AB$1)),0)/IFERROR(IF((COUNTIFS(d_rs_sched!$D:$D,$A11,d_rs_sched!$I:$I,$A11,d_rs_sched!$K:$K,AB$1)+COUNTIFS(d_rs_sched!$D:$D,$A11,d_rs_sched!$I:$I,AB$1,d_rs_sched!$K:$K,$A11))&gt;0,(COUNTIFS(d_rs_sched!$D:$D,$A11,d_rs_sched!$I:$I,$A11,d_rs_sched!$K:$K,AB$1)+COUNTIFS(d_rs_sched!$D:$D,$A11,d_rs_sched!$I:$I,AB$1,d_rs_sched!$K:$K,$A11)),1),1)</f>
        <v>22</v>
      </c>
      <c r="AC11">
        <f>IFERROR((SUMIFS(d_rs_sched!$J:$J,d_rs_sched!$D:$D,$A11,d_rs_sched!$I:$I,$A11,d_rs_sched!$K:$K,AC$1)+SUMIFS(d_rs_sched!$L:$L,d_rs_sched!$D:$D,$A11,d_rs_sched!$K:$K,$A11,d_rs_sched!$I:$I,AC$1))-(SUMIFS(d_rs_sched!$L:$L,d_rs_sched!$D:$D,$A11,d_rs_sched!$I:$I,$A11,d_rs_sched!$K:$K,AC$1)+SUMIFS(d_rs_sched!$J:$J,d_rs_sched!$D:$D,$A11,d_rs_sched!$K:$K,$A11,d_rs_sched!$I:$I,AC$1)),0)/IFERROR(IF((COUNTIFS(d_rs_sched!$D:$D,$A11,d_rs_sched!$I:$I,$A11,d_rs_sched!$K:$K,AC$1)+COUNTIFS(d_rs_sched!$D:$D,$A11,d_rs_sched!$I:$I,AC$1,d_rs_sched!$K:$K,$A11))&gt;0,(COUNTIFS(d_rs_sched!$D:$D,$A11,d_rs_sched!$I:$I,$A11,d_rs_sched!$K:$K,AC$1)+COUNTIFS(d_rs_sched!$D:$D,$A11,d_rs_sched!$I:$I,AC$1,d_rs_sched!$K:$K,$A11)),1),1)</f>
        <v>22.5</v>
      </c>
      <c r="AD11">
        <f>IFERROR((SUMIFS(d_rs_sched!$J:$J,d_rs_sched!$D:$D,$A11,d_rs_sched!$I:$I,$A11,d_rs_sched!$K:$K,AD$1)+SUMIFS(d_rs_sched!$L:$L,d_rs_sched!$D:$D,$A11,d_rs_sched!$K:$K,$A11,d_rs_sched!$I:$I,AD$1))-(SUMIFS(d_rs_sched!$L:$L,d_rs_sched!$D:$D,$A11,d_rs_sched!$I:$I,$A11,d_rs_sched!$K:$K,AD$1)+SUMIFS(d_rs_sched!$J:$J,d_rs_sched!$D:$D,$A11,d_rs_sched!$K:$K,$A11,d_rs_sched!$I:$I,AD$1)),0)/IFERROR(IF((COUNTIFS(d_rs_sched!$D:$D,$A11,d_rs_sched!$I:$I,$A11,d_rs_sched!$K:$K,AD$1)+COUNTIFS(d_rs_sched!$D:$D,$A11,d_rs_sched!$I:$I,AD$1,d_rs_sched!$K:$K,$A11))&gt;0,(COUNTIFS(d_rs_sched!$D:$D,$A11,d_rs_sched!$I:$I,$A11,d_rs_sched!$K:$K,AD$1)+COUNTIFS(d_rs_sched!$D:$D,$A11,d_rs_sched!$I:$I,AD$1,d_rs_sched!$K:$K,$A11)),1),1)</f>
        <v>7.25</v>
      </c>
      <c r="AE11">
        <f>IFERROR((SUMIFS(d_rs_sched!$J:$J,d_rs_sched!$D:$D,$A11,d_rs_sched!$I:$I,$A11,d_rs_sched!$K:$K,AE$1)+SUMIFS(d_rs_sched!$L:$L,d_rs_sched!$D:$D,$A11,d_rs_sched!$K:$K,$A11,d_rs_sched!$I:$I,AE$1))-(SUMIFS(d_rs_sched!$L:$L,d_rs_sched!$D:$D,$A11,d_rs_sched!$I:$I,$A11,d_rs_sched!$K:$K,AE$1)+SUMIFS(d_rs_sched!$J:$J,d_rs_sched!$D:$D,$A11,d_rs_sched!$K:$K,$A11,d_rs_sched!$I:$I,AE$1)),0)/IFERROR(IF((COUNTIFS(d_rs_sched!$D:$D,$A11,d_rs_sched!$I:$I,$A11,d_rs_sched!$K:$K,AE$1)+COUNTIFS(d_rs_sched!$D:$D,$A11,d_rs_sched!$I:$I,AE$1,d_rs_sched!$K:$K,$A11))&gt;0,(COUNTIFS(d_rs_sched!$D:$D,$A11,d_rs_sched!$I:$I,$A11,d_rs_sched!$K:$K,AE$1)+COUNTIFS(d_rs_sched!$D:$D,$A11,d_rs_sched!$I:$I,AE$1,d_rs_sched!$K:$K,$A11)),1),1)</f>
        <v>19</v>
      </c>
      <c r="AG11" t="s">
        <v>36</v>
      </c>
      <c r="AH11">
        <v>0.96520522655182783</v>
      </c>
      <c r="AI11">
        <f t="shared" si="0"/>
        <v>21</v>
      </c>
    </row>
    <row r="12" spans="1:35" x14ac:dyDescent="0.25">
      <c r="A12" t="s">
        <v>16</v>
      </c>
      <c r="B12">
        <f>IFERROR((SUMIFS(d_rs_sched!$J:$J,d_rs_sched!$D:$D,$A12,d_rs_sched!$I:$I,$A12,d_rs_sched!$K:$K,B$1)+SUMIFS(d_rs_sched!$L:$L,d_rs_sched!$D:$D,$A12,d_rs_sched!$K:$K,$A12,d_rs_sched!$I:$I,B$1))-(SUMIFS(d_rs_sched!$L:$L,d_rs_sched!$D:$D,$A12,d_rs_sched!$I:$I,$A12,d_rs_sched!$K:$K,B$1)+SUMIFS(d_rs_sched!$J:$J,d_rs_sched!$D:$D,$A12,d_rs_sched!$K:$K,$A12,d_rs_sched!$I:$I,B$1)),0)/IFERROR(IF((COUNTIFS(d_rs_sched!$D:$D,$A12,d_rs_sched!$I:$I,$A12,d_rs_sched!$K:$K,B$1)+COUNTIFS(d_rs_sched!$D:$D,$A12,d_rs_sched!$I:$I,B$1,d_rs_sched!$K:$K,$A12))&gt;0,(COUNTIFS(d_rs_sched!$D:$D,$A12,d_rs_sched!$I:$I,$A12,d_rs_sched!$K:$K,B$1)+COUNTIFS(d_rs_sched!$D:$D,$A12,d_rs_sched!$I:$I,B$1,d_rs_sched!$K:$K,$A12)),1),1)</f>
        <v>-7.5</v>
      </c>
      <c r="C12">
        <f>IFERROR((SUMIFS(d_rs_sched!$J:$J,d_rs_sched!$D:$D,$A12,d_rs_sched!$I:$I,$A12,d_rs_sched!$K:$K,C$1)+SUMIFS(d_rs_sched!$L:$L,d_rs_sched!$D:$D,$A12,d_rs_sched!$K:$K,$A12,d_rs_sched!$I:$I,C$1))-(SUMIFS(d_rs_sched!$L:$L,d_rs_sched!$D:$D,$A12,d_rs_sched!$I:$I,$A12,d_rs_sched!$K:$K,C$1)+SUMIFS(d_rs_sched!$J:$J,d_rs_sched!$D:$D,$A12,d_rs_sched!$K:$K,$A12,d_rs_sched!$I:$I,C$1)),0)/IFERROR(IF((COUNTIFS(d_rs_sched!$D:$D,$A12,d_rs_sched!$I:$I,$A12,d_rs_sched!$K:$K,C$1)+COUNTIFS(d_rs_sched!$D:$D,$A12,d_rs_sched!$I:$I,C$1,d_rs_sched!$K:$K,$A12))&gt;0,(COUNTIFS(d_rs_sched!$D:$D,$A12,d_rs_sched!$I:$I,$A12,d_rs_sched!$K:$K,C$1)+COUNTIFS(d_rs_sched!$D:$D,$A12,d_rs_sched!$I:$I,C$1,d_rs_sched!$K:$K,$A12)),1),1)</f>
        <v>9</v>
      </c>
      <c r="D12">
        <f>IFERROR((SUMIFS(d_rs_sched!$J:$J,d_rs_sched!$D:$D,$A12,d_rs_sched!$I:$I,$A12,d_rs_sched!$K:$K,D$1)+SUMIFS(d_rs_sched!$L:$L,d_rs_sched!$D:$D,$A12,d_rs_sched!$K:$K,$A12,d_rs_sched!$I:$I,D$1))-(SUMIFS(d_rs_sched!$L:$L,d_rs_sched!$D:$D,$A12,d_rs_sched!$I:$I,$A12,d_rs_sched!$K:$K,D$1)+SUMIFS(d_rs_sched!$J:$J,d_rs_sched!$D:$D,$A12,d_rs_sched!$K:$K,$A12,d_rs_sched!$I:$I,D$1)),0)/IFERROR(IF((COUNTIFS(d_rs_sched!$D:$D,$A12,d_rs_sched!$I:$I,$A12,d_rs_sched!$K:$K,D$1)+COUNTIFS(d_rs_sched!$D:$D,$A12,d_rs_sched!$I:$I,D$1,d_rs_sched!$K:$K,$A12))&gt;0,(COUNTIFS(d_rs_sched!$D:$D,$A12,d_rs_sched!$I:$I,$A12,d_rs_sched!$K:$K,D$1)+COUNTIFS(d_rs_sched!$D:$D,$A12,d_rs_sched!$I:$I,D$1,d_rs_sched!$K:$K,$A12)),1),1)</f>
        <v>10</v>
      </c>
      <c r="E12">
        <f>IFERROR((SUMIFS(d_rs_sched!$J:$J,d_rs_sched!$D:$D,$A12,d_rs_sched!$I:$I,$A12,d_rs_sched!$K:$K,E$1)+SUMIFS(d_rs_sched!$L:$L,d_rs_sched!$D:$D,$A12,d_rs_sched!$K:$K,$A12,d_rs_sched!$I:$I,E$1))-(SUMIFS(d_rs_sched!$L:$L,d_rs_sched!$D:$D,$A12,d_rs_sched!$I:$I,$A12,d_rs_sched!$K:$K,E$1)+SUMIFS(d_rs_sched!$J:$J,d_rs_sched!$D:$D,$A12,d_rs_sched!$K:$K,$A12,d_rs_sched!$I:$I,E$1)),0)/IFERROR(IF((COUNTIFS(d_rs_sched!$D:$D,$A12,d_rs_sched!$I:$I,$A12,d_rs_sched!$K:$K,E$1)+COUNTIFS(d_rs_sched!$D:$D,$A12,d_rs_sched!$I:$I,E$1,d_rs_sched!$K:$K,$A12))&gt;0,(COUNTIFS(d_rs_sched!$D:$D,$A12,d_rs_sched!$I:$I,$A12,d_rs_sched!$K:$K,E$1)+COUNTIFS(d_rs_sched!$D:$D,$A12,d_rs_sched!$I:$I,E$1,d_rs_sched!$K:$K,$A12)),1),1)</f>
        <v>14.5</v>
      </c>
      <c r="F12">
        <f>IFERROR((SUMIFS(d_rs_sched!$J:$J,d_rs_sched!$D:$D,$A12,d_rs_sched!$I:$I,$A12,d_rs_sched!$K:$K,F$1)+SUMIFS(d_rs_sched!$L:$L,d_rs_sched!$D:$D,$A12,d_rs_sched!$K:$K,$A12,d_rs_sched!$I:$I,F$1))-(SUMIFS(d_rs_sched!$L:$L,d_rs_sched!$D:$D,$A12,d_rs_sched!$I:$I,$A12,d_rs_sched!$K:$K,F$1)+SUMIFS(d_rs_sched!$J:$J,d_rs_sched!$D:$D,$A12,d_rs_sched!$K:$K,$A12,d_rs_sched!$I:$I,F$1)),0)/IFERROR(IF((COUNTIFS(d_rs_sched!$D:$D,$A12,d_rs_sched!$I:$I,$A12,d_rs_sched!$K:$K,F$1)+COUNTIFS(d_rs_sched!$D:$D,$A12,d_rs_sched!$I:$I,F$1,d_rs_sched!$K:$K,$A12))&gt;0,(COUNTIFS(d_rs_sched!$D:$D,$A12,d_rs_sched!$I:$I,$A12,d_rs_sched!$K:$K,F$1)+COUNTIFS(d_rs_sched!$D:$D,$A12,d_rs_sched!$I:$I,F$1,d_rs_sched!$K:$K,$A12)),1),1)</f>
        <v>1</v>
      </c>
      <c r="G12">
        <f>IFERROR((SUMIFS(d_rs_sched!$J:$J,d_rs_sched!$D:$D,$A12,d_rs_sched!$I:$I,$A12,d_rs_sched!$K:$K,G$1)+SUMIFS(d_rs_sched!$L:$L,d_rs_sched!$D:$D,$A12,d_rs_sched!$K:$K,$A12,d_rs_sched!$I:$I,G$1))-(SUMIFS(d_rs_sched!$L:$L,d_rs_sched!$D:$D,$A12,d_rs_sched!$I:$I,$A12,d_rs_sched!$K:$K,G$1)+SUMIFS(d_rs_sched!$J:$J,d_rs_sched!$D:$D,$A12,d_rs_sched!$K:$K,$A12,d_rs_sched!$I:$I,G$1)),0)/IFERROR(IF((COUNTIFS(d_rs_sched!$D:$D,$A12,d_rs_sched!$I:$I,$A12,d_rs_sched!$K:$K,G$1)+COUNTIFS(d_rs_sched!$D:$D,$A12,d_rs_sched!$I:$I,G$1,d_rs_sched!$K:$K,$A12))&gt;0,(COUNTIFS(d_rs_sched!$D:$D,$A12,d_rs_sched!$I:$I,$A12,d_rs_sched!$K:$K,G$1)+COUNTIFS(d_rs_sched!$D:$D,$A12,d_rs_sched!$I:$I,G$1,d_rs_sched!$K:$K,$A12)),1),1)</f>
        <v>7</v>
      </c>
      <c r="H12">
        <f>IFERROR((SUMIFS(d_rs_sched!$J:$J,d_rs_sched!$D:$D,$A12,d_rs_sched!$I:$I,$A12,d_rs_sched!$K:$K,H$1)+SUMIFS(d_rs_sched!$L:$L,d_rs_sched!$D:$D,$A12,d_rs_sched!$K:$K,$A12,d_rs_sched!$I:$I,H$1))-(SUMIFS(d_rs_sched!$L:$L,d_rs_sched!$D:$D,$A12,d_rs_sched!$I:$I,$A12,d_rs_sched!$K:$K,H$1)+SUMIFS(d_rs_sched!$J:$J,d_rs_sched!$D:$D,$A12,d_rs_sched!$K:$K,$A12,d_rs_sched!$I:$I,H$1)),0)/IFERROR(IF((COUNTIFS(d_rs_sched!$D:$D,$A12,d_rs_sched!$I:$I,$A12,d_rs_sched!$K:$K,H$1)+COUNTIFS(d_rs_sched!$D:$D,$A12,d_rs_sched!$I:$I,H$1,d_rs_sched!$K:$K,$A12))&gt;0,(COUNTIFS(d_rs_sched!$D:$D,$A12,d_rs_sched!$I:$I,$A12,d_rs_sched!$K:$K,H$1)+COUNTIFS(d_rs_sched!$D:$D,$A12,d_rs_sched!$I:$I,H$1,d_rs_sched!$K:$K,$A12)),1),1)</f>
        <v>1</v>
      </c>
      <c r="I12">
        <f>IFERROR((SUMIFS(d_rs_sched!$J:$J,d_rs_sched!$D:$D,$A12,d_rs_sched!$I:$I,$A12,d_rs_sched!$K:$K,I$1)+SUMIFS(d_rs_sched!$L:$L,d_rs_sched!$D:$D,$A12,d_rs_sched!$K:$K,$A12,d_rs_sched!$I:$I,I$1))-(SUMIFS(d_rs_sched!$L:$L,d_rs_sched!$D:$D,$A12,d_rs_sched!$I:$I,$A12,d_rs_sched!$K:$K,I$1)+SUMIFS(d_rs_sched!$J:$J,d_rs_sched!$D:$D,$A12,d_rs_sched!$K:$K,$A12,d_rs_sched!$I:$I,I$1)),0)/IFERROR(IF((COUNTIFS(d_rs_sched!$D:$D,$A12,d_rs_sched!$I:$I,$A12,d_rs_sched!$K:$K,I$1)+COUNTIFS(d_rs_sched!$D:$D,$A12,d_rs_sched!$I:$I,I$1,d_rs_sched!$K:$K,$A12))&gt;0,(COUNTIFS(d_rs_sched!$D:$D,$A12,d_rs_sched!$I:$I,$A12,d_rs_sched!$K:$K,I$1)+COUNTIFS(d_rs_sched!$D:$D,$A12,d_rs_sched!$I:$I,I$1,d_rs_sched!$K:$K,$A12)),1),1)</f>
        <v>10</v>
      </c>
      <c r="J12">
        <f>IFERROR((SUMIFS(d_rs_sched!$J:$J,d_rs_sched!$D:$D,$A12,d_rs_sched!$I:$I,$A12,d_rs_sched!$K:$K,J$1)+SUMIFS(d_rs_sched!$L:$L,d_rs_sched!$D:$D,$A12,d_rs_sched!$K:$K,$A12,d_rs_sched!$I:$I,J$1))-(SUMIFS(d_rs_sched!$L:$L,d_rs_sched!$D:$D,$A12,d_rs_sched!$I:$I,$A12,d_rs_sched!$K:$K,J$1)+SUMIFS(d_rs_sched!$J:$J,d_rs_sched!$D:$D,$A12,d_rs_sched!$K:$K,$A12,d_rs_sched!$I:$I,J$1)),0)/IFERROR(IF((COUNTIFS(d_rs_sched!$D:$D,$A12,d_rs_sched!$I:$I,$A12,d_rs_sched!$K:$K,J$1)+COUNTIFS(d_rs_sched!$D:$D,$A12,d_rs_sched!$I:$I,J$1,d_rs_sched!$K:$K,$A12))&gt;0,(COUNTIFS(d_rs_sched!$D:$D,$A12,d_rs_sched!$I:$I,$A12,d_rs_sched!$K:$K,J$1)+COUNTIFS(d_rs_sched!$D:$D,$A12,d_rs_sched!$I:$I,J$1,d_rs_sched!$K:$K,$A12)),1),1)</f>
        <v>-1.5</v>
      </c>
      <c r="K12">
        <f>IFERROR((SUMIFS(d_rs_sched!$J:$J,d_rs_sched!$D:$D,$A12,d_rs_sched!$I:$I,$A12,d_rs_sched!$K:$K,K$1)+SUMIFS(d_rs_sched!$L:$L,d_rs_sched!$D:$D,$A12,d_rs_sched!$K:$K,$A12,d_rs_sched!$I:$I,K$1))-(SUMIFS(d_rs_sched!$L:$L,d_rs_sched!$D:$D,$A12,d_rs_sched!$I:$I,$A12,d_rs_sched!$K:$K,K$1)+SUMIFS(d_rs_sched!$J:$J,d_rs_sched!$D:$D,$A12,d_rs_sched!$K:$K,$A12,d_rs_sched!$I:$I,K$1)),0)/IFERROR(IF((COUNTIFS(d_rs_sched!$D:$D,$A12,d_rs_sched!$I:$I,$A12,d_rs_sched!$K:$K,K$1)+COUNTIFS(d_rs_sched!$D:$D,$A12,d_rs_sched!$I:$I,K$1,d_rs_sched!$K:$K,$A12))&gt;0,(COUNTIFS(d_rs_sched!$D:$D,$A12,d_rs_sched!$I:$I,$A12,d_rs_sched!$K:$K,K$1)+COUNTIFS(d_rs_sched!$D:$D,$A12,d_rs_sched!$I:$I,K$1,d_rs_sched!$K:$K,$A12)),1),1)</f>
        <v>-15.25</v>
      </c>
      <c r="L12">
        <f>IFERROR((SUMIFS(d_rs_sched!$J:$J,d_rs_sched!$D:$D,$A12,d_rs_sched!$I:$I,$A12,d_rs_sched!$K:$K,L$1)+SUMIFS(d_rs_sched!$L:$L,d_rs_sched!$D:$D,$A12,d_rs_sched!$K:$K,$A12,d_rs_sched!$I:$I,L$1))-(SUMIFS(d_rs_sched!$L:$L,d_rs_sched!$D:$D,$A12,d_rs_sched!$I:$I,$A12,d_rs_sched!$K:$K,L$1)+SUMIFS(d_rs_sched!$J:$J,d_rs_sched!$D:$D,$A12,d_rs_sched!$K:$K,$A12,d_rs_sched!$I:$I,L$1)),0)/IFERROR(IF((COUNTIFS(d_rs_sched!$D:$D,$A12,d_rs_sched!$I:$I,$A12,d_rs_sched!$K:$K,L$1)+COUNTIFS(d_rs_sched!$D:$D,$A12,d_rs_sched!$I:$I,L$1,d_rs_sched!$K:$K,$A12))&gt;0,(COUNTIFS(d_rs_sched!$D:$D,$A12,d_rs_sched!$I:$I,$A12,d_rs_sched!$K:$K,L$1)+COUNTIFS(d_rs_sched!$D:$D,$A12,d_rs_sched!$I:$I,L$1,d_rs_sched!$K:$K,$A12)),1),1)</f>
        <v>0</v>
      </c>
      <c r="M12">
        <f>IFERROR((SUMIFS(d_rs_sched!$J:$J,d_rs_sched!$D:$D,$A12,d_rs_sched!$I:$I,$A12,d_rs_sched!$K:$K,M$1)+SUMIFS(d_rs_sched!$L:$L,d_rs_sched!$D:$D,$A12,d_rs_sched!$K:$K,$A12,d_rs_sched!$I:$I,M$1))-(SUMIFS(d_rs_sched!$L:$L,d_rs_sched!$D:$D,$A12,d_rs_sched!$I:$I,$A12,d_rs_sched!$K:$K,M$1)+SUMIFS(d_rs_sched!$J:$J,d_rs_sched!$D:$D,$A12,d_rs_sched!$K:$K,$A12,d_rs_sched!$I:$I,M$1)),0)/IFERROR(IF((COUNTIFS(d_rs_sched!$D:$D,$A12,d_rs_sched!$I:$I,$A12,d_rs_sched!$K:$K,M$1)+COUNTIFS(d_rs_sched!$D:$D,$A12,d_rs_sched!$I:$I,M$1,d_rs_sched!$K:$K,$A12))&gt;0,(COUNTIFS(d_rs_sched!$D:$D,$A12,d_rs_sched!$I:$I,$A12,d_rs_sched!$K:$K,M$1)+COUNTIFS(d_rs_sched!$D:$D,$A12,d_rs_sched!$I:$I,M$1,d_rs_sched!$K:$K,$A12)),1),1)</f>
        <v>11</v>
      </c>
      <c r="N12">
        <f>IFERROR((SUMIFS(d_rs_sched!$J:$J,d_rs_sched!$D:$D,$A12,d_rs_sched!$I:$I,$A12,d_rs_sched!$K:$K,N$1)+SUMIFS(d_rs_sched!$L:$L,d_rs_sched!$D:$D,$A12,d_rs_sched!$K:$K,$A12,d_rs_sched!$I:$I,N$1))-(SUMIFS(d_rs_sched!$L:$L,d_rs_sched!$D:$D,$A12,d_rs_sched!$I:$I,$A12,d_rs_sched!$K:$K,N$1)+SUMIFS(d_rs_sched!$J:$J,d_rs_sched!$D:$D,$A12,d_rs_sched!$K:$K,$A12,d_rs_sched!$I:$I,N$1)),0)/IFERROR(IF((COUNTIFS(d_rs_sched!$D:$D,$A12,d_rs_sched!$I:$I,$A12,d_rs_sched!$K:$K,N$1)+COUNTIFS(d_rs_sched!$D:$D,$A12,d_rs_sched!$I:$I,N$1,d_rs_sched!$K:$K,$A12))&gt;0,(COUNTIFS(d_rs_sched!$D:$D,$A12,d_rs_sched!$I:$I,$A12,d_rs_sched!$K:$K,N$1)+COUNTIFS(d_rs_sched!$D:$D,$A12,d_rs_sched!$I:$I,N$1,d_rs_sched!$K:$K,$A12)),1),1)</f>
        <v>-6.25</v>
      </c>
      <c r="O12">
        <f>IFERROR((SUMIFS(d_rs_sched!$J:$J,d_rs_sched!$D:$D,$A12,d_rs_sched!$I:$I,$A12,d_rs_sched!$K:$K,O$1)+SUMIFS(d_rs_sched!$L:$L,d_rs_sched!$D:$D,$A12,d_rs_sched!$K:$K,$A12,d_rs_sched!$I:$I,O$1))-(SUMIFS(d_rs_sched!$L:$L,d_rs_sched!$D:$D,$A12,d_rs_sched!$I:$I,$A12,d_rs_sched!$K:$K,O$1)+SUMIFS(d_rs_sched!$J:$J,d_rs_sched!$D:$D,$A12,d_rs_sched!$K:$K,$A12,d_rs_sched!$I:$I,O$1)),0)/IFERROR(IF((COUNTIFS(d_rs_sched!$D:$D,$A12,d_rs_sched!$I:$I,$A12,d_rs_sched!$K:$K,O$1)+COUNTIFS(d_rs_sched!$D:$D,$A12,d_rs_sched!$I:$I,O$1,d_rs_sched!$K:$K,$A12))&gt;0,(COUNTIFS(d_rs_sched!$D:$D,$A12,d_rs_sched!$I:$I,$A12,d_rs_sched!$K:$K,O$1)+COUNTIFS(d_rs_sched!$D:$D,$A12,d_rs_sched!$I:$I,O$1,d_rs_sched!$K:$K,$A12)),1),1)</f>
        <v>8</v>
      </c>
      <c r="P12">
        <f>IFERROR((SUMIFS(d_rs_sched!$J:$J,d_rs_sched!$D:$D,$A12,d_rs_sched!$I:$I,$A12,d_rs_sched!$K:$K,P$1)+SUMIFS(d_rs_sched!$L:$L,d_rs_sched!$D:$D,$A12,d_rs_sched!$K:$K,$A12,d_rs_sched!$I:$I,P$1))-(SUMIFS(d_rs_sched!$L:$L,d_rs_sched!$D:$D,$A12,d_rs_sched!$I:$I,$A12,d_rs_sched!$K:$K,P$1)+SUMIFS(d_rs_sched!$J:$J,d_rs_sched!$D:$D,$A12,d_rs_sched!$K:$K,$A12,d_rs_sched!$I:$I,P$1)),0)/IFERROR(IF((COUNTIFS(d_rs_sched!$D:$D,$A12,d_rs_sched!$I:$I,$A12,d_rs_sched!$K:$K,P$1)+COUNTIFS(d_rs_sched!$D:$D,$A12,d_rs_sched!$I:$I,P$1,d_rs_sched!$K:$K,$A12))&gt;0,(COUNTIFS(d_rs_sched!$D:$D,$A12,d_rs_sched!$I:$I,$A12,d_rs_sched!$K:$K,P$1)+COUNTIFS(d_rs_sched!$D:$D,$A12,d_rs_sched!$I:$I,P$1,d_rs_sched!$K:$K,$A12)),1),1)</f>
        <v>-3.25</v>
      </c>
      <c r="Q12">
        <f>IFERROR((SUMIFS(d_rs_sched!$J:$J,d_rs_sched!$D:$D,$A12,d_rs_sched!$I:$I,$A12,d_rs_sched!$K:$K,Q$1)+SUMIFS(d_rs_sched!$L:$L,d_rs_sched!$D:$D,$A12,d_rs_sched!$K:$K,$A12,d_rs_sched!$I:$I,Q$1))-(SUMIFS(d_rs_sched!$L:$L,d_rs_sched!$D:$D,$A12,d_rs_sched!$I:$I,$A12,d_rs_sched!$K:$K,Q$1)+SUMIFS(d_rs_sched!$J:$J,d_rs_sched!$D:$D,$A12,d_rs_sched!$K:$K,$A12,d_rs_sched!$I:$I,Q$1)),0)/IFERROR(IF((COUNTIFS(d_rs_sched!$D:$D,$A12,d_rs_sched!$I:$I,$A12,d_rs_sched!$K:$K,Q$1)+COUNTIFS(d_rs_sched!$D:$D,$A12,d_rs_sched!$I:$I,Q$1,d_rs_sched!$K:$K,$A12))&gt;0,(COUNTIFS(d_rs_sched!$D:$D,$A12,d_rs_sched!$I:$I,$A12,d_rs_sched!$K:$K,Q$1)+COUNTIFS(d_rs_sched!$D:$D,$A12,d_rs_sched!$I:$I,Q$1,d_rs_sched!$K:$K,$A12)),1),1)</f>
        <v>26.5</v>
      </c>
      <c r="R12">
        <f>IFERROR((SUMIFS(d_rs_sched!$J:$J,d_rs_sched!$D:$D,$A12,d_rs_sched!$I:$I,$A12,d_rs_sched!$K:$K,R$1)+SUMIFS(d_rs_sched!$L:$L,d_rs_sched!$D:$D,$A12,d_rs_sched!$K:$K,$A12,d_rs_sched!$I:$I,R$1))-(SUMIFS(d_rs_sched!$L:$L,d_rs_sched!$D:$D,$A12,d_rs_sched!$I:$I,$A12,d_rs_sched!$K:$K,R$1)+SUMIFS(d_rs_sched!$J:$J,d_rs_sched!$D:$D,$A12,d_rs_sched!$K:$K,$A12,d_rs_sched!$I:$I,R$1)),0)/IFERROR(IF((COUNTIFS(d_rs_sched!$D:$D,$A12,d_rs_sched!$I:$I,$A12,d_rs_sched!$K:$K,R$1)+COUNTIFS(d_rs_sched!$D:$D,$A12,d_rs_sched!$I:$I,R$1,d_rs_sched!$K:$K,$A12))&gt;0,(COUNTIFS(d_rs_sched!$D:$D,$A12,d_rs_sched!$I:$I,$A12,d_rs_sched!$K:$K,R$1)+COUNTIFS(d_rs_sched!$D:$D,$A12,d_rs_sched!$I:$I,R$1,d_rs_sched!$K:$K,$A12)),1),1)</f>
        <v>10</v>
      </c>
      <c r="S12">
        <f>IFERROR((SUMIFS(d_rs_sched!$J:$J,d_rs_sched!$D:$D,$A12,d_rs_sched!$I:$I,$A12,d_rs_sched!$K:$K,S$1)+SUMIFS(d_rs_sched!$L:$L,d_rs_sched!$D:$D,$A12,d_rs_sched!$K:$K,$A12,d_rs_sched!$I:$I,S$1))-(SUMIFS(d_rs_sched!$L:$L,d_rs_sched!$D:$D,$A12,d_rs_sched!$I:$I,$A12,d_rs_sched!$K:$K,S$1)+SUMIFS(d_rs_sched!$J:$J,d_rs_sched!$D:$D,$A12,d_rs_sched!$K:$K,$A12,d_rs_sched!$I:$I,S$1)),0)/IFERROR(IF((COUNTIFS(d_rs_sched!$D:$D,$A12,d_rs_sched!$I:$I,$A12,d_rs_sched!$K:$K,S$1)+COUNTIFS(d_rs_sched!$D:$D,$A12,d_rs_sched!$I:$I,S$1,d_rs_sched!$K:$K,$A12))&gt;0,(COUNTIFS(d_rs_sched!$D:$D,$A12,d_rs_sched!$I:$I,$A12,d_rs_sched!$K:$K,S$1)+COUNTIFS(d_rs_sched!$D:$D,$A12,d_rs_sched!$I:$I,S$1,d_rs_sched!$K:$K,$A12)),1),1)</f>
        <v>8.75</v>
      </c>
      <c r="T12">
        <f>IFERROR((SUMIFS(d_rs_sched!$J:$J,d_rs_sched!$D:$D,$A12,d_rs_sched!$I:$I,$A12,d_rs_sched!$K:$K,T$1)+SUMIFS(d_rs_sched!$L:$L,d_rs_sched!$D:$D,$A12,d_rs_sched!$K:$K,$A12,d_rs_sched!$I:$I,T$1))-(SUMIFS(d_rs_sched!$L:$L,d_rs_sched!$D:$D,$A12,d_rs_sched!$I:$I,$A12,d_rs_sched!$K:$K,T$1)+SUMIFS(d_rs_sched!$J:$J,d_rs_sched!$D:$D,$A12,d_rs_sched!$K:$K,$A12,d_rs_sched!$I:$I,T$1)),0)/IFERROR(IF((COUNTIFS(d_rs_sched!$D:$D,$A12,d_rs_sched!$I:$I,$A12,d_rs_sched!$K:$K,T$1)+COUNTIFS(d_rs_sched!$D:$D,$A12,d_rs_sched!$I:$I,T$1,d_rs_sched!$K:$K,$A12))&gt;0,(COUNTIFS(d_rs_sched!$D:$D,$A12,d_rs_sched!$I:$I,$A12,d_rs_sched!$K:$K,T$1)+COUNTIFS(d_rs_sched!$D:$D,$A12,d_rs_sched!$I:$I,T$1,d_rs_sched!$K:$K,$A12)),1),1)</f>
        <v>-7</v>
      </c>
      <c r="U12">
        <f>IFERROR((SUMIFS(d_rs_sched!$J:$J,d_rs_sched!$D:$D,$A12,d_rs_sched!$I:$I,$A12,d_rs_sched!$K:$K,U$1)+SUMIFS(d_rs_sched!$L:$L,d_rs_sched!$D:$D,$A12,d_rs_sched!$K:$K,$A12,d_rs_sched!$I:$I,U$1))-(SUMIFS(d_rs_sched!$L:$L,d_rs_sched!$D:$D,$A12,d_rs_sched!$I:$I,$A12,d_rs_sched!$K:$K,U$1)+SUMIFS(d_rs_sched!$J:$J,d_rs_sched!$D:$D,$A12,d_rs_sched!$K:$K,$A12,d_rs_sched!$I:$I,U$1)),0)/IFERROR(IF((COUNTIFS(d_rs_sched!$D:$D,$A12,d_rs_sched!$I:$I,$A12,d_rs_sched!$K:$K,U$1)+COUNTIFS(d_rs_sched!$D:$D,$A12,d_rs_sched!$I:$I,U$1,d_rs_sched!$K:$K,$A12))&gt;0,(COUNTIFS(d_rs_sched!$D:$D,$A12,d_rs_sched!$I:$I,$A12,d_rs_sched!$K:$K,U$1)+COUNTIFS(d_rs_sched!$D:$D,$A12,d_rs_sched!$I:$I,U$1,d_rs_sched!$K:$K,$A12)),1),1)</f>
        <v>14.5</v>
      </c>
      <c r="V12">
        <f>IFERROR((SUMIFS(d_rs_sched!$J:$J,d_rs_sched!$D:$D,$A12,d_rs_sched!$I:$I,$A12,d_rs_sched!$K:$K,V$1)+SUMIFS(d_rs_sched!$L:$L,d_rs_sched!$D:$D,$A12,d_rs_sched!$K:$K,$A12,d_rs_sched!$I:$I,V$1))-(SUMIFS(d_rs_sched!$L:$L,d_rs_sched!$D:$D,$A12,d_rs_sched!$I:$I,$A12,d_rs_sched!$K:$K,V$1)+SUMIFS(d_rs_sched!$J:$J,d_rs_sched!$D:$D,$A12,d_rs_sched!$K:$K,$A12,d_rs_sched!$I:$I,V$1)),0)/IFERROR(IF((COUNTIFS(d_rs_sched!$D:$D,$A12,d_rs_sched!$I:$I,$A12,d_rs_sched!$K:$K,V$1)+COUNTIFS(d_rs_sched!$D:$D,$A12,d_rs_sched!$I:$I,V$1,d_rs_sched!$K:$K,$A12))&gt;0,(COUNTIFS(d_rs_sched!$D:$D,$A12,d_rs_sched!$I:$I,$A12,d_rs_sched!$K:$K,V$1)+COUNTIFS(d_rs_sched!$D:$D,$A12,d_rs_sched!$I:$I,V$1,d_rs_sched!$K:$K,$A12)),1),1)</f>
        <v>6</v>
      </c>
      <c r="W12">
        <f>IFERROR((SUMIFS(d_rs_sched!$J:$J,d_rs_sched!$D:$D,$A12,d_rs_sched!$I:$I,$A12,d_rs_sched!$K:$K,W$1)+SUMIFS(d_rs_sched!$L:$L,d_rs_sched!$D:$D,$A12,d_rs_sched!$K:$K,$A12,d_rs_sched!$I:$I,W$1))-(SUMIFS(d_rs_sched!$L:$L,d_rs_sched!$D:$D,$A12,d_rs_sched!$I:$I,$A12,d_rs_sched!$K:$K,W$1)+SUMIFS(d_rs_sched!$J:$J,d_rs_sched!$D:$D,$A12,d_rs_sched!$K:$K,$A12,d_rs_sched!$I:$I,W$1)),0)/IFERROR(IF((COUNTIFS(d_rs_sched!$D:$D,$A12,d_rs_sched!$I:$I,$A12,d_rs_sched!$K:$K,W$1)+COUNTIFS(d_rs_sched!$D:$D,$A12,d_rs_sched!$I:$I,W$1,d_rs_sched!$K:$K,$A12))&gt;0,(COUNTIFS(d_rs_sched!$D:$D,$A12,d_rs_sched!$I:$I,$A12,d_rs_sched!$K:$K,W$1)+COUNTIFS(d_rs_sched!$D:$D,$A12,d_rs_sched!$I:$I,W$1,d_rs_sched!$K:$K,$A12)),1),1)</f>
        <v>3</v>
      </c>
      <c r="X12">
        <f>IFERROR((SUMIFS(d_rs_sched!$J:$J,d_rs_sched!$D:$D,$A12,d_rs_sched!$I:$I,$A12,d_rs_sched!$K:$K,X$1)+SUMIFS(d_rs_sched!$L:$L,d_rs_sched!$D:$D,$A12,d_rs_sched!$K:$K,$A12,d_rs_sched!$I:$I,X$1))-(SUMIFS(d_rs_sched!$L:$L,d_rs_sched!$D:$D,$A12,d_rs_sched!$I:$I,$A12,d_rs_sched!$K:$K,X$1)+SUMIFS(d_rs_sched!$J:$J,d_rs_sched!$D:$D,$A12,d_rs_sched!$K:$K,$A12,d_rs_sched!$I:$I,X$1)),0)/IFERROR(IF((COUNTIFS(d_rs_sched!$D:$D,$A12,d_rs_sched!$I:$I,$A12,d_rs_sched!$K:$K,X$1)+COUNTIFS(d_rs_sched!$D:$D,$A12,d_rs_sched!$I:$I,X$1,d_rs_sched!$K:$K,$A12))&gt;0,(COUNTIFS(d_rs_sched!$D:$D,$A12,d_rs_sched!$I:$I,$A12,d_rs_sched!$K:$K,X$1)+COUNTIFS(d_rs_sched!$D:$D,$A12,d_rs_sched!$I:$I,X$1,d_rs_sched!$K:$K,$A12)),1),1)</f>
        <v>6</v>
      </c>
      <c r="Y12">
        <f>IFERROR((SUMIFS(d_rs_sched!$J:$J,d_rs_sched!$D:$D,$A12,d_rs_sched!$I:$I,$A12,d_rs_sched!$K:$K,Y$1)+SUMIFS(d_rs_sched!$L:$L,d_rs_sched!$D:$D,$A12,d_rs_sched!$K:$K,$A12,d_rs_sched!$I:$I,Y$1))-(SUMIFS(d_rs_sched!$L:$L,d_rs_sched!$D:$D,$A12,d_rs_sched!$I:$I,$A12,d_rs_sched!$K:$K,Y$1)+SUMIFS(d_rs_sched!$J:$J,d_rs_sched!$D:$D,$A12,d_rs_sched!$K:$K,$A12,d_rs_sched!$I:$I,Y$1)),0)/IFERROR(IF((COUNTIFS(d_rs_sched!$D:$D,$A12,d_rs_sched!$I:$I,$A12,d_rs_sched!$K:$K,Y$1)+COUNTIFS(d_rs_sched!$D:$D,$A12,d_rs_sched!$I:$I,Y$1,d_rs_sched!$K:$K,$A12))&gt;0,(COUNTIFS(d_rs_sched!$D:$D,$A12,d_rs_sched!$I:$I,$A12,d_rs_sched!$K:$K,Y$1)+COUNTIFS(d_rs_sched!$D:$D,$A12,d_rs_sched!$I:$I,Y$1,d_rs_sched!$K:$K,$A12)),1),1)</f>
        <v>0.25</v>
      </c>
      <c r="Z12">
        <f>IFERROR((SUMIFS(d_rs_sched!$J:$J,d_rs_sched!$D:$D,$A12,d_rs_sched!$I:$I,$A12,d_rs_sched!$K:$K,Z$1)+SUMIFS(d_rs_sched!$L:$L,d_rs_sched!$D:$D,$A12,d_rs_sched!$K:$K,$A12,d_rs_sched!$I:$I,Z$1))-(SUMIFS(d_rs_sched!$L:$L,d_rs_sched!$D:$D,$A12,d_rs_sched!$I:$I,$A12,d_rs_sched!$K:$K,Z$1)+SUMIFS(d_rs_sched!$J:$J,d_rs_sched!$D:$D,$A12,d_rs_sched!$K:$K,$A12,d_rs_sched!$I:$I,Z$1)),0)/IFERROR(IF((COUNTIFS(d_rs_sched!$D:$D,$A12,d_rs_sched!$I:$I,$A12,d_rs_sched!$K:$K,Z$1)+COUNTIFS(d_rs_sched!$D:$D,$A12,d_rs_sched!$I:$I,Z$1,d_rs_sched!$K:$K,$A12))&gt;0,(COUNTIFS(d_rs_sched!$D:$D,$A12,d_rs_sched!$I:$I,$A12,d_rs_sched!$K:$K,Z$1)+COUNTIFS(d_rs_sched!$D:$D,$A12,d_rs_sched!$I:$I,Z$1,d_rs_sched!$K:$K,$A12)),1),1)</f>
        <v>-0.33333333333333331</v>
      </c>
      <c r="AA12">
        <f>IFERROR((SUMIFS(d_rs_sched!$J:$J,d_rs_sched!$D:$D,$A12,d_rs_sched!$I:$I,$A12,d_rs_sched!$K:$K,AA$1)+SUMIFS(d_rs_sched!$L:$L,d_rs_sched!$D:$D,$A12,d_rs_sched!$K:$K,$A12,d_rs_sched!$I:$I,AA$1))-(SUMIFS(d_rs_sched!$L:$L,d_rs_sched!$D:$D,$A12,d_rs_sched!$I:$I,$A12,d_rs_sched!$K:$K,AA$1)+SUMIFS(d_rs_sched!$J:$J,d_rs_sched!$D:$D,$A12,d_rs_sched!$K:$K,$A12,d_rs_sched!$I:$I,AA$1)),0)/IFERROR(IF((COUNTIFS(d_rs_sched!$D:$D,$A12,d_rs_sched!$I:$I,$A12,d_rs_sched!$K:$K,AA$1)+COUNTIFS(d_rs_sched!$D:$D,$A12,d_rs_sched!$I:$I,AA$1,d_rs_sched!$K:$K,$A12))&gt;0,(COUNTIFS(d_rs_sched!$D:$D,$A12,d_rs_sched!$I:$I,$A12,d_rs_sched!$K:$K,AA$1)+COUNTIFS(d_rs_sched!$D:$D,$A12,d_rs_sched!$I:$I,AA$1,d_rs_sched!$K:$K,$A12)),1),1)</f>
        <v>0</v>
      </c>
      <c r="AB12">
        <f>IFERROR((SUMIFS(d_rs_sched!$J:$J,d_rs_sched!$D:$D,$A12,d_rs_sched!$I:$I,$A12,d_rs_sched!$K:$K,AB$1)+SUMIFS(d_rs_sched!$L:$L,d_rs_sched!$D:$D,$A12,d_rs_sched!$K:$K,$A12,d_rs_sched!$I:$I,AB$1))-(SUMIFS(d_rs_sched!$L:$L,d_rs_sched!$D:$D,$A12,d_rs_sched!$I:$I,$A12,d_rs_sched!$K:$K,AB$1)+SUMIFS(d_rs_sched!$J:$J,d_rs_sched!$D:$D,$A12,d_rs_sched!$K:$K,$A12,d_rs_sched!$I:$I,AB$1)),0)/IFERROR(IF((COUNTIFS(d_rs_sched!$D:$D,$A12,d_rs_sched!$I:$I,$A12,d_rs_sched!$K:$K,AB$1)+COUNTIFS(d_rs_sched!$D:$D,$A12,d_rs_sched!$I:$I,AB$1,d_rs_sched!$K:$K,$A12))&gt;0,(COUNTIFS(d_rs_sched!$D:$D,$A12,d_rs_sched!$I:$I,$A12,d_rs_sched!$K:$K,AB$1)+COUNTIFS(d_rs_sched!$D:$D,$A12,d_rs_sched!$I:$I,AB$1,d_rs_sched!$K:$K,$A12)),1),1)</f>
        <v>7</v>
      </c>
      <c r="AC12">
        <f>IFERROR((SUMIFS(d_rs_sched!$J:$J,d_rs_sched!$D:$D,$A12,d_rs_sched!$I:$I,$A12,d_rs_sched!$K:$K,AC$1)+SUMIFS(d_rs_sched!$L:$L,d_rs_sched!$D:$D,$A12,d_rs_sched!$K:$K,$A12,d_rs_sched!$I:$I,AC$1))-(SUMIFS(d_rs_sched!$L:$L,d_rs_sched!$D:$D,$A12,d_rs_sched!$I:$I,$A12,d_rs_sched!$K:$K,AC$1)+SUMIFS(d_rs_sched!$J:$J,d_rs_sched!$D:$D,$A12,d_rs_sched!$K:$K,$A12,d_rs_sched!$I:$I,AC$1)),0)/IFERROR(IF((COUNTIFS(d_rs_sched!$D:$D,$A12,d_rs_sched!$I:$I,$A12,d_rs_sched!$K:$K,AC$1)+COUNTIFS(d_rs_sched!$D:$D,$A12,d_rs_sched!$I:$I,AC$1,d_rs_sched!$K:$K,$A12))&gt;0,(COUNTIFS(d_rs_sched!$D:$D,$A12,d_rs_sched!$I:$I,$A12,d_rs_sched!$K:$K,AC$1)+COUNTIFS(d_rs_sched!$D:$D,$A12,d_rs_sched!$I:$I,AC$1,d_rs_sched!$K:$K,$A12)),1),1)</f>
        <v>9.5</v>
      </c>
      <c r="AD12">
        <f>IFERROR((SUMIFS(d_rs_sched!$J:$J,d_rs_sched!$D:$D,$A12,d_rs_sched!$I:$I,$A12,d_rs_sched!$K:$K,AD$1)+SUMIFS(d_rs_sched!$L:$L,d_rs_sched!$D:$D,$A12,d_rs_sched!$K:$K,$A12,d_rs_sched!$I:$I,AD$1))-(SUMIFS(d_rs_sched!$L:$L,d_rs_sched!$D:$D,$A12,d_rs_sched!$I:$I,$A12,d_rs_sched!$K:$K,AD$1)+SUMIFS(d_rs_sched!$J:$J,d_rs_sched!$D:$D,$A12,d_rs_sched!$K:$K,$A12,d_rs_sched!$I:$I,AD$1)),0)/IFERROR(IF((COUNTIFS(d_rs_sched!$D:$D,$A12,d_rs_sched!$I:$I,$A12,d_rs_sched!$K:$K,AD$1)+COUNTIFS(d_rs_sched!$D:$D,$A12,d_rs_sched!$I:$I,AD$1,d_rs_sched!$K:$K,$A12))&gt;0,(COUNTIFS(d_rs_sched!$D:$D,$A12,d_rs_sched!$I:$I,$A12,d_rs_sched!$K:$K,AD$1)+COUNTIFS(d_rs_sched!$D:$D,$A12,d_rs_sched!$I:$I,AD$1,d_rs_sched!$K:$K,$A12)),1),1)</f>
        <v>8.5</v>
      </c>
      <c r="AE12">
        <f>IFERROR((SUMIFS(d_rs_sched!$J:$J,d_rs_sched!$D:$D,$A12,d_rs_sched!$I:$I,$A12,d_rs_sched!$K:$K,AE$1)+SUMIFS(d_rs_sched!$L:$L,d_rs_sched!$D:$D,$A12,d_rs_sched!$K:$K,$A12,d_rs_sched!$I:$I,AE$1))-(SUMIFS(d_rs_sched!$L:$L,d_rs_sched!$D:$D,$A12,d_rs_sched!$I:$I,$A12,d_rs_sched!$K:$K,AE$1)+SUMIFS(d_rs_sched!$J:$J,d_rs_sched!$D:$D,$A12,d_rs_sched!$K:$K,$A12,d_rs_sched!$I:$I,AE$1)),0)/IFERROR(IF((COUNTIFS(d_rs_sched!$D:$D,$A12,d_rs_sched!$I:$I,$A12,d_rs_sched!$K:$K,AE$1)+COUNTIFS(d_rs_sched!$D:$D,$A12,d_rs_sched!$I:$I,AE$1,d_rs_sched!$K:$K,$A12))&gt;0,(COUNTIFS(d_rs_sched!$D:$D,$A12,d_rs_sched!$I:$I,$A12,d_rs_sched!$K:$K,AE$1)+COUNTIFS(d_rs_sched!$D:$D,$A12,d_rs_sched!$I:$I,AE$1,d_rs_sched!$K:$K,$A12)),1),1)</f>
        <v>3.5</v>
      </c>
      <c r="AG12" t="s">
        <v>16</v>
      </c>
      <c r="AH12">
        <v>0.97184769840264584</v>
      </c>
      <c r="AI12">
        <f t="shared" si="0"/>
        <v>16</v>
      </c>
    </row>
    <row r="13" spans="1:35" x14ac:dyDescent="0.25">
      <c r="A13" t="s">
        <v>20</v>
      </c>
      <c r="B13">
        <f>IFERROR((SUMIFS(d_rs_sched!$J:$J,d_rs_sched!$D:$D,$A13,d_rs_sched!$I:$I,$A13,d_rs_sched!$K:$K,B$1)+SUMIFS(d_rs_sched!$L:$L,d_rs_sched!$D:$D,$A13,d_rs_sched!$K:$K,$A13,d_rs_sched!$I:$I,B$1))-(SUMIFS(d_rs_sched!$L:$L,d_rs_sched!$D:$D,$A13,d_rs_sched!$I:$I,$A13,d_rs_sched!$K:$K,B$1)+SUMIFS(d_rs_sched!$J:$J,d_rs_sched!$D:$D,$A13,d_rs_sched!$K:$K,$A13,d_rs_sched!$I:$I,B$1)),0)/IFERROR(IF((COUNTIFS(d_rs_sched!$D:$D,$A13,d_rs_sched!$I:$I,$A13,d_rs_sched!$K:$K,B$1)+COUNTIFS(d_rs_sched!$D:$D,$A13,d_rs_sched!$I:$I,B$1,d_rs_sched!$K:$K,$A13))&gt;0,(COUNTIFS(d_rs_sched!$D:$D,$A13,d_rs_sched!$I:$I,$A13,d_rs_sched!$K:$K,B$1)+COUNTIFS(d_rs_sched!$D:$D,$A13,d_rs_sched!$I:$I,B$1,d_rs_sched!$K:$K,$A13)),1),1)</f>
        <v>-15</v>
      </c>
      <c r="C13">
        <f>IFERROR((SUMIFS(d_rs_sched!$J:$J,d_rs_sched!$D:$D,$A13,d_rs_sched!$I:$I,$A13,d_rs_sched!$K:$K,C$1)+SUMIFS(d_rs_sched!$L:$L,d_rs_sched!$D:$D,$A13,d_rs_sched!$K:$K,$A13,d_rs_sched!$I:$I,C$1))-(SUMIFS(d_rs_sched!$L:$L,d_rs_sched!$D:$D,$A13,d_rs_sched!$I:$I,$A13,d_rs_sched!$K:$K,C$1)+SUMIFS(d_rs_sched!$J:$J,d_rs_sched!$D:$D,$A13,d_rs_sched!$K:$K,$A13,d_rs_sched!$I:$I,C$1)),0)/IFERROR(IF((COUNTIFS(d_rs_sched!$D:$D,$A13,d_rs_sched!$I:$I,$A13,d_rs_sched!$K:$K,C$1)+COUNTIFS(d_rs_sched!$D:$D,$A13,d_rs_sched!$I:$I,C$1,d_rs_sched!$K:$K,$A13))&gt;0,(COUNTIFS(d_rs_sched!$D:$D,$A13,d_rs_sched!$I:$I,$A13,d_rs_sched!$K:$K,C$1)+COUNTIFS(d_rs_sched!$D:$D,$A13,d_rs_sched!$I:$I,C$1,d_rs_sched!$K:$K,$A13)),1),1)</f>
        <v>2.6666666666666665</v>
      </c>
      <c r="D13">
        <f>IFERROR((SUMIFS(d_rs_sched!$J:$J,d_rs_sched!$D:$D,$A13,d_rs_sched!$I:$I,$A13,d_rs_sched!$K:$K,D$1)+SUMIFS(d_rs_sched!$L:$L,d_rs_sched!$D:$D,$A13,d_rs_sched!$K:$K,$A13,d_rs_sched!$I:$I,D$1))-(SUMIFS(d_rs_sched!$L:$L,d_rs_sched!$D:$D,$A13,d_rs_sched!$I:$I,$A13,d_rs_sched!$K:$K,D$1)+SUMIFS(d_rs_sched!$J:$J,d_rs_sched!$D:$D,$A13,d_rs_sched!$K:$K,$A13,d_rs_sched!$I:$I,D$1)),0)/IFERROR(IF((COUNTIFS(d_rs_sched!$D:$D,$A13,d_rs_sched!$I:$I,$A13,d_rs_sched!$K:$K,D$1)+COUNTIFS(d_rs_sched!$D:$D,$A13,d_rs_sched!$I:$I,D$1,d_rs_sched!$K:$K,$A13))&gt;0,(COUNTIFS(d_rs_sched!$D:$D,$A13,d_rs_sched!$I:$I,$A13,d_rs_sched!$K:$K,D$1)+COUNTIFS(d_rs_sched!$D:$D,$A13,d_rs_sched!$I:$I,D$1,d_rs_sched!$K:$K,$A13)),1),1)</f>
        <v>-4</v>
      </c>
      <c r="E13">
        <f>IFERROR((SUMIFS(d_rs_sched!$J:$J,d_rs_sched!$D:$D,$A13,d_rs_sched!$I:$I,$A13,d_rs_sched!$K:$K,E$1)+SUMIFS(d_rs_sched!$L:$L,d_rs_sched!$D:$D,$A13,d_rs_sched!$K:$K,$A13,d_rs_sched!$I:$I,E$1))-(SUMIFS(d_rs_sched!$L:$L,d_rs_sched!$D:$D,$A13,d_rs_sched!$I:$I,$A13,d_rs_sched!$K:$K,E$1)+SUMIFS(d_rs_sched!$J:$J,d_rs_sched!$D:$D,$A13,d_rs_sched!$K:$K,$A13,d_rs_sched!$I:$I,E$1)),0)/IFERROR(IF((COUNTIFS(d_rs_sched!$D:$D,$A13,d_rs_sched!$I:$I,$A13,d_rs_sched!$K:$K,E$1)+COUNTIFS(d_rs_sched!$D:$D,$A13,d_rs_sched!$I:$I,E$1,d_rs_sched!$K:$K,$A13))&gt;0,(COUNTIFS(d_rs_sched!$D:$D,$A13,d_rs_sched!$I:$I,$A13,d_rs_sched!$K:$K,E$1)+COUNTIFS(d_rs_sched!$D:$D,$A13,d_rs_sched!$I:$I,E$1,d_rs_sched!$K:$K,$A13)),1),1)</f>
        <v>3.25</v>
      </c>
      <c r="F13">
        <f>IFERROR((SUMIFS(d_rs_sched!$J:$J,d_rs_sched!$D:$D,$A13,d_rs_sched!$I:$I,$A13,d_rs_sched!$K:$K,F$1)+SUMIFS(d_rs_sched!$L:$L,d_rs_sched!$D:$D,$A13,d_rs_sched!$K:$K,$A13,d_rs_sched!$I:$I,F$1))-(SUMIFS(d_rs_sched!$L:$L,d_rs_sched!$D:$D,$A13,d_rs_sched!$I:$I,$A13,d_rs_sched!$K:$K,F$1)+SUMIFS(d_rs_sched!$J:$J,d_rs_sched!$D:$D,$A13,d_rs_sched!$K:$K,$A13,d_rs_sched!$I:$I,F$1)),0)/IFERROR(IF((COUNTIFS(d_rs_sched!$D:$D,$A13,d_rs_sched!$I:$I,$A13,d_rs_sched!$K:$K,F$1)+COUNTIFS(d_rs_sched!$D:$D,$A13,d_rs_sched!$I:$I,F$1,d_rs_sched!$K:$K,$A13))&gt;0,(COUNTIFS(d_rs_sched!$D:$D,$A13,d_rs_sched!$I:$I,$A13,d_rs_sched!$K:$K,F$1)+COUNTIFS(d_rs_sched!$D:$D,$A13,d_rs_sched!$I:$I,F$1,d_rs_sched!$K:$K,$A13)),1),1)</f>
        <v>1</v>
      </c>
      <c r="G13">
        <f>IFERROR((SUMIFS(d_rs_sched!$J:$J,d_rs_sched!$D:$D,$A13,d_rs_sched!$I:$I,$A13,d_rs_sched!$K:$K,G$1)+SUMIFS(d_rs_sched!$L:$L,d_rs_sched!$D:$D,$A13,d_rs_sched!$K:$K,$A13,d_rs_sched!$I:$I,G$1))-(SUMIFS(d_rs_sched!$L:$L,d_rs_sched!$D:$D,$A13,d_rs_sched!$I:$I,$A13,d_rs_sched!$K:$K,G$1)+SUMIFS(d_rs_sched!$J:$J,d_rs_sched!$D:$D,$A13,d_rs_sched!$K:$K,$A13,d_rs_sched!$I:$I,G$1)),0)/IFERROR(IF((COUNTIFS(d_rs_sched!$D:$D,$A13,d_rs_sched!$I:$I,$A13,d_rs_sched!$K:$K,G$1)+COUNTIFS(d_rs_sched!$D:$D,$A13,d_rs_sched!$I:$I,G$1,d_rs_sched!$K:$K,$A13))&gt;0,(COUNTIFS(d_rs_sched!$D:$D,$A13,d_rs_sched!$I:$I,$A13,d_rs_sched!$K:$K,G$1)+COUNTIFS(d_rs_sched!$D:$D,$A13,d_rs_sched!$I:$I,G$1,d_rs_sched!$K:$K,$A13)),1),1)</f>
        <v>-1</v>
      </c>
      <c r="H13">
        <f>IFERROR((SUMIFS(d_rs_sched!$J:$J,d_rs_sched!$D:$D,$A13,d_rs_sched!$I:$I,$A13,d_rs_sched!$K:$K,H$1)+SUMIFS(d_rs_sched!$L:$L,d_rs_sched!$D:$D,$A13,d_rs_sched!$K:$K,$A13,d_rs_sched!$I:$I,H$1))-(SUMIFS(d_rs_sched!$L:$L,d_rs_sched!$D:$D,$A13,d_rs_sched!$I:$I,$A13,d_rs_sched!$K:$K,H$1)+SUMIFS(d_rs_sched!$J:$J,d_rs_sched!$D:$D,$A13,d_rs_sched!$K:$K,$A13,d_rs_sched!$I:$I,H$1)),0)/IFERROR(IF((COUNTIFS(d_rs_sched!$D:$D,$A13,d_rs_sched!$I:$I,$A13,d_rs_sched!$K:$K,H$1)+COUNTIFS(d_rs_sched!$D:$D,$A13,d_rs_sched!$I:$I,H$1,d_rs_sched!$K:$K,$A13))&gt;0,(COUNTIFS(d_rs_sched!$D:$D,$A13,d_rs_sched!$I:$I,$A13,d_rs_sched!$K:$K,H$1)+COUNTIFS(d_rs_sched!$D:$D,$A13,d_rs_sched!$I:$I,H$1,d_rs_sched!$K:$K,$A13)),1),1)</f>
        <v>8</v>
      </c>
      <c r="I13">
        <f>IFERROR((SUMIFS(d_rs_sched!$J:$J,d_rs_sched!$D:$D,$A13,d_rs_sched!$I:$I,$A13,d_rs_sched!$K:$K,I$1)+SUMIFS(d_rs_sched!$L:$L,d_rs_sched!$D:$D,$A13,d_rs_sched!$K:$K,$A13,d_rs_sched!$I:$I,I$1))-(SUMIFS(d_rs_sched!$L:$L,d_rs_sched!$D:$D,$A13,d_rs_sched!$I:$I,$A13,d_rs_sched!$K:$K,I$1)+SUMIFS(d_rs_sched!$J:$J,d_rs_sched!$D:$D,$A13,d_rs_sched!$K:$K,$A13,d_rs_sched!$I:$I,I$1)),0)/IFERROR(IF((COUNTIFS(d_rs_sched!$D:$D,$A13,d_rs_sched!$I:$I,$A13,d_rs_sched!$K:$K,I$1)+COUNTIFS(d_rs_sched!$D:$D,$A13,d_rs_sched!$I:$I,I$1,d_rs_sched!$K:$K,$A13))&gt;0,(COUNTIFS(d_rs_sched!$D:$D,$A13,d_rs_sched!$I:$I,$A13,d_rs_sched!$K:$K,I$1)+COUNTIFS(d_rs_sched!$D:$D,$A13,d_rs_sched!$I:$I,I$1,d_rs_sched!$K:$K,$A13)),1),1)</f>
        <v>-12</v>
      </c>
      <c r="J13">
        <f>IFERROR((SUMIFS(d_rs_sched!$J:$J,d_rs_sched!$D:$D,$A13,d_rs_sched!$I:$I,$A13,d_rs_sched!$K:$K,J$1)+SUMIFS(d_rs_sched!$L:$L,d_rs_sched!$D:$D,$A13,d_rs_sched!$K:$K,$A13,d_rs_sched!$I:$I,J$1))-(SUMIFS(d_rs_sched!$L:$L,d_rs_sched!$D:$D,$A13,d_rs_sched!$I:$I,$A13,d_rs_sched!$K:$K,J$1)+SUMIFS(d_rs_sched!$J:$J,d_rs_sched!$D:$D,$A13,d_rs_sched!$K:$K,$A13,d_rs_sched!$I:$I,J$1)),0)/IFERROR(IF((COUNTIFS(d_rs_sched!$D:$D,$A13,d_rs_sched!$I:$I,$A13,d_rs_sched!$K:$K,J$1)+COUNTIFS(d_rs_sched!$D:$D,$A13,d_rs_sched!$I:$I,J$1,d_rs_sched!$K:$K,$A13))&gt;0,(COUNTIFS(d_rs_sched!$D:$D,$A13,d_rs_sched!$I:$I,$A13,d_rs_sched!$K:$K,J$1)+COUNTIFS(d_rs_sched!$D:$D,$A13,d_rs_sched!$I:$I,J$1,d_rs_sched!$K:$K,$A13)),1),1)</f>
        <v>-0.75</v>
      </c>
      <c r="K13">
        <f>IFERROR((SUMIFS(d_rs_sched!$J:$J,d_rs_sched!$D:$D,$A13,d_rs_sched!$I:$I,$A13,d_rs_sched!$K:$K,K$1)+SUMIFS(d_rs_sched!$L:$L,d_rs_sched!$D:$D,$A13,d_rs_sched!$K:$K,$A13,d_rs_sched!$I:$I,K$1))-(SUMIFS(d_rs_sched!$L:$L,d_rs_sched!$D:$D,$A13,d_rs_sched!$I:$I,$A13,d_rs_sched!$K:$K,K$1)+SUMIFS(d_rs_sched!$J:$J,d_rs_sched!$D:$D,$A13,d_rs_sched!$K:$K,$A13,d_rs_sched!$I:$I,K$1)),0)/IFERROR(IF((COUNTIFS(d_rs_sched!$D:$D,$A13,d_rs_sched!$I:$I,$A13,d_rs_sched!$K:$K,K$1)+COUNTIFS(d_rs_sched!$D:$D,$A13,d_rs_sched!$I:$I,K$1,d_rs_sched!$K:$K,$A13))&gt;0,(COUNTIFS(d_rs_sched!$D:$D,$A13,d_rs_sched!$I:$I,$A13,d_rs_sched!$K:$K,K$1)+COUNTIFS(d_rs_sched!$D:$D,$A13,d_rs_sched!$I:$I,K$1,d_rs_sched!$K:$K,$A13)),1),1)</f>
        <v>-4.5</v>
      </c>
      <c r="L13">
        <f>IFERROR((SUMIFS(d_rs_sched!$J:$J,d_rs_sched!$D:$D,$A13,d_rs_sched!$I:$I,$A13,d_rs_sched!$K:$K,L$1)+SUMIFS(d_rs_sched!$L:$L,d_rs_sched!$D:$D,$A13,d_rs_sched!$K:$K,$A13,d_rs_sched!$I:$I,L$1))-(SUMIFS(d_rs_sched!$L:$L,d_rs_sched!$D:$D,$A13,d_rs_sched!$I:$I,$A13,d_rs_sched!$K:$K,L$1)+SUMIFS(d_rs_sched!$J:$J,d_rs_sched!$D:$D,$A13,d_rs_sched!$K:$K,$A13,d_rs_sched!$I:$I,L$1)),0)/IFERROR(IF((COUNTIFS(d_rs_sched!$D:$D,$A13,d_rs_sched!$I:$I,$A13,d_rs_sched!$K:$K,L$1)+COUNTIFS(d_rs_sched!$D:$D,$A13,d_rs_sched!$I:$I,L$1,d_rs_sched!$K:$K,$A13))&gt;0,(COUNTIFS(d_rs_sched!$D:$D,$A13,d_rs_sched!$I:$I,$A13,d_rs_sched!$K:$K,L$1)+COUNTIFS(d_rs_sched!$D:$D,$A13,d_rs_sched!$I:$I,L$1,d_rs_sched!$K:$K,$A13)),1),1)</f>
        <v>-11</v>
      </c>
      <c r="M13">
        <f>IFERROR((SUMIFS(d_rs_sched!$J:$J,d_rs_sched!$D:$D,$A13,d_rs_sched!$I:$I,$A13,d_rs_sched!$K:$K,M$1)+SUMIFS(d_rs_sched!$L:$L,d_rs_sched!$D:$D,$A13,d_rs_sched!$K:$K,$A13,d_rs_sched!$I:$I,M$1))-(SUMIFS(d_rs_sched!$L:$L,d_rs_sched!$D:$D,$A13,d_rs_sched!$I:$I,$A13,d_rs_sched!$K:$K,M$1)+SUMIFS(d_rs_sched!$J:$J,d_rs_sched!$D:$D,$A13,d_rs_sched!$K:$K,$A13,d_rs_sched!$I:$I,M$1)),0)/IFERROR(IF((COUNTIFS(d_rs_sched!$D:$D,$A13,d_rs_sched!$I:$I,$A13,d_rs_sched!$K:$K,M$1)+COUNTIFS(d_rs_sched!$D:$D,$A13,d_rs_sched!$I:$I,M$1,d_rs_sched!$K:$K,$A13))&gt;0,(COUNTIFS(d_rs_sched!$D:$D,$A13,d_rs_sched!$I:$I,$A13,d_rs_sched!$K:$K,M$1)+COUNTIFS(d_rs_sched!$D:$D,$A13,d_rs_sched!$I:$I,M$1,d_rs_sched!$K:$K,$A13)),1),1)</f>
        <v>0</v>
      </c>
      <c r="N13">
        <f>IFERROR((SUMIFS(d_rs_sched!$J:$J,d_rs_sched!$D:$D,$A13,d_rs_sched!$I:$I,$A13,d_rs_sched!$K:$K,N$1)+SUMIFS(d_rs_sched!$L:$L,d_rs_sched!$D:$D,$A13,d_rs_sched!$K:$K,$A13,d_rs_sched!$I:$I,N$1))-(SUMIFS(d_rs_sched!$L:$L,d_rs_sched!$D:$D,$A13,d_rs_sched!$I:$I,$A13,d_rs_sched!$K:$K,N$1)+SUMIFS(d_rs_sched!$J:$J,d_rs_sched!$D:$D,$A13,d_rs_sched!$K:$K,$A13,d_rs_sched!$I:$I,N$1)),0)/IFERROR(IF((COUNTIFS(d_rs_sched!$D:$D,$A13,d_rs_sched!$I:$I,$A13,d_rs_sched!$K:$K,N$1)+COUNTIFS(d_rs_sched!$D:$D,$A13,d_rs_sched!$I:$I,N$1,d_rs_sched!$K:$K,$A13))&gt;0,(COUNTIFS(d_rs_sched!$D:$D,$A13,d_rs_sched!$I:$I,$A13,d_rs_sched!$K:$K,N$1)+COUNTIFS(d_rs_sched!$D:$D,$A13,d_rs_sched!$I:$I,N$1,d_rs_sched!$K:$K,$A13)),1),1)</f>
        <v>-4.5</v>
      </c>
      <c r="O13">
        <f>IFERROR((SUMIFS(d_rs_sched!$J:$J,d_rs_sched!$D:$D,$A13,d_rs_sched!$I:$I,$A13,d_rs_sched!$K:$K,O$1)+SUMIFS(d_rs_sched!$L:$L,d_rs_sched!$D:$D,$A13,d_rs_sched!$K:$K,$A13,d_rs_sched!$I:$I,O$1))-(SUMIFS(d_rs_sched!$L:$L,d_rs_sched!$D:$D,$A13,d_rs_sched!$I:$I,$A13,d_rs_sched!$K:$K,O$1)+SUMIFS(d_rs_sched!$J:$J,d_rs_sched!$D:$D,$A13,d_rs_sched!$K:$K,$A13,d_rs_sched!$I:$I,O$1)),0)/IFERROR(IF((COUNTIFS(d_rs_sched!$D:$D,$A13,d_rs_sched!$I:$I,$A13,d_rs_sched!$K:$K,O$1)+COUNTIFS(d_rs_sched!$D:$D,$A13,d_rs_sched!$I:$I,O$1,d_rs_sched!$K:$K,$A13))&gt;0,(COUNTIFS(d_rs_sched!$D:$D,$A13,d_rs_sched!$I:$I,$A13,d_rs_sched!$K:$K,O$1)+COUNTIFS(d_rs_sched!$D:$D,$A13,d_rs_sched!$I:$I,O$1,d_rs_sched!$K:$K,$A13)),1),1)</f>
        <v>9</v>
      </c>
      <c r="P13">
        <f>IFERROR((SUMIFS(d_rs_sched!$J:$J,d_rs_sched!$D:$D,$A13,d_rs_sched!$I:$I,$A13,d_rs_sched!$K:$K,P$1)+SUMIFS(d_rs_sched!$L:$L,d_rs_sched!$D:$D,$A13,d_rs_sched!$K:$K,$A13,d_rs_sched!$I:$I,P$1))-(SUMIFS(d_rs_sched!$L:$L,d_rs_sched!$D:$D,$A13,d_rs_sched!$I:$I,$A13,d_rs_sched!$K:$K,P$1)+SUMIFS(d_rs_sched!$J:$J,d_rs_sched!$D:$D,$A13,d_rs_sched!$K:$K,$A13,d_rs_sched!$I:$I,P$1)),0)/IFERROR(IF((COUNTIFS(d_rs_sched!$D:$D,$A13,d_rs_sched!$I:$I,$A13,d_rs_sched!$K:$K,P$1)+COUNTIFS(d_rs_sched!$D:$D,$A13,d_rs_sched!$I:$I,P$1,d_rs_sched!$K:$K,$A13))&gt;0,(COUNTIFS(d_rs_sched!$D:$D,$A13,d_rs_sched!$I:$I,$A13,d_rs_sched!$K:$K,P$1)+COUNTIFS(d_rs_sched!$D:$D,$A13,d_rs_sched!$I:$I,P$1,d_rs_sched!$K:$K,$A13)),1),1)</f>
        <v>-10</v>
      </c>
      <c r="Q13">
        <f>IFERROR((SUMIFS(d_rs_sched!$J:$J,d_rs_sched!$D:$D,$A13,d_rs_sched!$I:$I,$A13,d_rs_sched!$K:$K,Q$1)+SUMIFS(d_rs_sched!$L:$L,d_rs_sched!$D:$D,$A13,d_rs_sched!$K:$K,$A13,d_rs_sched!$I:$I,Q$1))-(SUMIFS(d_rs_sched!$L:$L,d_rs_sched!$D:$D,$A13,d_rs_sched!$I:$I,$A13,d_rs_sched!$K:$K,Q$1)+SUMIFS(d_rs_sched!$J:$J,d_rs_sched!$D:$D,$A13,d_rs_sched!$K:$K,$A13,d_rs_sched!$I:$I,Q$1)),0)/IFERROR(IF((COUNTIFS(d_rs_sched!$D:$D,$A13,d_rs_sched!$I:$I,$A13,d_rs_sched!$K:$K,Q$1)+COUNTIFS(d_rs_sched!$D:$D,$A13,d_rs_sched!$I:$I,Q$1,d_rs_sched!$K:$K,$A13))&gt;0,(COUNTIFS(d_rs_sched!$D:$D,$A13,d_rs_sched!$I:$I,$A13,d_rs_sched!$K:$K,Q$1)+COUNTIFS(d_rs_sched!$D:$D,$A13,d_rs_sched!$I:$I,Q$1,d_rs_sched!$K:$K,$A13)),1),1)</f>
        <v>9.5</v>
      </c>
      <c r="R13">
        <f>IFERROR((SUMIFS(d_rs_sched!$J:$J,d_rs_sched!$D:$D,$A13,d_rs_sched!$I:$I,$A13,d_rs_sched!$K:$K,R$1)+SUMIFS(d_rs_sched!$L:$L,d_rs_sched!$D:$D,$A13,d_rs_sched!$K:$K,$A13,d_rs_sched!$I:$I,R$1))-(SUMIFS(d_rs_sched!$L:$L,d_rs_sched!$D:$D,$A13,d_rs_sched!$I:$I,$A13,d_rs_sched!$K:$K,R$1)+SUMIFS(d_rs_sched!$J:$J,d_rs_sched!$D:$D,$A13,d_rs_sched!$K:$K,$A13,d_rs_sched!$I:$I,R$1)),0)/IFERROR(IF((COUNTIFS(d_rs_sched!$D:$D,$A13,d_rs_sched!$I:$I,$A13,d_rs_sched!$K:$K,R$1)+COUNTIFS(d_rs_sched!$D:$D,$A13,d_rs_sched!$I:$I,R$1,d_rs_sched!$K:$K,$A13))&gt;0,(COUNTIFS(d_rs_sched!$D:$D,$A13,d_rs_sched!$I:$I,$A13,d_rs_sched!$K:$K,R$1)+COUNTIFS(d_rs_sched!$D:$D,$A13,d_rs_sched!$I:$I,R$1,d_rs_sched!$K:$K,$A13)),1),1)</f>
        <v>-0.25</v>
      </c>
      <c r="S13">
        <f>IFERROR((SUMIFS(d_rs_sched!$J:$J,d_rs_sched!$D:$D,$A13,d_rs_sched!$I:$I,$A13,d_rs_sched!$K:$K,S$1)+SUMIFS(d_rs_sched!$L:$L,d_rs_sched!$D:$D,$A13,d_rs_sched!$K:$K,$A13,d_rs_sched!$I:$I,S$1))-(SUMIFS(d_rs_sched!$L:$L,d_rs_sched!$D:$D,$A13,d_rs_sched!$I:$I,$A13,d_rs_sched!$K:$K,S$1)+SUMIFS(d_rs_sched!$J:$J,d_rs_sched!$D:$D,$A13,d_rs_sched!$K:$K,$A13,d_rs_sched!$I:$I,S$1)),0)/IFERROR(IF((COUNTIFS(d_rs_sched!$D:$D,$A13,d_rs_sched!$I:$I,$A13,d_rs_sched!$K:$K,S$1)+COUNTIFS(d_rs_sched!$D:$D,$A13,d_rs_sched!$I:$I,S$1,d_rs_sched!$K:$K,$A13))&gt;0,(COUNTIFS(d_rs_sched!$D:$D,$A13,d_rs_sched!$I:$I,$A13,d_rs_sched!$K:$K,S$1)+COUNTIFS(d_rs_sched!$D:$D,$A13,d_rs_sched!$I:$I,S$1,d_rs_sched!$K:$K,$A13)),1),1)</f>
        <v>-2.5</v>
      </c>
      <c r="T13">
        <f>IFERROR((SUMIFS(d_rs_sched!$J:$J,d_rs_sched!$D:$D,$A13,d_rs_sched!$I:$I,$A13,d_rs_sched!$K:$K,T$1)+SUMIFS(d_rs_sched!$L:$L,d_rs_sched!$D:$D,$A13,d_rs_sched!$K:$K,$A13,d_rs_sched!$I:$I,T$1))-(SUMIFS(d_rs_sched!$L:$L,d_rs_sched!$D:$D,$A13,d_rs_sched!$I:$I,$A13,d_rs_sched!$K:$K,T$1)+SUMIFS(d_rs_sched!$J:$J,d_rs_sched!$D:$D,$A13,d_rs_sched!$K:$K,$A13,d_rs_sched!$I:$I,T$1)),0)/IFERROR(IF((COUNTIFS(d_rs_sched!$D:$D,$A13,d_rs_sched!$I:$I,$A13,d_rs_sched!$K:$K,T$1)+COUNTIFS(d_rs_sched!$D:$D,$A13,d_rs_sched!$I:$I,T$1,d_rs_sched!$K:$K,$A13))&gt;0,(COUNTIFS(d_rs_sched!$D:$D,$A13,d_rs_sched!$I:$I,$A13,d_rs_sched!$K:$K,T$1)+COUNTIFS(d_rs_sched!$D:$D,$A13,d_rs_sched!$I:$I,T$1,d_rs_sched!$K:$K,$A13)),1),1)</f>
        <v>12.5</v>
      </c>
      <c r="U13">
        <f>IFERROR((SUMIFS(d_rs_sched!$J:$J,d_rs_sched!$D:$D,$A13,d_rs_sched!$I:$I,$A13,d_rs_sched!$K:$K,U$1)+SUMIFS(d_rs_sched!$L:$L,d_rs_sched!$D:$D,$A13,d_rs_sched!$K:$K,$A13,d_rs_sched!$I:$I,U$1))-(SUMIFS(d_rs_sched!$L:$L,d_rs_sched!$D:$D,$A13,d_rs_sched!$I:$I,$A13,d_rs_sched!$K:$K,U$1)+SUMIFS(d_rs_sched!$J:$J,d_rs_sched!$D:$D,$A13,d_rs_sched!$K:$K,$A13,d_rs_sched!$I:$I,U$1)),0)/IFERROR(IF((COUNTIFS(d_rs_sched!$D:$D,$A13,d_rs_sched!$I:$I,$A13,d_rs_sched!$K:$K,U$1)+COUNTIFS(d_rs_sched!$D:$D,$A13,d_rs_sched!$I:$I,U$1,d_rs_sched!$K:$K,$A13))&gt;0,(COUNTIFS(d_rs_sched!$D:$D,$A13,d_rs_sched!$I:$I,$A13,d_rs_sched!$K:$K,U$1)+COUNTIFS(d_rs_sched!$D:$D,$A13,d_rs_sched!$I:$I,U$1,d_rs_sched!$K:$K,$A13)),1),1)</f>
        <v>16.5</v>
      </c>
      <c r="V13">
        <f>IFERROR((SUMIFS(d_rs_sched!$J:$J,d_rs_sched!$D:$D,$A13,d_rs_sched!$I:$I,$A13,d_rs_sched!$K:$K,V$1)+SUMIFS(d_rs_sched!$L:$L,d_rs_sched!$D:$D,$A13,d_rs_sched!$K:$K,$A13,d_rs_sched!$I:$I,V$1))-(SUMIFS(d_rs_sched!$L:$L,d_rs_sched!$D:$D,$A13,d_rs_sched!$I:$I,$A13,d_rs_sched!$K:$K,V$1)+SUMIFS(d_rs_sched!$J:$J,d_rs_sched!$D:$D,$A13,d_rs_sched!$K:$K,$A13,d_rs_sched!$I:$I,V$1)),0)/IFERROR(IF((COUNTIFS(d_rs_sched!$D:$D,$A13,d_rs_sched!$I:$I,$A13,d_rs_sched!$K:$K,V$1)+COUNTIFS(d_rs_sched!$D:$D,$A13,d_rs_sched!$I:$I,V$1,d_rs_sched!$K:$K,$A13))&gt;0,(COUNTIFS(d_rs_sched!$D:$D,$A13,d_rs_sched!$I:$I,$A13,d_rs_sched!$K:$K,V$1)+COUNTIFS(d_rs_sched!$D:$D,$A13,d_rs_sched!$I:$I,V$1,d_rs_sched!$K:$K,$A13)),1),1)</f>
        <v>-0.5</v>
      </c>
      <c r="W13">
        <f>IFERROR((SUMIFS(d_rs_sched!$J:$J,d_rs_sched!$D:$D,$A13,d_rs_sched!$I:$I,$A13,d_rs_sched!$K:$K,W$1)+SUMIFS(d_rs_sched!$L:$L,d_rs_sched!$D:$D,$A13,d_rs_sched!$K:$K,$A13,d_rs_sched!$I:$I,W$1))-(SUMIFS(d_rs_sched!$L:$L,d_rs_sched!$D:$D,$A13,d_rs_sched!$I:$I,$A13,d_rs_sched!$K:$K,W$1)+SUMIFS(d_rs_sched!$J:$J,d_rs_sched!$D:$D,$A13,d_rs_sched!$K:$K,$A13,d_rs_sched!$I:$I,W$1)),0)/IFERROR(IF((COUNTIFS(d_rs_sched!$D:$D,$A13,d_rs_sched!$I:$I,$A13,d_rs_sched!$K:$K,W$1)+COUNTIFS(d_rs_sched!$D:$D,$A13,d_rs_sched!$I:$I,W$1,d_rs_sched!$K:$K,$A13))&gt;0,(COUNTIFS(d_rs_sched!$D:$D,$A13,d_rs_sched!$I:$I,$A13,d_rs_sched!$K:$K,W$1)+COUNTIFS(d_rs_sched!$D:$D,$A13,d_rs_sched!$I:$I,W$1,d_rs_sched!$K:$K,$A13)),1),1)</f>
        <v>18</v>
      </c>
      <c r="X13">
        <f>IFERROR((SUMIFS(d_rs_sched!$J:$J,d_rs_sched!$D:$D,$A13,d_rs_sched!$I:$I,$A13,d_rs_sched!$K:$K,X$1)+SUMIFS(d_rs_sched!$L:$L,d_rs_sched!$D:$D,$A13,d_rs_sched!$K:$K,$A13,d_rs_sched!$I:$I,X$1))-(SUMIFS(d_rs_sched!$L:$L,d_rs_sched!$D:$D,$A13,d_rs_sched!$I:$I,$A13,d_rs_sched!$K:$K,X$1)+SUMIFS(d_rs_sched!$J:$J,d_rs_sched!$D:$D,$A13,d_rs_sched!$K:$K,$A13,d_rs_sched!$I:$I,X$1)),0)/IFERROR(IF((COUNTIFS(d_rs_sched!$D:$D,$A13,d_rs_sched!$I:$I,$A13,d_rs_sched!$K:$K,X$1)+COUNTIFS(d_rs_sched!$D:$D,$A13,d_rs_sched!$I:$I,X$1,d_rs_sched!$K:$K,$A13))&gt;0,(COUNTIFS(d_rs_sched!$D:$D,$A13,d_rs_sched!$I:$I,$A13,d_rs_sched!$K:$K,X$1)+COUNTIFS(d_rs_sched!$D:$D,$A13,d_rs_sched!$I:$I,X$1,d_rs_sched!$K:$K,$A13)),1),1)</f>
        <v>10.5</v>
      </c>
      <c r="Y13">
        <f>IFERROR((SUMIFS(d_rs_sched!$J:$J,d_rs_sched!$D:$D,$A13,d_rs_sched!$I:$I,$A13,d_rs_sched!$K:$K,Y$1)+SUMIFS(d_rs_sched!$L:$L,d_rs_sched!$D:$D,$A13,d_rs_sched!$K:$K,$A13,d_rs_sched!$I:$I,Y$1))-(SUMIFS(d_rs_sched!$L:$L,d_rs_sched!$D:$D,$A13,d_rs_sched!$I:$I,$A13,d_rs_sched!$K:$K,Y$1)+SUMIFS(d_rs_sched!$J:$J,d_rs_sched!$D:$D,$A13,d_rs_sched!$K:$K,$A13,d_rs_sched!$I:$I,Y$1)),0)/IFERROR(IF((COUNTIFS(d_rs_sched!$D:$D,$A13,d_rs_sched!$I:$I,$A13,d_rs_sched!$K:$K,Y$1)+COUNTIFS(d_rs_sched!$D:$D,$A13,d_rs_sched!$I:$I,Y$1,d_rs_sched!$K:$K,$A13))&gt;0,(COUNTIFS(d_rs_sched!$D:$D,$A13,d_rs_sched!$I:$I,$A13,d_rs_sched!$K:$K,Y$1)+COUNTIFS(d_rs_sched!$D:$D,$A13,d_rs_sched!$I:$I,Y$1,d_rs_sched!$K:$K,$A13)),1),1)</f>
        <v>-17</v>
      </c>
      <c r="Z13">
        <f>IFERROR((SUMIFS(d_rs_sched!$J:$J,d_rs_sched!$D:$D,$A13,d_rs_sched!$I:$I,$A13,d_rs_sched!$K:$K,Z$1)+SUMIFS(d_rs_sched!$L:$L,d_rs_sched!$D:$D,$A13,d_rs_sched!$K:$K,$A13,d_rs_sched!$I:$I,Z$1))-(SUMIFS(d_rs_sched!$L:$L,d_rs_sched!$D:$D,$A13,d_rs_sched!$I:$I,$A13,d_rs_sched!$K:$K,Z$1)+SUMIFS(d_rs_sched!$J:$J,d_rs_sched!$D:$D,$A13,d_rs_sched!$K:$K,$A13,d_rs_sched!$I:$I,Z$1)),0)/IFERROR(IF((COUNTIFS(d_rs_sched!$D:$D,$A13,d_rs_sched!$I:$I,$A13,d_rs_sched!$K:$K,Z$1)+COUNTIFS(d_rs_sched!$D:$D,$A13,d_rs_sched!$I:$I,Z$1,d_rs_sched!$K:$K,$A13))&gt;0,(COUNTIFS(d_rs_sched!$D:$D,$A13,d_rs_sched!$I:$I,$A13,d_rs_sched!$K:$K,Z$1)+COUNTIFS(d_rs_sched!$D:$D,$A13,d_rs_sched!$I:$I,Z$1,d_rs_sched!$K:$K,$A13)),1),1)</f>
        <v>-8</v>
      </c>
      <c r="AA13">
        <f>IFERROR((SUMIFS(d_rs_sched!$J:$J,d_rs_sched!$D:$D,$A13,d_rs_sched!$I:$I,$A13,d_rs_sched!$K:$K,AA$1)+SUMIFS(d_rs_sched!$L:$L,d_rs_sched!$D:$D,$A13,d_rs_sched!$K:$K,$A13,d_rs_sched!$I:$I,AA$1))-(SUMIFS(d_rs_sched!$L:$L,d_rs_sched!$D:$D,$A13,d_rs_sched!$I:$I,$A13,d_rs_sched!$K:$K,AA$1)+SUMIFS(d_rs_sched!$J:$J,d_rs_sched!$D:$D,$A13,d_rs_sched!$K:$K,$A13,d_rs_sched!$I:$I,AA$1)),0)/IFERROR(IF((COUNTIFS(d_rs_sched!$D:$D,$A13,d_rs_sched!$I:$I,$A13,d_rs_sched!$K:$K,AA$1)+COUNTIFS(d_rs_sched!$D:$D,$A13,d_rs_sched!$I:$I,AA$1,d_rs_sched!$K:$K,$A13))&gt;0,(COUNTIFS(d_rs_sched!$D:$D,$A13,d_rs_sched!$I:$I,$A13,d_rs_sched!$K:$K,AA$1)+COUNTIFS(d_rs_sched!$D:$D,$A13,d_rs_sched!$I:$I,AA$1,d_rs_sched!$K:$K,$A13)),1),1)</f>
        <v>-4</v>
      </c>
      <c r="AB13">
        <f>IFERROR((SUMIFS(d_rs_sched!$J:$J,d_rs_sched!$D:$D,$A13,d_rs_sched!$I:$I,$A13,d_rs_sched!$K:$K,AB$1)+SUMIFS(d_rs_sched!$L:$L,d_rs_sched!$D:$D,$A13,d_rs_sched!$K:$K,$A13,d_rs_sched!$I:$I,AB$1))-(SUMIFS(d_rs_sched!$L:$L,d_rs_sched!$D:$D,$A13,d_rs_sched!$I:$I,$A13,d_rs_sched!$K:$K,AB$1)+SUMIFS(d_rs_sched!$J:$J,d_rs_sched!$D:$D,$A13,d_rs_sched!$K:$K,$A13,d_rs_sched!$I:$I,AB$1)),0)/IFERROR(IF((COUNTIFS(d_rs_sched!$D:$D,$A13,d_rs_sched!$I:$I,$A13,d_rs_sched!$K:$K,AB$1)+COUNTIFS(d_rs_sched!$D:$D,$A13,d_rs_sched!$I:$I,AB$1,d_rs_sched!$K:$K,$A13))&gt;0,(COUNTIFS(d_rs_sched!$D:$D,$A13,d_rs_sched!$I:$I,$A13,d_rs_sched!$K:$K,AB$1)+COUNTIFS(d_rs_sched!$D:$D,$A13,d_rs_sched!$I:$I,AB$1,d_rs_sched!$K:$K,$A13)),1),1)</f>
        <v>-3</v>
      </c>
      <c r="AC13">
        <f>IFERROR((SUMIFS(d_rs_sched!$J:$J,d_rs_sched!$D:$D,$A13,d_rs_sched!$I:$I,$A13,d_rs_sched!$K:$K,AC$1)+SUMIFS(d_rs_sched!$L:$L,d_rs_sched!$D:$D,$A13,d_rs_sched!$K:$K,$A13,d_rs_sched!$I:$I,AC$1))-(SUMIFS(d_rs_sched!$L:$L,d_rs_sched!$D:$D,$A13,d_rs_sched!$I:$I,$A13,d_rs_sched!$K:$K,AC$1)+SUMIFS(d_rs_sched!$J:$J,d_rs_sched!$D:$D,$A13,d_rs_sched!$K:$K,$A13,d_rs_sched!$I:$I,AC$1)),0)/IFERROR(IF((COUNTIFS(d_rs_sched!$D:$D,$A13,d_rs_sched!$I:$I,$A13,d_rs_sched!$K:$K,AC$1)+COUNTIFS(d_rs_sched!$D:$D,$A13,d_rs_sched!$I:$I,AC$1,d_rs_sched!$K:$K,$A13))&gt;0,(COUNTIFS(d_rs_sched!$D:$D,$A13,d_rs_sched!$I:$I,$A13,d_rs_sched!$K:$K,AC$1)+COUNTIFS(d_rs_sched!$D:$D,$A13,d_rs_sched!$I:$I,AC$1,d_rs_sched!$K:$K,$A13)),1),1)</f>
        <v>-14.666666666666666</v>
      </c>
      <c r="AD13">
        <f>IFERROR((SUMIFS(d_rs_sched!$J:$J,d_rs_sched!$D:$D,$A13,d_rs_sched!$I:$I,$A13,d_rs_sched!$K:$K,AD$1)+SUMIFS(d_rs_sched!$L:$L,d_rs_sched!$D:$D,$A13,d_rs_sched!$K:$K,$A13,d_rs_sched!$I:$I,AD$1))-(SUMIFS(d_rs_sched!$L:$L,d_rs_sched!$D:$D,$A13,d_rs_sched!$I:$I,$A13,d_rs_sched!$K:$K,AD$1)+SUMIFS(d_rs_sched!$J:$J,d_rs_sched!$D:$D,$A13,d_rs_sched!$K:$K,$A13,d_rs_sched!$I:$I,AD$1)),0)/IFERROR(IF((COUNTIFS(d_rs_sched!$D:$D,$A13,d_rs_sched!$I:$I,$A13,d_rs_sched!$K:$K,AD$1)+COUNTIFS(d_rs_sched!$D:$D,$A13,d_rs_sched!$I:$I,AD$1,d_rs_sched!$K:$K,$A13))&gt;0,(COUNTIFS(d_rs_sched!$D:$D,$A13,d_rs_sched!$I:$I,$A13,d_rs_sched!$K:$K,AD$1)+COUNTIFS(d_rs_sched!$D:$D,$A13,d_rs_sched!$I:$I,AD$1,d_rs_sched!$K:$K,$A13)),1),1)</f>
        <v>7.5</v>
      </c>
      <c r="AE13">
        <f>IFERROR((SUMIFS(d_rs_sched!$J:$J,d_rs_sched!$D:$D,$A13,d_rs_sched!$I:$I,$A13,d_rs_sched!$K:$K,AE$1)+SUMIFS(d_rs_sched!$L:$L,d_rs_sched!$D:$D,$A13,d_rs_sched!$K:$K,$A13,d_rs_sched!$I:$I,AE$1))-(SUMIFS(d_rs_sched!$L:$L,d_rs_sched!$D:$D,$A13,d_rs_sched!$I:$I,$A13,d_rs_sched!$K:$K,AE$1)+SUMIFS(d_rs_sched!$J:$J,d_rs_sched!$D:$D,$A13,d_rs_sched!$K:$K,$A13,d_rs_sched!$I:$I,AE$1)),0)/IFERROR(IF((COUNTIFS(d_rs_sched!$D:$D,$A13,d_rs_sched!$I:$I,$A13,d_rs_sched!$K:$K,AE$1)+COUNTIFS(d_rs_sched!$D:$D,$A13,d_rs_sched!$I:$I,AE$1,d_rs_sched!$K:$K,$A13))&gt;0,(COUNTIFS(d_rs_sched!$D:$D,$A13,d_rs_sched!$I:$I,$A13,d_rs_sched!$K:$K,AE$1)+COUNTIFS(d_rs_sched!$D:$D,$A13,d_rs_sched!$I:$I,AE$1,d_rs_sched!$K:$K,$A13)),1),1)</f>
        <v>-0.75</v>
      </c>
      <c r="AG13" t="s">
        <v>20</v>
      </c>
      <c r="AH13">
        <v>0.9845316056538983</v>
      </c>
      <c r="AI13">
        <f t="shared" si="0"/>
        <v>12</v>
      </c>
    </row>
    <row r="14" spans="1:35" x14ac:dyDescent="0.25">
      <c r="A14" t="s">
        <v>41</v>
      </c>
      <c r="B14">
        <f>IFERROR((SUMIFS(d_rs_sched!$J:$J,d_rs_sched!$D:$D,$A14,d_rs_sched!$I:$I,$A14,d_rs_sched!$K:$K,B$1)+SUMIFS(d_rs_sched!$L:$L,d_rs_sched!$D:$D,$A14,d_rs_sched!$K:$K,$A14,d_rs_sched!$I:$I,B$1))-(SUMIFS(d_rs_sched!$L:$L,d_rs_sched!$D:$D,$A14,d_rs_sched!$I:$I,$A14,d_rs_sched!$K:$K,B$1)+SUMIFS(d_rs_sched!$J:$J,d_rs_sched!$D:$D,$A14,d_rs_sched!$K:$K,$A14,d_rs_sched!$I:$I,B$1)),0)/IFERROR(IF((COUNTIFS(d_rs_sched!$D:$D,$A14,d_rs_sched!$I:$I,$A14,d_rs_sched!$K:$K,B$1)+COUNTIFS(d_rs_sched!$D:$D,$A14,d_rs_sched!$I:$I,B$1,d_rs_sched!$K:$K,$A14))&gt;0,(COUNTIFS(d_rs_sched!$D:$D,$A14,d_rs_sched!$I:$I,$A14,d_rs_sched!$K:$K,B$1)+COUNTIFS(d_rs_sched!$D:$D,$A14,d_rs_sched!$I:$I,B$1,d_rs_sched!$K:$K,$A14)),1),1)</f>
        <v>-6</v>
      </c>
      <c r="C14">
        <f>IFERROR((SUMIFS(d_rs_sched!$J:$J,d_rs_sched!$D:$D,$A14,d_rs_sched!$I:$I,$A14,d_rs_sched!$K:$K,C$1)+SUMIFS(d_rs_sched!$L:$L,d_rs_sched!$D:$D,$A14,d_rs_sched!$K:$K,$A14,d_rs_sched!$I:$I,C$1))-(SUMIFS(d_rs_sched!$L:$L,d_rs_sched!$D:$D,$A14,d_rs_sched!$I:$I,$A14,d_rs_sched!$K:$K,C$1)+SUMIFS(d_rs_sched!$J:$J,d_rs_sched!$D:$D,$A14,d_rs_sched!$K:$K,$A14,d_rs_sched!$I:$I,C$1)),0)/IFERROR(IF((COUNTIFS(d_rs_sched!$D:$D,$A14,d_rs_sched!$I:$I,$A14,d_rs_sched!$K:$K,C$1)+COUNTIFS(d_rs_sched!$D:$D,$A14,d_rs_sched!$I:$I,C$1,d_rs_sched!$K:$K,$A14))&gt;0,(COUNTIFS(d_rs_sched!$D:$D,$A14,d_rs_sched!$I:$I,$A14,d_rs_sched!$K:$K,C$1)+COUNTIFS(d_rs_sched!$D:$D,$A14,d_rs_sched!$I:$I,C$1,d_rs_sched!$K:$K,$A14)),1),1)</f>
        <v>18.5</v>
      </c>
      <c r="D14">
        <f>IFERROR((SUMIFS(d_rs_sched!$J:$J,d_rs_sched!$D:$D,$A14,d_rs_sched!$I:$I,$A14,d_rs_sched!$K:$K,D$1)+SUMIFS(d_rs_sched!$L:$L,d_rs_sched!$D:$D,$A14,d_rs_sched!$K:$K,$A14,d_rs_sched!$I:$I,D$1))-(SUMIFS(d_rs_sched!$L:$L,d_rs_sched!$D:$D,$A14,d_rs_sched!$I:$I,$A14,d_rs_sched!$K:$K,D$1)+SUMIFS(d_rs_sched!$J:$J,d_rs_sched!$D:$D,$A14,d_rs_sched!$K:$K,$A14,d_rs_sched!$I:$I,D$1)),0)/IFERROR(IF((COUNTIFS(d_rs_sched!$D:$D,$A14,d_rs_sched!$I:$I,$A14,d_rs_sched!$K:$K,D$1)+COUNTIFS(d_rs_sched!$D:$D,$A14,d_rs_sched!$I:$I,D$1,d_rs_sched!$K:$K,$A14))&gt;0,(COUNTIFS(d_rs_sched!$D:$D,$A14,d_rs_sched!$I:$I,$A14,d_rs_sched!$K:$K,D$1)+COUNTIFS(d_rs_sched!$D:$D,$A14,d_rs_sched!$I:$I,D$1,d_rs_sched!$K:$K,$A14)),1),1)</f>
        <v>11</v>
      </c>
      <c r="E14">
        <f>IFERROR((SUMIFS(d_rs_sched!$J:$J,d_rs_sched!$D:$D,$A14,d_rs_sched!$I:$I,$A14,d_rs_sched!$K:$K,E$1)+SUMIFS(d_rs_sched!$L:$L,d_rs_sched!$D:$D,$A14,d_rs_sched!$K:$K,$A14,d_rs_sched!$I:$I,E$1))-(SUMIFS(d_rs_sched!$L:$L,d_rs_sched!$D:$D,$A14,d_rs_sched!$I:$I,$A14,d_rs_sched!$K:$K,E$1)+SUMIFS(d_rs_sched!$J:$J,d_rs_sched!$D:$D,$A14,d_rs_sched!$K:$K,$A14,d_rs_sched!$I:$I,E$1)),0)/IFERROR(IF((COUNTIFS(d_rs_sched!$D:$D,$A14,d_rs_sched!$I:$I,$A14,d_rs_sched!$K:$K,E$1)+COUNTIFS(d_rs_sched!$D:$D,$A14,d_rs_sched!$I:$I,E$1,d_rs_sched!$K:$K,$A14))&gt;0,(COUNTIFS(d_rs_sched!$D:$D,$A14,d_rs_sched!$I:$I,$A14,d_rs_sched!$K:$K,E$1)+COUNTIFS(d_rs_sched!$D:$D,$A14,d_rs_sched!$I:$I,E$1,d_rs_sched!$K:$K,$A14)),1),1)</f>
        <v>14</v>
      </c>
      <c r="F14">
        <f>IFERROR((SUMIFS(d_rs_sched!$J:$J,d_rs_sched!$D:$D,$A14,d_rs_sched!$I:$I,$A14,d_rs_sched!$K:$K,F$1)+SUMIFS(d_rs_sched!$L:$L,d_rs_sched!$D:$D,$A14,d_rs_sched!$K:$K,$A14,d_rs_sched!$I:$I,F$1))-(SUMIFS(d_rs_sched!$L:$L,d_rs_sched!$D:$D,$A14,d_rs_sched!$I:$I,$A14,d_rs_sched!$K:$K,F$1)+SUMIFS(d_rs_sched!$J:$J,d_rs_sched!$D:$D,$A14,d_rs_sched!$K:$K,$A14,d_rs_sched!$I:$I,F$1)),0)/IFERROR(IF((COUNTIFS(d_rs_sched!$D:$D,$A14,d_rs_sched!$I:$I,$A14,d_rs_sched!$K:$K,F$1)+COUNTIFS(d_rs_sched!$D:$D,$A14,d_rs_sched!$I:$I,F$1,d_rs_sched!$K:$K,$A14))&gt;0,(COUNTIFS(d_rs_sched!$D:$D,$A14,d_rs_sched!$I:$I,$A14,d_rs_sched!$K:$K,F$1)+COUNTIFS(d_rs_sched!$D:$D,$A14,d_rs_sched!$I:$I,F$1,d_rs_sched!$K:$K,$A14)),1),1)</f>
        <v>-3</v>
      </c>
      <c r="G14">
        <f>IFERROR((SUMIFS(d_rs_sched!$J:$J,d_rs_sched!$D:$D,$A14,d_rs_sched!$I:$I,$A14,d_rs_sched!$K:$K,G$1)+SUMIFS(d_rs_sched!$L:$L,d_rs_sched!$D:$D,$A14,d_rs_sched!$K:$K,$A14,d_rs_sched!$I:$I,G$1))-(SUMIFS(d_rs_sched!$L:$L,d_rs_sched!$D:$D,$A14,d_rs_sched!$I:$I,$A14,d_rs_sched!$K:$K,G$1)+SUMIFS(d_rs_sched!$J:$J,d_rs_sched!$D:$D,$A14,d_rs_sched!$K:$K,$A14,d_rs_sched!$I:$I,G$1)),0)/IFERROR(IF((COUNTIFS(d_rs_sched!$D:$D,$A14,d_rs_sched!$I:$I,$A14,d_rs_sched!$K:$K,G$1)+COUNTIFS(d_rs_sched!$D:$D,$A14,d_rs_sched!$I:$I,G$1,d_rs_sched!$K:$K,$A14))&gt;0,(COUNTIFS(d_rs_sched!$D:$D,$A14,d_rs_sched!$I:$I,$A14,d_rs_sched!$K:$K,G$1)+COUNTIFS(d_rs_sched!$D:$D,$A14,d_rs_sched!$I:$I,G$1,d_rs_sched!$K:$K,$A14)),1),1)</f>
        <v>-8</v>
      </c>
      <c r="H14">
        <f>IFERROR((SUMIFS(d_rs_sched!$J:$J,d_rs_sched!$D:$D,$A14,d_rs_sched!$I:$I,$A14,d_rs_sched!$K:$K,H$1)+SUMIFS(d_rs_sched!$L:$L,d_rs_sched!$D:$D,$A14,d_rs_sched!$K:$K,$A14,d_rs_sched!$I:$I,H$1))-(SUMIFS(d_rs_sched!$L:$L,d_rs_sched!$D:$D,$A14,d_rs_sched!$I:$I,$A14,d_rs_sched!$K:$K,H$1)+SUMIFS(d_rs_sched!$J:$J,d_rs_sched!$D:$D,$A14,d_rs_sched!$K:$K,$A14,d_rs_sched!$I:$I,H$1)),0)/IFERROR(IF((COUNTIFS(d_rs_sched!$D:$D,$A14,d_rs_sched!$I:$I,$A14,d_rs_sched!$K:$K,H$1)+COUNTIFS(d_rs_sched!$D:$D,$A14,d_rs_sched!$I:$I,H$1,d_rs_sched!$K:$K,$A14))&gt;0,(COUNTIFS(d_rs_sched!$D:$D,$A14,d_rs_sched!$I:$I,$A14,d_rs_sched!$K:$K,H$1)+COUNTIFS(d_rs_sched!$D:$D,$A14,d_rs_sched!$I:$I,H$1,d_rs_sched!$K:$K,$A14)),1),1)</f>
        <v>2.3333333333333335</v>
      </c>
      <c r="I14">
        <f>IFERROR((SUMIFS(d_rs_sched!$J:$J,d_rs_sched!$D:$D,$A14,d_rs_sched!$I:$I,$A14,d_rs_sched!$K:$K,I$1)+SUMIFS(d_rs_sched!$L:$L,d_rs_sched!$D:$D,$A14,d_rs_sched!$K:$K,$A14,d_rs_sched!$I:$I,I$1))-(SUMIFS(d_rs_sched!$L:$L,d_rs_sched!$D:$D,$A14,d_rs_sched!$I:$I,$A14,d_rs_sched!$K:$K,I$1)+SUMIFS(d_rs_sched!$J:$J,d_rs_sched!$D:$D,$A14,d_rs_sched!$K:$K,$A14,d_rs_sched!$I:$I,I$1)),0)/IFERROR(IF((COUNTIFS(d_rs_sched!$D:$D,$A14,d_rs_sched!$I:$I,$A14,d_rs_sched!$K:$K,I$1)+COUNTIFS(d_rs_sched!$D:$D,$A14,d_rs_sched!$I:$I,I$1,d_rs_sched!$K:$K,$A14))&gt;0,(COUNTIFS(d_rs_sched!$D:$D,$A14,d_rs_sched!$I:$I,$A14,d_rs_sched!$K:$K,I$1)+COUNTIFS(d_rs_sched!$D:$D,$A14,d_rs_sched!$I:$I,I$1,d_rs_sched!$K:$K,$A14)),1),1)</f>
        <v>5.75</v>
      </c>
      <c r="J14">
        <f>IFERROR((SUMIFS(d_rs_sched!$J:$J,d_rs_sched!$D:$D,$A14,d_rs_sched!$I:$I,$A14,d_rs_sched!$K:$K,J$1)+SUMIFS(d_rs_sched!$L:$L,d_rs_sched!$D:$D,$A14,d_rs_sched!$K:$K,$A14,d_rs_sched!$I:$I,J$1))-(SUMIFS(d_rs_sched!$L:$L,d_rs_sched!$D:$D,$A14,d_rs_sched!$I:$I,$A14,d_rs_sched!$K:$K,J$1)+SUMIFS(d_rs_sched!$J:$J,d_rs_sched!$D:$D,$A14,d_rs_sched!$K:$K,$A14,d_rs_sched!$I:$I,J$1)),0)/IFERROR(IF((COUNTIFS(d_rs_sched!$D:$D,$A14,d_rs_sched!$I:$I,$A14,d_rs_sched!$K:$K,J$1)+COUNTIFS(d_rs_sched!$D:$D,$A14,d_rs_sched!$I:$I,J$1,d_rs_sched!$K:$K,$A14))&gt;0,(COUNTIFS(d_rs_sched!$D:$D,$A14,d_rs_sched!$I:$I,$A14,d_rs_sched!$K:$K,J$1)+COUNTIFS(d_rs_sched!$D:$D,$A14,d_rs_sched!$I:$I,J$1,d_rs_sched!$K:$K,$A14)),1),1)</f>
        <v>14</v>
      </c>
      <c r="K14">
        <f>IFERROR((SUMIFS(d_rs_sched!$J:$J,d_rs_sched!$D:$D,$A14,d_rs_sched!$I:$I,$A14,d_rs_sched!$K:$K,K$1)+SUMIFS(d_rs_sched!$L:$L,d_rs_sched!$D:$D,$A14,d_rs_sched!$K:$K,$A14,d_rs_sched!$I:$I,K$1))-(SUMIFS(d_rs_sched!$L:$L,d_rs_sched!$D:$D,$A14,d_rs_sched!$I:$I,$A14,d_rs_sched!$K:$K,K$1)+SUMIFS(d_rs_sched!$J:$J,d_rs_sched!$D:$D,$A14,d_rs_sched!$K:$K,$A14,d_rs_sched!$I:$I,K$1)),0)/IFERROR(IF((COUNTIFS(d_rs_sched!$D:$D,$A14,d_rs_sched!$I:$I,$A14,d_rs_sched!$K:$K,K$1)+COUNTIFS(d_rs_sched!$D:$D,$A14,d_rs_sched!$I:$I,K$1,d_rs_sched!$K:$K,$A14))&gt;0,(COUNTIFS(d_rs_sched!$D:$D,$A14,d_rs_sched!$I:$I,$A14,d_rs_sched!$K:$K,K$1)+COUNTIFS(d_rs_sched!$D:$D,$A14,d_rs_sched!$I:$I,K$1,d_rs_sched!$K:$K,$A14)),1),1)</f>
        <v>-3.75</v>
      </c>
      <c r="L14">
        <f>IFERROR((SUMIFS(d_rs_sched!$J:$J,d_rs_sched!$D:$D,$A14,d_rs_sched!$I:$I,$A14,d_rs_sched!$K:$K,L$1)+SUMIFS(d_rs_sched!$L:$L,d_rs_sched!$D:$D,$A14,d_rs_sched!$K:$K,$A14,d_rs_sched!$I:$I,L$1))-(SUMIFS(d_rs_sched!$L:$L,d_rs_sched!$D:$D,$A14,d_rs_sched!$I:$I,$A14,d_rs_sched!$K:$K,L$1)+SUMIFS(d_rs_sched!$J:$J,d_rs_sched!$D:$D,$A14,d_rs_sched!$K:$K,$A14,d_rs_sched!$I:$I,L$1)),0)/IFERROR(IF((COUNTIFS(d_rs_sched!$D:$D,$A14,d_rs_sched!$I:$I,$A14,d_rs_sched!$K:$K,L$1)+COUNTIFS(d_rs_sched!$D:$D,$A14,d_rs_sched!$I:$I,L$1,d_rs_sched!$K:$K,$A14))&gt;0,(COUNTIFS(d_rs_sched!$D:$D,$A14,d_rs_sched!$I:$I,$A14,d_rs_sched!$K:$K,L$1)+COUNTIFS(d_rs_sched!$D:$D,$A14,d_rs_sched!$I:$I,L$1,d_rs_sched!$K:$K,$A14)),1),1)</f>
        <v>6.25</v>
      </c>
      <c r="M14">
        <f>IFERROR((SUMIFS(d_rs_sched!$J:$J,d_rs_sched!$D:$D,$A14,d_rs_sched!$I:$I,$A14,d_rs_sched!$K:$K,M$1)+SUMIFS(d_rs_sched!$L:$L,d_rs_sched!$D:$D,$A14,d_rs_sched!$K:$K,$A14,d_rs_sched!$I:$I,M$1))-(SUMIFS(d_rs_sched!$L:$L,d_rs_sched!$D:$D,$A14,d_rs_sched!$I:$I,$A14,d_rs_sched!$K:$K,M$1)+SUMIFS(d_rs_sched!$J:$J,d_rs_sched!$D:$D,$A14,d_rs_sched!$K:$K,$A14,d_rs_sched!$I:$I,M$1)),0)/IFERROR(IF((COUNTIFS(d_rs_sched!$D:$D,$A14,d_rs_sched!$I:$I,$A14,d_rs_sched!$K:$K,M$1)+COUNTIFS(d_rs_sched!$D:$D,$A14,d_rs_sched!$I:$I,M$1,d_rs_sched!$K:$K,$A14))&gt;0,(COUNTIFS(d_rs_sched!$D:$D,$A14,d_rs_sched!$I:$I,$A14,d_rs_sched!$K:$K,M$1)+COUNTIFS(d_rs_sched!$D:$D,$A14,d_rs_sched!$I:$I,M$1,d_rs_sched!$K:$K,$A14)),1),1)</f>
        <v>4.5</v>
      </c>
      <c r="N14">
        <f>IFERROR((SUMIFS(d_rs_sched!$J:$J,d_rs_sched!$D:$D,$A14,d_rs_sched!$I:$I,$A14,d_rs_sched!$K:$K,N$1)+SUMIFS(d_rs_sched!$L:$L,d_rs_sched!$D:$D,$A14,d_rs_sched!$K:$K,$A14,d_rs_sched!$I:$I,N$1))-(SUMIFS(d_rs_sched!$L:$L,d_rs_sched!$D:$D,$A14,d_rs_sched!$I:$I,$A14,d_rs_sched!$K:$K,N$1)+SUMIFS(d_rs_sched!$J:$J,d_rs_sched!$D:$D,$A14,d_rs_sched!$K:$K,$A14,d_rs_sched!$I:$I,N$1)),0)/IFERROR(IF((COUNTIFS(d_rs_sched!$D:$D,$A14,d_rs_sched!$I:$I,$A14,d_rs_sched!$K:$K,N$1)+COUNTIFS(d_rs_sched!$D:$D,$A14,d_rs_sched!$I:$I,N$1,d_rs_sched!$K:$K,$A14))&gt;0,(COUNTIFS(d_rs_sched!$D:$D,$A14,d_rs_sched!$I:$I,$A14,d_rs_sched!$K:$K,N$1)+COUNTIFS(d_rs_sched!$D:$D,$A14,d_rs_sched!$I:$I,N$1,d_rs_sched!$K:$K,$A14)),1),1)</f>
        <v>0</v>
      </c>
      <c r="O14">
        <f>IFERROR((SUMIFS(d_rs_sched!$J:$J,d_rs_sched!$D:$D,$A14,d_rs_sched!$I:$I,$A14,d_rs_sched!$K:$K,O$1)+SUMIFS(d_rs_sched!$L:$L,d_rs_sched!$D:$D,$A14,d_rs_sched!$K:$K,$A14,d_rs_sched!$I:$I,O$1))-(SUMIFS(d_rs_sched!$L:$L,d_rs_sched!$D:$D,$A14,d_rs_sched!$I:$I,$A14,d_rs_sched!$K:$K,O$1)+SUMIFS(d_rs_sched!$J:$J,d_rs_sched!$D:$D,$A14,d_rs_sched!$K:$K,$A14,d_rs_sched!$I:$I,O$1)),0)/IFERROR(IF((COUNTIFS(d_rs_sched!$D:$D,$A14,d_rs_sched!$I:$I,$A14,d_rs_sched!$K:$K,O$1)+COUNTIFS(d_rs_sched!$D:$D,$A14,d_rs_sched!$I:$I,O$1,d_rs_sched!$K:$K,$A14))&gt;0,(COUNTIFS(d_rs_sched!$D:$D,$A14,d_rs_sched!$I:$I,$A14,d_rs_sched!$K:$K,O$1)+COUNTIFS(d_rs_sched!$D:$D,$A14,d_rs_sched!$I:$I,O$1,d_rs_sched!$K:$K,$A14)),1),1)</f>
        <v>16.25</v>
      </c>
      <c r="P14">
        <f>IFERROR((SUMIFS(d_rs_sched!$J:$J,d_rs_sched!$D:$D,$A14,d_rs_sched!$I:$I,$A14,d_rs_sched!$K:$K,P$1)+SUMIFS(d_rs_sched!$L:$L,d_rs_sched!$D:$D,$A14,d_rs_sched!$K:$K,$A14,d_rs_sched!$I:$I,P$1))-(SUMIFS(d_rs_sched!$L:$L,d_rs_sched!$D:$D,$A14,d_rs_sched!$I:$I,$A14,d_rs_sched!$K:$K,P$1)+SUMIFS(d_rs_sched!$J:$J,d_rs_sched!$D:$D,$A14,d_rs_sched!$K:$K,$A14,d_rs_sched!$I:$I,P$1)),0)/IFERROR(IF((COUNTIFS(d_rs_sched!$D:$D,$A14,d_rs_sched!$I:$I,$A14,d_rs_sched!$K:$K,P$1)+COUNTIFS(d_rs_sched!$D:$D,$A14,d_rs_sched!$I:$I,P$1,d_rs_sched!$K:$K,$A14))&gt;0,(COUNTIFS(d_rs_sched!$D:$D,$A14,d_rs_sched!$I:$I,$A14,d_rs_sched!$K:$K,P$1)+COUNTIFS(d_rs_sched!$D:$D,$A14,d_rs_sched!$I:$I,P$1,d_rs_sched!$K:$K,$A14)),1),1)</f>
        <v>1.75</v>
      </c>
      <c r="Q14">
        <f>IFERROR((SUMIFS(d_rs_sched!$J:$J,d_rs_sched!$D:$D,$A14,d_rs_sched!$I:$I,$A14,d_rs_sched!$K:$K,Q$1)+SUMIFS(d_rs_sched!$L:$L,d_rs_sched!$D:$D,$A14,d_rs_sched!$K:$K,$A14,d_rs_sched!$I:$I,Q$1))-(SUMIFS(d_rs_sched!$L:$L,d_rs_sched!$D:$D,$A14,d_rs_sched!$I:$I,$A14,d_rs_sched!$K:$K,Q$1)+SUMIFS(d_rs_sched!$J:$J,d_rs_sched!$D:$D,$A14,d_rs_sched!$K:$K,$A14,d_rs_sched!$I:$I,Q$1)),0)/IFERROR(IF((COUNTIFS(d_rs_sched!$D:$D,$A14,d_rs_sched!$I:$I,$A14,d_rs_sched!$K:$K,Q$1)+COUNTIFS(d_rs_sched!$D:$D,$A14,d_rs_sched!$I:$I,Q$1,d_rs_sched!$K:$K,$A14))&gt;0,(COUNTIFS(d_rs_sched!$D:$D,$A14,d_rs_sched!$I:$I,$A14,d_rs_sched!$K:$K,Q$1)+COUNTIFS(d_rs_sched!$D:$D,$A14,d_rs_sched!$I:$I,Q$1,d_rs_sched!$K:$K,$A14)),1),1)</f>
        <v>1.5</v>
      </c>
      <c r="R14">
        <f>IFERROR((SUMIFS(d_rs_sched!$J:$J,d_rs_sched!$D:$D,$A14,d_rs_sched!$I:$I,$A14,d_rs_sched!$K:$K,R$1)+SUMIFS(d_rs_sched!$L:$L,d_rs_sched!$D:$D,$A14,d_rs_sched!$K:$K,$A14,d_rs_sched!$I:$I,R$1))-(SUMIFS(d_rs_sched!$L:$L,d_rs_sched!$D:$D,$A14,d_rs_sched!$I:$I,$A14,d_rs_sched!$K:$K,R$1)+SUMIFS(d_rs_sched!$J:$J,d_rs_sched!$D:$D,$A14,d_rs_sched!$K:$K,$A14,d_rs_sched!$I:$I,R$1)),0)/IFERROR(IF((COUNTIFS(d_rs_sched!$D:$D,$A14,d_rs_sched!$I:$I,$A14,d_rs_sched!$K:$K,R$1)+COUNTIFS(d_rs_sched!$D:$D,$A14,d_rs_sched!$I:$I,R$1,d_rs_sched!$K:$K,$A14))&gt;0,(COUNTIFS(d_rs_sched!$D:$D,$A14,d_rs_sched!$I:$I,$A14,d_rs_sched!$K:$K,R$1)+COUNTIFS(d_rs_sched!$D:$D,$A14,d_rs_sched!$I:$I,R$1,d_rs_sched!$K:$K,$A14)),1),1)</f>
        <v>-0.5</v>
      </c>
      <c r="S14">
        <f>IFERROR((SUMIFS(d_rs_sched!$J:$J,d_rs_sched!$D:$D,$A14,d_rs_sched!$I:$I,$A14,d_rs_sched!$K:$K,S$1)+SUMIFS(d_rs_sched!$L:$L,d_rs_sched!$D:$D,$A14,d_rs_sched!$K:$K,$A14,d_rs_sched!$I:$I,S$1))-(SUMIFS(d_rs_sched!$L:$L,d_rs_sched!$D:$D,$A14,d_rs_sched!$I:$I,$A14,d_rs_sched!$K:$K,S$1)+SUMIFS(d_rs_sched!$J:$J,d_rs_sched!$D:$D,$A14,d_rs_sched!$K:$K,$A14,d_rs_sched!$I:$I,S$1)),0)/IFERROR(IF((COUNTIFS(d_rs_sched!$D:$D,$A14,d_rs_sched!$I:$I,$A14,d_rs_sched!$K:$K,S$1)+COUNTIFS(d_rs_sched!$D:$D,$A14,d_rs_sched!$I:$I,S$1,d_rs_sched!$K:$K,$A14))&gt;0,(COUNTIFS(d_rs_sched!$D:$D,$A14,d_rs_sched!$I:$I,$A14,d_rs_sched!$K:$K,S$1)+COUNTIFS(d_rs_sched!$D:$D,$A14,d_rs_sched!$I:$I,S$1,d_rs_sched!$K:$K,$A14)),1),1)</f>
        <v>14.666666666666666</v>
      </c>
      <c r="T14">
        <f>IFERROR((SUMIFS(d_rs_sched!$J:$J,d_rs_sched!$D:$D,$A14,d_rs_sched!$I:$I,$A14,d_rs_sched!$K:$K,T$1)+SUMIFS(d_rs_sched!$L:$L,d_rs_sched!$D:$D,$A14,d_rs_sched!$K:$K,$A14,d_rs_sched!$I:$I,T$1))-(SUMIFS(d_rs_sched!$L:$L,d_rs_sched!$D:$D,$A14,d_rs_sched!$I:$I,$A14,d_rs_sched!$K:$K,T$1)+SUMIFS(d_rs_sched!$J:$J,d_rs_sched!$D:$D,$A14,d_rs_sched!$K:$K,$A14,d_rs_sched!$I:$I,T$1)),0)/IFERROR(IF((COUNTIFS(d_rs_sched!$D:$D,$A14,d_rs_sched!$I:$I,$A14,d_rs_sched!$K:$K,T$1)+COUNTIFS(d_rs_sched!$D:$D,$A14,d_rs_sched!$I:$I,T$1,d_rs_sched!$K:$K,$A14))&gt;0,(COUNTIFS(d_rs_sched!$D:$D,$A14,d_rs_sched!$I:$I,$A14,d_rs_sched!$K:$K,T$1)+COUNTIFS(d_rs_sched!$D:$D,$A14,d_rs_sched!$I:$I,T$1,d_rs_sched!$K:$K,$A14)),1),1)</f>
        <v>7.333333333333333</v>
      </c>
      <c r="U14">
        <f>IFERROR((SUMIFS(d_rs_sched!$J:$J,d_rs_sched!$D:$D,$A14,d_rs_sched!$I:$I,$A14,d_rs_sched!$K:$K,U$1)+SUMIFS(d_rs_sched!$L:$L,d_rs_sched!$D:$D,$A14,d_rs_sched!$K:$K,$A14,d_rs_sched!$I:$I,U$1))-(SUMIFS(d_rs_sched!$L:$L,d_rs_sched!$D:$D,$A14,d_rs_sched!$I:$I,$A14,d_rs_sched!$K:$K,U$1)+SUMIFS(d_rs_sched!$J:$J,d_rs_sched!$D:$D,$A14,d_rs_sched!$K:$K,$A14,d_rs_sched!$I:$I,U$1)),0)/IFERROR(IF((COUNTIFS(d_rs_sched!$D:$D,$A14,d_rs_sched!$I:$I,$A14,d_rs_sched!$K:$K,U$1)+COUNTIFS(d_rs_sched!$D:$D,$A14,d_rs_sched!$I:$I,U$1,d_rs_sched!$K:$K,$A14))&gt;0,(COUNTIFS(d_rs_sched!$D:$D,$A14,d_rs_sched!$I:$I,$A14,d_rs_sched!$K:$K,U$1)+COUNTIFS(d_rs_sched!$D:$D,$A14,d_rs_sched!$I:$I,U$1,d_rs_sched!$K:$K,$A14)),1),1)</f>
        <v>26</v>
      </c>
      <c r="V14">
        <f>IFERROR((SUMIFS(d_rs_sched!$J:$J,d_rs_sched!$D:$D,$A14,d_rs_sched!$I:$I,$A14,d_rs_sched!$K:$K,V$1)+SUMIFS(d_rs_sched!$L:$L,d_rs_sched!$D:$D,$A14,d_rs_sched!$K:$K,$A14,d_rs_sched!$I:$I,V$1))-(SUMIFS(d_rs_sched!$L:$L,d_rs_sched!$D:$D,$A14,d_rs_sched!$I:$I,$A14,d_rs_sched!$K:$K,V$1)+SUMIFS(d_rs_sched!$J:$J,d_rs_sched!$D:$D,$A14,d_rs_sched!$K:$K,$A14,d_rs_sched!$I:$I,V$1)),0)/IFERROR(IF((COUNTIFS(d_rs_sched!$D:$D,$A14,d_rs_sched!$I:$I,$A14,d_rs_sched!$K:$K,V$1)+COUNTIFS(d_rs_sched!$D:$D,$A14,d_rs_sched!$I:$I,V$1,d_rs_sched!$K:$K,$A14))&gt;0,(COUNTIFS(d_rs_sched!$D:$D,$A14,d_rs_sched!$I:$I,$A14,d_rs_sched!$K:$K,V$1)+COUNTIFS(d_rs_sched!$D:$D,$A14,d_rs_sched!$I:$I,V$1,d_rs_sched!$K:$K,$A14)),1),1)</f>
        <v>-2.6666666666666665</v>
      </c>
      <c r="W14">
        <f>IFERROR((SUMIFS(d_rs_sched!$J:$J,d_rs_sched!$D:$D,$A14,d_rs_sched!$I:$I,$A14,d_rs_sched!$K:$K,W$1)+SUMIFS(d_rs_sched!$L:$L,d_rs_sched!$D:$D,$A14,d_rs_sched!$K:$K,$A14,d_rs_sched!$I:$I,W$1))-(SUMIFS(d_rs_sched!$L:$L,d_rs_sched!$D:$D,$A14,d_rs_sched!$I:$I,$A14,d_rs_sched!$K:$K,W$1)+SUMIFS(d_rs_sched!$J:$J,d_rs_sched!$D:$D,$A14,d_rs_sched!$K:$K,$A14,d_rs_sched!$I:$I,W$1)),0)/IFERROR(IF((COUNTIFS(d_rs_sched!$D:$D,$A14,d_rs_sched!$I:$I,$A14,d_rs_sched!$K:$K,W$1)+COUNTIFS(d_rs_sched!$D:$D,$A14,d_rs_sched!$I:$I,W$1,d_rs_sched!$K:$K,$A14))&gt;0,(COUNTIFS(d_rs_sched!$D:$D,$A14,d_rs_sched!$I:$I,$A14,d_rs_sched!$K:$K,W$1)+COUNTIFS(d_rs_sched!$D:$D,$A14,d_rs_sched!$I:$I,W$1,d_rs_sched!$K:$K,$A14)),1),1)</f>
        <v>26</v>
      </c>
      <c r="X14">
        <f>IFERROR((SUMIFS(d_rs_sched!$J:$J,d_rs_sched!$D:$D,$A14,d_rs_sched!$I:$I,$A14,d_rs_sched!$K:$K,X$1)+SUMIFS(d_rs_sched!$L:$L,d_rs_sched!$D:$D,$A14,d_rs_sched!$K:$K,$A14,d_rs_sched!$I:$I,X$1))-(SUMIFS(d_rs_sched!$L:$L,d_rs_sched!$D:$D,$A14,d_rs_sched!$I:$I,$A14,d_rs_sched!$K:$K,X$1)+SUMIFS(d_rs_sched!$J:$J,d_rs_sched!$D:$D,$A14,d_rs_sched!$K:$K,$A14,d_rs_sched!$I:$I,X$1)),0)/IFERROR(IF((COUNTIFS(d_rs_sched!$D:$D,$A14,d_rs_sched!$I:$I,$A14,d_rs_sched!$K:$K,X$1)+COUNTIFS(d_rs_sched!$D:$D,$A14,d_rs_sched!$I:$I,X$1,d_rs_sched!$K:$K,$A14))&gt;0,(COUNTIFS(d_rs_sched!$D:$D,$A14,d_rs_sched!$I:$I,$A14,d_rs_sched!$K:$K,X$1)+COUNTIFS(d_rs_sched!$D:$D,$A14,d_rs_sched!$I:$I,X$1,d_rs_sched!$K:$K,$A14)),1),1)</f>
        <v>28.5</v>
      </c>
      <c r="Y14">
        <f>IFERROR((SUMIFS(d_rs_sched!$J:$J,d_rs_sched!$D:$D,$A14,d_rs_sched!$I:$I,$A14,d_rs_sched!$K:$K,Y$1)+SUMIFS(d_rs_sched!$L:$L,d_rs_sched!$D:$D,$A14,d_rs_sched!$K:$K,$A14,d_rs_sched!$I:$I,Y$1))-(SUMIFS(d_rs_sched!$L:$L,d_rs_sched!$D:$D,$A14,d_rs_sched!$I:$I,$A14,d_rs_sched!$K:$K,Y$1)+SUMIFS(d_rs_sched!$J:$J,d_rs_sched!$D:$D,$A14,d_rs_sched!$K:$K,$A14,d_rs_sched!$I:$I,Y$1)),0)/IFERROR(IF((COUNTIFS(d_rs_sched!$D:$D,$A14,d_rs_sched!$I:$I,$A14,d_rs_sched!$K:$K,Y$1)+COUNTIFS(d_rs_sched!$D:$D,$A14,d_rs_sched!$I:$I,Y$1,d_rs_sched!$K:$K,$A14))&gt;0,(COUNTIFS(d_rs_sched!$D:$D,$A14,d_rs_sched!$I:$I,$A14,d_rs_sched!$K:$K,Y$1)+COUNTIFS(d_rs_sched!$D:$D,$A14,d_rs_sched!$I:$I,Y$1,d_rs_sched!$K:$K,$A14)),1),1)</f>
        <v>11.25</v>
      </c>
      <c r="Z14">
        <f>IFERROR((SUMIFS(d_rs_sched!$J:$J,d_rs_sched!$D:$D,$A14,d_rs_sched!$I:$I,$A14,d_rs_sched!$K:$K,Z$1)+SUMIFS(d_rs_sched!$L:$L,d_rs_sched!$D:$D,$A14,d_rs_sched!$K:$K,$A14,d_rs_sched!$I:$I,Z$1))-(SUMIFS(d_rs_sched!$L:$L,d_rs_sched!$D:$D,$A14,d_rs_sched!$I:$I,$A14,d_rs_sched!$K:$K,Z$1)+SUMIFS(d_rs_sched!$J:$J,d_rs_sched!$D:$D,$A14,d_rs_sched!$K:$K,$A14,d_rs_sched!$I:$I,Z$1)),0)/IFERROR(IF((COUNTIFS(d_rs_sched!$D:$D,$A14,d_rs_sched!$I:$I,$A14,d_rs_sched!$K:$K,Z$1)+COUNTIFS(d_rs_sched!$D:$D,$A14,d_rs_sched!$I:$I,Z$1,d_rs_sched!$K:$K,$A14))&gt;0,(COUNTIFS(d_rs_sched!$D:$D,$A14,d_rs_sched!$I:$I,$A14,d_rs_sched!$K:$K,Z$1)+COUNTIFS(d_rs_sched!$D:$D,$A14,d_rs_sched!$I:$I,Z$1,d_rs_sched!$K:$K,$A14)),1),1)</f>
        <v>2.25</v>
      </c>
      <c r="AA14">
        <f>IFERROR((SUMIFS(d_rs_sched!$J:$J,d_rs_sched!$D:$D,$A14,d_rs_sched!$I:$I,$A14,d_rs_sched!$K:$K,AA$1)+SUMIFS(d_rs_sched!$L:$L,d_rs_sched!$D:$D,$A14,d_rs_sched!$K:$K,$A14,d_rs_sched!$I:$I,AA$1))-(SUMIFS(d_rs_sched!$L:$L,d_rs_sched!$D:$D,$A14,d_rs_sched!$I:$I,$A14,d_rs_sched!$K:$K,AA$1)+SUMIFS(d_rs_sched!$J:$J,d_rs_sched!$D:$D,$A14,d_rs_sched!$K:$K,$A14,d_rs_sched!$I:$I,AA$1)),0)/IFERROR(IF((COUNTIFS(d_rs_sched!$D:$D,$A14,d_rs_sched!$I:$I,$A14,d_rs_sched!$K:$K,AA$1)+COUNTIFS(d_rs_sched!$D:$D,$A14,d_rs_sched!$I:$I,AA$1,d_rs_sched!$K:$K,$A14))&gt;0,(COUNTIFS(d_rs_sched!$D:$D,$A14,d_rs_sched!$I:$I,$A14,d_rs_sched!$K:$K,AA$1)+COUNTIFS(d_rs_sched!$D:$D,$A14,d_rs_sched!$I:$I,AA$1,d_rs_sched!$K:$K,$A14)),1),1)</f>
        <v>3.25</v>
      </c>
      <c r="AB14">
        <f>IFERROR((SUMIFS(d_rs_sched!$J:$J,d_rs_sched!$D:$D,$A14,d_rs_sched!$I:$I,$A14,d_rs_sched!$K:$K,AB$1)+SUMIFS(d_rs_sched!$L:$L,d_rs_sched!$D:$D,$A14,d_rs_sched!$K:$K,$A14,d_rs_sched!$I:$I,AB$1))-(SUMIFS(d_rs_sched!$L:$L,d_rs_sched!$D:$D,$A14,d_rs_sched!$I:$I,$A14,d_rs_sched!$K:$K,AB$1)+SUMIFS(d_rs_sched!$J:$J,d_rs_sched!$D:$D,$A14,d_rs_sched!$K:$K,$A14,d_rs_sched!$I:$I,AB$1)),0)/IFERROR(IF((COUNTIFS(d_rs_sched!$D:$D,$A14,d_rs_sched!$I:$I,$A14,d_rs_sched!$K:$K,AB$1)+COUNTIFS(d_rs_sched!$D:$D,$A14,d_rs_sched!$I:$I,AB$1,d_rs_sched!$K:$K,$A14))&gt;0,(COUNTIFS(d_rs_sched!$D:$D,$A14,d_rs_sched!$I:$I,$A14,d_rs_sched!$K:$K,AB$1)+COUNTIFS(d_rs_sched!$D:$D,$A14,d_rs_sched!$I:$I,AB$1,d_rs_sched!$K:$K,$A14)),1),1)</f>
        <v>10.25</v>
      </c>
      <c r="AC14">
        <f>IFERROR((SUMIFS(d_rs_sched!$J:$J,d_rs_sched!$D:$D,$A14,d_rs_sched!$I:$I,$A14,d_rs_sched!$K:$K,AC$1)+SUMIFS(d_rs_sched!$L:$L,d_rs_sched!$D:$D,$A14,d_rs_sched!$K:$K,$A14,d_rs_sched!$I:$I,AC$1))-(SUMIFS(d_rs_sched!$L:$L,d_rs_sched!$D:$D,$A14,d_rs_sched!$I:$I,$A14,d_rs_sched!$K:$K,AC$1)+SUMIFS(d_rs_sched!$J:$J,d_rs_sched!$D:$D,$A14,d_rs_sched!$K:$K,$A14,d_rs_sched!$I:$I,AC$1)),0)/IFERROR(IF((COUNTIFS(d_rs_sched!$D:$D,$A14,d_rs_sched!$I:$I,$A14,d_rs_sched!$K:$K,AC$1)+COUNTIFS(d_rs_sched!$D:$D,$A14,d_rs_sched!$I:$I,AC$1,d_rs_sched!$K:$K,$A14))&gt;0,(COUNTIFS(d_rs_sched!$D:$D,$A14,d_rs_sched!$I:$I,$A14,d_rs_sched!$K:$K,AC$1)+COUNTIFS(d_rs_sched!$D:$D,$A14,d_rs_sched!$I:$I,AC$1,d_rs_sched!$K:$K,$A14)),1),1)</f>
        <v>-14</v>
      </c>
      <c r="AD14">
        <f>IFERROR((SUMIFS(d_rs_sched!$J:$J,d_rs_sched!$D:$D,$A14,d_rs_sched!$I:$I,$A14,d_rs_sched!$K:$K,AD$1)+SUMIFS(d_rs_sched!$L:$L,d_rs_sched!$D:$D,$A14,d_rs_sched!$K:$K,$A14,d_rs_sched!$I:$I,AD$1))-(SUMIFS(d_rs_sched!$L:$L,d_rs_sched!$D:$D,$A14,d_rs_sched!$I:$I,$A14,d_rs_sched!$K:$K,AD$1)+SUMIFS(d_rs_sched!$J:$J,d_rs_sched!$D:$D,$A14,d_rs_sched!$K:$K,$A14,d_rs_sched!$I:$I,AD$1)),0)/IFERROR(IF((COUNTIFS(d_rs_sched!$D:$D,$A14,d_rs_sched!$I:$I,$A14,d_rs_sched!$K:$K,AD$1)+COUNTIFS(d_rs_sched!$D:$D,$A14,d_rs_sched!$I:$I,AD$1,d_rs_sched!$K:$K,$A14))&gt;0,(COUNTIFS(d_rs_sched!$D:$D,$A14,d_rs_sched!$I:$I,$A14,d_rs_sched!$K:$K,AD$1)+COUNTIFS(d_rs_sched!$D:$D,$A14,d_rs_sched!$I:$I,AD$1,d_rs_sched!$K:$K,$A14)),1),1)</f>
        <v>7.75</v>
      </c>
      <c r="AE14">
        <f>IFERROR((SUMIFS(d_rs_sched!$J:$J,d_rs_sched!$D:$D,$A14,d_rs_sched!$I:$I,$A14,d_rs_sched!$K:$K,AE$1)+SUMIFS(d_rs_sched!$L:$L,d_rs_sched!$D:$D,$A14,d_rs_sched!$K:$K,$A14,d_rs_sched!$I:$I,AE$1))-(SUMIFS(d_rs_sched!$L:$L,d_rs_sched!$D:$D,$A14,d_rs_sched!$I:$I,$A14,d_rs_sched!$K:$K,AE$1)+SUMIFS(d_rs_sched!$J:$J,d_rs_sched!$D:$D,$A14,d_rs_sched!$K:$K,$A14,d_rs_sched!$I:$I,AE$1)),0)/IFERROR(IF((COUNTIFS(d_rs_sched!$D:$D,$A14,d_rs_sched!$I:$I,$A14,d_rs_sched!$K:$K,AE$1)+COUNTIFS(d_rs_sched!$D:$D,$A14,d_rs_sched!$I:$I,AE$1,d_rs_sched!$K:$K,$A14))&gt;0,(COUNTIFS(d_rs_sched!$D:$D,$A14,d_rs_sched!$I:$I,$A14,d_rs_sched!$K:$K,AE$1)+COUNTIFS(d_rs_sched!$D:$D,$A14,d_rs_sched!$I:$I,AE$1,d_rs_sched!$K:$K,$A14)),1),1)</f>
        <v>3</v>
      </c>
      <c r="AG14" t="s">
        <v>41</v>
      </c>
      <c r="AH14">
        <v>0.97659338334318946</v>
      </c>
      <c r="AI14">
        <f t="shared" si="0"/>
        <v>14</v>
      </c>
    </row>
    <row r="15" spans="1:35" x14ac:dyDescent="0.25">
      <c r="A15" t="s">
        <v>17</v>
      </c>
      <c r="B15">
        <f>IFERROR((SUMIFS(d_rs_sched!$J:$J,d_rs_sched!$D:$D,$A15,d_rs_sched!$I:$I,$A15,d_rs_sched!$K:$K,B$1)+SUMIFS(d_rs_sched!$L:$L,d_rs_sched!$D:$D,$A15,d_rs_sched!$K:$K,$A15,d_rs_sched!$I:$I,B$1))-(SUMIFS(d_rs_sched!$L:$L,d_rs_sched!$D:$D,$A15,d_rs_sched!$I:$I,$A15,d_rs_sched!$K:$K,B$1)+SUMIFS(d_rs_sched!$J:$J,d_rs_sched!$D:$D,$A15,d_rs_sched!$K:$K,$A15,d_rs_sched!$I:$I,B$1)),0)/IFERROR(IF((COUNTIFS(d_rs_sched!$D:$D,$A15,d_rs_sched!$I:$I,$A15,d_rs_sched!$K:$K,B$1)+COUNTIFS(d_rs_sched!$D:$D,$A15,d_rs_sched!$I:$I,B$1,d_rs_sched!$K:$K,$A15))&gt;0,(COUNTIFS(d_rs_sched!$D:$D,$A15,d_rs_sched!$I:$I,$A15,d_rs_sched!$K:$K,B$1)+COUNTIFS(d_rs_sched!$D:$D,$A15,d_rs_sched!$I:$I,B$1,d_rs_sched!$K:$K,$A15)),1),1)</f>
        <v>0</v>
      </c>
      <c r="C15">
        <f>IFERROR((SUMIFS(d_rs_sched!$J:$J,d_rs_sched!$D:$D,$A15,d_rs_sched!$I:$I,$A15,d_rs_sched!$K:$K,C$1)+SUMIFS(d_rs_sched!$L:$L,d_rs_sched!$D:$D,$A15,d_rs_sched!$K:$K,$A15,d_rs_sched!$I:$I,C$1))-(SUMIFS(d_rs_sched!$L:$L,d_rs_sched!$D:$D,$A15,d_rs_sched!$I:$I,$A15,d_rs_sched!$K:$K,C$1)+SUMIFS(d_rs_sched!$J:$J,d_rs_sched!$D:$D,$A15,d_rs_sched!$K:$K,$A15,d_rs_sched!$I:$I,C$1)),0)/IFERROR(IF((COUNTIFS(d_rs_sched!$D:$D,$A15,d_rs_sched!$I:$I,$A15,d_rs_sched!$K:$K,C$1)+COUNTIFS(d_rs_sched!$D:$D,$A15,d_rs_sched!$I:$I,C$1,d_rs_sched!$K:$K,$A15))&gt;0,(COUNTIFS(d_rs_sched!$D:$D,$A15,d_rs_sched!$I:$I,$A15,d_rs_sched!$K:$K,C$1)+COUNTIFS(d_rs_sched!$D:$D,$A15,d_rs_sched!$I:$I,C$1,d_rs_sched!$K:$K,$A15)),1),1)</f>
        <v>-8.5</v>
      </c>
      <c r="D15">
        <f>IFERROR((SUMIFS(d_rs_sched!$J:$J,d_rs_sched!$D:$D,$A15,d_rs_sched!$I:$I,$A15,d_rs_sched!$K:$K,D$1)+SUMIFS(d_rs_sched!$L:$L,d_rs_sched!$D:$D,$A15,d_rs_sched!$K:$K,$A15,d_rs_sched!$I:$I,D$1))-(SUMIFS(d_rs_sched!$L:$L,d_rs_sched!$D:$D,$A15,d_rs_sched!$I:$I,$A15,d_rs_sched!$K:$K,D$1)+SUMIFS(d_rs_sched!$J:$J,d_rs_sched!$D:$D,$A15,d_rs_sched!$K:$K,$A15,d_rs_sched!$I:$I,D$1)),0)/IFERROR(IF((COUNTIFS(d_rs_sched!$D:$D,$A15,d_rs_sched!$I:$I,$A15,d_rs_sched!$K:$K,D$1)+COUNTIFS(d_rs_sched!$D:$D,$A15,d_rs_sched!$I:$I,D$1,d_rs_sched!$K:$K,$A15))&gt;0,(COUNTIFS(d_rs_sched!$D:$D,$A15,d_rs_sched!$I:$I,$A15,d_rs_sched!$K:$K,D$1)+COUNTIFS(d_rs_sched!$D:$D,$A15,d_rs_sched!$I:$I,D$1,d_rs_sched!$K:$K,$A15)),1),1)</f>
        <v>-5</v>
      </c>
      <c r="E15">
        <f>IFERROR((SUMIFS(d_rs_sched!$J:$J,d_rs_sched!$D:$D,$A15,d_rs_sched!$I:$I,$A15,d_rs_sched!$K:$K,E$1)+SUMIFS(d_rs_sched!$L:$L,d_rs_sched!$D:$D,$A15,d_rs_sched!$K:$K,$A15,d_rs_sched!$I:$I,E$1))-(SUMIFS(d_rs_sched!$L:$L,d_rs_sched!$D:$D,$A15,d_rs_sched!$I:$I,$A15,d_rs_sched!$K:$K,E$1)+SUMIFS(d_rs_sched!$J:$J,d_rs_sched!$D:$D,$A15,d_rs_sched!$K:$K,$A15,d_rs_sched!$I:$I,E$1)),0)/IFERROR(IF((COUNTIFS(d_rs_sched!$D:$D,$A15,d_rs_sched!$I:$I,$A15,d_rs_sched!$K:$K,E$1)+COUNTIFS(d_rs_sched!$D:$D,$A15,d_rs_sched!$I:$I,E$1,d_rs_sched!$K:$K,$A15))&gt;0,(COUNTIFS(d_rs_sched!$D:$D,$A15,d_rs_sched!$I:$I,$A15,d_rs_sched!$K:$K,E$1)+COUNTIFS(d_rs_sched!$D:$D,$A15,d_rs_sched!$I:$I,E$1,d_rs_sched!$K:$K,$A15)),1),1)</f>
        <v>7</v>
      </c>
      <c r="F15">
        <f>IFERROR((SUMIFS(d_rs_sched!$J:$J,d_rs_sched!$D:$D,$A15,d_rs_sched!$I:$I,$A15,d_rs_sched!$K:$K,F$1)+SUMIFS(d_rs_sched!$L:$L,d_rs_sched!$D:$D,$A15,d_rs_sched!$K:$K,$A15,d_rs_sched!$I:$I,F$1))-(SUMIFS(d_rs_sched!$L:$L,d_rs_sched!$D:$D,$A15,d_rs_sched!$I:$I,$A15,d_rs_sched!$K:$K,F$1)+SUMIFS(d_rs_sched!$J:$J,d_rs_sched!$D:$D,$A15,d_rs_sched!$K:$K,$A15,d_rs_sched!$I:$I,F$1)),0)/IFERROR(IF((COUNTIFS(d_rs_sched!$D:$D,$A15,d_rs_sched!$I:$I,$A15,d_rs_sched!$K:$K,F$1)+COUNTIFS(d_rs_sched!$D:$D,$A15,d_rs_sched!$I:$I,F$1,d_rs_sched!$K:$K,$A15))&gt;0,(COUNTIFS(d_rs_sched!$D:$D,$A15,d_rs_sched!$I:$I,$A15,d_rs_sched!$K:$K,F$1)+COUNTIFS(d_rs_sched!$D:$D,$A15,d_rs_sched!$I:$I,F$1,d_rs_sched!$K:$K,$A15)),1),1)</f>
        <v>-7.5</v>
      </c>
      <c r="G15">
        <f>IFERROR((SUMIFS(d_rs_sched!$J:$J,d_rs_sched!$D:$D,$A15,d_rs_sched!$I:$I,$A15,d_rs_sched!$K:$K,G$1)+SUMIFS(d_rs_sched!$L:$L,d_rs_sched!$D:$D,$A15,d_rs_sched!$K:$K,$A15,d_rs_sched!$I:$I,G$1))-(SUMIFS(d_rs_sched!$L:$L,d_rs_sched!$D:$D,$A15,d_rs_sched!$I:$I,$A15,d_rs_sched!$K:$K,G$1)+SUMIFS(d_rs_sched!$J:$J,d_rs_sched!$D:$D,$A15,d_rs_sched!$K:$K,$A15,d_rs_sched!$I:$I,G$1)),0)/IFERROR(IF((COUNTIFS(d_rs_sched!$D:$D,$A15,d_rs_sched!$I:$I,$A15,d_rs_sched!$K:$K,G$1)+COUNTIFS(d_rs_sched!$D:$D,$A15,d_rs_sched!$I:$I,G$1,d_rs_sched!$K:$K,$A15))&gt;0,(COUNTIFS(d_rs_sched!$D:$D,$A15,d_rs_sched!$I:$I,$A15,d_rs_sched!$K:$K,G$1)+COUNTIFS(d_rs_sched!$D:$D,$A15,d_rs_sched!$I:$I,G$1,d_rs_sched!$K:$K,$A15)),1),1)</f>
        <v>-11</v>
      </c>
      <c r="H15">
        <f>IFERROR((SUMIFS(d_rs_sched!$J:$J,d_rs_sched!$D:$D,$A15,d_rs_sched!$I:$I,$A15,d_rs_sched!$K:$K,H$1)+SUMIFS(d_rs_sched!$L:$L,d_rs_sched!$D:$D,$A15,d_rs_sched!$K:$K,$A15,d_rs_sched!$I:$I,H$1))-(SUMIFS(d_rs_sched!$L:$L,d_rs_sched!$D:$D,$A15,d_rs_sched!$I:$I,$A15,d_rs_sched!$K:$K,H$1)+SUMIFS(d_rs_sched!$J:$J,d_rs_sched!$D:$D,$A15,d_rs_sched!$K:$K,$A15,d_rs_sched!$I:$I,H$1)),0)/IFERROR(IF((COUNTIFS(d_rs_sched!$D:$D,$A15,d_rs_sched!$I:$I,$A15,d_rs_sched!$K:$K,H$1)+COUNTIFS(d_rs_sched!$D:$D,$A15,d_rs_sched!$I:$I,H$1,d_rs_sched!$K:$K,$A15))&gt;0,(COUNTIFS(d_rs_sched!$D:$D,$A15,d_rs_sched!$I:$I,$A15,d_rs_sched!$K:$K,H$1)+COUNTIFS(d_rs_sched!$D:$D,$A15,d_rs_sched!$I:$I,H$1,d_rs_sched!$K:$K,$A15)),1),1)</f>
        <v>-14.75</v>
      </c>
      <c r="I15">
        <f>IFERROR((SUMIFS(d_rs_sched!$J:$J,d_rs_sched!$D:$D,$A15,d_rs_sched!$I:$I,$A15,d_rs_sched!$K:$K,I$1)+SUMIFS(d_rs_sched!$L:$L,d_rs_sched!$D:$D,$A15,d_rs_sched!$K:$K,$A15,d_rs_sched!$I:$I,I$1))-(SUMIFS(d_rs_sched!$L:$L,d_rs_sched!$D:$D,$A15,d_rs_sched!$I:$I,$A15,d_rs_sched!$K:$K,I$1)+SUMIFS(d_rs_sched!$J:$J,d_rs_sched!$D:$D,$A15,d_rs_sched!$K:$K,$A15,d_rs_sched!$I:$I,I$1)),0)/IFERROR(IF((COUNTIFS(d_rs_sched!$D:$D,$A15,d_rs_sched!$I:$I,$A15,d_rs_sched!$K:$K,I$1)+COUNTIFS(d_rs_sched!$D:$D,$A15,d_rs_sched!$I:$I,I$1,d_rs_sched!$K:$K,$A15))&gt;0,(COUNTIFS(d_rs_sched!$D:$D,$A15,d_rs_sched!$I:$I,$A15,d_rs_sched!$K:$K,I$1)+COUNTIFS(d_rs_sched!$D:$D,$A15,d_rs_sched!$I:$I,I$1,d_rs_sched!$K:$K,$A15)),1),1)</f>
        <v>-6.75</v>
      </c>
      <c r="J15">
        <f>IFERROR((SUMIFS(d_rs_sched!$J:$J,d_rs_sched!$D:$D,$A15,d_rs_sched!$I:$I,$A15,d_rs_sched!$K:$K,J$1)+SUMIFS(d_rs_sched!$L:$L,d_rs_sched!$D:$D,$A15,d_rs_sched!$K:$K,$A15,d_rs_sched!$I:$I,J$1))-(SUMIFS(d_rs_sched!$L:$L,d_rs_sched!$D:$D,$A15,d_rs_sched!$I:$I,$A15,d_rs_sched!$K:$K,J$1)+SUMIFS(d_rs_sched!$J:$J,d_rs_sched!$D:$D,$A15,d_rs_sched!$K:$K,$A15,d_rs_sched!$I:$I,J$1)),0)/IFERROR(IF((COUNTIFS(d_rs_sched!$D:$D,$A15,d_rs_sched!$I:$I,$A15,d_rs_sched!$K:$K,J$1)+COUNTIFS(d_rs_sched!$D:$D,$A15,d_rs_sched!$I:$I,J$1,d_rs_sched!$K:$K,$A15))&gt;0,(COUNTIFS(d_rs_sched!$D:$D,$A15,d_rs_sched!$I:$I,$A15,d_rs_sched!$K:$K,J$1)+COUNTIFS(d_rs_sched!$D:$D,$A15,d_rs_sched!$I:$I,J$1,d_rs_sched!$K:$K,$A15)),1),1)</f>
        <v>9</v>
      </c>
      <c r="K15">
        <f>IFERROR((SUMIFS(d_rs_sched!$J:$J,d_rs_sched!$D:$D,$A15,d_rs_sched!$I:$I,$A15,d_rs_sched!$K:$K,K$1)+SUMIFS(d_rs_sched!$L:$L,d_rs_sched!$D:$D,$A15,d_rs_sched!$K:$K,$A15,d_rs_sched!$I:$I,K$1))-(SUMIFS(d_rs_sched!$L:$L,d_rs_sched!$D:$D,$A15,d_rs_sched!$I:$I,$A15,d_rs_sched!$K:$K,K$1)+SUMIFS(d_rs_sched!$J:$J,d_rs_sched!$D:$D,$A15,d_rs_sched!$K:$K,$A15,d_rs_sched!$I:$I,K$1)),0)/IFERROR(IF((COUNTIFS(d_rs_sched!$D:$D,$A15,d_rs_sched!$I:$I,$A15,d_rs_sched!$K:$K,K$1)+COUNTIFS(d_rs_sched!$D:$D,$A15,d_rs_sched!$I:$I,K$1,d_rs_sched!$K:$K,$A15))&gt;0,(COUNTIFS(d_rs_sched!$D:$D,$A15,d_rs_sched!$I:$I,$A15,d_rs_sched!$K:$K,K$1)+COUNTIFS(d_rs_sched!$D:$D,$A15,d_rs_sched!$I:$I,K$1,d_rs_sched!$K:$K,$A15)),1),1)</f>
        <v>-9.25</v>
      </c>
      <c r="L15">
        <f>IFERROR((SUMIFS(d_rs_sched!$J:$J,d_rs_sched!$D:$D,$A15,d_rs_sched!$I:$I,$A15,d_rs_sched!$K:$K,L$1)+SUMIFS(d_rs_sched!$L:$L,d_rs_sched!$D:$D,$A15,d_rs_sched!$K:$K,$A15,d_rs_sched!$I:$I,L$1))-(SUMIFS(d_rs_sched!$L:$L,d_rs_sched!$D:$D,$A15,d_rs_sched!$I:$I,$A15,d_rs_sched!$K:$K,L$1)+SUMIFS(d_rs_sched!$J:$J,d_rs_sched!$D:$D,$A15,d_rs_sched!$K:$K,$A15,d_rs_sched!$I:$I,L$1)),0)/IFERROR(IF((COUNTIFS(d_rs_sched!$D:$D,$A15,d_rs_sched!$I:$I,$A15,d_rs_sched!$K:$K,L$1)+COUNTIFS(d_rs_sched!$D:$D,$A15,d_rs_sched!$I:$I,L$1,d_rs_sched!$K:$K,$A15))&gt;0,(COUNTIFS(d_rs_sched!$D:$D,$A15,d_rs_sched!$I:$I,$A15,d_rs_sched!$K:$K,L$1)+COUNTIFS(d_rs_sched!$D:$D,$A15,d_rs_sched!$I:$I,L$1,d_rs_sched!$K:$K,$A15)),1),1)</f>
        <v>-8</v>
      </c>
      <c r="M15">
        <f>IFERROR((SUMIFS(d_rs_sched!$J:$J,d_rs_sched!$D:$D,$A15,d_rs_sched!$I:$I,$A15,d_rs_sched!$K:$K,M$1)+SUMIFS(d_rs_sched!$L:$L,d_rs_sched!$D:$D,$A15,d_rs_sched!$K:$K,$A15,d_rs_sched!$I:$I,M$1))-(SUMIFS(d_rs_sched!$L:$L,d_rs_sched!$D:$D,$A15,d_rs_sched!$I:$I,$A15,d_rs_sched!$K:$K,M$1)+SUMIFS(d_rs_sched!$J:$J,d_rs_sched!$D:$D,$A15,d_rs_sched!$K:$K,$A15,d_rs_sched!$I:$I,M$1)),0)/IFERROR(IF((COUNTIFS(d_rs_sched!$D:$D,$A15,d_rs_sched!$I:$I,$A15,d_rs_sched!$K:$K,M$1)+COUNTIFS(d_rs_sched!$D:$D,$A15,d_rs_sched!$I:$I,M$1,d_rs_sched!$K:$K,$A15))&gt;0,(COUNTIFS(d_rs_sched!$D:$D,$A15,d_rs_sched!$I:$I,$A15,d_rs_sched!$K:$K,M$1)+COUNTIFS(d_rs_sched!$D:$D,$A15,d_rs_sched!$I:$I,M$1,d_rs_sched!$K:$K,$A15)),1),1)</f>
        <v>-9</v>
      </c>
      <c r="N15">
        <f>IFERROR((SUMIFS(d_rs_sched!$J:$J,d_rs_sched!$D:$D,$A15,d_rs_sched!$I:$I,$A15,d_rs_sched!$K:$K,N$1)+SUMIFS(d_rs_sched!$L:$L,d_rs_sched!$D:$D,$A15,d_rs_sched!$K:$K,$A15,d_rs_sched!$I:$I,N$1))-(SUMIFS(d_rs_sched!$L:$L,d_rs_sched!$D:$D,$A15,d_rs_sched!$I:$I,$A15,d_rs_sched!$K:$K,N$1)+SUMIFS(d_rs_sched!$J:$J,d_rs_sched!$D:$D,$A15,d_rs_sched!$K:$K,$A15,d_rs_sched!$I:$I,N$1)),0)/IFERROR(IF((COUNTIFS(d_rs_sched!$D:$D,$A15,d_rs_sched!$I:$I,$A15,d_rs_sched!$K:$K,N$1)+COUNTIFS(d_rs_sched!$D:$D,$A15,d_rs_sched!$I:$I,N$1,d_rs_sched!$K:$K,$A15))&gt;0,(COUNTIFS(d_rs_sched!$D:$D,$A15,d_rs_sched!$I:$I,$A15,d_rs_sched!$K:$K,N$1)+COUNTIFS(d_rs_sched!$D:$D,$A15,d_rs_sched!$I:$I,N$1,d_rs_sched!$K:$K,$A15)),1),1)</f>
        <v>-16.25</v>
      </c>
      <c r="O15">
        <f>IFERROR((SUMIFS(d_rs_sched!$J:$J,d_rs_sched!$D:$D,$A15,d_rs_sched!$I:$I,$A15,d_rs_sched!$K:$K,O$1)+SUMIFS(d_rs_sched!$L:$L,d_rs_sched!$D:$D,$A15,d_rs_sched!$K:$K,$A15,d_rs_sched!$I:$I,O$1))-(SUMIFS(d_rs_sched!$L:$L,d_rs_sched!$D:$D,$A15,d_rs_sched!$I:$I,$A15,d_rs_sched!$K:$K,O$1)+SUMIFS(d_rs_sched!$J:$J,d_rs_sched!$D:$D,$A15,d_rs_sched!$K:$K,$A15,d_rs_sched!$I:$I,O$1)),0)/IFERROR(IF((COUNTIFS(d_rs_sched!$D:$D,$A15,d_rs_sched!$I:$I,$A15,d_rs_sched!$K:$K,O$1)+COUNTIFS(d_rs_sched!$D:$D,$A15,d_rs_sched!$I:$I,O$1,d_rs_sched!$K:$K,$A15))&gt;0,(COUNTIFS(d_rs_sched!$D:$D,$A15,d_rs_sched!$I:$I,$A15,d_rs_sched!$K:$K,O$1)+COUNTIFS(d_rs_sched!$D:$D,$A15,d_rs_sched!$I:$I,O$1,d_rs_sched!$K:$K,$A15)),1),1)</f>
        <v>0</v>
      </c>
      <c r="P15">
        <f>IFERROR((SUMIFS(d_rs_sched!$J:$J,d_rs_sched!$D:$D,$A15,d_rs_sched!$I:$I,$A15,d_rs_sched!$K:$K,P$1)+SUMIFS(d_rs_sched!$L:$L,d_rs_sched!$D:$D,$A15,d_rs_sched!$K:$K,$A15,d_rs_sched!$I:$I,P$1))-(SUMIFS(d_rs_sched!$L:$L,d_rs_sched!$D:$D,$A15,d_rs_sched!$I:$I,$A15,d_rs_sched!$K:$K,P$1)+SUMIFS(d_rs_sched!$J:$J,d_rs_sched!$D:$D,$A15,d_rs_sched!$K:$K,$A15,d_rs_sched!$I:$I,P$1)),0)/IFERROR(IF((COUNTIFS(d_rs_sched!$D:$D,$A15,d_rs_sched!$I:$I,$A15,d_rs_sched!$K:$K,P$1)+COUNTIFS(d_rs_sched!$D:$D,$A15,d_rs_sched!$I:$I,P$1,d_rs_sched!$K:$K,$A15))&gt;0,(COUNTIFS(d_rs_sched!$D:$D,$A15,d_rs_sched!$I:$I,$A15,d_rs_sched!$K:$K,P$1)+COUNTIFS(d_rs_sched!$D:$D,$A15,d_rs_sched!$I:$I,P$1,d_rs_sched!$K:$K,$A15)),1),1)</f>
        <v>-5.25</v>
      </c>
      <c r="Q15">
        <f>IFERROR((SUMIFS(d_rs_sched!$J:$J,d_rs_sched!$D:$D,$A15,d_rs_sched!$I:$I,$A15,d_rs_sched!$K:$K,Q$1)+SUMIFS(d_rs_sched!$L:$L,d_rs_sched!$D:$D,$A15,d_rs_sched!$K:$K,$A15,d_rs_sched!$I:$I,Q$1))-(SUMIFS(d_rs_sched!$L:$L,d_rs_sched!$D:$D,$A15,d_rs_sched!$I:$I,$A15,d_rs_sched!$K:$K,Q$1)+SUMIFS(d_rs_sched!$J:$J,d_rs_sched!$D:$D,$A15,d_rs_sched!$K:$K,$A15,d_rs_sched!$I:$I,Q$1)),0)/IFERROR(IF((COUNTIFS(d_rs_sched!$D:$D,$A15,d_rs_sched!$I:$I,$A15,d_rs_sched!$K:$K,Q$1)+COUNTIFS(d_rs_sched!$D:$D,$A15,d_rs_sched!$I:$I,Q$1,d_rs_sched!$K:$K,$A15))&gt;0,(COUNTIFS(d_rs_sched!$D:$D,$A15,d_rs_sched!$I:$I,$A15,d_rs_sched!$K:$K,Q$1)+COUNTIFS(d_rs_sched!$D:$D,$A15,d_rs_sched!$I:$I,Q$1,d_rs_sched!$K:$K,$A15)),1),1)</f>
        <v>-4.5</v>
      </c>
      <c r="R15">
        <f>IFERROR((SUMIFS(d_rs_sched!$J:$J,d_rs_sched!$D:$D,$A15,d_rs_sched!$I:$I,$A15,d_rs_sched!$K:$K,R$1)+SUMIFS(d_rs_sched!$L:$L,d_rs_sched!$D:$D,$A15,d_rs_sched!$K:$K,$A15,d_rs_sched!$I:$I,R$1))-(SUMIFS(d_rs_sched!$L:$L,d_rs_sched!$D:$D,$A15,d_rs_sched!$I:$I,$A15,d_rs_sched!$K:$K,R$1)+SUMIFS(d_rs_sched!$J:$J,d_rs_sched!$D:$D,$A15,d_rs_sched!$K:$K,$A15,d_rs_sched!$I:$I,R$1)),0)/IFERROR(IF((COUNTIFS(d_rs_sched!$D:$D,$A15,d_rs_sched!$I:$I,$A15,d_rs_sched!$K:$K,R$1)+COUNTIFS(d_rs_sched!$D:$D,$A15,d_rs_sched!$I:$I,R$1,d_rs_sched!$K:$K,$A15))&gt;0,(COUNTIFS(d_rs_sched!$D:$D,$A15,d_rs_sched!$I:$I,$A15,d_rs_sched!$K:$K,R$1)+COUNTIFS(d_rs_sched!$D:$D,$A15,d_rs_sched!$I:$I,R$1,d_rs_sched!$K:$K,$A15)),1),1)</f>
        <v>0</v>
      </c>
      <c r="S15">
        <f>IFERROR((SUMIFS(d_rs_sched!$J:$J,d_rs_sched!$D:$D,$A15,d_rs_sched!$I:$I,$A15,d_rs_sched!$K:$K,S$1)+SUMIFS(d_rs_sched!$L:$L,d_rs_sched!$D:$D,$A15,d_rs_sched!$K:$K,$A15,d_rs_sched!$I:$I,S$1))-(SUMIFS(d_rs_sched!$L:$L,d_rs_sched!$D:$D,$A15,d_rs_sched!$I:$I,$A15,d_rs_sched!$K:$K,S$1)+SUMIFS(d_rs_sched!$J:$J,d_rs_sched!$D:$D,$A15,d_rs_sched!$K:$K,$A15,d_rs_sched!$I:$I,S$1)),0)/IFERROR(IF((COUNTIFS(d_rs_sched!$D:$D,$A15,d_rs_sched!$I:$I,$A15,d_rs_sched!$K:$K,S$1)+COUNTIFS(d_rs_sched!$D:$D,$A15,d_rs_sched!$I:$I,S$1,d_rs_sched!$K:$K,$A15))&gt;0,(COUNTIFS(d_rs_sched!$D:$D,$A15,d_rs_sched!$I:$I,$A15,d_rs_sched!$K:$K,S$1)+COUNTIFS(d_rs_sched!$D:$D,$A15,d_rs_sched!$I:$I,S$1,d_rs_sched!$K:$K,$A15)),1),1)</f>
        <v>3.75</v>
      </c>
      <c r="T15">
        <f>IFERROR((SUMIFS(d_rs_sched!$J:$J,d_rs_sched!$D:$D,$A15,d_rs_sched!$I:$I,$A15,d_rs_sched!$K:$K,T$1)+SUMIFS(d_rs_sched!$L:$L,d_rs_sched!$D:$D,$A15,d_rs_sched!$K:$K,$A15,d_rs_sched!$I:$I,T$1))-(SUMIFS(d_rs_sched!$L:$L,d_rs_sched!$D:$D,$A15,d_rs_sched!$I:$I,$A15,d_rs_sched!$K:$K,T$1)+SUMIFS(d_rs_sched!$J:$J,d_rs_sched!$D:$D,$A15,d_rs_sched!$K:$K,$A15,d_rs_sched!$I:$I,T$1)),0)/IFERROR(IF((COUNTIFS(d_rs_sched!$D:$D,$A15,d_rs_sched!$I:$I,$A15,d_rs_sched!$K:$K,T$1)+COUNTIFS(d_rs_sched!$D:$D,$A15,d_rs_sched!$I:$I,T$1,d_rs_sched!$K:$K,$A15))&gt;0,(COUNTIFS(d_rs_sched!$D:$D,$A15,d_rs_sched!$I:$I,$A15,d_rs_sched!$K:$K,T$1)+COUNTIFS(d_rs_sched!$D:$D,$A15,d_rs_sched!$I:$I,T$1,d_rs_sched!$K:$K,$A15)),1),1)</f>
        <v>-15.25</v>
      </c>
      <c r="U15">
        <f>IFERROR((SUMIFS(d_rs_sched!$J:$J,d_rs_sched!$D:$D,$A15,d_rs_sched!$I:$I,$A15,d_rs_sched!$K:$K,U$1)+SUMIFS(d_rs_sched!$L:$L,d_rs_sched!$D:$D,$A15,d_rs_sched!$K:$K,$A15,d_rs_sched!$I:$I,U$1))-(SUMIFS(d_rs_sched!$L:$L,d_rs_sched!$D:$D,$A15,d_rs_sched!$I:$I,$A15,d_rs_sched!$K:$K,U$1)+SUMIFS(d_rs_sched!$J:$J,d_rs_sched!$D:$D,$A15,d_rs_sched!$K:$K,$A15,d_rs_sched!$I:$I,U$1)),0)/IFERROR(IF((COUNTIFS(d_rs_sched!$D:$D,$A15,d_rs_sched!$I:$I,$A15,d_rs_sched!$K:$K,U$1)+COUNTIFS(d_rs_sched!$D:$D,$A15,d_rs_sched!$I:$I,U$1,d_rs_sched!$K:$K,$A15))&gt;0,(COUNTIFS(d_rs_sched!$D:$D,$A15,d_rs_sched!$I:$I,$A15,d_rs_sched!$K:$K,U$1)+COUNTIFS(d_rs_sched!$D:$D,$A15,d_rs_sched!$I:$I,U$1,d_rs_sched!$K:$K,$A15)),1),1)</f>
        <v>-9.5</v>
      </c>
      <c r="V15">
        <f>IFERROR((SUMIFS(d_rs_sched!$J:$J,d_rs_sched!$D:$D,$A15,d_rs_sched!$I:$I,$A15,d_rs_sched!$K:$K,V$1)+SUMIFS(d_rs_sched!$L:$L,d_rs_sched!$D:$D,$A15,d_rs_sched!$K:$K,$A15,d_rs_sched!$I:$I,V$1))-(SUMIFS(d_rs_sched!$L:$L,d_rs_sched!$D:$D,$A15,d_rs_sched!$I:$I,$A15,d_rs_sched!$K:$K,V$1)+SUMIFS(d_rs_sched!$J:$J,d_rs_sched!$D:$D,$A15,d_rs_sched!$K:$K,$A15,d_rs_sched!$I:$I,V$1)),0)/IFERROR(IF((COUNTIFS(d_rs_sched!$D:$D,$A15,d_rs_sched!$I:$I,$A15,d_rs_sched!$K:$K,V$1)+COUNTIFS(d_rs_sched!$D:$D,$A15,d_rs_sched!$I:$I,V$1,d_rs_sched!$K:$K,$A15))&gt;0,(COUNTIFS(d_rs_sched!$D:$D,$A15,d_rs_sched!$I:$I,$A15,d_rs_sched!$K:$K,V$1)+COUNTIFS(d_rs_sched!$D:$D,$A15,d_rs_sched!$I:$I,V$1,d_rs_sched!$K:$K,$A15)),1),1)</f>
        <v>-6</v>
      </c>
      <c r="W15">
        <f>IFERROR((SUMIFS(d_rs_sched!$J:$J,d_rs_sched!$D:$D,$A15,d_rs_sched!$I:$I,$A15,d_rs_sched!$K:$K,W$1)+SUMIFS(d_rs_sched!$L:$L,d_rs_sched!$D:$D,$A15,d_rs_sched!$K:$K,$A15,d_rs_sched!$I:$I,W$1))-(SUMIFS(d_rs_sched!$L:$L,d_rs_sched!$D:$D,$A15,d_rs_sched!$I:$I,$A15,d_rs_sched!$K:$K,W$1)+SUMIFS(d_rs_sched!$J:$J,d_rs_sched!$D:$D,$A15,d_rs_sched!$K:$K,$A15,d_rs_sched!$I:$I,W$1)),0)/IFERROR(IF((COUNTIFS(d_rs_sched!$D:$D,$A15,d_rs_sched!$I:$I,$A15,d_rs_sched!$K:$K,W$1)+COUNTIFS(d_rs_sched!$D:$D,$A15,d_rs_sched!$I:$I,W$1,d_rs_sched!$K:$K,$A15))&gt;0,(COUNTIFS(d_rs_sched!$D:$D,$A15,d_rs_sched!$I:$I,$A15,d_rs_sched!$K:$K,W$1)+COUNTIFS(d_rs_sched!$D:$D,$A15,d_rs_sched!$I:$I,W$1,d_rs_sched!$K:$K,$A15)),1),1)</f>
        <v>5.5</v>
      </c>
      <c r="X15">
        <f>IFERROR((SUMIFS(d_rs_sched!$J:$J,d_rs_sched!$D:$D,$A15,d_rs_sched!$I:$I,$A15,d_rs_sched!$K:$K,X$1)+SUMIFS(d_rs_sched!$L:$L,d_rs_sched!$D:$D,$A15,d_rs_sched!$K:$K,$A15,d_rs_sched!$I:$I,X$1))-(SUMIFS(d_rs_sched!$L:$L,d_rs_sched!$D:$D,$A15,d_rs_sched!$I:$I,$A15,d_rs_sched!$K:$K,X$1)+SUMIFS(d_rs_sched!$J:$J,d_rs_sched!$D:$D,$A15,d_rs_sched!$K:$K,$A15,d_rs_sched!$I:$I,X$1)),0)/IFERROR(IF((COUNTIFS(d_rs_sched!$D:$D,$A15,d_rs_sched!$I:$I,$A15,d_rs_sched!$K:$K,X$1)+COUNTIFS(d_rs_sched!$D:$D,$A15,d_rs_sched!$I:$I,X$1,d_rs_sched!$K:$K,$A15))&gt;0,(COUNTIFS(d_rs_sched!$D:$D,$A15,d_rs_sched!$I:$I,$A15,d_rs_sched!$K:$K,X$1)+COUNTIFS(d_rs_sched!$D:$D,$A15,d_rs_sched!$I:$I,X$1,d_rs_sched!$K:$K,$A15)),1),1)</f>
        <v>8</v>
      </c>
      <c r="Y15">
        <f>IFERROR((SUMIFS(d_rs_sched!$J:$J,d_rs_sched!$D:$D,$A15,d_rs_sched!$I:$I,$A15,d_rs_sched!$K:$K,Y$1)+SUMIFS(d_rs_sched!$L:$L,d_rs_sched!$D:$D,$A15,d_rs_sched!$K:$K,$A15,d_rs_sched!$I:$I,Y$1))-(SUMIFS(d_rs_sched!$L:$L,d_rs_sched!$D:$D,$A15,d_rs_sched!$I:$I,$A15,d_rs_sched!$K:$K,Y$1)+SUMIFS(d_rs_sched!$J:$J,d_rs_sched!$D:$D,$A15,d_rs_sched!$K:$K,$A15,d_rs_sched!$I:$I,Y$1)),0)/IFERROR(IF((COUNTIFS(d_rs_sched!$D:$D,$A15,d_rs_sched!$I:$I,$A15,d_rs_sched!$K:$K,Y$1)+COUNTIFS(d_rs_sched!$D:$D,$A15,d_rs_sched!$I:$I,Y$1,d_rs_sched!$K:$K,$A15))&gt;0,(COUNTIFS(d_rs_sched!$D:$D,$A15,d_rs_sched!$I:$I,$A15,d_rs_sched!$K:$K,Y$1)+COUNTIFS(d_rs_sched!$D:$D,$A15,d_rs_sched!$I:$I,Y$1,d_rs_sched!$K:$K,$A15)),1),1)</f>
        <v>-12.5</v>
      </c>
      <c r="Z15">
        <f>IFERROR((SUMIFS(d_rs_sched!$J:$J,d_rs_sched!$D:$D,$A15,d_rs_sched!$I:$I,$A15,d_rs_sched!$K:$K,Z$1)+SUMIFS(d_rs_sched!$L:$L,d_rs_sched!$D:$D,$A15,d_rs_sched!$K:$K,$A15,d_rs_sched!$I:$I,Z$1))-(SUMIFS(d_rs_sched!$L:$L,d_rs_sched!$D:$D,$A15,d_rs_sched!$I:$I,$A15,d_rs_sched!$K:$K,Z$1)+SUMIFS(d_rs_sched!$J:$J,d_rs_sched!$D:$D,$A15,d_rs_sched!$K:$K,$A15,d_rs_sched!$I:$I,Z$1)),0)/IFERROR(IF((COUNTIFS(d_rs_sched!$D:$D,$A15,d_rs_sched!$I:$I,$A15,d_rs_sched!$K:$K,Z$1)+COUNTIFS(d_rs_sched!$D:$D,$A15,d_rs_sched!$I:$I,Z$1,d_rs_sched!$K:$K,$A15))&gt;0,(COUNTIFS(d_rs_sched!$D:$D,$A15,d_rs_sched!$I:$I,$A15,d_rs_sched!$K:$K,Z$1)+COUNTIFS(d_rs_sched!$D:$D,$A15,d_rs_sched!$I:$I,Z$1,d_rs_sched!$K:$K,$A15)),1),1)</f>
        <v>-15.5</v>
      </c>
      <c r="AA15">
        <f>IFERROR((SUMIFS(d_rs_sched!$J:$J,d_rs_sched!$D:$D,$A15,d_rs_sched!$I:$I,$A15,d_rs_sched!$K:$K,AA$1)+SUMIFS(d_rs_sched!$L:$L,d_rs_sched!$D:$D,$A15,d_rs_sched!$K:$K,$A15,d_rs_sched!$I:$I,AA$1))-(SUMIFS(d_rs_sched!$L:$L,d_rs_sched!$D:$D,$A15,d_rs_sched!$I:$I,$A15,d_rs_sched!$K:$K,AA$1)+SUMIFS(d_rs_sched!$J:$J,d_rs_sched!$D:$D,$A15,d_rs_sched!$K:$K,$A15,d_rs_sched!$I:$I,AA$1)),0)/IFERROR(IF((COUNTIFS(d_rs_sched!$D:$D,$A15,d_rs_sched!$I:$I,$A15,d_rs_sched!$K:$K,AA$1)+COUNTIFS(d_rs_sched!$D:$D,$A15,d_rs_sched!$I:$I,AA$1,d_rs_sched!$K:$K,$A15))&gt;0,(COUNTIFS(d_rs_sched!$D:$D,$A15,d_rs_sched!$I:$I,$A15,d_rs_sched!$K:$K,AA$1)+COUNTIFS(d_rs_sched!$D:$D,$A15,d_rs_sched!$I:$I,AA$1,d_rs_sched!$K:$K,$A15)),1),1)</f>
        <v>-8.3333333333333339</v>
      </c>
      <c r="AB15">
        <f>IFERROR((SUMIFS(d_rs_sched!$J:$J,d_rs_sched!$D:$D,$A15,d_rs_sched!$I:$I,$A15,d_rs_sched!$K:$K,AB$1)+SUMIFS(d_rs_sched!$L:$L,d_rs_sched!$D:$D,$A15,d_rs_sched!$K:$K,$A15,d_rs_sched!$I:$I,AB$1))-(SUMIFS(d_rs_sched!$L:$L,d_rs_sched!$D:$D,$A15,d_rs_sched!$I:$I,$A15,d_rs_sched!$K:$K,AB$1)+SUMIFS(d_rs_sched!$J:$J,d_rs_sched!$D:$D,$A15,d_rs_sched!$K:$K,$A15,d_rs_sched!$I:$I,AB$1)),0)/IFERROR(IF((COUNTIFS(d_rs_sched!$D:$D,$A15,d_rs_sched!$I:$I,$A15,d_rs_sched!$K:$K,AB$1)+COUNTIFS(d_rs_sched!$D:$D,$A15,d_rs_sched!$I:$I,AB$1,d_rs_sched!$K:$K,$A15))&gt;0,(COUNTIFS(d_rs_sched!$D:$D,$A15,d_rs_sched!$I:$I,$A15,d_rs_sched!$K:$K,AB$1)+COUNTIFS(d_rs_sched!$D:$D,$A15,d_rs_sched!$I:$I,AB$1,d_rs_sched!$K:$K,$A15)),1),1)</f>
        <v>-9.25</v>
      </c>
      <c r="AC15">
        <f>IFERROR((SUMIFS(d_rs_sched!$J:$J,d_rs_sched!$D:$D,$A15,d_rs_sched!$I:$I,$A15,d_rs_sched!$K:$K,AC$1)+SUMIFS(d_rs_sched!$L:$L,d_rs_sched!$D:$D,$A15,d_rs_sched!$K:$K,$A15,d_rs_sched!$I:$I,AC$1))-(SUMIFS(d_rs_sched!$L:$L,d_rs_sched!$D:$D,$A15,d_rs_sched!$I:$I,$A15,d_rs_sched!$K:$K,AC$1)+SUMIFS(d_rs_sched!$J:$J,d_rs_sched!$D:$D,$A15,d_rs_sched!$K:$K,$A15,d_rs_sched!$I:$I,AC$1)),0)/IFERROR(IF((COUNTIFS(d_rs_sched!$D:$D,$A15,d_rs_sched!$I:$I,$A15,d_rs_sched!$K:$K,AC$1)+COUNTIFS(d_rs_sched!$D:$D,$A15,d_rs_sched!$I:$I,AC$1,d_rs_sched!$K:$K,$A15))&gt;0,(COUNTIFS(d_rs_sched!$D:$D,$A15,d_rs_sched!$I:$I,$A15,d_rs_sched!$K:$K,AC$1)+COUNTIFS(d_rs_sched!$D:$D,$A15,d_rs_sched!$I:$I,AC$1,d_rs_sched!$K:$K,$A15)),1),1)</f>
        <v>-2</v>
      </c>
      <c r="AD15">
        <f>IFERROR((SUMIFS(d_rs_sched!$J:$J,d_rs_sched!$D:$D,$A15,d_rs_sched!$I:$I,$A15,d_rs_sched!$K:$K,AD$1)+SUMIFS(d_rs_sched!$L:$L,d_rs_sched!$D:$D,$A15,d_rs_sched!$K:$K,$A15,d_rs_sched!$I:$I,AD$1))-(SUMIFS(d_rs_sched!$L:$L,d_rs_sched!$D:$D,$A15,d_rs_sched!$I:$I,$A15,d_rs_sched!$K:$K,AD$1)+SUMIFS(d_rs_sched!$J:$J,d_rs_sched!$D:$D,$A15,d_rs_sched!$K:$K,$A15,d_rs_sched!$I:$I,AD$1)),0)/IFERROR(IF((COUNTIFS(d_rs_sched!$D:$D,$A15,d_rs_sched!$I:$I,$A15,d_rs_sched!$K:$K,AD$1)+COUNTIFS(d_rs_sched!$D:$D,$A15,d_rs_sched!$I:$I,AD$1,d_rs_sched!$K:$K,$A15))&gt;0,(COUNTIFS(d_rs_sched!$D:$D,$A15,d_rs_sched!$I:$I,$A15,d_rs_sched!$K:$K,AD$1)+COUNTIFS(d_rs_sched!$D:$D,$A15,d_rs_sched!$I:$I,AD$1,d_rs_sched!$K:$K,$A15)),1),1)</f>
        <v>-4.333333333333333</v>
      </c>
      <c r="AE15">
        <f>IFERROR((SUMIFS(d_rs_sched!$J:$J,d_rs_sched!$D:$D,$A15,d_rs_sched!$I:$I,$A15,d_rs_sched!$K:$K,AE$1)+SUMIFS(d_rs_sched!$L:$L,d_rs_sched!$D:$D,$A15,d_rs_sched!$K:$K,$A15,d_rs_sched!$I:$I,AE$1))-(SUMIFS(d_rs_sched!$L:$L,d_rs_sched!$D:$D,$A15,d_rs_sched!$I:$I,$A15,d_rs_sched!$K:$K,AE$1)+SUMIFS(d_rs_sched!$J:$J,d_rs_sched!$D:$D,$A15,d_rs_sched!$K:$K,$A15,d_rs_sched!$I:$I,AE$1)),0)/IFERROR(IF((COUNTIFS(d_rs_sched!$D:$D,$A15,d_rs_sched!$I:$I,$A15,d_rs_sched!$K:$K,AE$1)+COUNTIFS(d_rs_sched!$D:$D,$A15,d_rs_sched!$I:$I,AE$1,d_rs_sched!$K:$K,$A15))&gt;0,(COUNTIFS(d_rs_sched!$D:$D,$A15,d_rs_sched!$I:$I,$A15,d_rs_sched!$K:$K,AE$1)+COUNTIFS(d_rs_sched!$D:$D,$A15,d_rs_sched!$I:$I,AE$1,d_rs_sched!$K:$K,$A15)),1),1)</f>
        <v>-11</v>
      </c>
      <c r="AG15" t="s">
        <v>17</v>
      </c>
      <c r="AH15">
        <v>0.93619710502669873</v>
      </c>
      <c r="AI15">
        <f t="shared" si="0"/>
        <v>28</v>
      </c>
    </row>
    <row r="16" spans="1:35" x14ac:dyDescent="0.25">
      <c r="A16" t="s">
        <v>28</v>
      </c>
      <c r="B16">
        <f>IFERROR((SUMIFS(d_rs_sched!$J:$J,d_rs_sched!$D:$D,$A16,d_rs_sched!$I:$I,$A16,d_rs_sched!$K:$K,B$1)+SUMIFS(d_rs_sched!$L:$L,d_rs_sched!$D:$D,$A16,d_rs_sched!$K:$K,$A16,d_rs_sched!$I:$I,B$1))-(SUMIFS(d_rs_sched!$L:$L,d_rs_sched!$D:$D,$A16,d_rs_sched!$I:$I,$A16,d_rs_sched!$K:$K,B$1)+SUMIFS(d_rs_sched!$J:$J,d_rs_sched!$D:$D,$A16,d_rs_sched!$K:$K,$A16,d_rs_sched!$I:$I,B$1)),0)/IFERROR(IF((COUNTIFS(d_rs_sched!$D:$D,$A16,d_rs_sched!$I:$I,$A16,d_rs_sched!$K:$K,B$1)+COUNTIFS(d_rs_sched!$D:$D,$A16,d_rs_sched!$I:$I,B$1,d_rs_sched!$K:$K,$A16))&gt;0,(COUNTIFS(d_rs_sched!$D:$D,$A16,d_rs_sched!$I:$I,$A16,d_rs_sched!$K:$K,B$1)+COUNTIFS(d_rs_sched!$D:$D,$A16,d_rs_sched!$I:$I,B$1,d_rs_sched!$K:$K,$A16)),1),1)</f>
        <v>-2</v>
      </c>
      <c r="C16">
        <f>IFERROR((SUMIFS(d_rs_sched!$J:$J,d_rs_sched!$D:$D,$A16,d_rs_sched!$I:$I,$A16,d_rs_sched!$K:$K,C$1)+SUMIFS(d_rs_sched!$L:$L,d_rs_sched!$D:$D,$A16,d_rs_sched!$K:$K,$A16,d_rs_sched!$I:$I,C$1))-(SUMIFS(d_rs_sched!$L:$L,d_rs_sched!$D:$D,$A16,d_rs_sched!$I:$I,$A16,d_rs_sched!$K:$K,C$1)+SUMIFS(d_rs_sched!$J:$J,d_rs_sched!$D:$D,$A16,d_rs_sched!$K:$K,$A16,d_rs_sched!$I:$I,C$1)),0)/IFERROR(IF((COUNTIFS(d_rs_sched!$D:$D,$A16,d_rs_sched!$I:$I,$A16,d_rs_sched!$K:$K,C$1)+COUNTIFS(d_rs_sched!$D:$D,$A16,d_rs_sched!$I:$I,C$1,d_rs_sched!$K:$K,$A16))&gt;0,(COUNTIFS(d_rs_sched!$D:$D,$A16,d_rs_sched!$I:$I,$A16,d_rs_sched!$K:$K,C$1)+COUNTIFS(d_rs_sched!$D:$D,$A16,d_rs_sched!$I:$I,C$1,d_rs_sched!$K:$K,$A16)),1),1)</f>
        <v>10</v>
      </c>
      <c r="D16">
        <f>IFERROR((SUMIFS(d_rs_sched!$J:$J,d_rs_sched!$D:$D,$A16,d_rs_sched!$I:$I,$A16,d_rs_sched!$K:$K,D$1)+SUMIFS(d_rs_sched!$L:$L,d_rs_sched!$D:$D,$A16,d_rs_sched!$K:$K,$A16,d_rs_sched!$I:$I,D$1))-(SUMIFS(d_rs_sched!$L:$L,d_rs_sched!$D:$D,$A16,d_rs_sched!$I:$I,$A16,d_rs_sched!$K:$K,D$1)+SUMIFS(d_rs_sched!$J:$J,d_rs_sched!$D:$D,$A16,d_rs_sched!$K:$K,$A16,d_rs_sched!$I:$I,D$1)),0)/IFERROR(IF((COUNTIFS(d_rs_sched!$D:$D,$A16,d_rs_sched!$I:$I,$A16,d_rs_sched!$K:$K,D$1)+COUNTIFS(d_rs_sched!$D:$D,$A16,d_rs_sched!$I:$I,D$1,d_rs_sched!$K:$K,$A16))&gt;0,(COUNTIFS(d_rs_sched!$D:$D,$A16,d_rs_sched!$I:$I,$A16,d_rs_sched!$K:$K,D$1)+COUNTIFS(d_rs_sched!$D:$D,$A16,d_rs_sched!$I:$I,D$1,d_rs_sched!$K:$K,$A16)),1),1)</f>
        <v>7</v>
      </c>
      <c r="E16">
        <f>IFERROR((SUMIFS(d_rs_sched!$J:$J,d_rs_sched!$D:$D,$A16,d_rs_sched!$I:$I,$A16,d_rs_sched!$K:$K,E$1)+SUMIFS(d_rs_sched!$L:$L,d_rs_sched!$D:$D,$A16,d_rs_sched!$K:$K,$A16,d_rs_sched!$I:$I,E$1))-(SUMIFS(d_rs_sched!$L:$L,d_rs_sched!$D:$D,$A16,d_rs_sched!$I:$I,$A16,d_rs_sched!$K:$K,E$1)+SUMIFS(d_rs_sched!$J:$J,d_rs_sched!$D:$D,$A16,d_rs_sched!$K:$K,$A16,d_rs_sched!$I:$I,E$1)),0)/IFERROR(IF((COUNTIFS(d_rs_sched!$D:$D,$A16,d_rs_sched!$I:$I,$A16,d_rs_sched!$K:$K,E$1)+COUNTIFS(d_rs_sched!$D:$D,$A16,d_rs_sched!$I:$I,E$1,d_rs_sched!$K:$K,$A16))&gt;0,(COUNTIFS(d_rs_sched!$D:$D,$A16,d_rs_sched!$I:$I,$A16,d_rs_sched!$K:$K,E$1)+COUNTIFS(d_rs_sched!$D:$D,$A16,d_rs_sched!$I:$I,E$1,d_rs_sched!$K:$K,$A16)),1),1)</f>
        <v>4</v>
      </c>
      <c r="F16">
        <f>IFERROR((SUMIFS(d_rs_sched!$J:$J,d_rs_sched!$D:$D,$A16,d_rs_sched!$I:$I,$A16,d_rs_sched!$K:$K,F$1)+SUMIFS(d_rs_sched!$L:$L,d_rs_sched!$D:$D,$A16,d_rs_sched!$K:$K,$A16,d_rs_sched!$I:$I,F$1))-(SUMIFS(d_rs_sched!$L:$L,d_rs_sched!$D:$D,$A16,d_rs_sched!$I:$I,$A16,d_rs_sched!$K:$K,F$1)+SUMIFS(d_rs_sched!$J:$J,d_rs_sched!$D:$D,$A16,d_rs_sched!$K:$K,$A16,d_rs_sched!$I:$I,F$1)),0)/IFERROR(IF((COUNTIFS(d_rs_sched!$D:$D,$A16,d_rs_sched!$I:$I,$A16,d_rs_sched!$K:$K,F$1)+COUNTIFS(d_rs_sched!$D:$D,$A16,d_rs_sched!$I:$I,F$1,d_rs_sched!$K:$K,$A16))&gt;0,(COUNTIFS(d_rs_sched!$D:$D,$A16,d_rs_sched!$I:$I,$A16,d_rs_sched!$K:$K,F$1)+COUNTIFS(d_rs_sched!$D:$D,$A16,d_rs_sched!$I:$I,F$1,d_rs_sched!$K:$K,$A16)),1),1)</f>
        <v>2</v>
      </c>
      <c r="G16">
        <f>IFERROR((SUMIFS(d_rs_sched!$J:$J,d_rs_sched!$D:$D,$A16,d_rs_sched!$I:$I,$A16,d_rs_sched!$K:$K,G$1)+SUMIFS(d_rs_sched!$L:$L,d_rs_sched!$D:$D,$A16,d_rs_sched!$K:$K,$A16,d_rs_sched!$I:$I,G$1))-(SUMIFS(d_rs_sched!$L:$L,d_rs_sched!$D:$D,$A16,d_rs_sched!$I:$I,$A16,d_rs_sched!$K:$K,G$1)+SUMIFS(d_rs_sched!$J:$J,d_rs_sched!$D:$D,$A16,d_rs_sched!$K:$K,$A16,d_rs_sched!$I:$I,G$1)),0)/IFERROR(IF((COUNTIFS(d_rs_sched!$D:$D,$A16,d_rs_sched!$I:$I,$A16,d_rs_sched!$K:$K,G$1)+COUNTIFS(d_rs_sched!$D:$D,$A16,d_rs_sched!$I:$I,G$1,d_rs_sched!$K:$K,$A16))&gt;0,(COUNTIFS(d_rs_sched!$D:$D,$A16,d_rs_sched!$I:$I,$A16,d_rs_sched!$K:$K,G$1)+COUNTIFS(d_rs_sched!$D:$D,$A16,d_rs_sched!$I:$I,G$1,d_rs_sched!$K:$K,$A16)),1),1)</f>
        <v>-18</v>
      </c>
      <c r="H16">
        <f>IFERROR((SUMIFS(d_rs_sched!$J:$J,d_rs_sched!$D:$D,$A16,d_rs_sched!$I:$I,$A16,d_rs_sched!$K:$K,H$1)+SUMIFS(d_rs_sched!$L:$L,d_rs_sched!$D:$D,$A16,d_rs_sched!$K:$K,$A16,d_rs_sched!$I:$I,H$1))-(SUMIFS(d_rs_sched!$L:$L,d_rs_sched!$D:$D,$A16,d_rs_sched!$I:$I,$A16,d_rs_sched!$K:$K,H$1)+SUMIFS(d_rs_sched!$J:$J,d_rs_sched!$D:$D,$A16,d_rs_sched!$K:$K,$A16,d_rs_sched!$I:$I,H$1)),0)/IFERROR(IF((COUNTIFS(d_rs_sched!$D:$D,$A16,d_rs_sched!$I:$I,$A16,d_rs_sched!$K:$K,H$1)+COUNTIFS(d_rs_sched!$D:$D,$A16,d_rs_sched!$I:$I,H$1,d_rs_sched!$K:$K,$A16))&gt;0,(COUNTIFS(d_rs_sched!$D:$D,$A16,d_rs_sched!$I:$I,$A16,d_rs_sched!$K:$K,H$1)+COUNTIFS(d_rs_sched!$D:$D,$A16,d_rs_sched!$I:$I,H$1,d_rs_sched!$K:$K,$A16)),1),1)</f>
        <v>7.75</v>
      </c>
      <c r="I16">
        <f>IFERROR((SUMIFS(d_rs_sched!$J:$J,d_rs_sched!$D:$D,$A16,d_rs_sched!$I:$I,$A16,d_rs_sched!$K:$K,I$1)+SUMIFS(d_rs_sched!$L:$L,d_rs_sched!$D:$D,$A16,d_rs_sched!$K:$K,$A16,d_rs_sched!$I:$I,I$1))-(SUMIFS(d_rs_sched!$L:$L,d_rs_sched!$D:$D,$A16,d_rs_sched!$I:$I,$A16,d_rs_sched!$K:$K,I$1)+SUMIFS(d_rs_sched!$J:$J,d_rs_sched!$D:$D,$A16,d_rs_sched!$K:$K,$A16,d_rs_sched!$I:$I,I$1)),0)/IFERROR(IF((COUNTIFS(d_rs_sched!$D:$D,$A16,d_rs_sched!$I:$I,$A16,d_rs_sched!$K:$K,I$1)+COUNTIFS(d_rs_sched!$D:$D,$A16,d_rs_sched!$I:$I,I$1,d_rs_sched!$K:$K,$A16))&gt;0,(COUNTIFS(d_rs_sched!$D:$D,$A16,d_rs_sched!$I:$I,$A16,d_rs_sched!$K:$K,I$1)+COUNTIFS(d_rs_sched!$D:$D,$A16,d_rs_sched!$I:$I,I$1,d_rs_sched!$K:$K,$A16)),1),1)</f>
        <v>4</v>
      </c>
      <c r="J16">
        <f>IFERROR((SUMIFS(d_rs_sched!$J:$J,d_rs_sched!$D:$D,$A16,d_rs_sched!$I:$I,$A16,d_rs_sched!$K:$K,J$1)+SUMIFS(d_rs_sched!$L:$L,d_rs_sched!$D:$D,$A16,d_rs_sched!$K:$K,$A16,d_rs_sched!$I:$I,J$1))-(SUMIFS(d_rs_sched!$L:$L,d_rs_sched!$D:$D,$A16,d_rs_sched!$I:$I,$A16,d_rs_sched!$K:$K,J$1)+SUMIFS(d_rs_sched!$J:$J,d_rs_sched!$D:$D,$A16,d_rs_sched!$K:$K,$A16,d_rs_sched!$I:$I,J$1)),0)/IFERROR(IF((COUNTIFS(d_rs_sched!$D:$D,$A16,d_rs_sched!$I:$I,$A16,d_rs_sched!$K:$K,J$1)+COUNTIFS(d_rs_sched!$D:$D,$A16,d_rs_sched!$I:$I,J$1,d_rs_sched!$K:$K,$A16))&gt;0,(COUNTIFS(d_rs_sched!$D:$D,$A16,d_rs_sched!$I:$I,$A16,d_rs_sched!$K:$K,J$1)+COUNTIFS(d_rs_sched!$D:$D,$A16,d_rs_sched!$I:$I,J$1,d_rs_sched!$K:$K,$A16)),1),1)</f>
        <v>-1.5</v>
      </c>
      <c r="K16">
        <f>IFERROR((SUMIFS(d_rs_sched!$J:$J,d_rs_sched!$D:$D,$A16,d_rs_sched!$I:$I,$A16,d_rs_sched!$K:$K,K$1)+SUMIFS(d_rs_sched!$L:$L,d_rs_sched!$D:$D,$A16,d_rs_sched!$K:$K,$A16,d_rs_sched!$I:$I,K$1))-(SUMIFS(d_rs_sched!$L:$L,d_rs_sched!$D:$D,$A16,d_rs_sched!$I:$I,$A16,d_rs_sched!$K:$K,K$1)+SUMIFS(d_rs_sched!$J:$J,d_rs_sched!$D:$D,$A16,d_rs_sched!$K:$K,$A16,d_rs_sched!$I:$I,K$1)),0)/IFERROR(IF((COUNTIFS(d_rs_sched!$D:$D,$A16,d_rs_sched!$I:$I,$A16,d_rs_sched!$K:$K,K$1)+COUNTIFS(d_rs_sched!$D:$D,$A16,d_rs_sched!$I:$I,K$1,d_rs_sched!$K:$K,$A16))&gt;0,(COUNTIFS(d_rs_sched!$D:$D,$A16,d_rs_sched!$I:$I,$A16,d_rs_sched!$K:$K,K$1)+COUNTIFS(d_rs_sched!$D:$D,$A16,d_rs_sched!$I:$I,K$1,d_rs_sched!$K:$K,$A16)),1),1)</f>
        <v>-6.666666666666667</v>
      </c>
      <c r="L16">
        <f>IFERROR((SUMIFS(d_rs_sched!$J:$J,d_rs_sched!$D:$D,$A16,d_rs_sched!$I:$I,$A16,d_rs_sched!$K:$K,L$1)+SUMIFS(d_rs_sched!$L:$L,d_rs_sched!$D:$D,$A16,d_rs_sched!$K:$K,$A16,d_rs_sched!$I:$I,L$1))-(SUMIFS(d_rs_sched!$L:$L,d_rs_sched!$D:$D,$A16,d_rs_sched!$I:$I,$A16,d_rs_sched!$K:$K,L$1)+SUMIFS(d_rs_sched!$J:$J,d_rs_sched!$D:$D,$A16,d_rs_sched!$K:$K,$A16,d_rs_sched!$I:$I,L$1)),0)/IFERROR(IF((COUNTIFS(d_rs_sched!$D:$D,$A16,d_rs_sched!$I:$I,$A16,d_rs_sched!$K:$K,L$1)+COUNTIFS(d_rs_sched!$D:$D,$A16,d_rs_sched!$I:$I,L$1,d_rs_sched!$K:$K,$A16))&gt;0,(COUNTIFS(d_rs_sched!$D:$D,$A16,d_rs_sched!$I:$I,$A16,d_rs_sched!$K:$K,L$1)+COUNTIFS(d_rs_sched!$D:$D,$A16,d_rs_sched!$I:$I,L$1,d_rs_sched!$K:$K,$A16)),1),1)</f>
        <v>3.25</v>
      </c>
      <c r="M16">
        <f>IFERROR((SUMIFS(d_rs_sched!$J:$J,d_rs_sched!$D:$D,$A16,d_rs_sched!$I:$I,$A16,d_rs_sched!$K:$K,M$1)+SUMIFS(d_rs_sched!$L:$L,d_rs_sched!$D:$D,$A16,d_rs_sched!$K:$K,$A16,d_rs_sched!$I:$I,M$1))-(SUMIFS(d_rs_sched!$L:$L,d_rs_sched!$D:$D,$A16,d_rs_sched!$I:$I,$A16,d_rs_sched!$K:$K,M$1)+SUMIFS(d_rs_sched!$J:$J,d_rs_sched!$D:$D,$A16,d_rs_sched!$K:$K,$A16,d_rs_sched!$I:$I,M$1)),0)/IFERROR(IF((COUNTIFS(d_rs_sched!$D:$D,$A16,d_rs_sched!$I:$I,$A16,d_rs_sched!$K:$K,M$1)+COUNTIFS(d_rs_sched!$D:$D,$A16,d_rs_sched!$I:$I,M$1,d_rs_sched!$K:$K,$A16))&gt;0,(COUNTIFS(d_rs_sched!$D:$D,$A16,d_rs_sched!$I:$I,$A16,d_rs_sched!$K:$K,M$1)+COUNTIFS(d_rs_sched!$D:$D,$A16,d_rs_sched!$I:$I,M$1,d_rs_sched!$K:$K,$A16)),1),1)</f>
        <v>10</v>
      </c>
      <c r="N16">
        <f>IFERROR((SUMIFS(d_rs_sched!$J:$J,d_rs_sched!$D:$D,$A16,d_rs_sched!$I:$I,$A16,d_rs_sched!$K:$K,N$1)+SUMIFS(d_rs_sched!$L:$L,d_rs_sched!$D:$D,$A16,d_rs_sched!$K:$K,$A16,d_rs_sched!$I:$I,N$1))-(SUMIFS(d_rs_sched!$L:$L,d_rs_sched!$D:$D,$A16,d_rs_sched!$I:$I,$A16,d_rs_sched!$K:$K,N$1)+SUMIFS(d_rs_sched!$J:$J,d_rs_sched!$D:$D,$A16,d_rs_sched!$K:$K,$A16,d_rs_sched!$I:$I,N$1)),0)/IFERROR(IF((COUNTIFS(d_rs_sched!$D:$D,$A16,d_rs_sched!$I:$I,$A16,d_rs_sched!$K:$K,N$1)+COUNTIFS(d_rs_sched!$D:$D,$A16,d_rs_sched!$I:$I,N$1,d_rs_sched!$K:$K,$A16))&gt;0,(COUNTIFS(d_rs_sched!$D:$D,$A16,d_rs_sched!$I:$I,$A16,d_rs_sched!$K:$K,N$1)+COUNTIFS(d_rs_sched!$D:$D,$A16,d_rs_sched!$I:$I,N$1,d_rs_sched!$K:$K,$A16)),1),1)</f>
        <v>-1.75</v>
      </c>
      <c r="O16">
        <f>IFERROR((SUMIFS(d_rs_sched!$J:$J,d_rs_sched!$D:$D,$A16,d_rs_sched!$I:$I,$A16,d_rs_sched!$K:$K,O$1)+SUMIFS(d_rs_sched!$L:$L,d_rs_sched!$D:$D,$A16,d_rs_sched!$K:$K,$A16,d_rs_sched!$I:$I,O$1))-(SUMIFS(d_rs_sched!$L:$L,d_rs_sched!$D:$D,$A16,d_rs_sched!$I:$I,$A16,d_rs_sched!$K:$K,O$1)+SUMIFS(d_rs_sched!$J:$J,d_rs_sched!$D:$D,$A16,d_rs_sched!$K:$K,$A16,d_rs_sched!$I:$I,O$1)),0)/IFERROR(IF((COUNTIFS(d_rs_sched!$D:$D,$A16,d_rs_sched!$I:$I,$A16,d_rs_sched!$K:$K,O$1)+COUNTIFS(d_rs_sched!$D:$D,$A16,d_rs_sched!$I:$I,O$1,d_rs_sched!$K:$K,$A16))&gt;0,(COUNTIFS(d_rs_sched!$D:$D,$A16,d_rs_sched!$I:$I,$A16,d_rs_sched!$K:$K,O$1)+COUNTIFS(d_rs_sched!$D:$D,$A16,d_rs_sched!$I:$I,O$1,d_rs_sched!$K:$K,$A16)),1),1)</f>
        <v>5.25</v>
      </c>
      <c r="P16">
        <f>IFERROR((SUMIFS(d_rs_sched!$J:$J,d_rs_sched!$D:$D,$A16,d_rs_sched!$I:$I,$A16,d_rs_sched!$K:$K,P$1)+SUMIFS(d_rs_sched!$L:$L,d_rs_sched!$D:$D,$A16,d_rs_sched!$K:$K,$A16,d_rs_sched!$I:$I,P$1))-(SUMIFS(d_rs_sched!$L:$L,d_rs_sched!$D:$D,$A16,d_rs_sched!$I:$I,$A16,d_rs_sched!$K:$K,P$1)+SUMIFS(d_rs_sched!$J:$J,d_rs_sched!$D:$D,$A16,d_rs_sched!$K:$K,$A16,d_rs_sched!$I:$I,P$1)),0)/IFERROR(IF((COUNTIFS(d_rs_sched!$D:$D,$A16,d_rs_sched!$I:$I,$A16,d_rs_sched!$K:$K,P$1)+COUNTIFS(d_rs_sched!$D:$D,$A16,d_rs_sched!$I:$I,P$1,d_rs_sched!$K:$K,$A16))&gt;0,(COUNTIFS(d_rs_sched!$D:$D,$A16,d_rs_sched!$I:$I,$A16,d_rs_sched!$K:$K,P$1)+COUNTIFS(d_rs_sched!$D:$D,$A16,d_rs_sched!$I:$I,P$1,d_rs_sched!$K:$K,$A16)),1),1)</f>
        <v>0</v>
      </c>
      <c r="Q16">
        <f>IFERROR((SUMIFS(d_rs_sched!$J:$J,d_rs_sched!$D:$D,$A16,d_rs_sched!$I:$I,$A16,d_rs_sched!$K:$K,Q$1)+SUMIFS(d_rs_sched!$L:$L,d_rs_sched!$D:$D,$A16,d_rs_sched!$K:$K,$A16,d_rs_sched!$I:$I,Q$1))-(SUMIFS(d_rs_sched!$L:$L,d_rs_sched!$D:$D,$A16,d_rs_sched!$I:$I,$A16,d_rs_sched!$K:$K,Q$1)+SUMIFS(d_rs_sched!$J:$J,d_rs_sched!$D:$D,$A16,d_rs_sched!$K:$K,$A16,d_rs_sched!$I:$I,Q$1)),0)/IFERROR(IF((COUNTIFS(d_rs_sched!$D:$D,$A16,d_rs_sched!$I:$I,$A16,d_rs_sched!$K:$K,Q$1)+COUNTIFS(d_rs_sched!$D:$D,$A16,d_rs_sched!$I:$I,Q$1,d_rs_sched!$K:$K,$A16))&gt;0,(COUNTIFS(d_rs_sched!$D:$D,$A16,d_rs_sched!$I:$I,$A16,d_rs_sched!$K:$K,Q$1)+COUNTIFS(d_rs_sched!$D:$D,$A16,d_rs_sched!$I:$I,Q$1,d_rs_sched!$K:$K,$A16)),1),1)</f>
        <v>12</v>
      </c>
      <c r="R16">
        <f>IFERROR((SUMIFS(d_rs_sched!$J:$J,d_rs_sched!$D:$D,$A16,d_rs_sched!$I:$I,$A16,d_rs_sched!$K:$K,R$1)+SUMIFS(d_rs_sched!$L:$L,d_rs_sched!$D:$D,$A16,d_rs_sched!$K:$K,$A16,d_rs_sched!$I:$I,R$1))-(SUMIFS(d_rs_sched!$L:$L,d_rs_sched!$D:$D,$A16,d_rs_sched!$I:$I,$A16,d_rs_sched!$K:$K,R$1)+SUMIFS(d_rs_sched!$J:$J,d_rs_sched!$D:$D,$A16,d_rs_sched!$K:$K,$A16,d_rs_sched!$I:$I,R$1)),0)/IFERROR(IF((COUNTIFS(d_rs_sched!$D:$D,$A16,d_rs_sched!$I:$I,$A16,d_rs_sched!$K:$K,R$1)+COUNTIFS(d_rs_sched!$D:$D,$A16,d_rs_sched!$I:$I,R$1,d_rs_sched!$K:$K,$A16))&gt;0,(COUNTIFS(d_rs_sched!$D:$D,$A16,d_rs_sched!$I:$I,$A16,d_rs_sched!$K:$K,R$1)+COUNTIFS(d_rs_sched!$D:$D,$A16,d_rs_sched!$I:$I,R$1,d_rs_sched!$K:$K,$A16)),1),1)</f>
        <v>6</v>
      </c>
      <c r="S16">
        <f>IFERROR((SUMIFS(d_rs_sched!$J:$J,d_rs_sched!$D:$D,$A16,d_rs_sched!$I:$I,$A16,d_rs_sched!$K:$K,S$1)+SUMIFS(d_rs_sched!$L:$L,d_rs_sched!$D:$D,$A16,d_rs_sched!$K:$K,$A16,d_rs_sched!$I:$I,S$1))-(SUMIFS(d_rs_sched!$L:$L,d_rs_sched!$D:$D,$A16,d_rs_sched!$I:$I,$A16,d_rs_sched!$K:$K,S$1)+SUMIFS(d_rs_sched!$J:$J,d_rs_sched!$D:$D,$A16,d_rs_sched!$K:$K,$A16,d_rs_sched!$I:$I,S$1)),0)/IFERROR(IF((COUNTIFS(d_rs_sched!$D:$D,$A16,d_rs_sched!$I:$I,$A16,d_rs_sched!$K:$K,S$1)+COUNTIFS(d_rs_sched!$D:$D,$A16,d_rs_sched!$I:$I,S$1,d_rs_sched!$K:$K,$A16))&gt;0,(COUNTIFS(d_rs_sched!$D:$D,$A16,d_rs_sched!$I:$I,$A16,d_rs_sched!$K:$K,S$1)+COUNTIFS(d_rs_sched!$D:$D,$A16,d_rs_sched!$I:$I,S$1,d_rs_sched!$K:$K,$A16)),1),1)</f>
        <v>2.3333333333333335</v>
      </c>
      <c r="T16">
        <f>IFERROR((SUMIFS(d_rs_sched!$J:$J,d_rs_sched!$D:$D,$A16,d_rs_sched!$I:$I,$A16,d_rs_sched!$K:$K,T$1)+SUMIFS(d_rs_sched!$L:$L,d_rs_sched!$D:$D,$A16,d_rs_sched!$K:$K,$A16,d_rs_sched!$I:$I,T$1))-(SUMIFS(d_rs_sched!$L:$L,d_rs_sched!$D:$D,$A16,d_rs_sched!$I:$I,$A16,d_rs_sched!$K:$K,T$1)+SUMIFS(d_rs_sched!$J:$J,d_rs_sched!$D:$D,$A16,d_rs_sched!$K:$K,$A16,d_rs_sched!$I:$I,T$1)),0)/IFERROR(IF((COUNTIFS(d_rs_sched!$D:$D,$A16,d_rs_sched!$I:$I,$A16,d_rs_sched!$K:$K,T$1)+COUNTIFS(d_rs_sched!$D:$D,$A16,d_rs_sched!$I:$I,T$1,d_rs_sched!$K:$K,$A16))&gt;0,(COUNTIFS(d_rs_sched!$D:$D,$A16,d_rs_sched!$I:$I,$A16,d_rs_sched!$K:$K,T$1)+COUNTIFS(d_rs_sched!$D:$D,$A16,d_rs_sched!$I:$I,T$1,d_rs_sched!$K:$K,$A16)),1),1)</f>
        <v>7.75</v>
      </c>
      <c r="U16">
        <f>IFERROR((SUMIFS(d_rs_sched!$J:$J,d_rs_sched!$D:$D,$A16,d_rs_sched!$I:$I,$A16,d_rs_sched!$K:$K,U$1)+SUMIFS(d_rs_sched!$L:$L,d_rs_sched!$D:$D,$A16,d_rs_sched!$K:$K,$A16,d_rs_sched!$I:$I,U$1))-(SUMIFS(d_rs_sched!$L:$L,d_rs_sched!$D:$D,$A16,d_rs_sched!$I:$I,$A16,d_rs_sched!$K:$K,U$1)+SUMIFS(d_rs_sched!$J:$J,d_rs_sched!$D:$D,$A16,d_rs_sched!$K:$K,$A16,d_rs_sched!$I:$I,U$1)),0)/IFERROR(IF((COUNTIFS(d_rs_sched!$D:$D,$A16,d_rs_sched!$I:$I,$A16,d_rs_sched!$K:$K,U$1)+COUNTIFS(d_rs_sched!$D:$D,$A16,d_rs_sched!$I:$I,U$1,d_rs_sched!$K:$K,$A16))&gt;0,(COUNTIFS(d_rs_sched!$D:$D,$A16,d_rs_sched!$I:$I,$A16,d_rs_sched!$K:$K,U$1)+COUNTIFS(d_rs_sched!$D:$D,$A16,d_rs_sched!$I:$I,U$1,d_rs_sched!$K:$K,$A16)),1),1)</f>
        <v>21.5</v>
      </c>
      <c r="V16">
        <f>IFERROR((SUMIFS(d_rs_sched!$J:$J,d_rs_sched!$D:$D,$A16,d_rs_sched!$I:$I,$A16,d_rs_sched!$K:$K,V$1)+SUMIFS(d_rs_sched!$L:$L,d_rs_sched!$D:$D,$A16,d_rs_sched!$K:$K,$A16,d_rs_sched!$I:$I,V$1))-(SUMIFS(d_rs_sched!$L:$L,d_rs_sched!$D:$D,$A16,d_rs_sched!$I:$I,$A16,d_rs_sched!$K:$K,V$1)+SUMIFS(d_rs_sched!$J:$J,d_rs_sched!$D:$D,$A16,d_rs_sched!$K:$K,$A16,d_rs_sched!$I:$I,V$1)),0)/IFERROR(IF((COUNTIFS(d_rs_sched!$D:$D,$A16,d_rs_sched!$I:$I,$A16,d_rs_sched!$K:$K,V$1)+COUNTIFS(d_rs_sched!$D:$D,$A16,d_rs_sched!$I:$I,V$1,d_rs_sched!$K:$K,$A16))&gt;0,(COUNTIFS(d_rs_sched!$D:$D,$A16,d_rs_sched!$I:$I,$A16,d_rs_sched!$K:$K,V$1)+COUNTIFS(d_rs_sched!$D:$D,$A16,d_rs_sched!$I:$I,V$1,d_rs_sched!$K:$K,$A16)),1),1)</f>
        <v>1.25</v>
      </c>
      <c r="W16">
        <f>IFERROR((SUMIFS(d_rs_sched!$J:$J,d_rs_sched!$D:$D,$A16,d_rs_sched!$I:$I,$A16,d_rs_sched!$K:$K,W$1)+SUMIFS(d_rs_sched!$L:$L,d_rs_sched!$D:$D,$A16,d_rs_sched!$K:$K,$A16,d_rs_sched!$I:$I,W$1))-(SUMIFS(d_rs_sched!$L:$L,d_rs_sched!$D:$D,$A16,d_rs_sched!$I:$I,$A16,d_rs_sched!$K:$K,W$1)+SUMIFS(d_rs_sched!$J:$J,d_rs_sched!$D:$D,$A16,d_rs_sched!$K:$K,$A16,d_rs_sched!$I:$I,W$1)),0)/IFERROR(IF((COUNTIFS(d_rs_sched!$D:$D,$A16,d_rs_sched!$I:$I,$A16,d_rs_sched!$K:$K,W$1)+COUNTIFS(d_rs_sched!$D:$D,$A16,d_rs_sched!$I:$I,W$1,d_rs_sched!$K:$K,$A16))&gt;0,(COUNTIFS(d_rs_sched!$D:$D,$A16,d_rs_sched!$I:$I,$A16,d_rs_sched!$K:$K,W$1)+COUNTIFS(d_rs_sched!$D:$D,$A16,d_rs_sched!$I:$I,W$1,d_rs_sched!$K:$K,$A16)),1),1)</f>
        <v>9.5</v>
      </c>
      <c r="X16">
        <f>IFERROR((SUMIFS(d_rs_sched!$J:$J,d_rs_sched!$D:$D,$A16,d_rs_sched!$I:$I,$A16,d_rs_sched!$K:$K,X$1)+SUMIFS(d_rs_sched!$L:$L,d_rs_sched!$D:$D,$A16,d_rs_sched!$K:$K,$A16,d_rs_sched!$I:$I,X$1))-(SUMIFS(d_rs_sched!$L:$L,d_rs_sched!$D:$D,$A16,d_rs_sched!$I:$I,$A16,d_rs_sched!$K:$K,X$1)+SUMIFS(d_rs_sched!$J:$J,d_rs_sched!$D:$D,$A16,d_rs_sched!$K:$K,$A16,d_rs_sched!$I:$I,X$1)),0)/IFERROR(IF((COUNTIFS(d_rs_sched!$D:$D,$A16,d_rs_sched!$I:$I,$A16,d_rs_sched!$K:$K,X$1)+COUNTIFS(d_rs_sched!$D:$D,$A16,d_rs_sched!$I:$I,X$1,d_rs_sched!$K:$K,$A16))&gt;0,(COUNTIFS(d_rs_sched!$D:$D,$A16,d_rs_sched!$I:$I,$A16,d_rs_sched!$K:$K,X$1)+COUNTIFS(d_rs_sched!$D:$D,$A16,d_rs_sched!$I:$I,X$1,d_rs_sched!$K:$K,$A16)),1),1)</f>
        <v>11.5</v>
      </c>
      <c r="Y16">
        <f>IFERROR((SUMIFS(d_rs_sched!$J:$J,d_rs_sched!$D:$D,$A16,d_rs_sched!$I:$I,$A16,d_rs_sched!$K:$K,Y$1)+SUMIFS(d_rs_sched!$L:$L,d_rs_sched!$D:$D,$A16,d_rs_sched!$K:$K,$A16,d_rs_sched!$I:$I,Y$1))-(SUMIFS(d_rs_sched!$L:$L,d_rs_sched!$D:$D,$A16,d_rs_sched!$I:$I,$A16,d_rs_sched!$K:$K,Y$1)+SUMIFS(d_rs_sched!$J:$J,d_rs_sched!$D:$D,$A16,d_rs_sched!$K:$K,$A16,d_rs_sched!$I:$I,Y$1)),0)/IFERROR(IF((COUNTIFS(d_rs_sched!$D:$D,$A16,d_rs_sched!$I:$I,$A16,d_rs_sched!$K:$K,Y$1)+COUNTIFS(d_rs_sched!$D:$D,$A16,d_rs_sched!$I:$I,Y$1,d_rs_sched!$K:$K,$A16))&gt;0,(COUNTIFS(d_rs_sched!$D:$D,$A16,d_rs_sched!$I:$I,$A16,d_rs_sched!$K:$K,Y$1)+COUNTIFS(d_rs_sched!$D:$D,$A16,d_rs_sched!$I:$I,Y$1,d_rs_sched!$K:$K,$A16)),1),1)</f>
        <v>8</v>
      </c>
      <c r="Z16">
        <f>IFERROR((SUMIFS(d_rs_sched!$J:$J,d_rs_sched!$D:$D,$A16,d_rs_sched!$I:$I,$A16,d_rs_sched!$K:$K,Z$1)+SUMIFS(d_rs_sched!$L:$L,d_rs_sched!$D:$D,$A16,d_rs_sched!$K:$K,$A16,d_rs_sched!$I:$I,Z$1))-(SUMIFS(d_rs_sched!$L:$L,d_rs_sched!$D:$D,$A16,d_rs_sched!$I:$I,$A16,d_rs_sched!$K:$K,Z$1)+SUMIFS(d_rs_sched!$J:$J,d_rs_sched!$D:$D,$A16,d_rs_sched!$K:$K,$A16,d_rs_sched!$I:$I,Z$1)),0)/IFERROR(IF((COUNTIFS(d_rs_sched!$D:$D,$A16,d_rs_sched!$I:$I,$A16,d_rs_sched!$K:$K,Z$1)+COUNTIFS(d_rs_sched!$D:$D,$A16,d_rs_sched!$I:$I,Z$1,d_rs_sched!$K:$K,$A16))&gt;0,(COUNTIFS(d_rs_sched!$D:$D,$A16,d_rs_sched!$I:$I,$A16,d_rs_sched!$K:$K,Z$1)+COUNTIFS(d_rs_sched!$D:$D,$A16,d_rs_sched!$I:$I,Z$1,d_rs_sched!$K:$K,$A16)),1),1)</f>
        <v>8.5</v>
      </c>
      <c r="AA16">
        <f>IFERROR((SUMIFS(d_rs_sched!$J:$J,d_rs_sched!$D:$D,$A16,d_rs_sched!$I:$I,$A16,d_rs_sched!$K:$K,AA$1)+SUMIFS(d_rs_sched!$L:$L,d_rs_sched!$D:$D,$A16,d_rs_sched!$K:$K,$A16,d_rs_sched!$I:$I,AA$1))-(SUMIFS(d_rs_sched!$L:$L,d_rs_sched!$D:$D,$A16,d_rs_sched!$I:$I,$A16,d_rs_sched!$K:$K,AA$1)+SUMIFS(d_rs_sched!$J:$J,d_rs_sched!$D:$D,$A16,d_rs_sched!$K:$K,$A16,d_rs_sched!$I:$I,AA$1)),0)/IFERROR(IF((COUNTIFS(d_rs_sched!$D:$D,$A16,d_rs_sched!$I:$I,$A16,d_rs_sched!$K:$K,AA$1)+COUNTIFS(d_rs_sched!$D:$D,$A16,d_rs_sched!$I:$I,AA$1,d_rs_sched!$K:$K,$A16))&gt;0,(COUNTIFS(d_rs_sched!$D:$D,$A16,d_rs_sched!$I:$I,$A16,d_rs_sched!$K:$K,AA$1)+COUNTIFS(d_rs_sched!$D:$D,$A16,d_rs_sched!$I:$I,AA$1,d_rs_sched!$K:$K,$A16)),1),1)</f>
        <v>-2.75</v>
      </c>
      <c r="AB16">
        <f>IFERROR((SUMIFS(d_rs_sched!$J:$J,d_rs_sched!$D:$D,$A16,d_rs_sched!$I:$I,$A16,d_rs_sched!$K:$K,AB$1)+SUMIFS(d_rs_sched!$L:$L,d_rs_sched!$D:$D,$A16,d_rs_sched!$K:$K,$A16,d_rs_sched!$I:$I,AB$1))-(SUMIFS(d_rs_sched!$L:$L,d_rs_sched!$D:$D,$A16,d_rs_sched!$I:$I,$A16,d_rs_sched!$K:$K,AB$1)+SUMIFS(d_rs_sched!$J:$J,d_rs_sched!$D:$D,$A16,d_rs_sched!$K:$K,$A16,d_rs_sched!$I:$I,AB$1)),0)/IFERROR(IF((COUNTIFS(d_rs_sched!$D:$D,$A16,d_rs_sched!$I:$I,$A16,d_rs_sched!$K:$K,AB$1)+COUNTIFS(d_rs_sched!$D:$D,$A16,d_rs_sched!$I:$I,AB$1,d_rs_sched!$K:$K,$A16))&gt;0,(COUNTIFS(d_rs_sched!$D:$D,$A16,d_rs_sched!$I:$I,$A16,d_rs_sched!$K:$K,AB$1)+COUNTIFS(d_rs_sched!$D:$D,$A16,d_rs_sched!$I:$I,AB$1,d_rs_sched!$K:$K,$A16)),1),1)</f>
        <v>3.75</v>
      </c>
      <c r="AC16">
        <f>IFERROR((SUMIFS(d_rs_sched!$J:$J,d_rs_sched!$D:$D,$A16,d_rs_sched!$I:$I,$A16,d_rs_sched!$K:$K,AC$1)+SUMIFS(d_rs_sched!$L:$L,d_rs_sched!$D:$D,$A16,d_rs_sched!$K:$K,$A16,d_rs_sched!$I:$I,AC$1))-(SUMIFS(d_rs_sched!$L:$L,d_rs_sched!$D:$D,$A16,d_rs_sched!$I:$I,$A16,d_rs_sched!$K:$K,AC$1)+SUMIFS(d_rs_sched!$J:$J,d_rs_sched!$D:$D,$A16,d_rs_sched!$K:$K,$A16,d_rs_sched!$I:$I,AC$1)),0)/IFERROR(IF((COUNTIFS(d_rs_sched!$D:$D,$A16,d_rs_sched!$I:$I,$A16,d_rs_sched!$K:$K,AC$1)+COUNTIFS(d_rs_sched!$D:$D,$A16,d_rs_sched!$I:$I,AC$1,d_rs_sched!$K:$K,$A16))&gt;0,(COUNTIFS(d_rs_sched!$D:$D,$A16,d_rs_sched!$I:$I,$A16,d_rs_sched!$K:$K,AC$1)+COUNTIFS(d_rs_sched!$D:$D,$A16,d_rs_sched!$I:$I,AC$1,d_rs_sched!$K:$K,$A16)),1),1)</f>
        <v>1</v>
      </c>
      <c r="AD16">
        <f>IFERROR((SUMIFS(d_rs_sched!$J:$J,d_rs_sched!$D:$D,$A16,d_rs_sched!$I:$I,$A16,d_rs_sched!$K:$K,AD$1)+SUMIFS(d_rs_sched!$L:$L,d_rs_sched!$D:$D,$A16,d_rs_sched!$K:$K,$A16,d_rs_sched!$I:$I,AD$1))-(SUMIFS(d_rs_sched!$L:$L,d_rs_sched!$D:$D,$A16,d_rs_sched!$I:$I,$A16,d_rs_sched!$K:$K,AD$1)+SUMIFS(d_rs_sched!$J:$J,d_rs_sched!$D:$D,$A16,d_rs_sched!$K:$K,$A16,d_rs_sched!$I:$I,AD$1)),0)/IFERROR(IF((COUNTIFS(d_rs_sched!$D:$D,$A16,d_rs_sched!$I:$I,$A16,d_rs_sched!$K:$K,AD$1)+COUNTIFS(d_rs_sched!$D:$D,$A16,d_rs_sched!$I:$I,AD$1,d_rs_sched!$K:$K,$A16))&gt;0,(COUNTIFS(d_rs_sched!$D:$D,$A16,d_rs_sched!$I:$I,$A16,d_rs_sched!$K:$K,AD$1)+COUNTIFS(d_rs_sched!$D:$D,$A16,d_rs_sched!$I:$I,AD$1,d_rs_sched!$K:$K,$A16)),1),1)</f>
        <v>-1.5</v>
      </c>
      <c r="AE16">
        <f>IFERROR((SUMIFS(d_rs_sched!$J:$J,d_rs_sched!$D:$D,$A16,d_rs_sched!$I:$I,$A16,d_rs_sched!$K:$K,AE$1)+SUMIFS(d_rs_sched!$L:$L,d_rs_sched!$D:$D,$A16,d_rs_sched!$K:$K,$A16,d_rs_sched!$I:$I,AE$1))-(SUMIFS(d_rs_sched!$L:$L,d_rs_sched!$D:$D,$A16,d_rs_sched!$I:$I,$A16,d_rs_sched!$K:$K,AE$1)+SUMIFS(d_rs_sched!$J:$J,d_rs_sched!$D:$D,$A16,d_rs_sched!$K:$K,$A16,d_rs_sched!$I:$I,AE$1)),0)/IFERROR(IF((COUNTIFS(d_rs_sched!$D:$D,$A16,d_rs_sched!$I:$I,$A16,d_rs_sched!$K:$K,AE$1)+COUNTIFS(d_rs_sched!$D:$D,$A16,d_rs_sched!$I:$I,AE$1,d_rs_sched!$K:$K,$A16))&gt;0,(COUNTIFS(d_rs_sched!$D:$D,$A16,d_rs_sched!$I:$I,$A16,d_rs_sched!$K:$K,AE$1)+COUNTIFS(d_rs_sched!$D:$D,$A16,d_rs_sched!$I:$I,AE$1,d_rs_sched!$K:$K,$A16)),1),1)</f>
        <v>-14.5</v>
      </c>
      <c r="AG16" t="s">
        <v>28</v>
      </c>
      <c r="AH16">
        <v>0.95976296843562681</v>
      </c>
      <c r="AI16">
        <f t="shared" si="0"/>
        <v>25</v>
      </c>
    </row>
    <row r="17" spans="1:35" x14ac:dyDescent="0.25">
      <c r="A17" t="s">
        <v>24</v>
      </c>
      <c r="B17">
        <f>IFERROR((SUMIFS(d_rs_sched!$J:$J,d_rs_sched!$D:$D,$A17,d_rs_sched!$I:$I,$A17,d_rs_sched!$K:$K,B$1)+SUMIFS(d_rs_sched!$L:$L,d_rs_sched!$D:$D,$A17,d_rs_sched!$K:$K,$A17,d_rs_sched!$I:$I,B$1))-(SUMIFS(d_rs_sched!$L:$L,d_rs_sched!$D:$D,$A17,d_rs_sched!$I:$I,$A17,d_rs_sched!$K:$K,B$1)+SUMIFS(d_rs_sched!$J:$J,d_rs_sched!$D:$D,$A17,d_rs_sched!$K:$K,$A17,d_rs_sched!$I:$I,B$1)),0)/IFERROR(IF((COUNTIFS(d_rs_sched!$D:$D,$A17,d_rs_sched!$I:$I,$A17,d_rs_sched!$K:$K,B$1)+COUNTIFS(d_rs_sched!$D:$D,$A17,d_rs_sched!$I:$I,B$1,d_rs_sched!$K:$K,$A17))&gt;0,(COUNTIFS(d_rs_sched!$D:$D,$A17,d_rs_sched!$I:$I,$A17,d_rs_sched!$K:$K,B$1)+COUNTIFS(d_rs_sched!$D:$D,$A17,d_rs_sched!$I:$I,B$1,d_rs_sched!$K:$K,$A17)),1),1)</f>
        <v>-9</v>
      </c>
      <c r="C17">
        <f>IFERROR((SUMIFS(d_rs_sched!$J:$J,d_rs_sched!$D:$D,$A17,d_rs_sched!$I:$I,$A17,d_rs_sched!$K:$K,C$1)+SUMIFS(d_rs_sched!$L:$L,d_rs_sched!$D:$D,$A17,d_rs_sched!$K:$K,$A17,d_rs_sched!$I:$I,C$1))-(SUMIFS(d_rs_sched!$L:$L,d_rs_sched!$D:$D,$A17,d_rs_sched!$I:$I,$A17,d_rs_sched!$K:$K,C$1)+SUMIFS(d_rs_sched!$J:$J,d_rs_sched!$D:$D,$A17,d_rs_sched!$K:$K,$A17,d_rs_sched!$I:$I,C$1)),0)/IFERROR(IF((COUNTIFS(d_rs_sched!$D:$D,$A17,d_rs_sched!$I:$I,$A17,d_rs_sched!$K:$K,C$1)+COUNTIFS(d_rs_sched!$D:$D,$A17,d_rs_sched!$I:$I,C$1,d_rs_sched!$K:$K,$A17))&gt;0,(COUNTIFS(d_rs_sched!$D:$D,$A17,d_rs_sched!$I:$I,$A17,d_rs_sched!$K:$K,C$1)+COUNTIFS(d_rs_sched!$D:$D,$A17,d_rs_sched!$I:$I,C$1,d_rs_sched!$K:$K,$A17)),1),1)</f>
        <v>6.5</v>
      </c>
      <c r="D17">
        <f>IFERROR((SUMIFS(d_rs_sched!$J:$J,d_rs_sched!$D:$D,$A17,d_rs_sched!$I:$I,$A17,d_rs_sched!$K:$K,D$1)+SUMIFS(d_rs_sched!$L:$L,d_rs_sched!$D:$D,$A17,d_rs_sched!$K:$K,$A17,d_rs_sched!$I:$I,D$1))-(SUMIFS(d_rs_sched!$L:$L,d_rs_sched!$D:$D,$A17,d_rs_sched!$I:$I,$A17,d_rs_sched!$K:$K,D$1)+SUMIFS(d_rs_sched!$J:$J,d_rs_sched!$D:$D,$A17,d_rs_sched!$K:$K,$A17,d_rs_sched!$I:$I,D$1)),0)/IFERROR(IF((COUNTIFS(d_rs_sched!$D:$D,$A17,d_rs_sched!$I:$I,$A17,d_rs_sched!$K:$K,D$1)+COUNTIFS(d_rs_sched!$D:$D,$A17,d_rs_sched!$I:$I,D$1,d_rs_sched!$K:$K,$A17))&gt;0,(COUNTIFS(d_rs_sched!$D:$D,$A17,d_rs_sched!$I:$I,$A17,d_rs_sched!$K:$K,D$1)+COUNTIFS(d_rs_sched!$D:$D,$A17,d_rs_sched!$I:$I,D$1,d_rs_sched!$K:$K,$A17)),1),1)</f>
        <v>5.25</v>
      </c>
      <c r="E17">
        <f>IFERROR((SUMIFS(d_rs_sched!$J:$J,d_rs_sched!$D:$D,$A17,d_rs_sched!$I:$I,$A17,d_rs_sched!$K:$K,E$1)+SUMIFS(d_rs_sched!$L:$L,d_rs_sched!$D:$D,$A17,d_rs_sched!$K:$K,$A17,d_rs_sched!$I:$I,E$1))-(SUMIFS(d_rs_sched!$L:$L,d_rs_sched!$D:$D,$A17,d_rs_sched!$I:$I,$A17,d_rs_sched!$K:$K,E$1)+SUMIFS(d_rs_sched!$J:$J,d_rs_sched!$D:$D,$A17,d_rs_sched!$K:$K,$A17,d_rs_sched!$I:$I,E$1)),0)/IFERROR(IF((COUNTIFS(d_rs_sched!$D:$D,$A17,d_rs_sched!$I:$I,$A17,d_rs_sched!$K:$K,E$1)+COUNTIFS(d_rs_sched!$D:$D,$A17,d_rs_sched!$I:$I,E$1,d_rs_sched!$K:$K,$A17))&gt;0,(COUNTIFS(d_rs_sched!$D:$D,$A17,d_rs_sched!$I:$I,$A17,d_rs_sched!$K:$K,E$1)+COUNTIFS(d_rs_sched!$D:$D,$A17,d_rs_sched!$I:$I,E$1,d_rs_sched!$K:$K,$A17)),1),1)</f>
        <v>-0.75</v>
      </c>
      <c r="F17">
        <f>IFERROR((SUMIFS(d_rs_sched!$J:$J,d_rs_sched!$D:$D,$A17,d_rs_sched!$I:$I,$A17,d_rs_sched!$K:$K,F$1)+SUMIFS(d_rs_sched!$L:$L,d_rs_sched!$D:$D,$A17,d_rs_sched!$K:$K,$A17,d_rs_sched!$I:$I,F$1))-(SUMIFS(d_rs_sched!$L:$L,d_rs_sched!$D:$D,$A17,d_rs_sched!$I:$I,$A17,d_rs_sched!$K:$K,F$1)+SUMIFS(d_rs_sched!$J:$J,d_rs_sched!$D:$D,$A17,d_rs_sched!$K:$K,$A17,d_rs_sched!$I:$I,F$1)),0)/IFERROR(IF((COUNTIFS(d_rs_sched!$D:$D,$A17,d_rs_sched!$I:$I,$A17,d_rs_sched!$K:$K,F$1)+COUNTIFS(d_rs_sched!$D:$D,$A17,d_rs_sched!$I:$I,F$1,d_rs_sched!$K:$K,$A17))&gt;0,(COUNTIFS(d_rs_sched!$D:$D,$A17,d_rs_sched!$I:$I,$A17,d_rs_sched!$K:$K,F$1)+COUNTIFS(d_rs_sched!$D:$D,$A17,d_rs_sched!$I:$I,F$1,d_rs_sched!$K:$K,$A17)),1),1)</f>
        <v>-5.666666666666667</v>
      </c>
      <c r="G17">
        <f>IFERROR((SUMIFS(d_rs_sched!$J:$J,d_rs_sched!$D:$D,$A17,d_rs_sched!$I:$I,$A17,d_rs_sched!$K:$K,G$1)+SUMIFS(d_rs_sched!$L:$L,d_rs_sched!$D:$D,$A17,d_rs_sched!$K:$K,$A17,d_rs_sched!$I:$I,G$1))-(SUMIFS(d_rs_sched!$L:$L,d_rs_sched!$D:$D,$A17,d_rs_sched!$I:$I,$A17,d_rs_sched!$K:$K,G$1)+SUMIFS(d_rs_sched!$J:$J,d_rs_sched!$D:$D,$A17,d_rs_sched!$K:$K,$A17,d_rs_sched!$I:$I,G$1)),0)/IFERROR(IF((COUNTIFS(d_rs_sched!$D:$D,$A17,d_rs_sched!$I:$I,$A17,d_rs_sched!$K:$K,G$1)+COUNTIFS(d_rs_sched!$D:$D,$A17,d_rs_sched!$I:$I,G$1,d_rs_sched!$K:$K,$A17))&gt;0,(COUNTIFS(d_rs_sched!$D:$D,$A17,d_rs_sched!$I:$I,$A17,d_rs_sched!$K:$K,G$1)+COUNTIFS(d_rs_sched!$D:$D,$A17,d_rs_sched!$I:$I,G$1,d_rs_sched!$K:$K,$A17)),1),1)</f>
        <v>-5.5</v>
      </c>
      <c r="H17">
        <f>IFERROR((SUMIFS(d_rs_sched!$J:$J,d_rs_sched!$D:$D,$A17,d_rs_sched!$I:$I,$A17,d_rs_sched!$K:$K,H$1)+SUMIFS(d_rs_sched!$L:$L,d_rs_sched!$D:$D,$A17,d_rs_sched!$K:$K,$A17,d_rs_sched!$I:$I,H$1))-(SUMIFS(d_rs_sched!$L:$L,d_rs_sched!$D:$D,$A17,d_rs_sched!$I:$I,$A17,d_rs_sched!$K:$K,H$1)+SUMIFS(d_rs_sched!$J:$J,d_rs_sched!$D:$D,$A17,d_rs_sched!$K:$K,$A17,d_rs_sched!$I:$I,H$1)),0)/IFERROR(IF((COUNTIFS(d_rs_sched!$D:$D,$A17,d_rs_sched!$I:$I,$A17,d_rs_sched!$K:$K,H$1)+COUNTIFS(d_rs_sched!$D:$D,$A17,d_rs_sched!$I:$I,H$1,d_rs_sched!$K:$K,$A17))&gt;0,(COUNTIFS(d_rs_sched!$D:$D,$A17,d_rs_sched!$I:$I,$A17,d_rs_sched!$K:$K,H$1)+COUNTIFS(d_rs_sched!$D:$D,$A17,d_rs_sched!$I:$I,H$1,d_rs_sched!$K:$K,$A17)),1),1)</f>
        <v>-6</v>
      </c>
      <c r="I17">
        <f>IFERROR((SUMIFS(d_rs_sched!$J:$J,d_rs_sched!$D:$D,$A17,d_rs_sched!$I:$I,$A17,d_rs_sched!$K:$K,I$1)+SUMIFS(d_rs_sched!$L:$L,d_rs_sched!$D:$D,$A17,d_rs_sched!$K:$K,$A17,d_rs_sched!$I:$I,I$1))-(SUMIFS(d_rs_sched!$L:$L,d_rs_sched!$D:$D,$A17,d_rs_sched!$I:$I,$A17,d_rs_sched!$K:$K,I$1)+SUMIFS(d_rs_sched!$J:$J,d_rs_sched!$D:$D,$A17,d_rs_sched!$K:$K,$A17,d_rs_sched!$I:$I,I$1)),0)/IFERROR(IF((COUNTIFS(d_rs_sched!$D:$D,$A17,d_rs_sched!$I:$I,$A17,d_rs_sched!$K:$K,I$1)+COUNTIFS(d_rs_sched!$D:$D,$A17,d_rs_sched!$I:$I,I$1,d_rs_sched!$K:$K,$A17))&gt;0,(COUNTIFS(d_rs_sched!$D:$D,$A17,d_rs_sched!$I:$I,$A17,d_rs_sched!$K:$K,I$1)+COUNTIFS(d_rs_sched!$D:$D,$A17,d_rs_sched!$I:$I,I$1,d_rs_sched!$K:$K,$A17)),1),1)</f>
        <v>-1.5</v>
      </c>
      <c r="J17">
        <f>IFERROR((SUMIFS(d_rs_sched!$J:$J,d_rs_sched!$D:$D,$A17,d_rs_sched!$I:$I,$A17,d_rs_sched!$K:$K,J$1)+SUMIFS(d_rs_sched!$L:$L,d_rs_sched!$D:$D,$A17,d_rs_sched!$K:$K,$A17,d_rs_sched!$I:$I,J$1))-(SUMIFS(d_rs_sched!$L:$L,d_rs_sched!$D:$D,$A17,d_rs_sched!$I:$I,$A17,d_rs_sched!$K:$K,J$1)+SUMIFS(d_rs_sched!$J:$J,d_rs_sched!$D:$D,$A17,d_rs_sched!$K:$K,$A17,d_rs_sched!$I:$I,J$1)),0)/IFERROR(IF((COUNTIFS(d_rs_sched!$D:$D,$A17,d_rs_sched!$I:$I,$A17,d_rs_sched!$K:$K,J$1)+COUNTIFS(d_rs_sched!$D:$D,$A17,d_rs_sched!$I:$I,J$1,d_rs_sched!$K:$K,$A17))&gt;0,(COUNTIFS(d_rs_sched!$D:$D,$A17,d_rs_sched!$I:$I,$A17,d_rs_sched!$K:$K,J$1)+COUNTIFS(d_rs_sched!$D:$D,$A17,d_rs_sched!$I:$I,J$1,d_rs_sched!$K:$K,$A17)),1),1)</f>
        <v>-3.6666666666666665</v>
      </c>
      <c r="K17">
        <f>IFERROR((SUMIFS(d_rs_sched!$J:$J,d_rs_sched!$D:$D,$A17,d_rs_sched!$I:$I,$A17,d_rs_sched!$K:$K,K$1)+SUMIFS(d_rs_sched!$L:$L,d_rs_sched!$D:$D,$A17,d_rs_sched!$K:$K,$A17,d_rs_sched!$I:$I,K$1))-(SUMIFS(d_rs_sched!$L:$L,d_rs_sched!$D:$D,$A17,d_rs_sched!$I:$I,$A17,d_rs_sched!$K:$K,K$1)+SUMIFS(d_rs_sched!$J:$J,d_rs_sched!$D:$D,$A17,d_rs_sched!$K:$K,$A17,d_rs_sched!$I:$I,K$1)),0)/IFERROR(IF((COUNTIFS(d_rs_sched!$D:$D,$A17,d_rs_sched!$I:$I,$A17,d_rs_sched!$K:$K,K$1)+COUNTIFS(d_rs_sched!$D:$D,$A17,d_rs_sched!$I:$I,K$1,d_rs_sched!$K:$K,$A17))&gt;0,(COUNTIFS(d_rs_sched!$D:$D,$A17,d_rs_sched!$I:$I,$A17,d_rs_sched!$K:$K,K$1)+COUNTIFS(d_rs_sched!$D:$D,$A17,d_rs_sched!$I:$I,K$1,d_rs_sched!$K:$K,$A17)),1),1)</f>
        <v>-16</v>
      </c>
      <c r="L17">
        <f>IFERROR((SUMIFS(d_rs_sched!$J:$J,d_rs_sched!$D:$D,$A17,d_rs_sched!$I:$I,$A17,d_rs_sched!$K:$K,L$1)+SUMIFS(d_rs_sched!$L:$L,d_rs_sched!$D:$D,$A17,d_rs_sched!$K:$K,$A17,d_rs_sched!$I:$I,L$1))-(SUMIFS(d_rs_sched!$L:$L,d_rs_sched!$D:$D,$A17,d_rs_sched!$I:$I,$A17,d_rs_sched!$K:$K,L$1)+SUMIFS(d_rs_sched!$J:$J,d_rs_sched!$D:$D,$A17,d_rs_sched!$K:$K,$A17,d_rs_sched!$I:$I,L$1)),0)/IFERROR(IF((COUNTIFS(d_rs_sched!$D:$D,$A17,d_rs_sched!$I:$I,$A17,d_rs_sched!$K:$K,L$1)+COUNTIFS(d_rs_sched!$D:$D,$A17,d_rs_sched!$I:$I,L$1,d_rs_sched!$K:$K,$A17))&gt;0,(COUNTIFS(d_rs_sched!$D:$D,$A17,d_rs_sched!$I:$I,$A17,d_rs_sched!$K:$K,L$1)+COUNTIFS(d_rs_sched!$D:$D,$A17,d_rs_sched!$I:$I,L$1,d_rs_sched!$K:$K,$A17)),1),1)</f>
        <v>-26.5</v>
      </c>
      <c r="M17">
        <f>IFERROR((SUMIFS(d_rs_sched!$J:$J,d_rs_sched!$D:$D,$A17,d_rs_sched!$I:$I,$A17,d_rs_sched!$K:$K,M$1)+SUMIFS(d_rs_sched!$L:$L,d_rs_sched!$D:$D,$A17,d_rs_sched!$K:$K,$A17,d_rs_sched!$I:$I,M$1))-(SUMIFS(d_rs_sched!$L:$L,d_rs_sched!$D:$D,$A17,d_rs_sched!$I:$I,$A17,d_rs_sched!$K:$K,M$1)+SUMIFS(d_rs_sched!$J:$J,d_rs_sched!$D:$D,$A17,d_rs_sched!$K:$K,$A17,d_rs_sched!$I:$I,M$1)),0)/IFERROR(IF((COUNTIFS(d_rs_sched!$D:$D,$A17,d_rs_sched!$I:$I,$A17,d_rs_sched!$K:$K,M$1)+COUNTIFS(d_rs_sched!$D:$D,$A17,d_rs_sched!$I:$I,M$1,d_rs_sched!$K:$K,$A17))&gt;0,(COUNTIFS(d_rs_sched!$D:$D,$A17,d_rs_sched!$I:$I,$A17,d_rs_sched!$K:$K,M$1)+COUNTIFS(d_rs_sched!$D:$D,$A17,d_rs_sched!$I:$I,M$1,d_rs_sched!$K:$K,$A17)),1),1)</f>
        <v>-9.5</v>
      </c>
      <c r="N17">
        <f>IFERROR((SUMIFS(d_rs_sched!$J:$J,d_rs_sched!$D:$D,$A17,d_rs_sched!$I:$I,$A17,d_rs_sched!$K:$K,N$1)+SUMIFS(d_rs_sched!$L:$L,d_rs_sched!$D:$D,$A17,d_rs_sched!$K:$K,$A17,d_rs_sched!$I:$I,N$1))-(SUMIFS(d_rs_sched!$L:$L,d_rs_sched!$D:$D,$A17,d_rs_sched!$I:$I,$A17,d_rs_sched!$K:$K,N$1)+SUMIFS(d_rs_sched!$J:$J,d_rs_sched!$D:$D,$A17,d_rs_sched!$K:$K,$A17,d_rs_sched!$I:$I,N$1)),0)/IFERROR(IF((COUNTIFS(d_rs_sched!$D:$D,$A17,d_rs_sched!$I:$I,$A17,d_rs_sched!$K:$K,N$1)+COUNTIFS(d_rs_sched!$D:$D,$A17,d_rs_sched!$I:$I,N$1,d_rs_sched!$K:$K,$A17))&gt;0,(COUNTIFS(d_rs_sched!$D:$D,$A17,d_rs_sched!$I:$I,$A17,d_rs_sched!$K:$K,N$1)+COUNTIFS(d_rs_sched!$D:$D,$A17,d_rs_sched!$I:$I,N$1,d_rs_sched!$K:$K,$A17)),1),1)</f>
        <v>-1.5</v>
      </c>
      <c r="O17">
        <f>IFERROR((SUMIFS(d_rs_sched!$J:$J,d_rs_sched!$D:$D,$A17,d_rs_sched!$I:$I,$A17,d_rs_sched!$K:$K,O$1)+SUMIFS(d_rs_sched!$L:$L,d_rs_sched!$D:$D,$A17,d_rs_sched!$K:$K,$A17,d_rs_sched!$I:$I,O$1))-(SUMIFS(d_rs_sched!$L:$L,d_rs_sched!$D:$D,$A17,d_rs_sched!$I:$I,$A17,d_rs_sched!$K:$K,O$1)+SUMIFS(d_rs_sched!$J:$J,d_rs_sched!$D:$D,$A17,d_rs_sched!$K:$K,$A17,d_rs_sched!$I:$I,O$1)),0)/IFERROR(IF((COUNTIFS(d_rs_sched!$D:$D,$A17,d_rs_sched!$I:$I,$A17,d_rs_sched!$K:$K,O$1)+COUNTIFS(d_rs_sched!$D:$D,$A17,d_rs_sched!$I:$I,O$1,d_rs_sched!$K:$K,$A17))&gt;0,(COUNTIFS(d_rs_sched!$D:$D,$A17,d_rs_sched!$I:$I,$A17,d_rs_sched!$K:$K,O$1)+COUNTIFS(d_rs_sched!$D:$D,$A17,d_rs_sched!$I:$I,O$1,d_rs_sched!$K:$K,$A17)),1),1)</f>
        <v>4.5</v>
      </c>
      <c r="P17">
        <f>IFERROR((SUMIFS(d_rs_sched!$J:$J,d_rs_sched!$D:$D,$A17,d_rs_sched!$I:$I,$A17,d_rs_sched!$K:$K,P$1)+SUMIFS(d_rs_sched!$L:$L,d_rs_sched!$D:$D,$A17,d_rs_sched!$K:$K,$A17,d_rs_sched!$I:$I,P$1))-(SUMIFS(d_rs_sched!$L:$L,d_rs_sched!$D:$D,$A17,d_rs_sched!$I:$I,$A17,d_rs_sched!$K:$K,P$1)+SUMIFS(d_rs_sched!$J:$J,d_rs_sched!$D:$D,$A17,d_rs_sched!$K:$K,$A17,d_rs_sched!$I:$I,P$1)),0)/IFERROR(IF((COUNTIFS(d_rs_sched!$D:$D,$A17,d_rs_sched!$I:$I,$A17,d_rs_sched!$K:$K,P$1)+COUNTIFS(d_rs_sched!$D:$D,$A17,d_rs_sched!$I:$I,P$1,d_rs_sched!$K:$K,$A17))&gt;0,(COUNTIFS(d_rs_sched!$D:$D,$A17,d_rs_sched!$I:$I,$A17,d_rs_sched!$K:$K,P$1)+COUNTIFS(d_rs_sched!$D:$D,$A17,d_rs_sched!$I:$I,P$1,d_rs_sched!$K:$K,$A17)),1),1)</f>
        <v>-12</v>
      </c>
      <c r="Q17">
        <f>IFERROR((SUMIFS(d_rs_sched!$J:$J,d_rs_sched!$D:$D,$A17,d_rs_sched!$I:$I,$A17,d_rs_sched!$K:$K,Q$1)+SUMIFS(d_rs_sched!$L:$L,d_rs_sched!$D:$D,$A17,d_rs_sched!$K:$K,$A17,d_rs_sched!$I:$I,Q$1))-(SUMIFS(d_rs_sched!$L:$L,d_rs_sched!$D:$D,$A17,d_rs_sched!$I:$I,$A17,d_rs_sched!$K:$K,Q$1)+SUMIFS(d_rs_sched!$J:$J,d_rs_sched!$D:$D,$A17,d_rs_sched!$K:$K,$A17,d_rs_sched!$I:$I,Q$1)),0)/IFERROR(IF((COUNTIFS(d_rs_sched!$D:$D,$A17,d_rs_sched!$I:$I,$A17,d_rs_sched!$K:$K,Q$1)+COUNTIFS(d_rs_sched!$D:$D,$A17,d_rs_sched!$I:$I,Q$1,d_rs_sched!$K:$K,$A17))&gt;0,(COUNTIFS(d_rs_sched!$D:$D,$A17,d_rs_sched!$I:$I,$A17,d_rs_sched!$K:$K,Q$1)+COUNTIFS(d_rs_sched!$D:$D,$A17,d_rs_sched!$I:$I,Q$1,d_rs_sched!$K:$K,$A17)),1),1)</f>
        <v>0</v>
      </c>
      <c r="R17">
        <f>IFERROR((SUMIFS(d_rs_sched!$J:$J,d_rs_sched!$D:$D,$A17,d_rs_sched!$I:$I,$A17,d_rs_sched!$K:$K,R$1)+SUMIFS(d_rs_sched!$L:$L,d_rs_sched!$D:$D,$A17,d_rs_sched!$K:$K,$A17,d_rs_sched!$I:$I,R$1))-(SUMIFS(d_rs_sched!$L:$L,d_rs_sched!$D:$D,$A17,d_rs_sched!$I:$I,$A17,d_rs_sched!$K:$K,R$1)+SUMIFS(d_rs_sched!$J:$J,d_rs_sched!$D:$D,$A17,d_rs_sched!$K:$K,$A17,d_rs_sched!$I:$I,R$1)),0)/IFERROR(IF((COUNTIFS(d_rs_sched!$D:$D,$A17,d_rs_sched!$I:$I,$A17,d_rs_sched!$K:$K,R$1)+COUNTIFS(d_rs_sched!$D:$D,$A17,d_rs_sched!$I:$I,R$1,d_rs_sched!$K:$K,$A17))&gt;0,(COUNTIFS(d_rs_sched!$D:$D,$A17,d_rs_sched!$I:$I,$A17,d_rs_sched!$K:$K,R$1)+COUNTIFS(d_rs_sched!$D:$D,$A17,d_rs_sched!$I:$I,R$1,d_rs_sched!$K:$K,$A17)),1),1)</f>
        <v>-9.75</v>
      </c>
      <c r="S17">
        <f>IFERROR((SUMIFS(d_rs_sched!$J:$J,d_rs_sched!$D:$D,$A17,d_rs_sched!$I:$I,$A17,d_rs_sched!$K:$K,S$1)+SUMIFS(d_rs_sched!$L:$L,d_rs_sched!$D:$D,$A17,d_rs_sched!$K:$K,$A17,d_rs_sched!$I:$I,S$1))-(SUMIFS(d_rs_sched!$L:$L,d_rs_sched!$D:$D,$A17,d_rs_sched!$I:$I,$A17,d_rs_sched!$K:$K,S$1)+SUMIFS(d_rs_sched!$J:$J,d_rs_sched!$D:$D,$A17,d_rs_sched!$K:$K,$A17,d_rs_sched!$I:$I,S$1)),0)/IFERROR(IF((COUNTIFS(d_rs_sched!$D:$D,$A17,d_rs_sched!$I:$I,$A17,d_rs_sched!$K:$K,S$1)+COUNTIFS(d_rs_sched!$D:$D,$A17,d_rs_sched!$I:$I,S$1,d_rs_sched!$K:$K,$A17))&gt;0,(COUNTIFS(d_rs_sched!$D:$D,$A17,d_rs_sched!$I:$I,$A17,d_rs_sched!$K:$K,S$1)+COUNTIFS(d_rs_sched!$D:$D,$A17,d_rs_sched!$I:$I,S$1,d_rs_sched!$K:$K,$A17)),1),1)</f>
        <v>4.5</v>
      </c>
      <c r="T17">
        <f>IFERROR((SUMIFS(d_rs_sched!$J:$J,d_rs_sched!$D:$D,$A17,d_rs_sched!$I:$I,$A17,d_rs_sched!$K:$K,T$1)+SUMIFS(d_rs_sched!$L:$L,d_rs_sched!$D:$D,$A17,d_rs_sched!$K:$K,$A17,d_rs_sched!$I:$I,T$1))-(SUMIFS(d_rs_sched!$L:$L,d_rs_sched!$D:$D,$A17,d_rs_sched!$I:$I,$A17,d_rs_sched!$K:$K,T$1)+SUMIFS(d_rs_sched!$J:$J,d_rs_sched!$D:$D,$A17,d_rs_sched!$K:$K,$A17,d_rs_sched!$I:$I,T$1)),0)/IFERROR(IF((COUNTIFS(d_rs_sched!$D:$D,$A17,d_rs_sched!$I:$I,$A17,d_rs_sched!$K:$K,T$1)+COUNTIFS(d_rs_sched!$D:$D,$A17,d_rs_sched!$I:$I,T$1,d_rs_sched!$K:$K,$A17))&gt;0,(COUNTIFS(d_rs_sched!$D:$D,$A17,d_rs_sched!$I:$I,$A17,d_rs_sched!$K:$K,T$1)+COUNTIFS(d_rs_sched!$D:$D,$A17,d_rs_sched!$I:$I,T$1,d_rs_sched!$K:$K,$A17)),1),1)</f>
        <v>-8</v>
      </c>
      <c r="U17">
        <f>IFERROR((SUMIFS(d_rs_sched!$J:$J,d_rs_sched!$D:$D,$A17,d_rs_sched!$I:$I,$A17,d_rs_sched!$K:$K,U$1)+SUMIFS(d_rs_sched!$L:$L,d_rs_sched!$D:$D,$A17,d_rs_sched!$K:$K,$A17,d_rs_sched!$I:$I,U$1))-(SUMIFS(d_rs_sched!$L:$L,d_rs_sched!$D:$D,$A17,d_rs_sched!$I:$I,$A17,d_rs_sched!$K:$K,U$1)+SUMIFS(d_rs_sched!$J:$J,d_rs_sched!$D:$D,$A17,d_rs_sched!$K:$K,$A17,d_rs_sched!$I:$I,U$1)),0)/IFERROR(IF((COUNTIFS(d_rs_sched!$D:$D,$A17,d_rs_sched!$I:$I,$A17,d_rs_sched!$K:$K,U$1)+COUNTIFS(d_rs_sched!$D:$D,$A17,d_rs_sched!$I:$I,U$1,d_rs_sched!$K:$K,$A17))&gt;0,(COUNTIFS(d_rs_sched!$D:$D,$A17,d_rs_sched!$I:$I,$A17,d_rs_sched!$K:$K,U$1)+COUNTIFS(d_rs_sched!$D:$D,$A17,d_rs_sched!$I:$I,U$1,d_rs_sched!$K:$K,$A17)),1),1)</f>
        <v>15</v>
      </c>
      <c r="V17">
        <f>IFERROR((SUMIFS(d_rs_sched!$J:$J,d_rs_sched!$D:$D,$A17,d_rs_sched!$I:$I,$A17,d_rs_sched!$K:$K,V$1)+SUMIFS(d_rs_sched!$L:$L,d_rs_sched!$D:$D,$A17,d_rs_sched!$K:$K,$A17,d_rs_sched!$I:$I,V$1))-(SUMIFS(d_rs_sched!$L:$L,d_rs_sched!$D:$D,$A17,d_rs_sched!$I:$I,$A17,d_rs_sched!$K:$K,V$1)+SUMIFS(d_rs_sched!$J:$J,d_rs_sched!$D:$D,$A17,d_rs_sched!$K:$K,$A17,d_rs_sched!$I:$I,V$1)),0)/IFERROR(IF((COUNTIFS(d_rs_sched!$D:$D,$A17,d_rs_sched!$I:$I,$A17,d_rs_sched!$K:$K,V$1)+COUNTIFS(d_rs_sched!$D:$D,$A17,d_rs_sched!$I:$I,V$1,d_rs_sched!$K:$K,$A17))&gt;0,(COUNTIFS(d_rs_sched!$D:$D,$A17,d_rs_sched!$I:$I,$A17,d_rs_sched!$K:$K,V$1)+COUNTIFS(d_rs_sched!$D:$D,$A17,d_rs_sched!$I:$I,V$1,d_rs_sched!$K:$K,$A17)),1),1)</f>
        <v>-13</v>
      </c>
      <c r="W17">
        <f>IFERROR((SUMIFS(d_rs_sched!$J:$J,d_rs_sched!$D:$D,$A17,d_rs_sched!$I:$I,$A17,d_rs_sched!$K:$K,W$1)+SUMIFS(d_rs_sched!$L:$L,d_rs_sched!$D:$D,$A17,d_rs_sched!$K:$K,$A17,d_rs_sched!$I:$I,W$1))-(SUMIFS(d_rs_sched!$L:$L,d_rs_sched!$D:$D,$A17,d_rs_sched!$I:$I,$A17,d_rs_sched!$K:$K,W$1)+SUMIFS(d_rs_sched!$J:$J,d_rs_sched!$D:$D,$A17,d_rs_sched!$K:$K,$A17,d_rs_sched!$I:$I,W$1)),0)/IFERROR(IF((COUNTIFS(d_rs_sched!$D:$D,$A17,d_rs_sched!$I:$I,$A17,d_rs_sched!$K:$K,W$1)+COUNTIFS(d_rs_sched!$D:$D,$A17,d_rs_sched!$I:$I,W$1,d_rs_sched!$K:$K,$A17))&gt;0,(COUNTIFS(d_rs_sched!$D:$D,$A17,d_rs_sched!$I:$I,$A17,d_rs_sched!$K:$K,W$1)+COUNTIFS(d_rs_sched!$D:$D,$A17,d_rs_sched!$I:$I,W$1,d_rs_sched!$K:$K,$A17)),1),1)</f>
        <v>4</v>
      </c>
      <c r="X17">
        <f>IFERROR((SUMIFS(d_rs_sched!$J:$J,d_rs_sched!$D:$D,$A17,d_rs_sched!$I:$I,$A17,d_rs_sched!$K:$K,X$1)+SUMIFS(d_rs_sched!$L:$L,d_rs_sched!$D:$D,$A17,d_rs_sched!$K:$K,$A17,d_rs_sched!$I:$I,X$1))-(SUMIFS(d_rs_sched!$L:$L,d_rs_sched!$D:$D,$A17,d_rs_sched!$I:$I,$A17,d_rs_sched!$K:$K,X$1)+SUMIFS(d_rs_sched!$J:$J,d_rs_sched!$D:$D,$A17,d_rs_sched!$K:$K,$A17,d_rs_sched!$I:$I,X$1)),0)/IFERROR(IF((COUNTIFS(d_rs_sched!$D:$D,$A17,d_rs_sched!$I:$I,$A17,d_rs_sched!$K:$K,X$1)+COUNTIFS(d_rs_sched!$D:$D,$A17,d_rs_sched!$I:$I,X$1,d_rs_sched!$K:$K,$A17))&gt;0,(COUNTIFS(d_rs_sched!$D:$D,$A17,d_rs_sched!$I:$I,$A17,d_rs_sched!$K:$K,X$1)+COUNTIFS(d_rs_sched!$D:$D,$A17,d_rs_sched!$I:$I,X$1,d_rs_sched!$K:$K,$A17)),1),1)</f>
        <v>7.25</v>
      </c>
      <c r="Y17">
        <f>IFERROR((SUMIFS(d_rs_sched!$J:$J,d_rs_sched!$D:$D,$A17,d_rs_sched!$I:$I,$A17,d_rs_sched!$K:$K,Y$1)+SUMIFS(d_rs_sched!$L:$L,d_rs_sched!$D:$D,$A17,d_rs_sched!$K:$K,$A17,d_rs_sched!$I:$I,Y$1))-(SUMIFS(d_rs_sched!$L:$L,d_rs_sched!$D:$D,$A17,d_rs_sched!$I:$I,$A17,d_rs_sched!$K:$K,Y$1)+SUMIFS(d_rs_sched!$J:$J,d_rs_sched!$D:$D,$A17,d_rs_sched!$K:$K,$A17,d_rs_sched!$I:$I,Y$1)),0)/IFERROR(IF((COUNTIFS(d_rs_sched!$D:$D,$A17,d_rs_sched!$I:$I,$A17,d_rs_sched!$K:$K,Y$1)+COUNTIFS(d_rs_sched!$D:$D,$A17,d_rs_sched!$I:$I,Y$1,d_rs_sched!$K:$K,$A17))&gt;0,(COUNTIFS(d_rs_sched!$D:$D,$A17,d_rs_sched!$I:$I,$A17,d_rs_sched!$K:$K,Y$1)+COUNTIFS(d_rs_sched!$D:$D,$A17,d_rs_sched!$I:$I,Y$1,d_rs_sched!$K:$K,$A17)),1),1)</f>
        <v>11.5</v>
      </c>
      <c r="Z17">
        <f>IFERROR((SUMIFS(d_rs_sched!$J:$J,d_rs_sched!$D:$D,$A17,d_rs_sched!$I:$I,$A17,d_rs_sched!$K:$K,Z$1)+SUMIFS(d_rs_sched!$L:$L,d_rs_sched!$D:$D,$A17,d_rs_sched!$K:$K,$A17,d_rs_sched!$I:$I,Z$1))-(SUMIFS(d_rs_sched!$L:$L,d_rs_sched!$D:$D,$A17,d_rs_sched!$I:$I,$A17,d_rs_sched!$K:$K,Z$1)+SUMIFS(d_rs_sched!$J:$J,d_rs_sched!$D:$D,$A17,d_rs_sched!$K:$K,$A17,d_rs_sched!$I:$I,Z$1)),0)/IFERROR(IF((COUNTIFS(d_rs_sched!$D:$D,$A17,d_rs_sched!$I:$I,$A17,d_rs_sched!$K:$K,Z$1)+COUNTIFS(d_rs_sched!$D:$D,$A17,d_rs_sched!$I:$I,Z$1,d_rs_sched!$K:$K,$A17))&gt;0,(COUNTIFS(d_rs_sched!$D:$D,$A17,d_rs_sched!$I:$I,$A17,d_rs_sched!$K:$K,Z$1)+COUNTIFS(d_rs_sched!$D:$D,$A17,d_rs_sched!$I:$I,Z$1,d_rs_sched!$K:$K,$A17)),1),1)</f>
        <v>-6</v>
      </c>
      <c r="AA17">
        <f>IFERROR((SUMIFS(d_rs_sched!$J:$J,d_rs_sched!$D:$D,$A17,d_rs_sched!$I:$I,$A17,d_rs_sched!$K:$K,AA$1)+SUMIFS(d_rs_sched!$L:$L,d_rs_sched!$D:$D,$A17,d_rs_sched!$K:$K,$A17,d_rs_sched!$I:$I,AA$1))-(SUMIFS(d_rs_sched!$L:$L,d_rs_sched!$D:$D,$A17,d_rs_sched!$I:$I,$A17,d_rs_sched!$K:$K,AA$1)+SUMIFS(d_rs_sched!$J:$J,d_rs_sched!$D:$D,$A17,d_rs_sched!$K:$K,$A17,d_rs_sched!$I:$I,AA$1)),0)/IFERROR(IF((COUNTIFS(d_rs_sched!$D:$D,$A17,d_rs_sched!$I:$I,$A17,d_rs_sched!$K:$K,AA$1)+COUNTIFS(d_rs_sched!$D:$D,$A17,d_rs_sched!$I:$I,AA$1,d_rs_sched!$K:$K,$A17))&gt;0,(COUNTIFS(d_rs_sched!$D:$D,$A17,d_rs_sched!$I:$I,$A17,d_rs_sched!$K:$K,AA$1)+COUNTIFS(d_rs_sched!$D:$D,$A17,d_rs_sched!$I:$I,AA$1,d_rs_sched!$K:$K,$A17)),1),1)</f>
        <v>-13.5</v>
      </c>
      <c r="AB17">
        <f>IFERROR((SUMIFS(d_rs_sched!$J:$J,d_rs_sched!$D:$D,$A17,d_rs_sched!$I:$I,$A17,d_rs_sched!$K:$K,AB$1)+SUMIFS(d_rs_sched!$L:$L,d_rs_sched!$D:$D,$A17,d_rs_sched!$K:$K,$A17,d_rs_sched!$I:$I,AB$1))-(SUMIFS(d_rs_sched!$L:$L,d_rs_sched!$D:$D,$A17,d_rs_sched!$I:$I,$A17,d_rs_sched!$K:$K,AB$1)+SUMIFS(d_rs_sched!$J:$J,d_rs_sched!$D:$D,$A17,d_rs_sched!$K:$K,$A17,d_rs_sched!$I:$I,AB$1)),0)/IFERROR(IF((COUNTIFS(d_rs_sched!$D:$D,$A17,d_rs_sched!$I:$I,$A17,d_rs_sched!$K:$K,AB$1)+COUNTIFS(d_rs_sched!$D:$D,$A17,d_rs_sched!$I:$I,AB$1,d_rs_sched!$K:$K,$A17))&gt;0,(COUNTIFS(d_rs_sched!$D:$D,$A17,d_rs_sched!$I:$I,$A17,d_rs_sched!$K:$K,AB$1)+COUNTIFS(d_rs_sched!$D:$D,$A17,d_rs_sched!$I:$I,AB$1,d_rs_sched!$K:$K,$A17)),1),1)</f>
        <v>8.5</v>
      </c>
      <c r="AC17">
        <f>IFERROR((SUMIFS(d_rs_sched!$J:$J,d_rs_sched!$D:$D,$A17,d_rs_sched!$I:$I,$A17,d_rs_sched!$K:$K,AC$1)+SUMIFS(d_rs_sched!$L:$L,d_rs_sched!$D:$D,$A17,d_rs_sched!$K:$K,$A17,d_rs_sched!$I:$I,AC$1))-(SUMIFS(d_rs_sched!$L:$L,d_rs_sched!$D:$D,$A17,d_rs_sched!$I:$I,$A17,d_rs_sched!$K:$K,AC$1)+SUMIFS(d_rs_sched!$J:$J,d_rs_sched!$D:$D,$A17,d_rs_sched!$K:$K,$A17,d_rs_sched!$I:$I,AC$1)),0)/IFERROR(IF((COUNTIFS(d_rs_sched!$D:$D,$A17,d_rs_sched!$I:$I,$A17,d_rs_sched!$K:$K,AC$1)+COUNTIFS(d_rs_sched!$D:$D,$A17,d_rs_sched!$I:$I,AC$1,d_rs_sched!$K:$K,$A17))&gt;0,(COUNTIFS(d_rs_sched!$D:$D,$A17,d_rs_sched!$I:$I,$A17,d_rs_sched!$K:$K,AC$1)+COUNTIFS(d_rs_sched!$D:$D,$A17,d_rs_sched!$I:$I,AC$1,d_rs_sched!$K:$K,$A17)),1),1)</f>
        <v>-2.5</v>
      </c>
      <c r="AD17">
        <f>IFERROR((SUMIFS(d_rs_sched!$J:$J,d_rs_sched!$D:$D,$A17,d_rs_sched!$I:$I,$A17,d_rs_sched!$K:$K,AD$1)+SUMIFS(d_rs_sched!$L:$L,d_rs_sched!$D:$D,$A17,d_rs_sched!$K:$K,$A17,d_rs_sched!$I:$I,AD$1))-(SUMIFS(d_rs_sched!$L:$L,d_rs_sched!$D:$D,$A17,d_rs_sched!$I:$I,$A17,d_rs_sched!$K:$K,AD$1)+SUMIFS(d_rs_sched!$J:$J,d_rs_sched!$D:$D,$A17,d_rs_sched!$K:$K,$A17,d_rs_sched!$I:$I,AD$1)),0)/IFERROR(IF((COUNTIFS(d_rs_sched!$D:$D,$A17,d_rs_sched!$I:$I,$A17,d_rs_sched!$K:$K,AD$1)+COUNTIFS(d_rs_sched!$D:$D,$A17,d_rs_sched!$I:$I,AD$1,d_rs_sched!$K:$K,$A17))&gt;0,(COUNTIFS(d_rs_sched!$D:$D,$A17,d_rs_sched!$I:$I,$A17,d_rs_sched!$K:$K,AD$1)+COUNTIFS(d_rs_sched!$D:$D,$A17,d_rs_sched!$I:$I,AD$1,d_rs_sched!$K:$K,$A17)),1),1)</f>
        <v>-6.5</v>
      </c>
      <c r="AE17">
        <f>IFERROR((SUMIFS(d_rs_sched!$J:$J,d_rs_sched!$D:$D,$A17,d_rs_sched!$I:$I,$A17,d_rs_sched!$K:$K,AE$1)+SUMIFS(d_rs_sched!$L:$L,d_rs_sched!$D:$D,$A17,d_rs_sched!$K:$K,$A17,d_rs_sched!$I:$I,AE$1))-(SUMIFS(d_rs_sched!$L:$L,d_rs_sched!$D:$D,$A17,d_rs_sched!$I:$I,$A17,d_rs_sched!$K:$K,AE$1)+SUMIFS(d_rs_sched!$J:$J,d_rs_sched!$D:$D,$A17,d_rs_sched!$K:$K,$A17,d_rs_sched!$I:$I,AE$1)),0)/IFERROR(IF((COUNTIFS(d_rs_sched!$D:$D,$A17,d_rs_sched!$I:$I,$A17,d_rs_sched!$K:$K,AE$1)+COUNTIFS(d_rs_sched!$D:$D,$A17,d_rs_sched!$I:$I,AE$1,d_rs_sched!$K:$K,$A17))&gt;0,(COUNTIFS(d_rs_sched!$D:$D,$A17,d_rs_sched!$I:$I,$A17,d_rs_sched!$K:$K,AE$1)+COUNTIFS(d_rs_sched!$D:$D,$A17,d_rs_sched!$I:$I,AE$1,d_rs_sched!$K:$K,$A17)),1),1)</f>
        <v>-3.25</v>
      </c>
      <c r="AG17" t="s">
        <v>24</v>
      </c>
      <c r="AH17">
        <v>0.9591408929302232</v>
      </c>
      <c r="AI17">
        <f t="shared" si="0"/>
        <v>26</v>
      </c>
    </row>
    <row r="18" spans="1:35" x14ac:dyDescent="0.25">
      <c r="A18" t="s">
        <v>19</v>
      </c>
      <c r="B18">
        <f>IFERROR((SUMIFS(d_rs_sched!$J:$J,d_rs_sched!$D:$D,$A18,d_rs_sched!$I:$I,$A18,d_rs_sched!$K:$K,B$1)+SUMIFS(d_rs_sched!$L:$L,d_rs_sched!$D:$D,$A18,d_rs_sched!$K:$K,$A18,d_rs_sched!$I:$I,B$1))-(SUMIFS(d_rs_sched!$L:$L,d_rs_sched!$D:$D,$A18,d_rs_sched!$I:$I,$A18,d_rs_sched!$K:$K,B$1)+SUMIFS(d_rs_sched!$J:$J,d_rs_sched!$D:$D,$A18,d_rs_sched!$K:$K,$A18,d_rs_sched!$I:$I,B$1)),0)/IFERROR(IF((COUNTIFS(d_rs_sched!$D:$D,$A18,d_rs_sched!$I:$I,$A18,d_rs_sched!$K:$K,B$1)+COUNTIFS(d_rs_sched!$D:$D,$A18,d_rs_sched!$I:$I,B$1,d_rs_sched!$K:$K,$A18))&gt;0,(COUNTIFS(d_rs_sched!$D:$D,$A18,d_rs_sched!$I:$I,$A18,d_rs_sched!$K:$K,B$1)+COUNTIFS(d_rs_sched!$D:$D,$A18,d_rs_sched!$I:$I,B$1,d_rs_sched!$K:$K,$A18)),1),1)</f>
        <v>0.25</v>
      </c>
      <c r="C18">
        <f>IFERROR((SUMIFS(d_rs_sched!$J:$J,d_rs_sched!$D:$D,$A18,d_rs_sched!$I:$I,$A18,d_rs_sched!$K:$K,C$1)+SUMIFS(d_rs_sched!$L:$L,d_rs_sched!$D:$D,$A18,d_rs_sched!$K:$K,$A18,d_rs_sched!$I:$I,C$1))-(SUMIFS(d_rs_sched!$L:$L,d_rs_sched!$D:$D,$A18,d_rs_sched!$I:$I,$A18,d_rs_sched!$K:$K,C$1)+SUMIFS(d_rs_sched!$J:$J,d_rs_sched!$D:$D,$A18,d_rs_sched!$K:$K,$A18,d_rs_sched!$I:$I,C$1)),0)/IFERROR(IF((COUNTIFS(d_rs_sched!$D:$D,$A18,d_rs_sched!$I:$I,$A18,d_rs_sched!$K:$K,C$1)+COUNTIFS(d_rs_sched!$D:$D,$A18,d_rs_sched!$I:$I,C$1,d_rs_sched!$K:$K,$A18))&gt;0,(COUNTIFS(d_rs_sched!$D:$D,$A18,d_rs_sched!$I:$I,$A18,d_rs_sched!$K:$K,C$1)+COUNTIFS(d_rs_sched!$D:$D,$A18,d_rs_sched!$I:$I,C$1,d_rs_sched!$K:$K,$A18)),1),1)</f>
        <v>7.75</v>
      </c>
      <c r="D18">
        <f>IFERROR((SUMIFS(d_rs_sched!$J:$J,d_rs_sched!$D:$D,$A18,d_rs_sched!$I:$I,$A18,d_rs_sched!$K:$K,D$1)+SUMIFS(d_rs_sched!$L:$L,d_rs_sched!$D:$D,$A18,d_rs_sched!$K:$K,$A18,d_rs_sched!$I:$I,D$1))-(SUMIFS(d_rs_sched!$L:$L,d_rs_sched!$D:$D,$A18,d_rs_sched!$I:$I,$A18,d_rs_sched!$K:$K,D$1)+SUMIFS(d_rs_sched!$J:$J,d_rs_sched!$D:$D,$A18,d_rs_sched!$K:$K,$A18,d_rs_sched!$I:$I,D$1)),0)/IFERROR(IF((COUNTIFS(d_rs_sched!$D:$D,$A18,d_rs_sched!$I:$I,$A18,d_rs_sched!$K:$K,D$1)+COUNTIFS(d_rs_sched!$D:$D,$A18,d_rs_sched!$I:$I,D$1,d_rs_sched!$K:$K,$A18))&gt;0,(COUNTIFS(d_rs_sched!$D:$D,$A18,d_rs_sched!$I:$I,$A18,d_rs_sched!$K:$K,D$1)+COUNTIFS(d_rs_sched!$D:$D,$A18,d_rs_sched!$I:$I,D$1,d_rs_sched!$K:$K,$A18)),1),1)</f>
        <v>2.3333333333333335</v>
      </c>
      <c r="E18">
        <f>IFERROR((SUMIFS(d_rs_sched!$J:$J,d_rs_sched!$D:$D,$A18,d_rs_sched!$I:$I,$A18,d_rs_sched!$K:$K,E$1)+SUMIFS(d_rs_sched!$L:$L,d_rs_sched!$D:$D,$A18,d_rs_sched!$K:$K,$A18,d_rs_sched!$I:$I,E$1))-(SUMIFS(d_rs_sched!$L:$L,d_rs_sched!$D:$D,$A18,d_rs_sched!$I:$I,$A18,d_rs_sched!$K:$K,E$1)+SUMIFS(d_rs_sched!$J:$J,d_rs_sched!$D:$D,$A18,d_rs_sched!$K:$K,$A18,d_rs_sched!$I:$I,E$1)),0)/IFERROR(IF((COUNTIFS(d_rs_sched!$D:$D,$A18,d_rs_sched!$I:$I,$A18,d_rs_sched!$K:$K,E$1)+COUNTIFS(d_rs_sched!$D:$D,$A18,d_rs_sched!$I:$I,E$1,d_rs_sched!$K:$K,$A18))&gt;0,(COUNTIFS(d_rs_sched!$D:$D,$A18,d_rs_sched!$I:$I,$A18,d_rs_sched!$K:$K,E$1)+COUNTIFS(d_rs_sched!$D:$D,$A18,d_rs_sched!$I:$I,E$1,d_rs_sched!$K:$K,$A18)),1),1)</f>
        <v>0.33333333333333331</v>
      </c>
      <c r="F18">
        <f>IFERROR((SUMIFS(d_rs_sched!$J:$J,d_rs_sched!$D:$D,$A18,d_rs_sched!$I:$I,$A18,d_rs_sched!$K:$K,F$1)+SUMIFS(d_rs_sched!$L:$L,d_rs_sched!$D:$D,$A18,d_rs_sched!$K:$K,$A18,d_rs_sched!$I:$I,F$1))-(SUMIFS(d_rs_sched!$L:$L,d_rs_sched!$D:$D,$A18,d_rs_sched!$I:$I,$A18,d_rs_sched!$K:$K,F$1)+SUMIFS(d_rs_sched!$J:$J,d_rs_sched!$D:$D,$A18,d_rs_sched!$K:$K,$A18,d_rs_sched!$I:$I,F$1)),0)/IFERROR(IF((COUNTIFS(d_rs_sched!$D:$D,$A18,d_rs_sched!$I:$I,$A18,d_rs_sched!$K:$K,F$1)+COUNTIFS(d_rs_sched!$D:$D,$A18,d_rs_sched!$I:$I,F$1,d_rs_sched!$K:$K,$A18))&gt;0,(COUNTIFS(d_rs_sched!$D:$D,$A18,d_rs_sched!$I:$I,$A18,d_rs_sched!$K:$K,F$1)+COUNTIFS(d_rs_sched!$D:$D,$A18,d_rs_sched!$I:$I,F$1,d_rs_sched!$K:$K,$A18)),1),1)</f>
        <v>-7.25</v>
      </c>
      <c r="G18">
        <f>IFERROR((SUMIFS(d_rs_sched!$J:$J,d_rs_sched!$D:$D,$A18,d_rs_sched!$I:$I,$A18,d_rs_sched!$K:$K,G$1)+SUMIFS(d_rs_sched!$L:$L,d_rs_sched!$D:$D,$A18,d_rs_sched!$K:$K,$A18,d_rs_sched!$I:$I,G$1))-(SUMIFS(d_rs_sched!$L:$L,d_rs_sched!$D:$D,$A18,d_rs_sched!$I:$I,$A18,d_rs_sched!$K:$K,G$1)+SUMIFS(d_rs_sched!$J:$J,d_rs_sched!$D:$D,$A18,d_rs_sched!$K:$K,$A18,d_rs_sched!$I:$I,G$1)),0)/IFERROR(IF((COUNTIFS(d_rs_sched!$D:$D,$A18,d_rs_sched!$I:$I,$A18,d_rs_sched!$K:$K,G$1)+COUNTIFS(d_rs_sched!$D:$D,$A18,d_rs_sched!$I:$I,G$1,d_rs_sched!$K:$K,$A18))&gt;0,(COUNTIFS(d_rs_sched!$D:$D,$A18,d_rs_sched!$I:$I,$A18,d_rs_sched!$K:$K,G$1)+COUNTIFS(d_rs_sched!$D:$D,$A18,d_rs_sched!$I:$I,G$1,d_rs_sched!$K:$K,$A18)),1),1)</f>
        <v>-2.5</v>
      </c>
      <c r="H18">
        <f>IFERROR((SUMIFS(d_rs_sched!$J:$J,d_rs_sched!$D:$D,$A18,d_rs_sched!$I:$I,$A18,d_rs_sched!$K:$K,H$1)+SUMIFS(d_rs_sched!$L:$L,d_rs_sched!$D:$D,$A18,d_rs_sched!$K:$K,$A18,d_rs_sched!$I:$I,H$1))-(SUMIFS(d_rs_sched!$L:$L,d_rs_sched!$D:$D,$A18,d_rs_sched!$I:$I,$A18,d_rs_sched!$K:$K,H$1)+SUMIFS(d_rs_sched!$J:$J,d_rs_sched!$D:$D,$A18,d_rs_sched!$K:$K,$A18,d_rs_sched!$I:$I,H$1)),0)/IFERROR(IF((COUNTIFS(d_rs_sched!$D:$D,$A18,d_rs_sched!$I:$I,$A18,d_rs_sched!$K:$K,H$1)+COUNTIFS(d_rs_sched!$D:$D,$A18,d_rs_sched!$I:$I,H$1,d_rs_sched!$K:$K,$A18))&gt;0,(COUNTIFS(d_rs_sched!$D:$D,$A18,d_rs_sched!$I:$I,$A18,d_rs_sched!$K:$K,H$1)+COUNTIFS(d_rs_sched!$D:$D,$A18,d_rs_sched!$I:$I,H$1,d_rs_sched!$K:$K,$A18)),1),1)</f>
        <v>-12.5</v>
      </c>
      <c r="I18">
        <f>IFERROR((SUMIFS(d_rs_sched!$J:$J,d_rs_sched!$D:$D,$A18,d_rs_sched!$I:$I,$A18,d_rs_sched!$K:$K,I$1)+SUMIFS(d_rs_sched!$L:$L,d_rs_sched!$D:$D,$A18,d_rs_sched!$K:$K,$A18,d_rs_sched!$I:$I,I$1))-(SUMIFS(d_rs_sched!$L:$L,d_rs_sched!$D:$D,$A18,d_rs_sched!$I:$I,$A18,d_rs_sched!$K:$K,I$1)+SUMIFS(d_rs_sched!$J:$J,d_rs_sched!$D:$D,$A18,d_rs_sched!$K:$K,$A18,d_rs_sched!$I:$I,I$1)),0)/IFERROR(IF((COUNTIFS(d_rs_sched!$D:$D,$A18,d_rs_sched!$I:$I,$A18,d_rs_sched!$K:$K,I$1)+COUNTIFS(d_rs_sched!$D:$D,$A18,d_rs_sched!$I:$I,I$1,d_rs_sched!$K:$K,$A18))&gt;0,(COUNTIFS(d_rs_sched!$D:$D,$A18,d_rs_sched!$I:$I,$A18,d_rs_sched!$K:$K,I$1)+COUNTIFS(d_rs_sched!$D:$D,$A18,d_rs_sched!$I:$I,I$1,d_rs_sched!$K:$K,$A18)),1),1)</f>
        <v>-1.5</v>
      </c>
      <c r="J18">
        <f>IFERROR((SUMIFS(d_rs_sched!$J:$J,d_rs_sched!$D:$D,$A18,d_rs_sched!$I:$I,$A18,d_rs_sched!$K:$K,J$1)+SUMIFS(d_rs_sched!$L:$L,d_rs_sched!$D:$D,$A18,d_rs_sched!$K:$K,$A18,d_rs_sched!$I:$I,J$1))-(SUMIFS(d_rs_sched!$L:$L,d_rs_sched!$D:$D,$A18,d_rs_sched!$I:$I,$A18,d_rs_sched!$K:$K,J$1)+SUMIFS(d_rs_sched!$J:$J,d_rs_sched!$D:$D,$A18,d_rs_sched!$K:$K,$A18,d_rs_sched!$I:$I,J$1)),0)/IFERROR(IF((COUNTIFS(d_rs_sched!$D:$D,$A18,d_rs_sched!$I:$I,$A18,d_rs_sched!$K:$K,J$1)+COUNTIFS(d_rs_sched!$D:$D,$A18,d_rs_sched!$I:$I,J$1,d_rs_sched!$K:$K,$A18))&gt;0,(COUNTIFS(d_rs_sched!$D:$D,$A18,d_rs_sched!$I:$I,$A18,d_rs_sched!$K:$K,J$1)+COUNTIFS(d_rs_sched!$D:$D,$A18,d_rs_sched!$I:$I,J$1,d_rs_sched!$K:$K,$A18)),1),1)</f>
        <v>10</v>
      </c>
      <c r="K18">
        <f>IFERROR((SUMIFS(d_rs_sched!$J:$J,d_rs_sched!$D:$D,$A18,d_rs_sched!$I:$I,$A18,d_rs_sched!$K:$K,K$1)+SUMIFS(d_rs_sched!$L:$L,d_rs_sched!$D:$D,$A18,d_rs_sched!$K:$K,$A18,d_rs_sched!$I:$I,K$1))-(SUMIFS(d_rs_sched!$L:$L,d_rs_sched!$D:$D,$A18,d_rs_sched!$I:$I,$A18,d_rs_sched!$K:$K,K$1)+SUMIFS(d_rs_sched!$J:$J,d_rs_sched!$D:$D,$A18,d_rs_sched!$K:$K,$A18,d_rs_sched!$I:$I,K$1)),0)/IFERROR(IF((COUNTIFS(d_rs_sched!$D:$D,$A18,d_rs_sched!$I:$I,$A18,d_rs_sched!$K:$K,K$1)+COUNTIFS(d_rs_sched!$D:$D,$A18,d_rs_sched!$I:$I,K$1,d_rs_sched!$K:$K,$A18))&gt;0,(COUNTIFS(d_rs_sched!$D:$D,$A18,d_rs_sched!$I:$I,$A18,d_rs_sched!$K:$K,K$1)+COUNTIFS(d_rs_sched!$D:$D,$A18,d_rs_sched!$I:$I,K$1,d_rs_sched!$K:$K,$A18)),1),1)</f>
        <v>-11</v>
      </c>
      <c r="L18">
        <f>IFERROR((SUMIFS(d_rs_sched!$J:$J,d_rs_sched!$D:$D,$A18,d_rs_sched!$I:$I,$A18,d_rs_sched!$K:$K,L$1)+SUMIFS(d_rs_sched!$L:$L,d_rs_sched!$D:$D,$A18,d_rs_sched!$K:$K,$A18,d_rs_sched!$I:$I,L$1))-(SUMIFS(d_rs_sched!$L:$L,d_rs_sched!$D:$D,$A18,d_rs_sched!$I:$I,$A18,d_rs_sched!$K:$K,L$1)+SUMIFS(d_rs_sched!$J:$J,d_rs_sched!$D:$D,$A18,d_rs_sched!$K:$K,$A18,d_rs_sched!$I:$I,L$1)),0)/IFERROR(IF((COUNTIFS(d_rs_sched!$D:$D,$A18,d_rs_sched!$I:$I,$A18,d_rs_sched!$K:$K,L$1)+COUNTIFS(d_rs_sched!$D:$D,$A18,d_rs_sched!$I:$I,L$1,d_rs_sched!$K:$K,$A18))&gt;0,(COUNTIFS(d_rs_sched!$D:$D,$A18,d_rs_sched!$I:$I,$A18,d_rs_sched!$K:$K,L$1)+COUNTIFS(d_rs_sched!$D:$D,$A18,d_rs_sched!$I:$I,L$1,d_rs_sched!$K:$K,$A18)),1),1)</f>
        <v>-10</v>
      </c>
      <c r="M18">
        <f>IFERROR((SUMIFS(d_rs_sched!$J:$J,d_rs_sched!$D:$D,$A18,d_rs_sched!$I:$I,$A18,d_rs_sched!$K:$K,M$1)+SUMIFS(d_rs_sched!$L:$L,d_rs_sched!$D:$D,$A18,d_rs_sched!$K:$K,$A18,d_rs_sched!$I:$I,M$1))-(SUMIFS(d_rs_sched!$L:$L,d_rs_sched!$D:$D,$A18,d_rs_sched!$I:$I,$A18,d_rs_sched!$K:$K,M$1)+SUMIFS(d_rs_sched!$J:$J,d_rs_sched!$D:$D,$A18,d_rs_sched!$K:$K,$A18,d_rs_sched!$I:$I,M$1)),0)/IFERROR(IF((COUNTIFS(d_rs_sched!$D:$D,$A18,d_rs_sched!$I:$I,$A18,d_rs_sched!$K:$K,M$1)+COUNTIFS(d_rs_sched!$D:$D,$A18,d_rs_sched!$I:$I,M$1,d_rs_sched!$K:$K,$A18))&gt;0,(COUNTIFS(d_rs_sched!$D:$D,$A18,d_rs_sched!$I:$I,$A18,d_rs_sched!$K:$K,M$1)+COUNTIFS(d_rs_sched!$D:$D,$A18,d_rs_sched!$I:$I,M$1,d_rs_sched!$K:$K,$A18)),1),1)</f>
        <v>0.25</v>
      </c>
      <c r="N18">
        <f>IFERROR((SUMIFS(d_rs_sched!$J:$J,d_rs_sched!$D:$D,$A18,d_rs_sched!$I:$I,$A18,d_rs_sched!$K:$K,N$1)+SUMIFS(d_rs_sched!$L:$L,d_rs_sched!$D:$D,$A18,d_rs_sched!$K:$K,$A18,d_rs_sched!$I:$I,N$1))-(SUMIFS(d_rs_sched!$L:$L,d_rs_sched!$D:$D,$A18,d_rs_sched!$I:$I,$A18,d_rs_sched!$K:$K,N$1)+SUMIFS(d_rs_sched!$J:$J,d_rs_sched!$D:$D,$A18,d_rs_sched!$K:$K,$A18,d_rs_sched!$I:$I,N$1)),0)/IFERROR(IF((COUNTIFS(d_rs_sched!$D:$D,$A18,d_rs_sched!$I:$I,$A18,d_rs_sched!$K:$K,N$1)+COUNTIFS(d_rs_sched!$D:$D,$A18,d_rs_sched!$I:$I,N$1,d_rs_sched!$K:$K,$A18))&gt;0,(COUNTIFS(d_rs_sched!$D:$D,$A18,d_rs_sched!$I:$I,$A18,d_rs_sched!$K:$K,N$1)+COUNTIFS(d_rs_sched!$D:$D,$A18,d_rs_sched!$I:$I,N$1,d_rs_sched!$K:$K,$A18)),1),1)</f>
        <v>0.5</v>
      </c>
      <c r="O18">
        <f>IFERROR((SUMIFS(d_rs_sched!$J:$J,d_rs_sched!$D:$D,$A18,d_rs_sched!$I:$I,$A18,d_rs_sched!$K:$K,O$1)+SUMIFS(d_rs_sched!$L:$L,d_rs_sched!$D:$D,$A18,d_rs_sched!$K:$K,$A18,d_rs_sched!$I:$I,O$1))-(SUMIFS(d_rs_sched!$L:$L,d_rs_sched!$D:$D,$A18,d_rs_sched!$I:$I,$A18,d_rs_sched!$K:$K,O$1)+SUMIFS(d_rs_sched!$J:$J,d_rs_sched!$D:$D,$A18,d_rs_sched!$K:$K,$A18,d_rs_sched!$I:$I,O$1)),0)/IFERROR(IF((COUNTIFS(d_rs_sched!$D:$D,$A18,d_rs_sched!$I:$I,$A18,d_rs_sched!$K:$K,O$1)+COUNTIFS(d_rs_sched!$D:$D,$A18,d_rs_sched!$I:$I,O$1,d_rs_sched!$K:$K,$A18))&gt;0,(COUNTIFS(d_rs_sched!$D:$D,$A18,d_rs_sched!$I:$I,$A18,d_rs_sched!$K:$K,O$1)+COUNTIFS(d_rs_sched!$D:$D,$A18,d_rs_sched!$I:$I,O$1,d_rs_sched!$K:$K,$A18)),1),1)</f>
        <v>0</v>
      </c>
      <c r="P18">
        <f>IFERROR((SUMIFS(d_rs_sched!$J:$J,d_rs_sched!$D:$D,$A18,d_rs_sched!$I:$I,$A18,d_rs_sched!$K:$K,P$1)+SUMIFS(d_rs_sched!$L:$L,d_rs_sched!$D:$D,$A18,d_rs_sched!$K:$K,$A18,d_rs_sched!$I:$I,P$1))-(SUMIFS(d_rs_sched!$L:$L,d_rs_sched!$D:$D,$A18,d_rs_sched!$I:$I,$A18,d_rs_sched!$K:$K,P$1)+SUMIFS(d_rs_sched!$J:$J,d_rs_sched!$D:$D,$A18,d_rs_sched!$K:$K,$A18,d_rs_sched!$I:$I,P$1)),0)/IFERROR(IF((COUNTIFS(d_rs_sched!$D:$D,$A18,d_rs_sched!$I:$I,$A18,d_rs_sched!$K:$K,P$1)+COUNTIFS(d_rs_sched!$D:$D,$A18,d_rs_sched!$I:$I,P$1,d_rs_sched!$K:$K,$A18))&gt;0,(COUNTIFS(d_rs_sched!$D:$D,$A18,d_rs_sched!$I:$I,$A18,d_rs_sched!$K:$K,P$1)+COUNTIFS(d_rs_sched!$D:$D,$A18,d_rs_sched!$I:$I,P$1,d_rs_sched!$K:$K,$A18)),1),1)</f>
        <v>-6</v>
      </c>
      <c r="Q18">
        <f>IFERROR((SUMIFS(d_rs_sched!$J:$J,d_rs_sched!$D:$D,$A18,d_rs_sched!$I:$I,$A18,d_rs_sched!$K:$K,Q$1)+SUMIFS(d_rs_sched!$L:$L,d_rs_sched!$D:$D,$A18,d_rs_sched!$K:$K,$A18,d_rs_sched!$I:$I,Q$1))-(SUMIFS(d_rs_sched!$L:$L,d_rs_sched!$D:$D,$A18,d_rs_sched!$I:$I,$A18,d_rs_sched!$K:$K,Q$1)+SUMIFS(d_rs_sched!$J:$J,d_rs_sched!$D:$D,$A18,d_rs_sched!$K:$K,$A18,d_rs_sched!$I:$I,Q$1)),0)/IFERROR(IF((COUNTIFS(d_rs_sched!$D:$D,$A18,d_rs_sched!$I:$I,$A18,d_rs_sched!$K:$K,Q$1)+COUNTIFS(d_rs_sched!$D:$D,$A18,d_rs_sched!$I:$I,Q$1,d_rs_sched!$K:$K,$A18))&gt;0,(COUNTIFS(d_rs_sched!$D:$D,$A18,d_rs_sched!$I:$I,$A18,d_rs_sched!$K:$K,Q$1)+COUNTIFS(d_rs_sched!$D:$D,$A18,d_rs_sched!$I:$I,Q$1,d_rs_sched!$K:$K,$A18)),1),1)</f>
        <v>9.75</v>
      </c>
      <c r="R18">
        <f>IFERROR((SUMIFS(d_rs_sched!$J:$J,d_rs_sched!$D:$D,$A18,d_rs_sched!$I:$I,$A18,d_rs_sched!$K:$K,R$1)+SUMIFS(d_rs_sched!$L:$L,d_rs_sched!$D:$D,$A18,d_rs_sched!$K:$K,$A18,d_rs_sched!$I:$I,R$1))-(SUMIFS(d_rs_sched!$L:$L,d_rs_sched!$D:$D,$A18,d_rs_sched!$I:$I,$A18,d_rs_sched!$K:$K,R$1)+SUMIFS(d_rs_sched!$J:$J,d_rs_sched!$D:$D,$A18,d_rs_sched!$K:$K,$A18,d_rs_sched!$I:$I,R$1)),0)/IFERROR(IF((COUNTIFS(d_rs_sched!$D:$D,$A18,d_rs_sched!$I:$I,$A18,d_rs_sched!$K:$K,R$1)+COUNTIFS(d_rs_sched!$D:$D,$A18,d_rs_sched!$I:$I,R$1,d_rs_sched!$K:$K,$A18))&gt;0,(COUNTIFS(d_rs_sched!$D:$D,$A18,d_rs_sched!$I:$I,$A18,d_rs_sched!$K:$K,R$1)+COUNTIFS(d_rs_sched!$D:$D,$A18,d_rs_sched!$I:$I,R$1,d_rs_sched!$K:$K,$A18)),1),1)</f>
        <v>0</v>
      </c>
      <c r="S18">
        <f>IFERROR((SUMIFS(d_rs_sched!$J:$J,d_rs_sched!$D:$D,$A18,d_rs_sched!$I:$I,$A18,d_rs_sched!$K:$K,S$1)+SUMIFS(d_rs_sched!$L:$L,d_rs_sched!$D:$D,$A18,d_rs_sched!$K:$K,$A18,d_rs_sched!$I:$I,S$1))-(SUMIFS(d_rs_sched!$L:$L,d_rs_sched!$D:$D,$A18,d_rs_sched!$I:$I,$A18,d_rs_sched!$K:$K,S$1)+SUMIFS(d_rs_sched!$J:$J,d_rs_sched!$D:$D,$A18,d_rs_sched!$K:$K,$A18,d_rs_sched!$I:$I,S$1)),0)/IFERROR(IF((COUNTIFS(d_rs_sched!$D:$D,$A18,d_rs_sched!$I:$I,$A18,d_rs_sched!$K:$K,S$1)+COUNTIFS(d_rs_sched!$D:$D,$A18,d_rs_sched!$I:$I,S$1,d_rs_sched!$K:$K,$A18))&gt;0,(COUNTIFS(d_rs_sched!$D:$D,$A18,d_rs_sched!$I:$I,$A18,d_rs_sched!$K:$K,S$1)+COUNTIFS(d_rs_sched!$D:$D,$A18,d_rs_sched!$I:$I,S$1,d_rs_sched!$K:$K,$A18)),1),1)</f>
        <v>15.5</v>
      </c>
      <c r="T18">
        <f>IFERROR((SUMIFS(d_rs_sched!$J:$J,d_rs_sched!$D:$D,$A18,d_rs_sched!$I:$I,$A18,d_rs_sched!$K:$K,T$1)+SUMIFS(d_rs_sched!$L:$L,d_rs_sched!$D:$D,$A18,d_rs_sched!$K:$K,$A18,d_rs_sched!$I:$I,T$1))-(SUMIFS(d_rs_sched!$L:$L,d_rs_sched!$D:$D,$A18,d_rs_sched!$I:$I,$A18,d_rs_sched!$K:$K,T$1)+SUMIFS(d_rs_sched!$J:$J,d_rs_sched!$D:$D,$A18,d_rs_sched!$K:$K,$A18,d_rs_sched!$I:$I,T$1)),0)/IFERROR(IF((COUNTIFS(d_rs_sched!$D:$D,$A18,d_rs_sched!$I:$I,$A18,d_rs_sched!$K:$K,T$1)+COUNTIFS(d_rs_sched!$D:$D,$A18,d_rs_sched!$I:$I,T$1,d_rs_sched!$K:$K,$A18))&gt;0,(COUNTIFS(d_rs_sched!$D:$D,$A18,d_rs_sched!$I:$I,$A18,d_rs_sched!$K:$K,T$1)+COUNTIFS(d_rs_sched!$D:$D,$A18,d_rs_sched!$I:$I,T$1,d_rs_sched!$K:$K,$A18)),1),1)</f>
        <v>-6</v>
      </c>
      <c r="U18">
        <f>IFERROR((SUMIFS(d_rs_sched!$J:$J,d_rs_sched!$D:$D,$A18,d_rs_sched!$I:$I,$A18,d_rs_sched!$K:$K,U$1)+SUMIFS(d_rs_sched!$L:$L,d_rs_sched!$D:$D,$A18,d_rs_sched!$K:$K,$A18,d_rs_sched!$I:$I,U$1))-(SUMIFS(d_rs_sched!$L:$L,d_rs_sched!$D:$D,$A18,d_rs_sched!$I:$I,$A18,d_rs_sched!$K:$K,U$1)+SUMIFS(d_rs_sched!$J:$J,d_rs_sched!$D:$D,$A18,d_rs_sched!$K:$K,$A18,d_rs_sched!$I:$I,U$1)),0)/IFERROR(IF((COUNTIFS(d_rs_sched!$D:$D,$A18,d_rs_sched!$I:$I,$A18,d_rs_sched!$K:$K,U$1)+COUNTIFS(d_rs_sched!$D:$D,$A18,d_rs_sched!$I:$I,U$1,d_rs_sched!$K:$K,$A18))&gt;0,(COUNTIFS(d_rs_sched!$D:$D,$A18,d_rs_sched!$I:$I,$A18,d_rs_sched!$K:$K,U$1)+COUNTIFS(d_rs_sched!$D:$D,$A18,d_rs_sched!$I:$I,U$1,d_rs_sched!$K:$K,$A18)),1),1)</f>
        <v>10.25</v>
      </c>
      <c r="V18">
        <f>IFERROR((SUMIFS(d_rs_sched!$J:$J,d_rs_sched!$D:$D,$A18,d_rs_sched!$I:$I,$A18,d_rs_sched!$K:$K,V$1)+SUMIFS(d_rs_sched!$L:$L,d_rs_sched!$D:$D,$A18,d_rs_sched!$K:$K,$A18,d_rs_sched!$I:$I,V$1))-(SUMIFS(d_rs_sched!$L:$L,d_rs_sched!$D:$D,$A18,d_rs_sched!$I:$I,$A18,d_rs_sched!$K:$K,V$1)+SUMIFS(d_rs_sched!$J:$J,d_rs_sched!$D:$D,$A18,d_rs_sched!$K:$K,$A18,d_rs_sched!$I:$I,V$1)),0)/IFERROR(IF((COUNTIFS(d_rs_sched!$D:$D,$A18,d_rs_sched!$I:$I,$A18,d_rs_sched!$K:$K,V$1)+COUNTIFS(d_rs_sched!$D:$D,$A18,d_rs_sched!$I:$I,V$1,d_rs_sched!$K:$K,$A18))&gt;0,(COUNTIFS(d_rs_sched!$D:$D,$A18,d_rs_sched!$I:$I,$A18,d_rs_sched!$K:$K,V$1)+COUNTIFS(d_rs_sched!$D:$D,$A18,d_rs_sched!$I:$I,V$1,d_rs_sched!$K:$K,$A18)),1),1)</f>
        <v>-3</v>
      </c>
      <c r="W18">
        <f>IFERROR((SUMIFS(d_rs_sched!$J:$J,d_rs_sched!$D:$D,$A18,d_rs_sched!$I:$I,$A18,d_rs_sched!$K:$K,W$1)+SUMIFS(d_rs_sched!$L:$L,d_rs_sched!$D:$D,$A18,d_rs_sched!$K:$K,$A18,d_rs_sched!$I:$I,W$1))-(SUMIFS(d_rs_sched!$L:$L,d_rs_sched!$D:$D,$A18,d_rs_sched!$I:$I,$A18,d_rs_sched!$K:$K,W$1)+SUMIFS(d_rs_sched!$J:$J,d_rs_sched!$D:$D,$A18,d_rs_sched!$K:$K,$A18,d_rs_sched!$I:$I,W$1)),0)/IFERROR(IF((COUNTIFS(d_rs_sched!$D:$D,$A18,d_rs_sched!$I:$I,$A18,d_rs_sched!$K:$K,W$1)+COUNTIFS(d_rs_sched!$D:$D,$A18,d_rs_sched!$I:$I,W$1,d_rs_sched!$K:$K,$A18))&gt;0,(COUNTIFS(d_rs_sched!$D:$D,$A18,d_rs_sched!$I:$I,$A18,d_rs_sched!$K:$K,W$1)+COUNTIFS(d_rs_sched!$D:$D,$A18,d_rs_sched!$I:$I,W$1,d_rs_sched!$K:$K,$A18)),1),1)</f>
        <v>-0.5</v>
      </c>
      <c r="X18">
        <f>IFERROR((SUMIFS(d_rs_sched!$J:$J,d_rs_sched!$D:$D,$A18,d_rs_sched!$I:$I,$A18,d_rs_sched!$K:$K,X$1)+SUMIFS(d_rs_sched!$L:$L,d_rs_sched!$D:$D,$A18,d_rs_sched!$K:$K,$A18,d_rs_sched!$I:$I,X$1))-(SUMIFS(d_rs_sched!$L:$L,d_rs_sched!$D:$D,$A18,d_rs_sched!$I:$I,$A18,d_rs_sched!$K:$K,X$1)+SUMIFS(d_rs_sched!$J:$J,d_rs_sched!$D:$D,$A18,d_rs_sched!$K:$K,$A18,d_rs_sched!$I:$I,X$1)),0)/IFERROR(IF((COUNTIFS(d_rs_sched!$D:$D,$A18,d_rs_sched!$I:$I,$A18,d_rs_sched!$K:$K,X$1)+COUNTIFS(d_rs_sched!$D:$D,$A18,d_rs_sched!$I:$I,X$1,d_rs_sched!$K:$K,$A18))&gt;0,(COUNTIFS(d_rs_sched!$D:$D,$A18,d_rs_sched!$I:$I,$A18,d_rs_sched!$K:$K,X$1)+COUNTIFS(d_rs_sched!$D:$D,$A18,d_rs_sched!$I:$I,X$1,d_rs_sched!$K:$K,$A18)),1),1)</f>
        <v>14.5</v>
      </c>
      <c r="Y18">
        <f>IFERROR((SUMIFS(d_rs_sched!$J:$J,d_rs_sched!$D:$D,$A18,d_rs_sched!$I:$I,$A18,d_rs_sched!$K:$K,Y$1)+SUMIFS(d_rs_sched!$L:$L,d_rs_sched!$D:$D,$A18,d_rs_sched!$K:$K,$A18,d_rs_sched!$I:$I,Y$1))-(SUMIFS(d_rs_sched!$L:$L,d_rs_sched!$D:$D,$A18,d_rs_sched!$I:$I,$A18,d_rs_sched!$K:$K,Y$1)+SUMIFS(d_rs_sched!$J:$J,d_rs_sched!$D:$D,$A18,d_rs_sched!$K:$K,$A18,d_rs_sched!$I:$I,Y$1)),0)/IFERROR(IF((COUNTIFS(d_rs_sched!$D:$D,$A18,d_rs_sched!$I:$I,$A18,d_rs_sched!$K:$K,Y$1)+COUNTIFS(d_rs_sched!$D:$D,$A18,d_rs_sched!$I:$I,Y$1,d_rs_sched!$K:$K,$A18))&gt;0,(COUNTIFS(d_rs_sched!$D:$D,$A18,d_rs_sched!$I:$I,$A18,d_rs_sched!$K:$K,Y$1)+COUNTIFS(d_rs_sched!$D:$D,$A18,d_rs_sched!$I:$I,Y$1,d_rs_sched!$K:$K,$A18)),1),1)</f>
        <v>-2</v>
      </c>
      <c r="Z18">
        <f>IFERROR((SUMIFS(d_rs_sched!$J:$J,d_rs_sched!$D:$D,$A18,d_rs_sched!$I:$I,$A18,d_rs_sched!$K:$K,Z$1)+SUMIFS(d_rs_sched!$L:$L,d_rs_sched!$D:$D,$A18,d_rs_sched!$K:$K,$A18,d_rs_sched!$I:$I,Z$1))-(SUMIFS(d_rs_sched!$L:$L,d_rs_sched!$D:$D,$A18,d_rs_sched!$I:$I,$A18,d_rs_sched!$K:$K,Z$1)+SUMIFS(d_rs_sched!$J:$J,d_rs_sched!$D:$D,$A18,d_rs_sched!$K:$K,$A18,d_rs_sched!$I:$I,Z$1)),0)/IFERROR(IF((COUNTIFS(d_rs_sched!$D:$D,$A18,d_rs_sched!$I:$I,$A18,d_rs_sched!$K:$K,Z$1)+COUNTIFS(d_rs_sched!$D:$D,$A18,d_rs_sched!$I:$I,Z$1,d_rs_sched!$K:$K,$A18))&gt;0,(COUNTIFS(d_rs_sched!$D:$D,$A18,d_rs_sched!$I:$I,$A18,d_rs_sched!$K:$K,Z$1)+COUNTIFS(d_rs_sched!$D:$D,$A18,d_rs_sched!$I:$I,Z$1,d_rs_sched!$K:$K,$A18)),1),1)</f>
        <v>0</v>
      </c>
      <c r="AA18">
        <f>IFERROR((SUMIFS(d_rs_sched!$J:$J,d_rs_sched!$D:$D,$A18,d_rs_sched!$I:$I,$A18,d_rs_sched!$K:$K,AA$1)+SUMIFS(d_rs_sched!$L:$L,d_rs_sched!$D:$D,$A18,d_rs_sched!$K:$K,$A18,d_rs_sched!$I:$I,AA$1))-(SUMIFS(d_rs_sched!$L:$L,d_rs_sched!$D:$D,$A18,d_rs_sched!$I:$I,$A18,d_rs_sched!$K:$K,AA$1)+SUMIFS(d_rs_sched!$J:$J,d_rs_sched!$D:$D,$A18,d_rs_sched!$K:$K,$A18,d_rs_sched!$I:$I,AA$1)),0)/IFERROR(IF((COUNTIFS(d_rs_sched!$D:$D,$A18,d_rs_sched!$I:$I,$A18,d_rs_sched!$K:$K,AA$1)+COUNTIFS(d_rs_sched!$D:$D,$A18,d_rs_sched!$I:$I,AA$1,d_rs_sched!$K:$K,$A18))&gt;0,(COUNTIFS(d_rs_sched!$D:$D,$A18,d_rs_sched!$I:$I,$A18,d_rs_sched!$K:$K,AA$1)+COUNTIFS(d_rs_sched!$D:$D,$A18,d_rs_sched!$I:$I,AA$1,d_rs_sched!$K:$K,$A18)),1),1)</f>
        <v>-8.5</v>
      </c>
      <c r="AB18">
        <f>IFERROR((SUMIFS(d_rs_sched!$J:$J,d_rs_sched!$D:$D,$A18,d_rs_sched!$I:$I,$A18,d_rs_sched!$K:$K,AB$1)+SUMIFS(d_rs_sched!$L:$L,d_rs_sched!$D:$D,$A18,d_rs_sched!$K:$K,$A18,d_rs_sched!$I:$I,AB$1))-(SUMIFS(d_rs_sched!$L:$L,d_rs_sched!$D:$D,$A18,d_rs_sched!$I:$I,$A18,d_rs_sched!$K:$K,AB$1)+SUMIFS(d_rs_sched!$J:$J,d_rs_sched!$D:$D,$A18,d_rs_sched!$K:$K,$A18,d_rs_sched!$I:$I,AB$1)),0)/IFERROR(IF((COUNTIFS(d_rs_sched!$D:$D,$A18,d_rs_sched!$I:$I,$A18,d_rs_sched!$K:$K,AB$1)+COUNTIFS(d_rs_sched!$D:$D,$A18,d_rs_sched!$I:$I,AB$1,d_rs_sched!$K:$K,$A18))&gt;0,(COUNTIFS(d_rs_sched!$D:$D,$A18,d_rs_sched!$I:$I,$A18,d_rs_sched!$K:$K,AB$1)+COUNTIFS(d_rs_sched!$D:$D,$A18,d_rs_sched!$I:$I,AB$1,d_rs_sched!$K:$K,$A18)),1),1)</f>
        <v>4.5</v>
      </c>
      <c r="AC18">
        <f>IFERROR((SUMIFS(d_rs_sched!$J:$J,d_rs_sched!$D:$D,$A18,d_rs_sched!$I:$I,$A18,d_rs_sched!$K:$K,AC$1)+SUMIFS(d_rs_sched!$L:$L,d_rs_sched!$D:$D,$A18,d_rs_sched!$K:$K,$A18,d_rs_sched!$I:$I,AC$1))-(SUMIFS(d_rs_sched!$L:$L,d_rs_sched!$D:$D,$A18,d_rs_sched!$I:$I,$A18,d_rs_sched!$K:$K,AC$1)+SUMIFS(d_rs_sched!$J:$J,d_rs_sched!$D:$D,$A18,d_rs_sched!$K:$K,$A18,d_rs_sched!$I:$I,AC$1)),0)/IFERROR(IF((COUNTIFS(d_rs_sched!$D:$D,$A18,d_rs_sched!$I:$I,$A18,d_rs_sched!$K:$K,AC$1)+COUNTIFS(d_rs_sched!$D:$D,$A18,d_rs_sched!$I:$I,AC$1,d_rs_sched!$K:$K,$A18))&gt;0,(COUNTIFS(d_rs_sched!$D:$D,$A18,d_rs_sched!$I:$I,$A18,d_rs_sched!$K:$K,AC$1)+COUNTIFS(d_rs_sched!$D:$D,$A18,d_rs_sched!$I:$I,AC$1,d_rs_sched!$K:$K,$A18)),1),1)</f>
        <v>-12.666666666666666</v>
      </c>
      <c r="AD18">
        <f>IFERROR((SUMIFS(d_rs_sched!$J:$J,d_rs_sched!$D:$D,$A18,d_rs_sched!$I:$I,$A18,d_rs_sched!$K:$K,AD$1)+SUMIFS(d_rs_sched!$L:$L,d_rs_sched!$D:$D,$A18,d_rs_sched!$K:$K,$A18,d_rs_sched!$I:$I,AD$1))-(SUMIFS(d_rs_sched!$L:$L,d_rs_sched!$D:$D,$A18,d_rs_sched!$I:$I,$A18,d_rs_sched!$K:$K,AD$1)+SUMIFS(d_rs_sched!$J:$J,d_rs_sched!$D:$D,$A18,d_rs_sched!$K:$K,$A18,d_rs_sched!$I:$I,AD$1)),0)/IFERROR(IF((COUNTIFS(d_rs_sched!$D:$D,$A18,d_rs_sched!$I:$I,$A18,d_rs_sched!$K:$K,AD$1)+COUNTIFS(d_rs_sched!$D:$D,$A18,d_rs_sched!$I:$I,AD$1,d_rs_sched!$K:$K,$A18))&gt;0,(COUNTIFS(d_rs_sched!$D:$D,$A18,d_rs_sched!$I:$I,$A18,d_rs_sched!$K:$K,AD$1)+COUNTIFS(d_rs_sched!$D:$D,$A18,d_rs_sched!$I:$I,AD$1,d_rs_sched!$K:$K,$A18)),1),1)</f>
        <v>-4.5</v>
      </c>
      <c r="AE18">
        <f>IFERROR((SUMIFS(d_rs_sched!$J:$J,d_rs_sched!$D:$D,$A18,d_rs_sched!$I:$I,$A18,d_rs_sched!$K:$K,AE$1)+SUMIFS(d_rs_sched!$L:$L,d_rs_sched!$D:$D,$A18,d_rs_sched!$K:$K,$A18,d_rs_sched!$I:$I,AE$1))-(SUMIFS(d_rs_sched!$L:$L,d_rs_sched!$D:$D,$A18,d_rs_sched!$I:$I,$A18,d_rs_sched!$K:$K,AE$1)+SUMIFS(d_rs_sched!$J:$J,d_rs_sched!$D:$D,$A18,d_rs_sched!$K:$K,$A18,d_rs_sched!$I:$I,AE$1)),0)/IFERROR(IF((COUNTIFS(d_rs_sched!$D:$D,$A18,d_rs_sched!$I:$I,$A18,d_rs_sched!$K:$K,AE$1)+COUNTIFS(d_rs_sched!$D:$D,$A18,d_rs_sched!$I:$I,AE$1,d_rs_sched!$K:$K,$A18))&gt;0,(COUNTIFS(d_rs_sched!$D:$D,$A18,d_rs_sched!$I:$I,$A18,d_rs_sched!$K:$K,AE$1)+COUNTIFS(d_rs_sched!$D:$D,$A18,d_rs_sched!$I:$I,AE$1,d_rs_sched!$K:$K,$A18)),1),1)</f>
        <v>-5.333333333333333</v>
      </c>
      <c r="AG18" t="s">
        <v>19</v>
      </c>
      <c r="AH18">
        <v>0.96956749694512168</v>
      </c>
      <c r="AI18">
        <f t="shared" si="0"/>
        <v>18</v>
      </c>
    </row>
    <row r="19" spans="1:35" x14ac:dyDescent="0.25">
      <c r="A19" t="s">
        <v>29</v>
      </c>
      <c r="B19">
        <f>IFERROR((SUMIFS(d_rs_sched!$J:$J,d_rs_sched!$D:$D,$A19,d_rs_sched!$I:$I,$A19,d_rs_sched!$K:$K,B$1)+SUMIFS(d_rs_sched!$L:$L,d_rs_sched!$D:$D,$A19,d_rs_sched!$K:$K,$A19,d_rs_sched!$I:$I,B$1))-(SUMIFS(d_rs_sched!$L:$L,d_rs_sched!$D:$D,$A19,d_rs_sched!$I:$I,$A19,d_rs_sched!$K:$K,B$1)+SUMIFS(d_rs_sched!$J:$J,d_rs_sched!$D:$D,$A19,d_rs_sched!$K:$K,$A19,d_rs_sched!$I:$I,B$1)),0)/IFERROR(IF((COUNTIFS(d_rs_sched!$D:$D,$A19,d_rs_sched!$I:$I,$A19,d_rs_sched!$K:$K,B$1)+COUNTIFS(d_rs_sched!$D:$D,$A19,d_rs_sched!$I:$I,B$1,d_rs_sched!$K:$K,$A19))&gt;0,(COUNTIFS(d_rs_sched!$D:$D,$A19,d_rs_sched!$I:$I,$A19,d_rs_sched!$K:$K,B$1)+COUNTIFS(d_rs_sched!$D:$D,$A19,d_rs_sched!$I:$I,B$1,d_rs_sched!$K:$K,$A19)),1),1)</f>
        <v>-12</v>
      </c>
      <c r="C19">
        <f>IFERROR((SUMIFS(d_rs_sched!$J:$J,d_rs_sched!$D:$D,$A19,d_rs_sched!$I:$I,$A19,d_rs_sched!$K:$K,C$1)+SUMIFS(d_rs_sched!$L:$L,d_rs_sched!$D:$D,$A19,d_rs_sched!$K:$K,$A19,d_rs_sched!$I:$I,C$1))-(SUMIFS(d_rs_sched!$L:$L,d_rs_sched!$D:$D,$A19,d_rs_sched!$I:$I,$A19,d_rs_sched!$K:$K,C$1)+SUMIFS(d_rs_sched!$J:$J,d_rs_sched!$D:$D,$A19,d_rs_sched!$K:$K,$A19,d_rs_sched!$I:$I,C$1)),0)/IFERROR(IF((COUNTIFS(d_rs_sched!$D:$D,$A19,d_rs_sched!$I:$I,$A19,d_rs_sched!$K:$K,C$1)+COUNTIFS(d_rs_sched!$D:$D,$A19,d_rs_sched!$I:$I,C$1,d_rs_sched!$K:$K,$A19))&gt;0,(COUNTIFS(d_rs_sched!$D:$D,$A19,d_rs_sched!$I:$I,$A19,d_rs_sched!$K:$K,C$1)+COUNTIFS(d_rs_sched!$D:$D,$A19,d_rs_sched!$I:$I,C$1,d_rs_sched!$K:$K,$A19)),1),1)</f>
        <v>-4.5</v>
      </c>
      <c r="D19">
        <f>IFERROR((SUMIFS(d_rs_sched!$J:$J,d_rs_sched!$D:$D,$A19,d_rs_sched!$I:$I,$A19,d_rs_sched!$K:$K,D$1)+SUMIFS(d_rs_sched!$L:$L,d_rs_sched!$D:$D,$A19,d_rs_sched!$K:$K,$A19,d_rs_sched!$I:$I,D$1))-(SUMIFS(d_rs_sched!$L:$L,d_rs_sched!$D:$D,$A19,d_rs_sched!$I:$I,$A19,d_rs_sched!$K:$K,D$1)+SUMIFS(d_rs_sched!$J:$J,d_rs_sched!$D:$D,$A19,d_rs_sched!$K:$K,$A19,d_rs_sched!$I:$I,D$1)),0)/IFERROR(IF((COUNTIFS(d_rs_sched!$D:$D,$A19,d_rs_sched!$I:$I,$A19,d_rs_sched!$K:$K,D$1)+COUNTIFS(d_rs_sched!$D:$D,$A19,d_rs_sched!$I:$I,D$1,d_rs_sched!$K:$K,$A19))&gt;0,(COUNTIFS(d_rs_sched!$D:$D,$A19,d_rs_sched!$I:$I,$A19,d_rs_sched!$K:$K,D$1)+COUNTIFS(d_rs_sched!$D:$D,$A19,d_rs_sched!$I:$I,D$1,d_rs_sched!$K:$K,$A19)),1),1)</f>
        <v>-2</v>
      </c>
      <c r="E19">
        <f>IFERROR((SUMIFS(d_rs_sched!$J:$J,d_rs_sched!$D:$D,$A19,d_rs_sched!$I:$I,$A19,d_rs_sched!$K:$K,E$1)+SUMIFS(d_rs_sched!$L:$L,d_rs_sched!$D:$D,$A19,d_rs_sched!$K:$K,$A19,d_rs_sched!$I:$I,E$1))-(SUMIFS(d_rs_sched!$L:$L,d_rs_sched!$D:$D,$A19,d_rs_sched!$I:$I,$A19,d_rs_sched!$K:$K,E$1)+SUMIFS(d_rs_sched!$J:$J,d_rs_sched!$D:$D,$A19,d_rs_sched!$K:$K,$A19,d_rs_sched!$I:$I,E$1)),0)/IFERROR(IF((COUNTIFS(d_rs_sched!$D:$D,$A19,d_rs_sched!$I:$I,$A19,d_rs_sched!$K:$K,E$1)+COUNTIFS(d_rs_sched!$D:$D,$A19,d_rs_sched!$I:$I,E$1,d_rs_sched!$K:$K,$A19))&gt;0,(COUNTIFS(d_rs_sched!$D:$D,$A19,d_rs_sched!$I:$I,$A19,d_rs_sched!$K:$K,E$1)+COUNTIFS(d_rs_sched!$D:$D,$A19,d_rs_sched!$I:$I,E$1,d_rs_sched!$K:$K,$A19)),1),1)</f>
        <v>-18</v>
      </c>
      <c r="F19">
        <f>IFERROR((SUMIFS(d_rs_sched!$J:$J,d_rs_sched!$D:$D,$A19,d_rs_sched!$I:$I,$A19,d_rs_sched!$K:$K,F$1)+SUMIFS(d_rs_sched!$L:$L,d_rs_sched!$D:$D,$A19,d_rs_sched!$K:$K,$A19,d_rs_sched!$I:$I,F$1))-(SUMIFS(d_rs_sched!$L:$L,d_rs_sched!$D:$D,$A19,d_rs_sched!$I:$I,$A19,d_rs_sched!$K:$K,F$1)+SUMIFS(d_rs_sched!$J:$J,d_rs_sched!$D:$D,$A19,d_rs_sched!$K:$K,$A19,d_rs_sched!$I:$I,F$1)),0)/IFERROR(IF((COUNTIFS(d_rs_sched!$D:$D,$A19,d_rs_sched!$I:$I,$A19,d_rs_sched!$K:$K,F$1)+COUNTIFS(d_rs_sched!$D:$D,$A19,d_rs_sched!$I:$I,F$1,d_rs_sched!$K:$K,$A19))&gt;0,(COUNTIFS(d_rs_sched!$D:$D,$A19,d_rs_sched!$I:$I,$A19,d_rs_sched!$K:$K,F$1)+COUNTIFS(d_rs_sched!$D:$D,$A19,d_rs_sched!$I:$I,F$1,d_rs_sched!$K:$K,$A19)),1),1)</f>
        <v>-4</v>
      </c>
      <c r="G19">
        <f>IFERROR((SUMIFS(d_rs_sched!$J:$J,d_rs_sched!$D:$D,$A19,d_rs_sched!$I:$I,$A19,d_rs_sched!$K:$K,G$1)+SUMIFS(d_rs_sched!$L:$L,d_rs_sched!$D:$D,$A19,d_rs_sched!$K:$K,$A19,d_rs_sched!$I:$I,G$1))-(SUMIFS(d_rs_sched!$L:$L,d_rs_sched!$D:$D,$A19,d_rs_sched!$I:$I,$A19,d_rs_sched!$K:$K,G$1)+SUMIFS(d_rs_sched!$J:$J,d_rs_sched!$D:$D,$A19,d_rs_sched!$K:$K,$A19,d_rs_sched!$I:$I,G$1)),0)/IFERROR(IF((COUNTIFS(d_rs_sched!$D:$D,$A19,d_rs_sched!$I:$I,$A19,d_rs_sched!$K:$K,G$1)+COUNTIFS(d_rs_sched!$D:$D,$A19,d_rs_sched!$I:$I,G$1,d_rs_sched!$K:$K,$A19))&gt;0,(COUNTIFS(d_rs_sched!$D:$D,$A19,d_rs_sched!$I:$I,$A19,d_rs_sched!$K:$K,G$1)+COUNTIFS(d_rs_sched!$D:$D,$A19,d_rs_sched!$I:$I,G$1,d_rs_sched!$K:$K,$A19)),1),1)</f>
        <v>-18.5</v>
      </c>
      <c r="H19">
        <f>IFERROR((SUMIFS(d_rs_sched!$J:$J,d_rs_sched!$D:$D,$A19,d_rs_sched!$I:$I,$A19,d_rs_sched!$K:$K,H$1)+SUMIFS(d_rs_sched!$L:$L,d_rs_sched!$D:$D,$A19,d_rs_sched!$K:$K,$A19,d_rs_sched!$I:$I,H$1))-(SUMIFS(d_rs_sched!$L:$L,d_rs_sched!$D:$D,$A19,d_rs_sched!$I:$I,$A19,d_rs_sched!$K:$K,H$1)+SUMIFS(d_rs_sched!$J:$J,d_rs_sched!$D:$D,$A19,d_rs_sched!$K:$K,$A19,d_rs_sched!$I:$I,H$1)),0)/IFERROR(IF((COUNTIFS(d_rs_sched!$D:$D,$A19,d_rs_sched!$I:$I,$A19,d_rs_sched!$K:$K,H$1)+COUNTIFS(d_rs_sched!$D:$D,$A19,d_rs_sched!$I:$I,H$1,d_rs_sched!$K:$K,$A19))&gt;0,(COUNTIFS(d_rs_sched!$D:$D,$A19,d_rs_sched!$I:$I,$A19,d_rs_sched!$K:$K,H$1)+COUNTIFS(d_rs_sched!$D:$D,$A19,d_rs_sched!$I:$I,H$1,d_rs_sched!$K:$K,$A19)),1),1)</f>
        <v>-14.333333333333334</v>
      </c>
      <c r="I19">
        <f>IFERROR((SUMIFS(d_rs_sched!$J:$J,d_rs_sched!$D:$D,$A19,d_rs_sched!$I:$I,$A19,d_rs_sched!$K:$K,I$1)+SUMIFS(d_rs_sched!$L:$L,d_rs_sched!$D:$D,$A19,d_rs_sched!$K:$K,$A19,d_rs_sched!$I:$I,I$1))-(SUMIFS(d_rs_sched!$L:$L,d_rs_sched!$D:$D,$A19,d_rs_sched!$I:$I,$A19,d_rs_sched!$K:$K,I$1)+SUMIFS(d_rs_sched!$J:$J,d_rs_sched!$D:$D,$A19,d_rs_sched!$K:$K,$A19,d_rs_sched!$I:$I,I$1)),0)/IFERROR(IF((COUNTIFS(d_rs_sched!$D:$D,$A19,d_rs_sched!$I:$I,$A19,d_rs_sched!$K:$K,I$1)+COUNTIFS(d_rs_sched!$D:$D,$A19,d_rs_sched!$I:$I,I$1,d_rs_sched!$K:$K,$A19))&gt;0,(COUNTIFS(d_rs_sched!$D:$D,$A19,d_rs_sched!$I:$I,$A19,d_rs_sched!$K:$K,I$1)+COUNTIFS(d_rs_sched!$D:$D,$A19,d_rs_sched!$I:$I,I$1,d_rs_sched!$K:$K,$A19)),1),1)</f>
        <v>-5</v>
      </c>
      <c r="J19">
        <f>IFERROR((SUMIFS(d_rs_sched!$J:$J,d_rs_sched!$D:$D,$A19,d_rs_sched!$I:$I,$A19,d_rs_sched!$K:$K,J$1)+SUMIFS(d_rs_sched!$L:$L,d_rs_sched!$D:$D,$A19,d_rs_sched!$K:$K,$A19,d_rs_sched!$I:$I,J$1))-(SUMIFS(d_rs_sched!$L:$L,d_rs_sched!$D:$D,$A19,d_rs_sched!$I:$I,$A19,d_rs_sched!$K:$K,J$1)+SUMIFS(d_rs_sched!$J:$J,d_rs_sched!$D:$D,$A19,d_rs_sched!$K:$K,$A19,d_rs_sched!$I:$I,J$1)),0)/IFERROR(IF((COUNTIFS(d_rs_sched!$D:$D,$A19,d_rs_sched!$I:$I,$A19,d_rs_sched!$K:$K,J$1)+COUNTIFS(d_rs_sched!$D:$D,$A19,d_rs_sched!$I:$I,J$1,d_rs_sched!$K:$K,$A19))&gt;0,(COUNTIFS(d_rs_sched!$D:$D,$A19,d_rs_sched!$I:$I,$A19,d_rs_sched!$K:$K,J$1)+COUNTIFS(d_rs_sched!$D:$D,$A19,d_rs_sched!$I:$I,J$1,d_rs_sched!$K:$K,$A19)),1),1)</f>
        <v>8.5</v>
      </c>
      <c r="K19">
        <f>IFERROR((SUMIFS(d_rs_sched!$J:$J,d_rs_sched!$D:$D,$A19,d_rs_sched!$I:$I,$A19,d_rs_sched!$K:$K,K$1)+SUMIFS(d_rs_sched!$L:$L,d_rs_sched!$D:$D,$A19,d_rs_sched!$K:$K,$A19,d_rs_sched!$I:$I,K$1))-(SUMIFS(d_rs_sched!$L:$L,d_rs_sched!$D:$D,$A19,d_rs_sched!$I:$I,$A19,d_rs_sched!$K:$K,K$1)+SUMIFS(d_rs_sched!$J:$J,d_rs_sched!$D:$D,$A19,d_rs_sched!$K:$K,$A19,d_rs_sched!$I:$I,K$1)),0)/IFERROR(IF((COUNTIFS(d_rs_sched!$D:$D,$A19,d_rs_sched!$I:$I,$A19,d_rs_sched!$K:$K,K$1)+COUNTIFS(d_rs_sched!$D:$D,$A19,d_rs_sched!$I:$I,K$1,d_rs_sched!$K:$K,$A19))&gt;0,(COUNTIFS(d_rs_sched!$D:$D,$A19,d_rs_sched!$I:$I,$A19,d_rs_sched!$K:$K,K$1)+COUNTIFS(d_rs_sched!$D:$D,$A19,d_rs_sched!$I:$I,K$1,d_rs_sched!$K:$K,$A19)),1),1)</f>
        <v>-10.25</v>
      </c>
      <c r="L19">
        <f>IFERROR((SUMIFS(d_rs_sched!$J:$J,d_rs_sched!$D:$D,$A19,d_rs_sched!$I:$I,$A19,d_rs_sched!$K:$K,L$1)+SUMIFS(d_rs_sched!$L:$L,d_rs_sched!$D:$D,$A19,d_rs_sched!$K:$K,$A19,d_rs_sched!$I:$I,L$1))-(SUMIFS(d_rs_sched!$L:$L,d_rs_sched!$D:$D,$A19,d_rs_sched!$I:$I,$A19,d_rs_sched!$K:$K,L$1)+SUMIFS(d_rs_sched!$J:$J,d_rs_sched!$D:$D,$A19,d_rs_sched!$K:$K,$A19,d_rs_sched!$I:$I,L$1)),0)/IFERROR(IF((COUNTIFS(d_rs_sched!$D:$D,$A19,d_rs_sched!$I:$I,$A19,d_rs_sched!$K:$K,L$1)+COUNTIFS(d_rs_sched!$D:$D,$A19,d_rs_sched!$I:$I,L$1,d_rs_sched!$K:$K,$A19))&gt;0,(COUNTIFS(d_rs_sched!$D:$D,$A19,d_rs_sched!$I:$I,$A19,d_rs_sched!$K:$K,L$1)+COUNTIFS(d_rs_sched!$D:$D,$A19,d_rs_sched!$I:$I,L$1,d_rs_sched!$K:$K,$A19)),1),1)</f>
        <v>-8.75</v>
      </c>
      <c r="M19">
        <f>IFERROR((SUMIFS(d_rs_sched!$J:$J,d_rs_sched!$D:$D,$A19,d_rs_sched!$I:$I,$A19,d_rs_sched!$K:$K,M$1)+SUMIFS(d_rs_sched!$L:$L,d_rs_sched!$D:$D,$A19,d_rs_sched!$K:$K,$A19,d_rs_sched!$I:$I,M$1))-(SUMIFS(d_rs_sched!$L:$L,d_rs_sched!$D:$D,$A19,d_rs_sched!$I:$I,$A19,d_rs_sched!$K:$K,M$1)+SUMIFS(d_rs_sched!$J:$J,d_rs_sched!$D:$D,$A19,d_rs_sched!$K:$K,$A19,d_rs_sched!$I:$I,M$1)),0)/IFERROR(IF((COUNTIFS(d_rs_sched!$D:$D,$A19,d_rs_sched!$I:$I,$A19,d_rs_sched!$K:$K,M$1)+COUNTIFS(d_rs_sched!$D:$D,$A19,d_rs_sched!$I:$I,M$1,d_rs_sched!$K:$K,$A19))&gt;0,(COUNTIFS(d_rs_sched!$D:$D,$A19,d_rs_sched!$I:$I,$A19,d_rs_sched!$K:$K,M$1)+COUNTIFS(d_rs_sched!$D:$D,$A19,d_rs_sched!$I:$I,M$1,d_rs_sched!$K:$K,$A19)),1),1)</f>
        <v>2.5</v>
      </c>
      <c r="N19">
        <f>IFERROR((SUMIFS(d_rs_sched!$J:$J,d_rs_sched!$D:$D,$A19,d_rs_sched!$I:$I,$A19,d_rs_sched!$K:$K,N$1)+SUMIFS(d_rs_sched!$L:$L,d_rs_sched!$D:$D,$A19,d_rs_sched!$K:$K,$A19,d_rs_sched!$I:$I,N$1))-(SUMIFS(d_rs_sched!$L:$L,d_rs_sched!$D:$D,$A19,d_rs_sched!$I:$I,$A19,d_rs_sched!$K:$K,N$1)+SUMIFS(d_rs_sched!$J:$J,d_rs_sched!$D:$D,$A19,d_rs_sched!$K:$K,$A19,d_rs_sched!$I:$I,N$1)),0)/IFERROR(IF((COUNTIFS(d_rs_sched!$D:$D,$A19,d_rs_sched!$I:$I,$A19,d_rs_sched!$K:$K,N$1)+COUNTIFS(d_rs_sched!$D:$D,$A19,d_rs_sched!$I:$I,N$1,d_rs_sched!$K:$K,$A19))&gt;0,(COUNTIFS(d_rs_sched!$D:$D,$A19,d_rs_sched!$I:$I,$A19,d_rs_sched!$K:$K,N$1)+COUNTIFS(d_rs_sched!$D:$D,$A19,d_rs_sched!$I:$I,N$1,d_rs_sched!$K:$K,$A19)),1),1)</f>
        <v>-14.666666666666666</v>
      </c>
      <c r="O19">
        <f>IFERROR((SUMIFS(d_rs_sched!$J:$J,d_rs_sched!$D:$D,$A19,d_rs_sched!$I:$I,$A19,d_rs_sched!$K:$K,O$1)+SUMIFS(d_rs_sched!$L:$L,d_rs_sched!$D:$D,$A19,d_rs_sched!$K:$K,$A19,d_rs_sched!$I:$I,O$1))-(SUMIFS(d_rs_sched!$L:$L,d_rs_sched!$D:$D,$A19,d_rs_sched!$I:$I,$A19,d_rs_sched!$K:$K,O$1)+SUMIFS(d_rs_sched!$J:$J,d_rs_sched!$D:$D,$A19,d_rs_sched!$K:$K,$A19,d_rs_sched!$I:$I,O$1)),0)/IFERROR(IF((COUNTIFS(d_rs_sched!$D:$D,$A19,d_rs_sched!$I:$I,$A19,d_rs_sched!$K:$K,O$1)+COUNTIFS(d_rs_sched!$D:$D,$A19,d_rs_sched!$I:$I,O$1,d_rs_sched!$K:$K,$A19))&gt;0,(COUNTIFS(d_rs_sched!$D:$D,$A19,d_rs_sched!$I:$I,$A19,d_rs_sched!$K:$K,O$1)+COUNTIFS(d_rs_sched!$D:$D,$A19,d_rs_sched!$I:$I,O$1,d_rs_sched!$K:$K,$A19)),1),1)</f>
        <v>-3.75</v>
      </c>
      <c r="P19">
        <f>IFERROR((SUMIFS(d_rs_sched!$J:$J,d_rs_sched!$D:$D,$A19,d_rs_sched!$I:$I,$A19,d_rs_sched!$K:$K,P$1)+SUMIFS(d_rs_sched!$L:$L,d_rs_sched!$D:$D,$A19,d_rs_sched!$K:$K,$A19,d_rs_sched!$I:$I,P$1))-(SUMIFS(d_rs_sched!$L:$L,d_rs_sched!$D:$D,$A19,d_rs_sched!$I:$I,$A19,d_rs_sched!$K:$K,P$1)+SUMIFS(d_rs_sched!$J:$J,d_rs_sched!$D:$D,$A19,d_rs_sched!$K:$K,$A19,d_rs_sched!$I:$I,P$1)),0)/IFERROR(IF((COUNTIFS(d_rs_sched!$D:$D,$A19,d_rs_sched!$I:$I,$A19,d_rs_sched!$K:$K,P$1)+COUNTIFS(d_rs_sched!$D:$D,$A19,d_rs_sched!$I:$I,P$1,d_rs_sched!$K:$K,$A19))&gt;0,(COUNTIFS(d_rs_sched!$D:$D,$A19,d_rs_sched!$I:$I,$A19,d_rs_sched!$K:$K,P$1)+COUNTIFS(d_rs_sched!$D:$D,$A19,d_rs_sched!$I:$I,P$1,d_rs_sched!$K:$K,$A19)),1),1)</f>
        <v>-2.3333333333333335</v>
      </c>
      <c r="Q19">
        <f>IFERROR((SUMIFS(d_rs_sched!$J:$J,d_rs_sched!$D:$D,$A19,d_rs_sched!$I:$I,$A19,d_rs_sched!$K:$K,Q$1)+SUMIFS(d_rs_sched!$L:$L,d_rs_sched!$D:$D,$A19,d_rs_sched!$K:$K,$A19,d_rs_sched!$I:$I,Q$1))-(SUMIFS(d_rs_sched!$L:$L,d_rs_sched!$D:$D,$A19,d_rs_sched!$I:$I,$A19,d_rs_sched!$K:$K,Q$1)+SUMIFS(d_rs_sched!$J:$J,d_rs_sched!$D:$D,$A19,d_rs_sched!$K:$K,$A19,d_rs_sched!$I:$I,Q$1)),0)/IFERROR(IF((COUNTIFS(d_rs_sched!$D:$D,$A19,d_rs_sched!$I:$I,$A19,d_rs_sched!$K:$K,Q$1)+COUNTIFS(d_rs_sched!$D:$D,$A19,d_rs_sched!$I:$I,Q$1,d_rs_sched!$K:$K,$A19))&gt;0,(COUNTIFS(d_rs_sched!$D:$D,$A19,d_rs_sched!$I:$I,$A19,d_rs_sched!$K:$K,Q$1)+COUNTIFS(d_rs_sched!$D:$D,$A19,d_rs_sched!$I:$I,Q$1,d_rs_sched!$K:$K,$A19)),1),1)</f>
        <v>-4.5</v>
      </c>
      <c r="R19">
        <f>IFERROR((SUMIFS(d_rs_sched!$J:$J,d_rs_sched!$D:$D,$A19,d_rs_sched!$I:$I,$A19,d_rs_sched!$K:$K,R$1)+SUMIFS(d_rs_sched!$L:$L,d_rs_sched!$D:$D,$A19,d_rs_sched!$K:$K,$A19,d_rs_sched!$I:$I,R$1))-(SUMIFS(d_rs_sched!$L:$L,d_rs_sched!$D:$D,$A19,d_rs_sched!$I:$I,$A19,d_rs_sched!$K:$K,R$1)+SUMIFS(d_rs_sched!$J:$J,d_rs_sched!$D:$D,$A19,d_rs_sched!$K:$K,$A19,d_rs_sched!$I:$I,R$1)),0)/IFERROR(IF((COUNTIFS(d_rs_sched!$D:$D,$A19,d_rs_sched!$I:$I,$A19,d_rs_sched!$K:$K,R$1)+COUNTIFS(d_rs_sched!$D:$D,$A19,d_rs_sched!$I:$I,R$1,d_rs_sched!$K:$K,$A19))&gt;0,(COUNTIFS(d_rs_sched!$D:$D,$A19,d_rs_sched!$I:$I,$A19,d_rs_sched!$K:$K,R$1)+COUNTIFS(d_rs_sched!$D:$D,$A19,d_rs_sched!$I:$I,R$1,d_rs_sched!$K:$K,$A19)),1),1)</f>
        <v>-15.5</v>
      </c>
      <c r="S19">
        <f>IFERROR((SUMIFS(d_rs_sched!$J:$J,d_rs_sched!$D:$D,$A19,d_rs_sched!$I:$I,$A19,d_rs_sched!$K:$K,S$1)+SUMIFS(d_rs_sched!$L:$L,d_rs_sched!$D:$D,$A19,d_rs_sched!$K:$K,$A19,d_rs_sched!$I:$I,S$1))-(SUMIFS(d_rs_sched!$L:$L,d_rs_sched!$D:$D,$A19,d_rs_sched!$I:$I,$A19,d_rs_sched!$K:$K,S$1)+SUMIFS(d_rs_sched!$J:$J,d_rs_sched!$D:$D,$A19,d_rs_sched!$K:$K,$A19,d_rs_sched!$I:$I,S$1)),0)/IFERROR(IF((COUNTIFS(d_rs_sched!$D:$D,$A19,d_rs_sched!$I:$I,$A19,d_rs_sched!$K:$K,S$1)+COUNTIFS(d_rs_sched!$D:$D,$A19,d_rs_sched!$I:$I,S$1,d_rs_sched!$K:$K,$A19))&gt;0,(COUNTIFS(d_rs_sched!$D:$D,$A19,d_rs_sched!$I:$I,$A19,d_rs_sched!$K:$K,S$1)+COUNTIFS(d_rs_sched!$D:$D,$A19,d_rs_sched!$I:$I,S$1,d_rs_sched!$K:$K,$A19)),1),1)</f>
        <v>0</v>
      </c>
      <c r="T19">
        <f>IFERROR((SUMIFS(d_rs_sched!$J:$J,d_rs_sched!$D:$D,$A19,d_rs_sched!$I:$I,$A19,d_rs_sched!$K:$K,T$1)+SUMIFS(d_rs_sched!$L:$L,d_rs_sched!$D:$D,$A19,d_rs_sched!$K:$K,$A19,d_rs_sched!$I:$I,T$1))-(SUMIFS(d_rs_sched!$L:$L,d_rs_sched!$D:$D,$A19,d_rs_sched!$I:$I,$A19,d_rs_sched!$K:$K,T$1)+SUMIFS(d_rs_sched!$J:$J,d_rs_sched!$D:$D,$A19,d_rs_sched!$K:$K,$A19,d_rs_sched!$I:$I,T$1)),0)/IFERROR(IF((COUNTIFS(d_rs_sched!$D:$D,$A19,d_rs_sched!$I:$I,$A19,d_rs_sched!$K:$K,T$1)+COUNTIFS(d_rs_sched!$D:$D,$A19,d_rs_sched!$I:$I,T$1,d_rs_sched!$K:$K,$A19))&gt;0,(COUNTIFS(d_rs_sched!$D:$D,$A19,d_rs_sched!$I:$I,$A19,d_rs_sched!$K:$K,T$1)+COUNTIFS(d_rs_sched!$D:$D,$A19,d_rs_sched!$I:$I,T$1,d_rs_sched!$K:$K,$A19)),1),1)</f>
        <v>-22.5</v>
      </c>
      <c r="U19">
        <f>IFERROR((SUMIFS(d_rs_sched!$J:$J,d_rs_sched!$D:$D,$A19,d_rs_sched!$I:$I,$A19,d_rs_sched!$K:$K,U$1)+SUMIFS(d_rs_sched!$L:$L,d_rs_sched!$D:$D,$A19,d_rs_sched!$K:$K,$A19,d_rs_sched!$I:$I,U$1))-(SUMIFS(d_rs_sched!$L:$L,d_rs_sched!$D:$D,$A19,d_rs_sched!$I:$I,$A19,d_rs_sched!$K:$K,U$1)+SUMIFS(d_rs_sched!$J:$J,d_rs_sched!$D:$D,$A19,d_rs_sched!$K:$K,$A19,d_rs_sched!$I:$I,U$1)),0)/IFERROR(IF((COUNTIFS(d_rs_sched!$D:$D,$A19,d_rs_sched!$I:$I,$A19,d_rs_sched!$K:$K,U$1)+COUNTIFS(d_rs_sched!$D:$D,$A19,d_rs_sched!$I:$I,U$1,d_rs_sched!$K:$K,$A19))&gt;0,(COUNTIFS(d_rs_sched!$D:$D,$A19,d_rs_sched!$I:$I,$A19,d_rs_sched!$K:$K,U$1)+COUNTIFS(d_rs_sched!$D:$D,$A19,d_rs_sched!$I:$I,U$1,d_rs_sched!$K:$K,$A19)),1),1)</f>
        <v>9.5</v>
      </c>
      <c r="V19">
        <f>IFERROR((SUMIFS(d_rs_sched!$J:$J,d_rs_sched!$D:$D,$A19,d_rs_sched!$I:$I,$A19,d_rs_sched!$K:$K,V$1)+SUMIFS(d_rs_sched!$L:$L,d_rs_sched!$D:$D,$A19,d_rs_sched!$K:$K,$A19,d_rs_sched!$I:$I,V$1))-(SUMIFS(d_rs_sched!$L:$L,d_rs_sched!$D:$D,$A19,d_rs_sched!$I:$I,$A19,d_rs_sched!$K:$K,V$1)+SUMIFS(d_rs_sched!$J:$J,d_rs_sched!$D:$D,$A19,d_rs_sched!$K:$K,$A19,d_rs_sched!$I:$I,V$1)),0)/IFERROR(IF((COUNTIFS(d_rs_sched!$D:$D,$A19,d_rs_sched!$I:$I,$A19,d_rs_sched!$K:$K,V$1)+COUNTIFS(d_rs_sched!$D:$D,$A19,d_rs_sched!$I:$I,V$1,d_rs_sched!$K:$K,$A19))&gt;0,(COUNTIFS(d_rs_sched!$D:$D,$A19,d_rs_sched!$I:$I,$A19,d_rs_sched!$K:$K,V$1)+COUNTIFS(d_rs_sched!$D:$D,$A19,d_rs_sched!$I:$I,V$1,d_rs_sched!$K:$K,$A19)),1),1)</f>
        <v>-16.5</v>
      </c>
      <c r="W19">
        <f>IFERROR((SUMIFS(d_rs_sched!$J:$J,d_rs_sched!$D:$D,$A19,d_rs_sched!$I:$I,$A19,d_rs_sched!$K:$K,W$1)+SUMIFS(d_rs_sched!$L:$L,d_rs_sched!$D:$D,$A19,d_rs_sched!$K:$K,$A19,d_rs_sched!$I:$I,W$1))-(SUMIFS(d_rs_sched!$L:$L,d_rs_sched!$D:$D,$A19,d_rs_sched!$I:$I,$A19,d_rs_sched!$K:$K,W$1)+SUMIFS(d_rs_sched!$J:$J,d_rs_sched!$D:$D,$A19,d_rs_sched!$K:$K,$A19,d_rs_sched!$I:$I,W$1)),0)/IFERROR(IF((COUNTIFS(d_rs_sched!$D:$D,$A19,d_rs_sched!$I:$I,$A19,d_rs_sched!$K:$K,W$1)+COUNTIFS(d_rs_sched!$D:$D,$A19,d_rs_sched!$I:$I,W$1,d_rs_sched!$K:$K,$A19))&gt;0,(COUNTIFS(d_rs_sched!$D:$D,$A19,d_rs_sched!$I:$I,$A19,d_rs_sched!$K:$K,W$1)+COUNTIFS(d_rs_sched!$D:$D,$A19,d_rs_sched!$I:$I,W$1,d_rs_sched!$K:$K,$A19)),1),1)</f>
        <v>-11</v>
      </c>
      <c r="X19">
        <f>IFERROR((SUMIFS(d_rs_sched!$J:$J,d_rs_sched!$D:$D,$A19,d_rs_sched!$I:$I,$A19,d_rs_sched!$K:$K,X$1)+SUMIFS(d_rs_sched!$L:$L,d_rs_sched!$D:$D,$A19,d_rs_sched!$K:$K,$A19,d_rs_sched!$I:$I,X$1))-(SUMIFS(d_rs_sched!$L:$L,d_rs_sched!$D:$D,$A19,d_rs_sched!$I:$I,$A19,d_rs_sched!$K:$K,X$1)+SUMIFS(d_rs_sched!$J:$J,d_rs_sched!$D:$D,$A19,d_rs_sched!$K:$K,$A19,d_rs_sched!$I:$I,X$1)),0)/IFERROR(IF((COUNTIFS(d_rs_sched!$D:$D,$A19,d_rs_sched!$I:$I,$A19,d_rs_sched!$K:$K,X$1)+COUNTIFS(d_rs_sched!$D:$D,$A19,d_rs_sched!$I:$I,X$1,d_rs_sched!$K:$K,$A19))&gt;0,(COUNTIFS(d_rs_sched!$D:$D,$A19,d_rs_sched!$I:$I,$A19,d_rs_sched!$K:$K,X$1)+COUNTIFS(d_rs_sched!$D:$D,$A19,d_rs_sched!$I:$I,X$1,d_rs_sched!$K:$K,$A19)),1),1)</f>
        <v>-8.5</v>
      </c>
      <c r="Y19">
        <f>IFERROR((SUMIFS(d_rs_sched!$J:$J,d_rs_sched!$D:$D,$A19,d_rs_sched!$I:$I,$A19,d_rs_sched!$K:$K,Y$1)+SUMIFS(d_rs_sched!$L:$L,d_rs_sched!$D:$D,$A19,d_rs_sched!$K:$K,$A19,d_rs_sched!$I:$I,Y$1))-(SUMIFS(d_rs_sched!$L:$L,d_rs_sched!$D:$D,$A19,d_rs_sched!$I:$I,$A19,d_rs_sched!$K:$K,Y$1)+SUMIFS(d_rs_sched!$J:$J,d_rs_sched!$D:$D,$A19,d_rs_sched!$K:$K,$A19,d_rs_sched!$I:$I,Y$1)),0)/IFERROR(IF((COUNTIFS(d_rs_sched!$D:$D,$A19,d_rs_sched!$I:$I,$A19,d_rs_sched!$K:$K,Y$1)+COUNTIFS(d_rs_sched!$D:$D,$A19,d_rs_sched!$I:$I,Y$1,d_rs_sched!$K:$K,$A19))&gt;0,(COUNTIFS(d_rs_sched!$D:$D,$A19,d_rs_sched!$I:$I,$A19,d_rs_sched!$K:$K,Y$1)+COUNTIFS(d_rs_sched!$D:$D,$A19,d_rs_sched!$I:$I,Y$1,d_rs_sched!$K:$K,$A19)),1),1)</f>
        <v>-5</v>
      </c>
      <c r="Z19">
        <f>IFERROR((SUMIFS(d_rs_sched!$J:$J,d_rs_sched!$D:$D,$A19,d_rs_sched!$I:$I,$A19,d_rs_sched!$K:$K,Z$1)+SUMIFS(d_rs_sched!$L:$L,d_rs_sched!$D:$D,$A19,d_rs_sched!$K:$K,$A19,d_rs_sched!$I:$I,Z$1))-(SUMIFS(d_rs_sched!$L:$L,d_rs_sched!$D:$D,$A19,d_rs_sched!$I:$I,$A19,d_rs_sched!$K:$K,Z$1)+SUMIFS(d_rs_sched!$J:$J,d_rs_sched!$D:$D,$A19,d_rs_sched!$K:$K,$A19,d_rs_sched!$I:$I,Z$1)),0)/IFERROR(IF((COUNTIFS(d_rs_sched!$D:$D,$A19,d_rs_sched!$I:$I,$A19,d_rs_sched!$K:$K,Z$1)+COUNTIFS(d_rs_sched!$D:$D,$A19,d_rs_sched!$I:$I,Z$1,d_rs_sched!$K:$K,$A19))&gt;0,(COUNTIFS(d_rs_sched!$D:$D,$A19,d_rs_sched!$I:$I,$A19,d_rs_sched!$K:$K,Z$1)+COUNTIFS(d_rs_sched!$D:$D,$A19,d_rs_sched!$I:$I,Z$1,d_rs_sched!$K:$K,$A19)),1),1)</f>
        <v>-5.75</v>
      </c>
      <c r="AA19">
        <f>IFERROR((SUMIFS(d_rs_sched!$J:$J,d_rs_sched!$D:$D,$A19,d_rs_sched!$I:$I,$A19,d_rs_sched!$K:$K,AA$1)+SUMIFS(d_rs_sched!$L:$L,d_rs_sched!$D:$D,$A19,d_rs_sched!$K:$K,$A19,d_rs_sched!$I:$I,AA$1))-(SUMIFS(d_rs_sched!$L:$L,d_rs_sched!$D:$D,$A19,d_rs_sched!$I:$I,$A19,d_rs_sched!$K:$K,AA$1)+SUMIFS(d_rs_sched!$J:$J,d_rs_sched!$D:$D,$A19,d_rs_sched!$K:$K,$A19,d_rs_sched!$I:$I,AA$1)),0)/IFERROR(IF((COUNTIFS(d_rs_sched!$D:$D,$A19,d_rs_sched!$I:$I,$A19,d_rs_sched!$K:$K,AA$1)+COUNTIFS(d_rs_sched!$D:$D,$A19,d_rs_sched!$I:$I,AA$1,d_rs_sched!$K:$K,$A19))&gt;0,(COUNTIFS(d_rs_sched!$D:$D,$A19,d_rs_sched!$I:$I,$A19,d_rs_sched!$K:$K,AA$1)+COUNTIFS(d_rs_sched!$D:$D,$A19,d_rs_sched!$I:$I,AA$1,d_rs_sched!$K:$K,$A19)),1),1)</f>
        <v>-23</v>
      </c>
      <c r="AB19">
        <f>IFERROR((SUMIFS(d_rs_sched!$J:$J,d_rs_sched!$D:$D,$A19,d_rs_sched!$I:$I,$A19,d_rs_sched!$K:$K,AB$1)+SUMIFS(d_rs_sched!$L:$L,d_rs_sched!$D:$D,$A19,d_rs_sched!$K:$K,$A19,d_rs_sched!$I:$I,AB$1))-(SUMIFS(d_rs_sched!$L:$L,d_rs_sched!$D:$D,$A19,d_rs_sched!$I:$I,$A19,d_rs_sched!$K:$K,AB$1)+SUMIFS(d_rs_sched!$J:$J,d_rs_sched!$D:$D,$A19,d_rs_sched!$K:$K,$A19,d_rs_sched!$I:$I,AB$1)),0)/IFERROR(IF((COUNTIFS(d_rs_sched!$D:$D,$A19,d_rs_sched!$I:$I,$A19,d_rs_sched!$K:$K,AB$1)+COUNTIFS(d_rs_sched!$D:$D,$A19,d_rs_sched!$I:$I,AB$1,d_rs_sched!$K:$K,$A19))&gt;0,(COUNTIFS(d_rs_sched!$D:$D,$A19,d_rs_sched!$I:$I,$A19,d_rs_sched!$K:$K,AB$1)+COUNTIFS(d_rs_sched!$D:$D,$A19,d_rs_sched!$I:$I,AB$1,d_rs_sched!$K:$K,$A19)),1),1)</f>
        <v>-6.666666666666667</v>
      </c>
      <c r="AC19">
        <f>IFERROR((SUMIFS(d_rs_sched!$J:$J,d_rs_sched!$D:$D,$A19,d_rs_sched!$I:$I,$A19,d_rs_sched!$K:$K,AC$1)+SUMIFS(d_rs_sched!$L:$L,d_rs_sched!$D:$D,$A19,d_rs_sched!$K:$K,$A19,d_rs_sched!$I:$I,AC$1))-(SUMIFS(d_rs_sched!$L:$L,d_rs_sched!$D:$D,$A19,d_rs_sched!$I:$I,$A19,d_rs_sched!$K:$K,AC$1)+SUMIFS(d_rs_sched!$J:$J,d_rs_sched!$D:$D,$A19,d_rs_sched!$K:$K,$A19,d_rs_sched!$I:$I,AC$1)),0)/IFERROR(IF((COUNTIFS(d_rs_sched!$D:$D,$A19,d_rs_sched!$I:$I,$A19,d_rs_sched!$K:$K,AC$1)+COUNTIFS(d_rs_sched!$D:$D,$A19,d_rs_sched!$I:$I,AC$1,d_rs_sched!$K:$K,$A19))&gt;0,(COUNTIFS(d_rs_sched!$D:$D,$A19,d_rs_sched!$I:$I,$A19,d_rs_sched!$K:$K,AC$1)+COUNTIFS(d_rs_sched!$D:$D,$A19,d_rs_sched!$I:$I,AC$1,d_rs_sched!$K:$K,$A19)),1),1)</f>
        <v>-9.5</v>
      </c>
      <c r="AD19">
        <f>IFERROR((SUMIFS(d_rs_sched!$J:$J,d_rs_sched!$D:$D,$A19,d_rs_sched!$I:$I,$A19,d_rs_sched!$K:$K,AD$1)+SUMIFS(d_rs_sched!$L:$L,d_rs_sched!$D:$D,$A19,d_rs_sched!$K:$K,$A19,d_rs_sched!$I:$I,AD$1))-(SUMIFS(d_rs_sched!$L:$L,d_rs_sched!$D:$D,$A19,d_rs_sched!$I:$I,$A19,d_rs_sched!$K:$K,AD$1)+SUMIFS(d_rs_sched!$J:$J,d_rs_sched!$D:$D,$A19,d_rs_sched!$K:$K,$A19,d_rs_sched!$I:$I,AD$1)),0)/IFERROR(IF((COUNTIFS(d_rs_sched!$D:$D,$A19,d_rs_sched!$I:$I,$A19,d_rs_sched!$K:$K,AD$1)+COUNTIFS(d_rs_sched!$D:$D,$A19,d_rs_sched!$I:$I,AD$1,d_rs_sched!$K:$K,$A19))&gt;0,(COUNTIFS(d_rs_sched!$D:$D,$A19,d_rs_sched!$I:$I,$A19,d_rs_sched!$K:$K,AD$1)+COUNTIFS(d_rs_sched!$D:$D,$A19,d_rs_sched!$I:$I,AD$1,d_rs_sched!$K:$K,$A19)),1),1)</f>
        <v>-9</v>
      </c>
      <c r="AE19">
        <f>IFERROR((SUMIFS(d_rs_sched!$J:$J,d_rs_sched!$D:$D,$A19,d_rs_sched!$I:$I,$A19,d_rs_sched!$K:$K,AE$1)+SUMIFS(d_rs_sched!$L:$L,d_rs_sched!$D:$D,$A19,d_rs_sched!$K:$K,$A19,d_rs_sched!$I:$I,AE$1))-(SUMIFS(d_rs_sched!$L:$L,d_rs_sched!$D:$D,$A19,d_rs_sched!$I:$I,$A19,d_rs_sched!$K:$K,AE$1)+SUMIFS(d_rs_sched!$J:$J,d_rs_sched!$D:$D,$A19,d_rs_sched!$K:$K,$A19,d_rs_sched!$I:$I,AE$1)),0)/IFERROR(IF((COUNTIFS(d_rs_sched!$D:$D,$A19,d_rs_sched!$I:$I,$A19,d_rs_sched!$K:$K,AE$1)+COUNTIFS(d_rs_sched!$D:$D,$A19,d_rs_sched!$I:$I,AE$1,d_rs_sched!$K:$K,$A19))&gt;0,(COUNTIFS(d_rs_sched!$D:$D,$A19,d_rs_sched!$I:$I,$A19,d_rs_sched!$K:$K,AE$1)+COUNTIFS(d_rs_sched!$D:$D,$A19,d_rs_sched!$I:$I,AE$1,d_rs_sched!$K:$K,$A19)),1),1)</f>
        <v>3</v>
      </c>
      <c r="AG19" t="s">
        <v>29</v>
      </c>
      <c r="AH19">
        <v>1.0628090341761263</v>
      </c>
      <c r="AI19">
        <f t="shared" si="0"/>
        <v>1</v>
      </c>
    </row>
    <row r="20" spans="1:35" x14ac:dyDescent="0.25">
      <c r="A20" t="s">
        <v>12</v>
      </c>
      <c r="B20">
        <f>IFERROR((SUMIFS(d_rs_sched!$J:$J,d_rs_sched!$D:$D,$A20,d_rs_sched!$I:$I,$A20,d_rs_sched!$K:$K,B$1)+SUMIFS(d_rs_sched!$L:$L,d_rs_sched!$D:$D,$A20,d_rs_sched!$K:$K,$A20,d_rs_sched!$I:$I,B$1))-(SUMIFS(d_rs_sched!$L:$L,d_rs_sched!$D:$D,$A20,d_rs_sched!$I:$I,$A20,d_rs_sched!$K:$K,B$1)+SUMIFS(d_rs_sched!$J:$J,d_rs_sched!$D:$D,$A20,d_rs_sched!$K:$K,$A20,d_rs_sched!$I:$I,B$1)),0)/IFERROR(IF((COUNTIFS(d_rs_sched!$D:$D,$A20,d_rs_sched!$I:$I,$A20,d_rs_sched!$K:$K,B$1)+COUNTIFS(d_rs_sched!$D:$D,$A20,d_rs_sched!$I:$I,B$1,d_rs_sched!$K:$K,$A20))&gt;0,(COUNTIFS(d_rs_sched!$D:$D,$A20,d_rs_sched!$I:$I,$A20,d_rs_sched!$K:$K,B$1)+COUNTIFS(d_rs_sched!$D:$D,$A20,d_rs_sched!$I:$I,B$1,d_rs_sched!$K:$K,$A20)),1),1)</f>
        <v>3</v>
      </c>
      <c r="C20">
        <f>IFERROR((SUMIFS(d_rs_sched!$J:$J,d_rs_sched!$D:$D,$A20,d_rs_sched!$I:$I,$A20,d_rs_sched!$K:$K,C$1)+SUMIFS(d_rs_sched!$L:$L,d_rs_sched!$D:$D,$A20,d_rs_sched!$K:$K,$A20,d_rs_sched!$I:$I,C$1))-(SUMIFS(d_rs_sched!$L:$L,d_rs_sched!$D:$D,$A20,d_rs_sched!$I:$I,$A20,d_rs_sched!$K:$K,C$1)+SUMIFS(d_rs_sched!$J:$J,d_rs_sched!$D:$D,$A20,d_rs_sched!$K:$K,$A20,d_rs_sched!$I:$I,C$1)),0)/IFERROR(IF((COUNTIFS(d_rs_sched!$D:$D,$A20,d_rs_sched!$I:$I,$A20,d_rs_sched!$K:$K,C$1)+COUNTIFS(d_rs_sched!$D:$D,$A20,d_rs_sched!$I:$I,C$1,d_rs_sched!$K:$K,$A20))&gt;0,(COUNTIFS(d_rs_sched!$D:$D,$A20,d_rs_sched!$I:$I,$A20,d_rs_sched!$K:$K,C$1)+COUNTIFS(d_rs_sched!$D:$D,$A20,d_rs_sched!$I:$I,C$1,d_rs_sched!$K:$K,$A20)),1),1)</f>
        <v>13</v>
      </c>
      <c r="D20">
        <f>IFERROR((SUMIFS(d_rs_sched!$J:$J,d_rs_sched!$D:$D,$A20,d_rs_sched!$I:$I,$A20,d_rs_sched!$K:$K,D$1)+SUMIFS(d_rs_sched!$L:$L,d_rs_sched!$D:$D,$A20,d_rs_sched!$K:$K,$A20,d_rs_sched!$I:$I,D$1))-(SUMIFS(d_rs_sched!$L:$L,d_rs_sched!$D:$D,$A20,d_rs_sched!$I:$I,$A20,d_rs_sched!$K:$K,D$1)+SUMIFS(d_rs_sched!$J:$J,d_rs_sched!$D:$D,$A20,d_rs_sched!$K:$K,$A20,d_rs_sched!$I:$I,D$1)),0)/IFERROR(IF((COUNTIFS(d_rs_sched!$D:$D,$A20,d_rs_sched!$I:$I,$A20,d_rs_sched!$K:$K,D$1)+COUNTIFS(d_rs_sched!$D:$D,$A20,d_rs_sched!$I:$I,D$1,d_rs_sched!$K:$K,$A20))&gt;0,(COUNTIFS(d_rs_sched!$D:$D,$A20,d_rs_sched!$I:$I,$A20,d_rs_sched!$K:$K,D$1)+COUNTIFS(d_rs_sched!$D:$D,$A20,d_rs_sched!$I:$I,D$1,d_rs_sched!$K:$K,$A20)),1),1)</f>
        <v>-7</v>
      </c>
      <c r="E20">
        <f>IFERROR((SUMIFS(d_rs_sched!$J:$J,d_rs_sched!$D:$D,$A20,d_rs_sched!$I:$I,$A20,d_rs_sched!$K:$K,E$1)+SUMIFS(d_rs_sched!$L:$L,d_rs_sched!$D:$D,$A20,d_rs_sched!$K:$K,$A20,d_rs_sched!$I:$I,E$1))-(SUMIFS(d_rs_sched!$L:$L,d_rs_sched!$D:$D,$A20,d_rs_sched!$I:$I,$A20,d_rs_sched!$K:$K,E$1)+SUMIFS(d_rs_sched!$J:$J,d_rs_sched!$D:$D,$A20,d_rs_sched!$K:$K,$A20,d_rs_sched!$I:$I,E$1)),0)/IFERROR(IF((COUNTIFS(d_rs_sched!$D:$D,$A20,d_rs_sched!$I:$I,$A20,d_rs_sched!$K:$K,E$1)+COUNTIFS(d_rs_sched!$D:$D,$A20,d_rs_sched!$I:$I,E$1,d_rs_sched!$K:$K,$A20))&gt;0,(COUNTIFS(d_rs_sched!$D:$D,$A20,d_rs_sched!$I:$I,$A20,d_rs_sched!$K:$K,E$1)+COUNTIFS(d_rs_sched!$D:$D,$A20,d_rs_sched!$I:$I,E$1,d_rs_sched!$K:$K,$A20)),1),1)</f>
        <v>2.5</v>
      </c>
      <c r="F20">
        <f>IFERROR((SUMIFS(d_rs_sched!$J:$J,d_rs_sched!$D:$D,$A20,d_rs_sched!$I:$I,$A20,d_rs_sched!$K:$K,F$1)+SUMIFS(d_rs_sched!$L:$L,d_rs_sched!$D:$D,$A20,d_rs_sched!$K:$K,$A20,d_rs_sched!$I:$I,F$1))-(SUMIFS(d_rs_sched!$L:$L,d_rs_sched!$D:$D,$A20,d_rs_sched!$I:$I,$A20,d_rs_sched!$K:$K,F$1)+SUMIFS(d_rs_sched!$J:$J,d_rs_sched!$D:$D,$A20,d_rs_sched!$K:$K,$A20,d_rs_sched!$I:$I,F$1)),0)/IFERROR(IF((COUNTIFS(d_rs_sched!$D:$D,$A20,d_rs_sched!$I:$I,$A20,d_rs_sched!$K:$K,F$1)+COUNTIFS(d_rs_sched!$D:$D,$A20,d_rs_sched!$I:$I,F$1,d_rs_sched!$K:$K,$A20))&gt;0,(COUNTIFS(d_rs_sched!$D:$D,$A20,d_rs_sched!$I:$I,$A20,d_rs_sched!$K:$K,F$1)+COUNTIFS(d_rs_sched!$D:$D,$A20,d_rs_sched!$I:$I,F$1,d_rs_sched!$K:$K,$A20)),1),1)</f>
        <v>-21</v>
      </c>
      <c r="G20">
        <f>IFERROR((SUMIFS(d_rs_sched!$J:$J,d_rs_sched!$D:$D,$A20,d_rs_sched!$I:$I,$A20,d_rs_sched!$K:$K,G$1)+SUMIFS(d_rs_sched!$L:$L,d_rs_sched!$D:$D,$A20,d_rs_sched!$K:$K,$A20,d_rs_sched!$I:$I,G$1))-(SUMIFS(d_rs_sched!$L:$L,d_rs_sched!$D:$D,$A20,d_rs_sched!$I:$I,$A20,d_rs_sched!$K:$K,G$1)+SUMIFS(d_rs_sched!$J:$J,d_rs_sched!$D:$D,$A20,d_rs_sched!$K:$K,$A20,d_rs_sched!$I:$I,G$1)),0)/IFERROR(IF((COUNTIFS(d_rs_sched!$D:$D,$A20,d_rs_sched!$I:$I,$A20,d_rs_sched!$K:$K,G$1)+COUNTIFS(d_rs_sched!$D:$D,$A20,d_rs_sched!$I:$I,G$1,d_rs_sched!$K:$K,$A20))&gt;0,(COUNTIFS(d_rs_sched!$D:$D,$A20,d_rs_sched!$I:$I,$A20,d_rs_sched!$K:$K,G$1)+COUNTIFS(d_rs_sched!$D:$D,$A20,d_rs_sched!$I:$I,G$1,d_rs_sched!$K:$K,$A20)),1),1)</f>
        <v>-1</v>
      </c>
      <c r="H20">
        <f>IFERROR((SUMIFS(d_rs_sched!$J:$J,d_rs_sched!$D:$D,$A20,d_rs_sched!$I:$I,$A20,d_rs_sched!$K:$K,H$1)+SUMIFS(d_rs_sched!$L:$L,d_rs_sched!$D:$D,$A20,d_rs_sched!$K:$K,$A20,d_rs_sched!$I:$I,H$1))-(SUMIFS(d_rs_sched!$L:$L,d_rs_sched!$D:$D,$A20,d_rs_sched!$I:$I,$A20,d_rs_sched!$K:$K,H$1)+SUMIFS(d_rs_sched!$J:$J,d_rs_sched!$D:$D,$A20,d_rs_sched!$K:$K,$A20,d_rs_sched!$I:$I,H$1)),0)/IFERROR(IF((COUNTIFS(d_rs_sched!$D:$D,$A20,d_rs_sched!$I:$I,$A20,d_rs_sched!$K:$K,H$1)+COUNTIFS(d_rs_sched!$D:$D,$A20,d_rs_sched!$I:$I,H$1,d_rs_sched!$K:$K,$A20))&gt;0,(COUNTIFS(d_rs_sched!$D:$D,$A20,d_rs_sched!$I:$I,$A20,d_rs_sched!$K:$K,H$1)+COUNTIFS(d_rs_sched!$D:$D,$A20,d_rs_sched!$I:$I,H$1,d_rs_sched!$K:$K,$A20)),1),1)</f>
        <v>-4</v>
      </c>
      <c r="I20">
        <f>IFERROR((SUMIFS(d_rs_sched!$J:$J,d_rs_sched!$D:$D,$A20,d_rs_sched!$I:$I,$A20,d_rs_sched!$K:$K,I$1)+SUMIFS(d_rs_sched!$L:$L,d_rs_sched!$D:$D,$A20,d_rs_sched!$K:$K,$A20,d_rs_sched!$I:$I,I$1))-(SUMIFS(d_rs_sched!$L:$L,d_rs_sched!$D:$D,$A20,d_rs_sched!$I:$I,$A20,d_rs_sched!$K:$K,I$1)+SUMIFS(d_rs_sched!$J:$J,d_rs_sched!$D:$D,$A20,d_rs_sched!$K:$K,$A20,d_rs_sched!$I:$I,I$1)),0)/IFERROR(IF((COUNTIFS(d_rs_sched!$D:$D,$A20,d_rs_sched!$I:$I,$A20,d_rs_sched!$K:$K,I$1)+COUNTIFS(d_rs_sched!$D:$D,$A20,d_rs_sched!$I:$I,I$1,d_rs_sched!$K:$K,$A20))&gt;0,(COUNTIFS(d_rs_sched!$D:$D,$A20,d_rs_sched!$I:$I,$A20,d_rs_sched!$K:$K,I$1)+COUNTIFS(d_rs_sched!$D:$D,$A20,d_rs_sched!$I:$I,I$1,d_rs_sched!$K:$K,$A20)),1),1)</f>
        <v>-7</v>
      </c>
      <c r="J20">
        <f>IFERROR((SUMIFS(d_rs_sched!$J:$J,d_rs_sched!$D:$D,$A20,d_rs_sched!$I:$I,$A20,d_rs_sched!$K:$K,J$1)+SUMIFS(d_rs_sched!$L:$L,d_rs_sched!$D:$D,$A20,d_rs_sched!$K:$K,$A20,d_rs_sched!$I:$I,J$1))-(SUMIFS(d_rs_sched!$L:$L,d_rs_sched!$D:$D,$A20,d_rs_sched!$I:$I,$A20,d_rs_sched!$K:$K,J$1)+SUMIFS(d_rs_sched!$J:$J,d_rs_sched!$D:$D,$A20,d_rs_sched!$K:$K,$A20,d_rs_sched!$I:$I,J$1)),0)/IFERROR(IF((COUNTIFS(d_rs_sched!$D:$D,$A20,d_rs_sched!$I:$I,$A20,d_rs_sched!$K:$K,J$1)+COUNTIFS(d_rs_sched!$D:$D,$A20,d_rs_sched!$I:$I,J$1,d_rs_sched!$K:$K,$A20))&gt;0,(COUNTIFS(d_rs_sched!$D:$D,$A20,d_rs_sched!$I:$I,$A20,d_rs_sched!$K:$K,J$1)+COUNTIFS(d_rs_sched!$D:$D,$A20,d_rs_sched!$I:$I,J$1,d_rs_sched!$K:$K,$A20)),1),1)</f>
        <v>7</v>
      </c>
      <c r="K20">
        <f>IFERROR((SUMIFS(d_rs_sched!$J:$J,d_rs_sched!$D:$D,$A20,d_rs_sched!$I:$I,$A20,d_rs_sched!$K:$K,K$1)+SUMIFS(d_rs_sched!$L:$L,d_rs_sched!$D:$D,$A20,d_rs_sched!$K:$K,$A20,d_rs_sched!$I:$I,K$1))-(SUMIFS(d_rs_sched!$L:$L,d_rs_sched!$D:$D,$A20,d_rs_sched!$I:$I,$A20,d_rs_sched!$K:$K,K$1)+SUMIFS(d_rs_sched!$J:$J,d_rs_sched!$D:$D,$A20,d_rs_sched!$K:$K,$A20,d_rs_sched!$I:$I,K$1)),0)/IFERROR(IF((COUNTIFS(d_rs_sched!$D:$D,$A20,d_rs_sched!$I:$I,$A20,d_rs_sched!$K:$K,K$1)+COUNTIFS(d_rs_sched!$D:$D,$A20,d_rs_sched!$I:$I,K$1,d_rs_sched!$K:$K,$A20))&gt;0,(COUNTIFS(d_rs_sched!$D:$D,$A20,d_rs_sched!$I:$I,$A20,d_rs_sched!$K:$K,K$1)+COUNTIFS(d_rs_sched!$D:$D,$A20,d_rs_sched!$I:$I,K$1,d_rs_sched!$K:$K,$A20)),1),1)</f>
        <v>-11.5</v>
      </c>
      <c r="L20">
        <f>IFERROR((SUMIFS(d_rs_sched!$J:$J,d_rs_sched!$D:$D,$A20,d_rs_sched!$I:$I,$A20,d_rs_sched!$K:$K,L$1)+SUMIFS(d_rs_sched!$L:$L,d_rs_sched!$D:$D,$A20,d_rs_sched!$K:$K,$A20,d_rs_sched!$I:$I,L$1))-(SUMIFS(d_rs_sched!$L:$L,d_rs_sched!$D:$D,$A20,d_rs_sched!$I:$I,$A20,d_rs_sched!$K:$K,L$1)+SUMIFS(d_rs_sched!$J:$J,d_rs_sched!$D:$D,$A20,d_rs_sched!$K:$K,$A20,d_rs_sched!$I:$I,L$1)),0)/IFERROR(IF((COUNTIFS(d_rs_sched!$D:$D,$A20,d_rs_sched!$I:$I,$A20,d_rs_sched!$K:$K,L$1)+COUNTIFS(d_rs_sched!$D:$D,$A20,d_rs_sched!$I:$I,L$1,d_rs_sched!$K:$K,$A20))&gt;0,(COUNTIFS(d_rs_sched!$D:$D,$A20,d_rs_sched!$I:$I,$A20,d_rs_sched!$K:$K,L$1)+COUNTIFS(d_rs_sched!$D:$D,$A20,d_rs_sched!$I:$I,L$1,d_rs_sched!$K:$K,$A20)),1),1)</f>
        <v>7</v>
      </c>
      <c r="M20">
        <f>IFERROR((SUMIFS(d_rs_sched!$J:$J,d_rs_sched!$D:$D,$A20,d_rs_sched!$I:$I,$A20,d_rs_sched!$K:$K,M$1)+SUMIFS(d_rs_sched!$L:$L,d_rs_sched!$D:$D,$A20,d_rs_sched!$K:$K,$A20,d_rs_sched!$I:$I,M$1))-(SUMIFS(d_rs_sched!$L:$L,d_rs_sched!$D:$D,$A20,d_rs_sched!$I:$I,$A20,d_rs_sched!$K:$K,M$1)+SUMIFS(d_rs_sched!$J:$J,d_rs_sched!$D:$D,$A20,d_rs_sched!$K:$K,$A20,d_rs_sched!$I:$I,M$1)),0)/IFERROR(IF((COUNTIFS(d_rs_sched!$D:$D,$A20,d_rs_sched!$I:$I,$A20,d_rs_sched!$K:$K,M$1)+COUNTIFS(d_rs_sched!$D:$D,$A20,d_rs_sched!$I:$I,M$1,d_rs_sched!$K:$K,$A20))&gt;0,(COUNTIFS(d_rs_sched!$D:$D,$A20,d_rs_sched!$I:$I,$A20,d_rs_sched!$K:$K,M$1)+COUNTIFS(d_rs_sched!$D:$D,$A20,d_rs_sched!$I:$I,M$1,d_rs_sched!$K:$K,$A20)),1),1)</f>
        <v>-12.5</v>
      </c>
      <c r="N20">
        <f>IFERROR((SUMIFS(d_rs_sched!$J:$J,d_rs_sched!$D:$D,$A20,d_rs_sched!$I:$I,$A20,d_rs_sched!$K:$K,N$1)+SUMIFS(d_rs_sched!$L:$L,d_rs_sched!$D:$D,$A20,d_rs_sched!$K:$K,$A20,d_rs_sched!$I:$I,N$1))-(SUMIFS(d_rs_sched!$L:$L,d_rs_sched!$D:$D,$A20,d_rs_sched!$I:$I,$A20,d_rs_sched!$K:$K,N$1)+SUMIFS(d_rs_sched!$J:$J,d_rs_sched!$D:$D,$A20,d_rs_sched!$K:$K,$A20,d_rs_sched!$I:$I,N$1)),0)/IFERROR(IF((COUNTIFS(d_rs_sched!$D:$D,$A20,d_rs_sched!$I:$I,$A20,d_rs_sched!$K:$K,N$1)+COUNTIFS(d_rs_sched!$D:$D,$A20,d_rs_sched!$I:$I,N$1,d_rs_sched!$K:$K,$A20))&gt;0,(COUNTIFS(d_rs_sched!$D:$D,$A20,d_rs_sched!$I:$I,$A20,d_rs_sched!$K:$K,N$1)+COUNTIFS(d_rs_sched!$D:$D,$A20,d_rs_sched!$I:$I,N$1,d_rs_sched!$K:$K,$A20)),1),1)</f>
        <v>-7.333333333333333</v>
      </c>
      <c r="O20">
        <f>IFERROR((SUMIFS(d_rs_sched!$J:$J,d_rs_sched!$D:$D,$A20,d_rs_sched!$I:$I,$A20,d_rs_sched!$K:$K,O$1)+SUMIFS(d_rs_sched!$L:$L,d_rs_sched!$D:$D,$A20,d_rs_sched!$K:$K,$A20,d_rs_sched!$I:$I,O$1))-(SUMIFS(d_rs_sched!$L:$L,d_rs_sched!$D:$D,$A20,d_rs_sched!$I:$I,$A20,d_rs_sched!$K:$K,O$1)+SUMIFS(d_rs_sched!$J:$J,d_rs_sched!$D:$D,$A20,d_rs_sched!$K:$K,$A20,d_rs_sched!$I:$I,O$1)),0)/IFERROR(IF((COUNTIFS(d_rs_sched!$D:$D,$A20,d_rs_sched!$I:$I,$A20,d_rs_sched!$K:$K,O$1)+COUNTIFS(d_rs_sched!$D:$D,$A20,d_rs_sched!$I:$I,O$1,d_rs_sched!$K:$K,$A20))&gt;0,(COUNTIFS(d_rs_sched!$D:$D,$A20,d_rs_sched!$I:$I,$A20,d_rs_sched!$K:$K,O$1)+COUNTIFS(d_rs_sched!$D:$D,$A20,d_rs_sched!$I:$I,O$1,d_rs_sched!$K:$K,$A20)),1),1)</f>
        <v>15.25</v>
      </c>
      <c r="P20">
        <f>IFERROR((SUMIFS(d_rs_sched!$J:$J,d_rs_sched!$D:$D,$A20,d_rs_sched!$I:$I,$A20,d_rs_sched!$K:$K,P$1)+SUMIFS(d_rs_sched!$L:$L,d_rs_sched!$D:$D,$A20,d_rs_sched!$K:$K,$A20,d_rs_sched!$I:$I,P$1))-(SUMIFS(d_rs_sched!$L:$L,d_rs_sched!$D:$D,$A20,d_rs_sched!$I:$I,$A20,d_rs_sched!$K:$K,P$1)+SUMIFS(d_rs_sched!$J:$J,d_rs_sched!$D:$D,$A20,d_rs_sched!$K:$K,$A20,d_rs_sched!$I:$I,P$1)),0)/IFERROR(IF((COUNTIFS(d_rs_sched!$D:$D,$A20,d_rs_sched!$I:$I,$A20,d_rs_sched!$K:$K,P$1)+COUNTIFS(d_rs_sched!$D:$D,$A20,d_rs_sched!$I:$I,P$1,d_rs_sched!$K:$K,$A20))&gt;0,(COUNTIFS(d_rs_sched!$D:$D,$A20,d_rs_sched!$I:$I,$A20,d_rs_sched!$K:$K,P$1)+COUNTIFS(d_rs_sched!$D:$D,$A20,d_rs_sched!$I:$I,P$1,d_rs_sched!$K:$K,$A20)),1),1)</f>
        <v>-7.75</v>
      </c>
      <c r="Q20">
        <f>IFERROR((SUMIFS(d_rs_sched!$J:$J,d_rs_sched!$D:$D,$A20,d_rs_sched!$I:$I,$A20,d_rs_sched!$K:$K,Q$1)+SUMIFS(d_rs_sched!$L:$L,d_rs_sched!$D:$D,$A20,d_rs_sched!$K:$K,$A20,d_rs_sched!$I:$I,Q$1))-(SUMIFS(d_rs_sched!$L:$L,d_rs_sched!$D:$D,$A20,d_rs_sched!$I:$I,$A20,d_rs_sched!$K:$K,Q$1)+SUMIFS(d_rs_sched!$J:$J,d_rs_sched!$D:$D,$A20,d_rs_sched!$K:$K,$A20,d_rs_sched!$I:$I,Q$1)),0)/IFERROR(IF((COUNTIFS(d_rs_sched!$D:$D,$A20,d_rs_sched!$I:$I,$A20,d_rs_sched!$K:$K,Q$1)+COUNTIFS(d_rs_sched!$D:$D,$A20,d_rs_sched!$I:$I,Q$1,d_rs_sched!$K:$K,$A20))&gt;0,(COUNTIFS(d_rs_sched!$D:$D,$A20,d_rs_sched!$I:$I,$A20,d_rs_sched!$K:$K,Q$1)+COUNTIFS(d_rs_sched!$D:$D,$A20,d_rs_sched!$I:$I,Q$1,d_rs_sched!$K:$K,$A20)),1),1)</f>
        <v>8</v>
      </c>
      <c r="R20">
        <f>IFERROR((SUMIFS(d_rs_sched!$J:$J,d_rs_sched!$D:$D,$A20,d_rs_sched!$I:$I,$A20,d_rs_sched!$K:$K,R$1)+SUMIFS(d_rs_sched!$L:$L,d_rs_sched!$D:$D,$A20,d_rs_sched!$K:$K,$A20,d_rs_sched!$I:$I,R$1))-(SUMIFS(d_rs_sched!$L:$L,d_rs_sched!$D:$D,$A20,d_rs_sched!$I:$I,$A20,d_rs_sched!$K:$K,R$1)+SUMIFS(d_rs_sched!$J:$J,d_rs_sched!$D:$D,$A20,d_rs_sched!$K:$K,$A20,d_rs_sched!$I:$I,R$1)),0)/IFERROR(IF((COUNTIFS(d_rs_sched!$D:$D,$A20,d_rs_sched!$I:$I,$A20,d_rs_sched!$K:$K,R$1)+COUNTIFS(d_rs_sched!$D:$D,$A20,d_rs_sched!$I:$I,R$1,d_rs_sched!$K:$K,$A20))&gt;0,(COUNTIFS(d_rs_sched!$D:$D,$A20,d_rs_sched!$I:$I,$A20,d_rs_sched!$K:$K,R$1)+COUNTIFS(d_rs_sched!$D:$D,$A20,d_rs_sched!$I:$I,R$1,d_rs_sched!$K:$K,$A20)),1),1)</f>
        <v>6</v>
      </c>
      <c r="S20">
        <f>IFERROR((SUMIFS(d_rs_sched!$J:$J,d_rs_sched!$D:$D,$A20,d_rs_sched!$I:$I,$A20,d_rs_sched!$K:$K,S$1)+SUMIFS(d_rs_sched!$L:$L,d_rs_sched!$D:$D,$A20,d_rs_sched!$K:$K,$A20,d_rs_sched!$I:$I,S$1))-(SUMIFS(d_rs_sched!$L:$L,d_rs_sched!$D:$D,$A20,d_rs_sched!$I:$I,$A20,d_rs_sched!$K:$K,S$1)+SUMIFS(d_rs_sched!$J:$J,d_rs_sched!$D:$D,$A20,d_rs_sched!$K:$K,$A20,d_rs_sched!$I:$I,S$1)),0)/IFERROR(IF((COUNTIFS(d_rs_sched!$D:$D,$A20,d_rs_sched!$I:$I,$A20,d_rs_sched!$K:$K,S$1)+COUNTIFS(d_rs_sched!$D:$D,$A20,d_rs_sched!$I:$I,S$1,d_rs_sched!$K:$K,$A20))&gt;0,(COUNTIFS(d_rs_sched!$D:$D,$A20,d_rs_sched!$I:$I,$A20,d_rs_sched!$K:$K,S$1)+COUNTIFS(d_rs_sched!$D:$D,$A20,d_rs_sched!$I:$I,S$1,d_rs_sched!$K:$K,$A20)),1),1)</f>
        <v>22.5</v>
      </c>
      <c r="T20">
        <f>IFERROR((SUMIFS(d_rs_sched!$J:$J,d_rs_sched!$D:$D,$A20,d_rs_sched!$I:$I,$A20,d_rs_sched!$K:$K,T$1)+SUMIFS(d_rs_sched!$L:$L,d_rs_sched!$D:$D,$A20,d_rs_sched!$K:$K,$A20,d_rs_sched!$I:$I,T$1))-(SUMIFS(d_rs_sched!$L:$L,d_rs_sched!$D:$D,$A20,d_rs_sched!$I:$I,$A20,d_rs_sched!$K:$K,T$1)+SUMIFS(d_rs_sched!$J:$J,d_rs_sched!$D:$D,$A20,d_rs_sched!$K:$K,$A20,d_rs_sched!$I:$I,T$1)),0)/IFERROR(IF((COUNTIFS(d_rs_sched!$D:$D,$A20,d_rs_sched!$I:$I,$A20,d_rs_sched!$K:$K,T$1)+COUNTIFS(d_rs_sched!$D:$D,$A20,d_rs_sched!$I:$I,T$1,d_rs_sched!$K:$K,$A20))&gt;0,(COUNTIFS(d_rs_sched!$D:$D,$A20,d_rs_sched!$I:$I,$A20,d_rs_sched!$K:$K,T$1)+COUNTIFS(d_rs_sched!$D:$D,$A20,d_rs_sched!$I:$I,T$1,d_rs_sched!$K:$K,$A20)),1),1)</f>
        <v>0</v>
      </c>
      <c r="U20">
        <f>IFERROR((SUMIFS(d_rs_sched!$J:$J,d_rs_sched!$D:$D,$A20,d_rs_sched!$I:$I,$A20,d_rs_sched!$K:$K,U$1)+SUMIFS(d_rs_sched!$L:$L,d_rs_sched!$D:$D,$A20,d_rs_sched!$K:$K,$A20,d_rs_sched!$I:$I,U$1))-(SUMIFS(d_rs_sched!$L:$L,d_rs_sched!$D:$D,$A20,d_rs_sched!$I:$I,$A20,d_rs_sched!$K:$K,U$1)+SUMIFS(d_rs_sched!$J:$J,d_rs_sched!$D:$D,$A20,d_rs_sched!$K:$K,$A20,d_rs_sched!$I:$I,U$1)),0)/IFERROR(IF((COUNTIFS(d_rs_sched!$D:$D,$A20,d_rs_sched!$I:$I,$A20,d_rs_sched!$K:$K,U$1)+COUNTIFS(d_rs_sched!$D:$D,$A20,d_rs_sched!$I:$I,U$1,d_rs_sched!$K:$K,$A20))&gt;0,(COUNTIFS(d_rs_sched!$D:$D,$A20,d_rs_sched!$I:$I,$A20,d_rs_sched!$K:$K,U$1)+COUNTIFS(d_rs_sched!$D:$D,$A20,d_rs_sched!$I:$I,U$1,d_rs_sched!$K:$K,$A20)),1),1)</f>
        <v>2</v>
      </c>
      <c r="V20">
        <f>IFERROR((SUMIFS(d_rs_sched!$J:$J,d_rs_sched!$D:$D,$A20,d_rs_sched!$I:$I,$A20,d_rs_sched!$K:$K,V$1)+SUMIFS(d_rs_sched!$L:$L,d_rs_sched!$D:$D,$A20,d_rs_sched!$K:$K,$A20,d_rs_sched!$I:$I,V$1))-(SUMIFS(d_rs_sched!$L:$L,d_rs_sched!$D:$D,$A20,d_rs_sched!$I:$I,$A20,d_rs_sched!$K:$K,V$1)+SUMIFS(d_rs_sched!$J:$J,d_rs_sched!$D:$D,$A20,d_rs_sched!$K:$K,$A20,d_rs_sched!$I:$I,V$1)),0)/IFERROR(IF((COUNTIFS(d_rs_sched!$D:$D,$A20,d_rs_sched!$I:$I,$A20,d_rs_sched!$K:$K,V$1)+COUNTIFS(d_rs_sched!$D:$D,$A20,d_rs_sched!$I:$I,V$1,d_rs_sched!$K:$K,$A20))&gt;0,(COUNTIFS(d_rs_sched!$D:$D,$A20,d_rs_sched!$I:$I,$A20,d_rs_sched!$K:$K,V$1)+COUNTIFS(d_rs_sched!$D:$D,$A20,d_rs_sched!$I:$I,V$1,d_rs_sched!$K:$K,$A20)),1),1)</f>
        <v>0.5</v>
      </c>
      <c r="W20">
        <f>IFERROR((SUMIFS(d_rs_sched!$J:$J,d_rs_sched!$D:$D,$A20,d_rs_sched!$I:$I,$A20,d_rs_sched!$K:$K,W$1)+SUMIFS(d_rs_sched!$L:$L,d_rs_sched!$D:$D,$A20,d_rs_sched!$K:$K,$A20,d_rs_sched!$I:$I,W$1))-(SUMIFS(d_rs_sched!$L:$L,d_rs_sched!$D:$D,$A20,d_rs_sched!$I:$I,$A20,d_rs_sched!$K:$K,W$1)+SUMIFS(d_rs_sched!$J:$J,d_rs_sched!$D:$D,$A20,d_rs_sched!$K:$K,$A20,d_rs_sched!$I:$I,W$1)),0)/IFERROR(IF((COUNTIFS(d_rs_sched!$D:$D,$A20,d_rs_sched!$I:$I,$A20,d_rs_sched!$K:$K,W$1)+COUNTIFS(d_rs_sched!$D:$D,$A20,d_rs_sched!$I:$I,W$1,d_rs_sched!$K:$K,$A20))&gt;0,(COUNTIFS(d_rs_sched!$D:$D,$A20,d_rs_sched!$I:$I,$A20,d_rs_sched!$K:$K,W$1)+COUNTIFS(d_rs_sched!$D:$D,$A20,d_rs_sched!$I:$I,W$1,d_rs_sched!$K:$K,$A20)),1),1)</f>
        <v>3</v>
      </c>
      <c r="X20">
        <f>IFERROR((SUMIFS(d_rs_sched!$J:$J,d_rs_sched!$D:$D,$A20,d_rs_sched!$I:$I,$A20,d_rs_sched!$K:$K,X$1)+SUMIFS(d_rs_sched!$L:$L,d_rs_sched!$D:$D,$A20,d_rs_sched!$K:$K,$A20,d_rs_sched!$I:$I,X$1))-(SUMIFS(d_rs_sched!$L:$L,d_rs_sched!$D:$D,$A20,d_rs_sched!$I:$I,$A20,d_rs_sched!$K:$K,X$1)+SUMIFS(d_rs_sched!$J:$J,d_rs_sched!$D:$D,$A20,d_rs_sched!$K:$K,$A20,d_rs_sched!$I:$I,X$1)),0)/IFERROR(IF((COUNTIFS(d_rs_sched!$D:$D,$A20,d_rs_sched!$I:$I,$A20,d_rs_sched!$K:$K,X$1)+COUNTIFS(d_rs_sched!$D:$D,$A20,d_rs_sched!$I:$I,X$1,d_rs_sched!$K:$K,$A20))&gt;0,(COUNTIFS(d_rs_sched!$D:$D,$A20,d_rs_sched!$I:$I,$A20,d_rs_sched!$K:$K,X$1)+COUNTIFS(d_rs_sched!$D:$D,$A20,d_rs_sched!$I:$I,X$1,d_rs_sched!$K:$K,$A20)),1),1)</f>
        <v>5</v>
      </c>
      <c r="Y20">
        <f>IFERROR((SUMIFS(d_rs_sched!$J:$J,d_rs_sched!$D:$D,$A20,d_rs_sched!$I:$I,$A20,d_rs_sched!$K:$K,Y$1)+SUMIFS(d_rs_sched!$L:$L,d_rs_sched!$D:$D,$A20,d_rs_sched!$K:$K,$A20,d_rs_sched!$I:$I,Y$1))-(SUMIFS(d_rs_sched!$L:$L,d_rs_sched!$D:$D,$A20,d_rs_sched!$I:$I,$A20,d_rs_sched!$K:$K,Y$1)+SUMIFS(d_rs_sched!$J:$J,d_rs_sched!$D:$D,$A20,d_rs_sched!$K:$K,$A20,d_rs_sched!$I:$I,Y$1)),0)/IFERROR(IF((COUNTIFS(d_rs_sched!$D:$D,$A20,d_rs_sched!$I:$I,$A20,d_rs_sched!$K:$K,Y$1)+COUNTIFS(d_rs_sched!$D:$D,$A20,d_rs_sched!$I:$I,Y$1,d_rs_sched!$K:$K,$A20))&gt;0,(COUNTIFS(d_rs_sched!$D:$D,$A20,d_rs_sched!$I:$I,$A20,d_rs_sched!$K:$K,Y$1)+COUNTIFS(d_rs_sched!$D:$D,$A20,d_rs_sched!$I:$I,Y$1,d_rs_sched!$K:$K,$A20)),1),1)</f>
        <v>5.666666666666667</v>
      </c>
      <c r="Z20">
        <f>IFERROR((SUMIFS(d_rs_sched!$J:$J,d_rs_sched!$D:$D,$A20,d_rs_sched!$I:$I,$A20,d_rs_sched!$K:$K,Z$1)+SUMIFS(d_rs_sched!$L:$L,d_rs_sched!$D:$D,$A20,d_rs_sched!$K:$K,$A20,d_rs_sched!$I:$I,Z$1))-(SUMIFS(d_rs_sched!$L:$L,d_rs_sched!$D:$D,$A20,d_rs_sched!$I:$I,$A20,d_rs_sched!$K:$K,Z$1)+SUMIFS(d_rs_sched!$J:$J,d_rs_sched!$D:$D,$A20,d_rs_sched!$K:$K,$A20,d_rs_sched!$I:$I,Z$1)),0)/IFERROR(IF((COUNTIFS(d_rs_sched!$D:$D,$A20,d_rs_sched!$I:$I,$A20,d_rs_sched!$K:$K,Z$1)+COUNTIFS(d_rs_sched!$D:$D,$A20,d_rs_sched!$I:$I,Z$1,d_rs_sched!$K:$K,$A20))&gt;0,(COUNTIFS(d_rs_sched!$D:$D,$A20,d_rs_sched!$I:$I,$A20,d_rs_sched!$K:$K,Z$1)+COUNTIFS(d_rs_sched!$D:$D,$A20,d_rs_sched!$I:$I,Z$1,d_rs_sched!$K:$K,$A20)),1),1)</f>
        <v>-14.666666666666666</v>
      </c>
      <c r="AA20">
        <f>IFERROR((SUMIFS(d_rs_sched!$J:$J,d_rs_sched!$D:$D,$A20,d_rs_sched!$I:$I,$A20,d_rs_sched!$K:$K,AA$1)+SUMIFS(d_rs_sched!$L:$L,d_rs_sched!$D:$D,$A20,d_rs_sched!$K:$K,$A20,d_rs_sched!$I:$I,AA$1))-(SUMIFS(d_rs_sched!$L:$L,d_rs_sched!$D:$D,$A20,d_rs_sched!$I:$I,$A20,d_rs_sched!$K:$K,AA$1)+SUMIFS(d_rs_sched!$J:$J,d_rs_sched!$D:$D,$A20,d_rs_sched!$K:$K,$A20,d_rs_sched!$I:$I,AA$1)),0)/IFERROR(IF((COUNTIFS(d_rs_sched!$D:$D,$A20,d_rs_sched!$I:$I,$A20,d_rs_sched!$K:$K,AA$1)+COUNTIFS(d_rs_sched!$D:$D,$A20,d_rs_sched!$I:$I,AA$1,d_rs_sched!$K:$K,$A20))&gt;0,(COUNTIFS(d_rs_sched!$D:$D,$A20,d_rs_sched!$I:$I,$A20,d_rs_sched!$K:$K,AA$1)+COUNTIFS(d_rs_sched!$D:$D,$A20,d_rs_sched!$I:$I,AA$1,d_rs_sched!$K:$K,$A20)),1),1)</f>
        <v>2.75</v>
      </c>
      <c r="AB20">
        <f>IFERROR((SUMIFS(d_rs_sched!$J:$J,d_rs_sched!$D:$D,$A20,d_rs_sched!$I:$I,$A20,d_rs_sched!$K:$K,AB$1)+SUMIFS(d_rs_sched!$L:$L,d_rs_sched!$D:$D,$A20,d_rs_sched!$K:$K,$A20,d_rs_sched!$I:$I,AB$1))-(SUMIFS(d_rs_sched!$L:$L,d_rs_sched!$D:$D,$A20,d_rs_sched!$I:$I,$A20,d_rs_sched!$K:$K,AB$1)+SUMIFS(d_rs_sched!$J:$J,d_rs_sched!$D:$D,$A20,d_rs_sched!$K:$K,$A20,d_rs_sched!$I:$I,AB$1)),0)/IFERROR(IF((COUNTIFS(d_rs_sched!$D:$D,$A20,d_rs_sched!$I:$I,$A20,d_rs_sched!$K:$K,AB$1)+COUNTIFS(d_rs_sched!$D:$D,$A20,d_rs_sched!$I:$I,AB$1,d_rs_sched!$K:$K,$A20))&gt;0,(COUNTIFS(d_rs_sched!$D:$D,$A20,d_rs_sched!$I:$I,$A20,d_rs_sched!$K:$K,AB$1)+COUNTIFS(d_rs_sched!$D:$D,$A20,d_rs_sched!$I:$I,AB$1,d_rs_sched!$K:$K,$A20)),1),1)</f>
        <v>4</v>
      </c>
      <c r="AC20">
        <f>IFERROR((SUMIFS(d_rs_sched!$J:$J,d_rs_sched!$D:$D,$A20,d_rs_sched!$I:$I,$A20,d_rs_sched!$K:$K,AC$1)+SUMIFS(d_rs_sched!$L:$L,d_rs_sched!$D:$D,$A20,d_rs_sched!$K:$K,$A20,d_rs_sched!$I:$I,AC$1))-(SUMIFS(d_rs_sched!$L:$L,d_rs_sched!$D:$D,$A20,d_rs_sched!$I:$I,$A20,d_rs_sched!$K:$K,AC$1)+SUMIFS(d_rs_sched!$J:$J,d_rs_sched!$D:$D,$A20,d_rs_sched!$K:$K,$A20,d_rs_sched!$I:$I,AC$1)),0)/IFERROR(IF((COUNTIFS(d_rs_sched!$D:$D,$A20,d_rs_sched!$I:$I,$A20,d_rs_sched!$K:$K,AC$1)+COUNTIFS(d_rs_sched!$D:$D,$A20,d_rs_sched!$I:$I,AC$1,d_rs_sched!$K:$K,$A20))&gt;0,(COUNTIFS(d_rs_sched!$D:$D,$A20,d_rs_sched!$I:$I,$A20,d_rs_sched!$K:$K,AC$1)+COUNTIFS(d_rs_sched!$D:$D,$A20,d_rs_sched!$I:$I,AC$1,d_rs_sched!$K:$K,$A20)),1),1)</f>
        <v>2.5</v>
      </c>
      <c r="AD20">
        <f>IFERROR((SUMIFS(d_rs_sched!$J:$J,d_rs_sched!$D:$D,$A20,d_rs_sched!$I:$I,$A20,d_rs_sched!$K:$K,AD$1)+SUMIFS(d_rs_sched!$L:$L,d_rs_sched!$D:$D,$A20,d_rs_sched!$K:$K,$A20,d_rs_sched!$I:$I,AD$1))-(SUMIFS(d_rs_sched!$L:$L,d_rs_sched!$D:$D,$A20,d_rs_sched!$I:$I,$A20,d_rs_sched!$K:$K,AD$1)+SUMIFS(d_rs_sched!$J:$J,d_rs_sched!$D:$D,$A20,d_rs_sched!$K:$K,$A20,d_rs_sched!$I:$I,AD$1)),0)/IFERROR(IF((COUNTIFS(d_rs_sched!$D:$D,$A20,d_rs_sched!$I:$I,$A20,d_rs_sched!$K:$K,AD$1)+COUNTIFS(d_rs_sched!$D:$D,$A20,d_rs_sched!$I:$I,AD$1,d_rs_sched!$K:$K,$A20))&gt;0,(COUNTIFS(d_rs_sched!$D:$D,$A20,d_rs_sched!$I:$I,$A20,d_rs_sched!$K:$K,AD$1)+COUNTIFS(d_rs_sched!$D:$D,$A20,d_rs_sched!$I:$I,AD$1,d_rs_sched!$K:$K,$A20)),1),1)</f>
        <v>5.333333333333333</v>
      </c>
      <c r="AE20">
        <f>IFERROR((SUMIFS(d_rs_sched!$J:$J,d_rs_sched!$D:$D,$A20,d_rs_sched!$I:$I,$A20,d_rs_sched!$K:$K,AE$1)+SUMIFS(d_rs_sched!$L:$L,d_rs_sched!$D:$D,$A20,d_rs_sched!$K:$K,$A20,d_rs_sched!$I:$I,AE$1))-(SUMIFS(d_rs_sched!$L:$L,d_rs_sched!$D:$D,$A20,d_rs_sched!$I:$I,$A20,d_rs_sched!$K:$K,AE$1)+SUMIFS(d_rs_sched!$J:$J,d_rs_sched!$D:$D,$A20,d_rs_sched!$K:$K,$A20,d_rs_sched!$I:$I,AE$1)),0)/IFERROR(IF((COUNTIFS(d_rs_sched!$D:$D,$A20,d_rs_sched!$I:$I,$A20,d_rs_sched!$K:$K,AE$1)+COUNTIFS(d_rs_sched!$D:$D,$A20,d_rs_sched!$I:$I,AE$1,d_rs_sched!$K:$K,$A20))&gt;0,(COUNTIFS(d_rs_sched!$D:$D,$A20,d_rs_sched!$I:$I,$A20,d_rs_sched!$K:$K,AE$1)+COUNTIFS(d_rs_sched!$D:$D,$A20,d_rs_sched!$I:$I,AE$1,d_rs_sched!$K:$K,$A20)),1),1)</f>
        <v>-5</v>
      </c>
      <c r="AG20" t="s">
        <v>12</v>
      </c>
      <c r="AH20">
        <v>0.99433630171694454</v>
      </c>
      <c r="AI20">
        <f t="shared" si="0"/>
        <v>6</v>
      </c>
    </row>
    <row r="21" spans="1:35" x14ac:dyDescent="0.25">
      <c r="A21" t="s">
        <v>31</v>
      </c>
      <c r="B21">
        <f>IFERROR((SUMIFS(d_rs_sched!$J:$J,d_rs_sched!$D:$D,$A21,d_rs_sched!$I:$I,$A21,d_rs_sched!$K:$K,B$1)+SUMIFS(d_rs_sched!$L:$L,d_rs_sched!$D:$D,$A21,d_rs_sched!$K:$K,$A21,d_rs_sched!$I:$I,B$1))-(SUMIFS(d_rs_sched!$L:$L,d_rs_sched!$D:$D,$A21,d_rs_sched!$I:$I,$A21,d_rs_sched!$K:$K,B$1)+SUMIFS(d_rs_sched!$J:$J,d_rs_sched!$D:$D,$A21,d_rs_sched!$K:$K,$A21,d_rs_sched!$I:$I,B$1)),0)/IFERROR(IF((COUNTIFS(d_rs_sched!$D:$D,$A21,d_rs_sched!$I:$I,$A21,d_rs_sched!$K:$K,B$1)+COUNTIFS(d_rs_sched!$D:$D,$A21,d_rs_sched!$I:$I,B$1,d_rs_sched!$K:$K,$A21))&gt;0,(COUNTIFS(d_rs_sched!$D:$D,$A21,d_rs_sched!$I:$I,$A21,d_rs_sched!$K:$K,B$1)+COUNTIFS(d_rs_sched!$D:$D,$A21,d_rs_sched!$I:$I,B$1,d_rs_sched!$K:$K,$A21)),1),1)</f>
        <v>-3</v>
      </c>
      <c r="C21">
        <f>IFERROR((SUMIFS(d_rs_sched!$J:$J,d_rs_sched!$D:$D,$A21,d_rs_sched!$I:$I,$A21,d_rs_sched!$K:$K,C$1)+SUMIFS(d_rs_sched!$L:$L,d_rs_sched!$D:$D,$A21,d_rs_sched!$K:$K,$A21,d_rs_sched!$I:$I,C$1))-(SUMIFS(d_rs_sched!$L:$L,d_rs_sched!$D:$D,$A21,d_rs_sched!$I:$I,$A21,d_rs_sched!$K:$K,C$1)+SUMIFS(d_rs_sched!$J:$J,d_rs_sched!$D:$D,$A21,d_rs_sched!$K:$K,$A21,d_rs_sched!$I:$I,C$1)),0)/IFERROR(IF((COUNTIFS(d_rs_sched!$D:$D,$A21,d_rs_sched!$I:$I,$A21,d_rs_sched!$K:$K,C$1)+COUNTIFS(d_rs_sched!$D:$D,$A21,d_rs_sched!$I:$I,C$1,d_rs_sched!$K:$K,$A21))&gt;0,(COUNTIFS(d_rs_sched!$D:$D,$A21,d_rs_sched!$I:$I,$A21,d_rs_sched!$K:$K,C$1)+COUNTIFS(d_rs_sched!$D:$D,$A21,d_rs_sched!$I:$I,C$1,d_rs_sched!$K:$K,$A21)),1),1)</f>
        <v>-5.5</v>
      </c>
      <c r="D21">
        <f>IFERROR((SUMIFS(d_rs_sched!$J:$J,d_rs_sched!$D:$D,$A21,d_rs_sched!$I:$I,$A21,d_rs_sched!$K:$K,D$1)+SUMIFS(d_rs_sched!$L:$L,d_rs_sched!$D:$D,$A21,d_rs_sched!$K:$K,$A21,d_rs_sched!$I:$I,D$1))-(SUMIFS(d_rs_sched!$L:$L,d_rs_sched!$D:$D,$A21,d_rs_sched!$I:$I,$A21,d_rs_sched!$K:$K,D$1)+SUMIFS(d_rs_sched!$J:$J,d_rs_sched!$D:$D,$A21,d_rs_sched!$K:$K,$A21,d_rs_sched!$I:$I,D$1)),0)/IFERROR(IF((COUNTIFS(d_rs_sched!$D:$D,$A21,d_rs_sched!$I:$I,$A21,d_rs_sched!$K:$K,D$1)+COUNTIFS(d_rs_sched!$D:$D,$A21,d_rs_sched!$I:$I,D$1,d_rs_sched!$K:$K,$A21))&gt;0,(COUNTIFS(d_rs_sched!$D:$D,$A21,d_rs_sched!$I:$I,$A21,d_rs_sched!$K:$K,D$1)+COUNTIFS(d_rs_sched!$D:$D,$A21,d_rs_sched!$I:$I,D$1,d_rs_sched!$K:$K,$A21)),1),1)</f>
        <v>-7.5</v>
      </c>
      <c r="E21">
        <f>IFERROR((SUMIFS(d_rs_sched!$J:$J,d_rs_sched!$D:$D,$A21,d_rs_sched!$I:$I,$A21,d_rs_sched!$K:$K,E$1)+SUMIFS(d_rs_sched!$L:$L,d_rs_sched!$D:$D,$A21,d_rs_sched!$K:$K,$A21,d_rs_sched!$I:$I,E$1))-(SUMIFS(d_rs_sched!$L:$L,d_rs_sched!$D:$D,$A21,d_rs_sched!$I:$I,$A21,d_rs_sched!$K:$K,E$1)+SUMIFS(d_rs_sched!$J:$J,d_rs_sched!$D:$D,$A21,d_rs_sched!$K:$K,$A21,d_rs_sched!$I:$I,E$1)),0)/IFERROR(IF((COUNTIFS(d_rs_sched!$D:$D,$A21,d_rs_sched!$I:$I,$A21,d_rs_sched!$K:$K,E$1)+COUNTIFS(d_rs_sched!$D:$D,$A21,d_rs_sched!$I:$I,E$1,d_rs_sched!$K:$K,$A21))&gt;0,(COUNTIFS(d_rs_sched!$D:$D,$A21,d_rs_sched!$I:$I,$A21,d_rs_sched!$K:$K,E$1)+COUNTIFS(d_rs_sched!$D:$D,$A21,d_rs_sched!$I:$I,E$1,d_rs_sched!$K:$K,$A21)),1),1)</f>
        <v>-7.75</v>
      </c>
      <c r="F21">
        <f>IFERROR((SUMIFS(d_rs_sched!$J:$J,d_rs_sched!$D:$D,$A21,d_rs_sched!$I:$I,$A21,d_rs_sched!$K:$K,F$1)+SUMIFS(d_rs_sched!$L:$L,d_rs_sched!$D:$D,$A21,d_rs_sched!$K:$K,$A21,d_rs_sched!$I:$I,F$1))-(SUMIFS(d_rs_sched!$L:$L,d_rs_sched!$D:$D,$A21,d_rs_sched!$I:$I,$A21,d_rs_sched!$K:$K,F$1)+SUMIFS(d_rs_sched!$J:$J,d_rs_sched!$D:$D,$A21,d_rs_sched!$K:$K,$A21,d_rs_sched!$I:$I,F$1)),0)/IFERROR(IF((COUNTIFS(d_rs_sched!$D:$D,$A21,d_rs_sched!$I:$I,$A21,d_rs_sched!$K:$K,F$1)+COUNTIFS(d_rs_sched!$D:$D,$A21,d_rs_sched!$I:$I,F$1,d_rs_sched!$K:$K,$A21))&gt;0,(COUNTIFS(d_rs_sched!$D:$D,$A21,d_rs_sched!$I:$I,$A21,d_rs_sched!$K:$K,F$1)+COUNTIFS(d_rs_sched!$D:$D,$A21,d_rs_sched!$I:$I,F$1,d_rs_sched!$K:$K,$A21)),1),1)</f>
        <v>-20.333333333333332</v>
      </c>
      <c r="G21">
        <f>IFERROR((SUMIFS(d_rs_sched!$J:$J,d_rs_sched!$D:$D,$A21,d_rs_sched!$I:$I,$A21,d_rs_sched!$K:$K,G$1)+SUMIFS(d_rs_sched!$L:$L,d_rs_sched!$D:$D,$A21,d_rs_sched!$K:$K,$A21,d_rs_sched!$I:$I,G$1))-(SUMIFS(d_rs_sched!$L:$L,d_rs_sched!$D:$D,$A21,d_rs_sched!$I:$I,$A21,d_rs_sched!$K:$K,G$1)+SUMIFS(d_rs_sched!$J:$J,d_rs_sched!$D:$D,$A21,d_rs_sched!$K:$K,$A21,d_rs_sched!$I:$I,G$1)),0)/IFERROR(IF((COUNTIFS(d_rs_sched!$D:$D,$A21,d_rs_sched!$I:$I,$A21,d_rs_sched!$K:$K,G$1)+COUNTIFS(d_rs_sched!$D:$D,$A21,d_rs_sched!$I:$I,G$1,d_rs_sched!$K:$K,$A21))&gt;0,(COUNTIFS(d_rs_sched!$D:$D,$A21,d_rs_sched!$I:$I,$A21,d_rs_sched!$K:$K,G$1)+COUNTIFS(d_rs_sched!$D:$D,$A21,d_rs_sched!$I:$I,G$1,d_rs_sched!$K:$K,$A21)),1),1)</f>
        <v>-5.333333333333333</v>
      </c>
      <c r="H21">
        <f>IFERROR((SUMIFS(d_rs_sched!$J:$J,d_rs_sched!$D:$D,$A21,d_rs_sched!$I:$I,$A21,d_rs_sched!$K:$K,H$1)+SUMIFS(d_rs_sched!$L:$L,d_rs_sched!$D:$D,$A21,d_rs_sched!$K:$K,$A21,d_rs_sched!$I:$I,H$1))-(SUMIFS(d_rs_sched!$L:$L,d_rs_sched!$D:$D,$A21,d_rs_sched!$I:$I,$A21,d_rs_sched!$K:$K,H$1)+SUMIFS(d_rs_sched!$J:$J,d_rs_sched!$D:$D,$A21,d_rs_sched!$K:$K,$A21,d_rs_sched!$I:$I,H$1)),0)/IFERROR(IF((COUNTIFS(d_rs_sched!$D:$D,$A21,d_rs_sched!$I:$I,$A21,d_rs_sched!$K:$K,H$1)+COUNTIFS(d_rs_sched!$D:$D,$A21,d_rs_sched!$I:$I,H$1,d_rs_sched!$K:$K,$A21))&gt;0,(COUNTIFS(d_rs_sched!$D:$D,$A21,d_rs_sched!$I:$I,$A21,d_rs_sched!$K:$K,H$1)+COUNTIFS(d_rs_sched!$D:$D,$A21,d_rs_sched!$I:$I,H$1,d_rs_sched!$K:$K,$A21)),1),1)</f>
        <v>-13.5</v>
      </c>
      <c r="I21">
        <f>IFERROR((SUMIFS(d_rs_sched!$J:$J,d_rs_sched!$D:$D,$A21,d_rs_sched!$I:$I,$A21,d_rs_sched!$K:$K,I$1)+SUMIFS(d_rs_sched!$L:$L,d_rs_sched!$D:$D,$A21,d_rs_sched!$K:$K,$A21,d_rs_sched!$I:$I,I$1))-(SUMIFS(d_rs_sched!$L:$L,d_rs_sched!$D:$D,$A21,d_rs_sched!$I:$I,$A21,d_rs_sched!$K:$K,I$1)+SUMIFS(d_rs_sched!$J:$J,d_rs_sched!$D:$D,$A21,d_rs_sched!$K:$K,$A21,d_rs_sched!$I:$I,I$1)),0)/IFERROR(IF((COUNTIFS(d_rs_sched!$D:$D,$A21,d_rs_sched!$I:$I,$A21,d_rs_sched!$K:$K,I$1)+COUNTIFS(d_rs_sched!$D:$D,$A21,d_rs_sched!$I:$I,I$1,d_rs_sched!$K:$K,$A21))&gt;0,(COUNTIFS(d_rs_sched!$D:$D,$A21,d_rs_sched!$I:$I,$A21,d_rs_sched!$K:$K,I$1)+COUNTIFS(d_rs_sched!$D:$D,$A21,d_rs_sched!$I:$I,I$1,d_rs_sched!$K:$K,$A21)),1),1)</f>
        <v>-6</v>
      </c>
      <c r="J21">
        <f>IFERROR((SUMIFS(d_rs_sched!$J:$J,d_rs_sched!$D:$D,$A21,d_rs_sched!$I:$I,$A21,d_rs_sched!$K:$K,J$1)+SUMIFS(d_rs_sched!$L:$L,d_rs_sched!$D:$D,$A21,d_rs_sched!$K:$K,$A21,d_rs_sched!$I:$I,J$1))-(SUMIFS(d_rs_sched!$L:$L,d_rs_sched!$D:$D,$A21,d_rs_sched!$I:$I,$A21,d_rs_sched!$K:$K,J$1)+SUMIFS(d_rs_sched!$J:$J,d_rs_sched!$D:$D,$A21,d_rs_sched!$K:$K,$A21,d_rs_sched!$I:$I,J$1)),0)/IFERROR(IF((COUNTIFS(d_rs_sched!$D:$D,$A21,d_rs_sched!$I:$I,$A21,d_rs_sched!$K:$K,J$1)+COUNTIFS(d_rs_sched!$D:$D,$A21,d_rs_sched!$I:$I,J$1,d_rs_sched!$K:$K,$A21))&gt;0,(COUNTIFS(d_rs_sched!$D:$D,$A21,d_rs_sched!$I:$I,$A21,d_rs_sched!$K:$K,J$1)+COUNTIFS(d_rs_sched!$D:$D,$A21,d_rs_sched!$I:$I,J$1,d_rs_sched!$K:$K,$A21)),1),1)</f>
        <v>-8.75</v>
      </c>
      <c r="K21">
        <f>IFERROR((SUMIFS(d_rs_sched!$J:$J,d_rs_sched!$D:$D,$A21,d_rs_sched!$I:$I,$A21,d_rs_sched!$K:$K,K$1)+SUMIFS(d_rs_sched!$L:$L,d_rs_sched!$D:$D,$A21,d_rs_sched!$K:$K,$A21,d_rs_sched!$I:$I,K$1))-(SUMIFS(d_rs_sched!$L:$L,d_rs_sched!$D:$D,$A21,d_rs_sched!$I:$I,$A21,d_rs_sched!$K:$K,K$1)+SUMIFS(d_rs_sched!$J:$J,d_rs_sched!$D:$D,$A21,d_rs_sched!$K:$K,$A21,d_rs_sched!$I:$I,K$1)),0)/IFERROR(IF((COUNTIFS(d_rs_sched!$D:$D,$A21,d_rs_sched!$I:$I,$A21,d_rs_sched!$K:$K,K$1)+COUNTIFS(d_rs_sched!$D:$D,$A21,d_rs_sched!$I:$I,K$1,d_rs_sched!$K:$K,$A21))&gt;0,(COUNTIFS(d_rs_sched!$D:$D,$A21,d_rs_sched!$I:$I,$A21,d_rs_sched!$K:$K,K$1)+COUNTIFS(d_rs_sched!$D:$D,$A21,d_rs_sched!$I:$I,K$1,d_rs_sched!$K:$K,$A21)),1),1)</f>
        <v>-22.5</v>
      </c>
      <c r="L21">
        <f>IFERROR((SUMIFS(d_rs_sched!$J:$J,d_rs_sched!$D:$D,$A21,d_rs_sched!$I:$I,$A21,d_rs_sched!$K:$K,L$1)+SUMIFS(d_rs_sched!$L:$L,d_rs_sched!$D:$D,$A21,d_rs_sched!$K:$K,$A21,d_rs_sched!$I:$I,L$1))-(SUMIFS(d_rs_sched!$L:$L,d_rs_sched!$D:$D,$A21,d_rs_sched!$I:$I,$A21,d_rs_sched!$K:$K,L$1)+SUMIFS(d_rs_sched!$J:$J,d_rs_sched!$D:$D,$A21,d_rs_sched!$K:$K,$A21,d_rs_sched!$I:$I,L$1)),0)/IFERROR(IF((COUNTIFS(d_rs_sched!$D:$D,$A21,d_rs_sched!$I:$I,$A21,d_rs_sched!$K:$K,L$1)+COUNTIFS(d_rs_sched!$D:$D,$A21,d_rs_sched!$I:$I,L$1,d_rs_sched!$K:$K,$A21))&gt;0,(COUNTIFS(d_rs_sched!$D:$D,$A21,d_rs_sched!$I:$I,$A21,d_rs_sched!$K:$K,L$1)+COUNTIFS(d_rs_sched!$D:$D,$A21,d_rs_sched!$I:$I,L$1,d_rs_sched!$K:$K,$A21)),1),1)</f>
        <v>-14.5</v>
      </c>
      <c r="M21">
        <f>IFERROR((SUMIFS(d_rs_sched!$J:$J,d_rs_sched!$D:$D,$A21,d_rs_sched!$I:$I,$A21,d_rs_sched!$K:$K,M$1)+SUMIFS(d_rs_sched!$L:$L,d_rs_sched!$D:$D,$A21,d_rs_sched!$K:$K,$A21,d_rs_sched!$I:$I,M$1))-(SUMIFS(d_rs_sched!$L:$L,d_rs_sched!$D:$D,$A21,d_rs_sched!$I:$I,$A21,d_rs_sched!$K:$K,M$1)+SUMIFS(d_rs_sched!$J:$J,d_rs_sched!$D:$D,$A21,d_rs_sched!$K:$K,$A21,d_rs_sched!$I:$I,M$1)),0)/IFERROR(IF((COUNTIFS(d_rs_sched!$D:$D,$A21,d_rs_sched!$I:$I,$A21,d_rs_sched!$K:$K,M$1)+COUNTIFS(d_rs_sched!$D:$D,$A21,d_rs_sched!$I:$I,M$1,d_rs_sched!$K:$K,$A21))&gt;0,(COUNTIFS(d_rs_sched!$D:$D,$A21,d_rs_sched!$I:$I,$A21,d_rs_sched!$K:$K,M$1)+COUNTIFS(d_rs_sched!$D:$D,$A21,d_rs_sched!$I:$I,M$1,d_rs_sched!$K:$K,$A21)),1),1)</f>
        <v>-16.5</v>
      </c>
      <c r="N21">
        <f>IFERROR((SUMIFS(d_rs_sched!$J:$J,d_rs_sched!$D:$D,$A21,d_rs_sched!$I:$I,$A21,d_rs_sched!$K:$K,N$1)+SUMIFS(d_rs_sched!$L:$L,d_rs_sched!$D:$D,$A21,d_rs_sched!$K:$K,$A21,d_rs_sched!$I:$I,N$1))-(SUMIFS(d_rs_sched!$L:$L,d_rs_sched!$D:$D,$A21,d_rs_sched!$I:$I,$A21,d_rs_sched!$K:$K,N$1)+SUMIFS(d_rs_sched!$J:$J,d_rs_sched!$D:$D,$A21,d_rs_sched!$K:$K,$A21,d_rs_sched!$I:$I,N$1)),0)/IFERROR(IF((COUNTIFS(d_rs_sched!$D:$D,$A21,d_rs_sched!$I:$I,$A21,d_rs_sched!$K:$K,N$1)+COUNTIFS(d_rs_sched!$D:$D,$A21,d_rs_sched!$I:$I,N$1,d_rs_sched!$K:$K,$A21))&gt;0,(COUNTIFS(d_rs_sched!$D:$D,$A21,d_rs_sched!$I:$I,$A21,d_rs_sched!$K:$K,N$1)+COUNTIFS(d_rs_sched!$D:$D,$A21,d_rs_sched!$I:$I,N$1,d_rs_sched!$K:$K,$A21)),1),1)</f>
        <v>-26</v>
      </c>
      <c r="O21">
        <f>IFERROR((SUMIFS(d_rs_sched!$J:$J,d_rs_sched!$D:$D,$A21,d_rs_sched!$I:$I,$A21,d_rs_sched!$K:$K,O$1)+SUMIFS(d_rs_sched!$L:$L,d_rs_sched!$D:$D,$A21,d_rs_sched!$K:$K,$A21,d_rs_sched!$I:$I,O$1))-(SUMIFS(d_rs_sched!$L:$L,d_rs_sched!$D:$D,$A21,d_rs_sched!$I:$I,$A21,d_rs_sched!$K:$K,O$1)+SUMIFS(d_rs_sched!$J:$J,d_rs_sched!$D:$D,$A21,d_rs_sched!$K:$K,$A21,d_rs_sched!$I:$I,O$1)),0)/IFERROR(IF((COUNTIFS(d_rs_sched!$D:$D,$A21,d_rs_sched!$I:$I,$A21,d_rs_sched!$K:$K,O$1)+COUNTIFS(d_rs_sched!$D:$D,$A21,d_rs_sched!$I:$I,O$1,d_rs_sched!$K:$K,$A21))&gt;0,(COUNTIFS(d_rs_sched!$D:$D,$A21,d_rs_sched!$I:$I,$A21,d_rs_sched!$K:$K,O$1)+COUNTIFS(d_rs_sched!$D:$D,$A21,d_rs_sched!$I:$I,O$1,d_rs_sched!$K:$K,$A21)),1),1)</f>
        <v>9.5</v>
      </c>
      <c r="P21">
        <f>IFERROR((SUMIFS(d_rs_sched!$J:$J,d_rs_sched!$D:$D,$A21,d_rs_sched!$I:$I,$A21,d_rs_sched!$K:$K,P$1)+SUMIFS(d_rs_sched!$L:$L,d_rs_sched!$D:$D,$A21,d_rs_sched!$K:$K,$A21,d_rs_sched!$I:$I,P$1))-(SUMIFS(d_rs_sched!$L:$L,d_rs_sched!$D:$D,$A21,d_rs_sched!$I:$I,$A21,d_rs_sched!$K:$K,P$1)+SUMIFS(d_rs_sched!$J:$J,d_rs_sched!$D:$D,$A21,d_rs_sched!$K:$K,$A21,d_rs_sched!$I:$I,P$1)),0)/IFERROR(IF((COUNTIFS(d_rs_sched!$D:$D,$A21,d_rs_sched!$I:$I,$A21,d_rs_sched!$K:$K,P$1)+COUNTIFS(d_rs_sched!$D:$D,$A21,d_rs_sched!$I:$I,P$1,d_rs_sched!$K:$K,$A21))&gt;0,(COUNTIFS(d_rs_sched!$D:$D,$A21,d_rs_sched!$I:$I,$A21,d_rs_sched!$K:$K,P$1)+COUNTIFS(d_rs_sched!$D:$D,$A21,d_rs_sched!$I:$I,P$1,d_rs_sched!$K:$K,$A21)),1),1)</f>
        <v>-21.5</v>
      </c>
      <c r="Q21">
        <f>IFERROR((SUMIFS(d_rs_sched!$J:$J,d_rs_sched!$D:$D,$A21,d_rs_sched!$I:$I,$A21,d_rs_sched!$K:$K,Q$1)+SUMIFS(d_rs_sched!$L:$L,d_rs_sched!$D:$D,$A21,d_rs_sched!$K:$K,$A21,d_rs_sched!$I:$I,Q$1))-(SUMIFS(d_rs_sched!$L:$L,d_rs_sched!$D:$D,$A21,d_rs_sched!$I:$I,$A21,d_rs_sched!$K:$K,Q$1)+SUMIFS(d_rs_sched!$J:$J,d_rs_sched!$D:$D,$A21,d_rs_sched!$K:$K,$A21,d_rs_sched!$I:$I,Q$1)),0)/IFERROR(IF((COUNTIFS(d_rs_sched!$D:$D,$A21,d_rs_sched!$I:$I,$A21,d_rs_sched!$K:$K,Q$1)+COUNTIFS(d_rs_sched!$D:$D,$A21,d_rs_sched!$I:$I,Q$1,d_rs_sched!$K:$K,$A21))&gt;0,(COUNTIFS(d_rs_sched!$D:$D,$A21,d_rs_sched!$I:$I,$A21,d_rs_sched!$K:$K,Q$1)+COUNTIFS(d_rs_sched!$D:$D,$A21,d_rs_sched!$I:$I,Q$1,d_rs_sched!$K:$K,$A21)),1),1)</f>
        <v>-15</v>
      </c>
      <c r="R21">
        <f>IFERROR((SUMIFS(d_rs_sched!$J:$J,d_rs_sched!$D:$D,$A21,d_rs_sched!$I:$I,$A21,d_rs_sched!$K:$K,R$1)+SUMIFS(d_rs_sched!$L:$L,d_rs_sched!$D:$D,$A21,d_rs_sched!$K:$K,$A21,d_rs_sched!$I:$I,R$1))-(SUMIFS(d_rs_sched!$L:$L,d_rs_sched!$D:$D,$A21,d_rs_sched!$I:$I,$A21,d_rs_sched!$K:$K,R$1)+SUMIFS(d_rs_sched!$J:$J,d_rs_sched!$D:$D,$A21,d_rs_sched!$K:$K,$A21,d_rs_sched!$I:$I,R$1)),0)/IFERROR(IF((COUNTIFS(d_rs_sched!$D:$D,$A21,d_rs_sched!$I:$I,$A21,d_rs_sched!$K:$K,R$1)+COUNTIFS(d_rs_sched!$D:$D,$A21,d_rs_sched!$I:$I,R$1,d_rs_sched!$K:$K,$A21))&gt;0,(COUNTIFS(d_rs_sched!$D:$D,$A21,d_rs_sched!$I:$I,$A21,d_rs_sched!$K:$K,R$1)+COUNTIFS(d_rs_sched!$D:$D,$A21,d_rs_sched!$I:$I,R$1,d_rs_sched!$K:$K,$A21)),1),1)</f>
        <v>-10.25</v>
      </c>
      <c r="S21">
        <f>IFERROR((SUMIFS(d_rs_sched!$J:$J,d_rs_sched!$D:$D,$A21,d_rs_sched!$I:$I,$A21,d_rs_sched!$K:$K,S$1)+SUMIFS(d_rs_sched!$L:$L,d_rs_sched!$D:$D,$A21,d_rs_sched!$K:$K,$A21,d_rs_sched!$I:$I,S$1))-(SUMIFS(d_rs_sched!$L:$L,d_rs_sched!$D:$D,$A21,d_rs_sched!$I:$I,$A21,d_rs_sched!$K:$K,S$1)+SUMIFS(d_rs_sched!$J:$J,d_rs_sched!$D:$D,$A21,d_rs_sched!$K:$K,$A21,d_rs_sched!$I:$I,S$1)),0)/IFERROR(IF((COUNTIFS(d_rs_sched!$D:$D,$A21,d_rs_sched!$I:$I,$A21,d_rs_sched!$K:$K,S$1)+COUNTIFS(d_rs_sched!$D:$D,$A21,d_rs_sched!$I:$I,S$1,d_rs_sched!$K:$K,$A21))&gt;0,(COUNTIFS(d_rs_sched!$D:$D,$A21,d_rs_sched!$I:$I,$A21,d_rs_sched!$K:$K,S$1)+COUNTIFS(d_rs_sched!$D:$D,$A21,d_rs_sched!$I:$I,S$1,d_rs_sched!$K:$K,$A21)),1),1)</f>
        <v>-9.5</v>
      </c>
      <c r="T21">
        <f>IFERROR((SUMIFS(d_rs_sched!$J:$J,d_rs_sched!$D:$D,$A21,d_rs_sched!$I:$I,$A21,d_rs_sched!$K:$K,T$1)+SUMIFS(d_rs_sched!$L:$L,d_rs_sched!$D:$D,$A21,d_rs_sched!$K:$K,$A21,d_rs_sched!$I:$I,T$1))-(SUMIFS(d_rs_sched!$L:$L,d_rs_sched!$D:$D,$A21,d_rs_sched!$I:$I,$A21,d_rs_sched!$K:$K,T$1)+SUMIFS(d_rs_sched!$J:$J,d_rs_sched!$D:$D,$A21,d_rs_sched!$K:$K,$A21,d_rs_sched!$I:$I,T$1)),0)/IFERROR(IF((COUNTIFS(d_rs_sched!$D:$D,$A21,d_rs_sched!$I:$I,$A21,d_rs_sched!$K:$K,T$1)+COUNTIFS(d_rs_sched!$D:$D,$A21,d_rs_sched!$I:$I,T$1,d_rs_sched!$K:$K,$A21))&gt;0,(COUNTIFS(d_rs_sched!$D:$D,$A21,d_rs_sched!$I:$I,$A21,d_rs_sched!$K:$K,T$1)+COUNTIFS(d_rs_sched!$D:$D,$A21,d_rs_sched!$I:$I,T$1,d_rs_sched!$K:$K,$A21)),1),1)</f>
        <v>-2</v>
      </c>
      <c r="U21">
        <f>IFERROR((SUMIFS(d_rs_sched!$J:$J,d_rs_sched!$D:$D,$A21,d_rs_sched!$I:$I,$A21,d_rs_sched!$K:$K,U$1)+SUMIFS(d_rs_sched!$L:$L,d_rs_sched!$D:$D,$A21,d_rs_sched!$K:$K,$A21,d_rs_sched!$I:$I,U$1))-(SUMIFS(d_rs_sched!$L:$L,d_rs_sched!$D:$D,$A21,d_rs_sched!$I:$I,$A21,d_rs_sched!$K:$K,U$1)+SUMIFS(d_rs_sched!$J:$J,d_rs_sched!$D:$D,$A21,d_rs_sched!$K:$K,$A21,d_rs_sched!$I:$I,U$1)),0)/IFERROR(IF((COUNTIFS(d_rs_sched!$D:$D,$A21,d_rs_sched!$I:$I,$A21,d_rs_sched!$K:$K,U$1)+COUNTIFS(d_rs_sched!$D:$D,$A21,d_rs_sched!$I:$I,U$1,d_rs_sched!$K:$K,$A21))&gt;0,(COUNTIFS(d_rs_sched!$D:$D,$A21,d_rs_sched!$I:$I,$A21,d_rs_sched!$K:$K,U$1)+COUNTIFS(d_rs_sched!$D:$D,$A21,d_rs_sched!$I:$I,U$1,d_rs_sched!$K:$K,$A21)),1),1)</f>
        <v>0</v>
      </c>
      <c r="V21">
        <f>IFERROR((SUMIFS(d_rs_sched!$J:$J,d_rs_sched!$D:$D,$A21,d_rs_sched!$I:$I,$A21,d_rs_sched!$K:$K,V$1)+SUMIFS(d_rs_sched!$L:$L,d_rs_sched!$D:$D,$A21,d_rs_sched!$K:$K,$A21,d_rs_sched!$I:$I,V$1))-(SUMIFS(d_rs_sched!$L:$L,d_rs_sched!$D:$D,$A21,d_rs_sched!$I:$I,$A21,d_rs_sched!$K:$K,V$1)+SUMIFS(d_rs_sched!$J:$J,d_rs_sched!$D:$D,$A21,d_rs_sched!$K:$K,$A21,d_rs_sched!$I:$I,V$1)),0)/IFERROR(IF((COUNTIFS(d_rs_sched!$D:$D,$A21,d_rs_sched!$I:$I,$A21,d_rs_sched!$K:$K,V$1)+COUNTIFS(d_rs_sched!$D:$D,$A21,d_rs_sched!$I:$I,V$1,d_rs_sched!$K:$K,$A21))&gt;0,(COUNTIFS(d_rs_sched!$D:$D,$A21,d_rs_sched!$I:$I,$A21,d_rs_sched!$K:$K,V$1)+COUNTIFS(d_rs_sched!$D:$D,$A21,d_rs_sched!$I:$I,V$1,d_rs_sched!$K:$K,$A21)),1),1)</f>
        <v>-9.5</v>
      </c>
      <c r="W21">
        <f>IFERROR((SUMIFS(d_rs_sched!$J:$J,d_rs_sched!$D:$D,$A21,d_rs_sched!$I:$I,$A21,d_rs_sched!$K:$K,W$1)+SUMIFS(d_rs_sched!$L:$L,d_rs_sched!$D:$D,$A21,d_rs_sched!$K:$K,$A21,d_rs_sched!$I:$I,W$1))-(SUMIFS(d_rs_sched!$L:$L,d_rs_sched!$D:$D,$A21,d_rs_sched!$I:$I,$A21,d_rs_sched!$K:$K,W$1)+SUMIFS(d_rs_sched!$J:$J,d_rs_sched!$D:$D,$A21,d_rs_sched!$K:$K,$A21,d_rs_sched!$I:$I,W$1)),0)/IFERROR(IF((COUNTIFS(d_rs_sched!$D:$D,$A21,d_rs_sched!$I:$I,$A21,d_rs_sched!$K:$K,W$1)+COUNTIFS(d_rs_sched!$D:$D,$A21,d_rs_sched!$I:$I,W$1,d_rs_sched!$K:$K,$A21))&gt;0,(COUNTIFS(d_rs_sched!$D:$D,$A21,d_rs_sched!$I:$I,$A21,d_rs_sched!$K:$K,W$1)+COUNTIFS(d_rs_sched!$D:$D,$A21,d_rs_sched!$I:$I,W$1,d_rs_sched!$K:$K,$A21)),1),1)</f>
        <v>0</v>
      </c>
      <c r="X21">
        <f>IFERROR((SUMIFS(d_rs_sched!$J:$J,d_rs_sched!$D:$D,$A21,d_rs_sched!$I:$I,$A21,d_rs_sched!$K:$K,X$1)+SUMIFS(d_rs_sched!$L:$L,d_rs_sched!$D:$D,$A21,d_rs_sched!$K:$K,$A21,d_rs_sched!$I:$I,X$1))-(SUMIFS(d_rs_sched!$L:$L,d_rs_sched!$D:$D,$A21,d_rs_sched!$I:$I,$A21,d_rs_sched!$K:$K,X$1)+SUMIFS(d_rs_sched!$J:$J,d_rs_sched!$D:$D,$A21,d_rs_sched!$K:$K,$A21,d_rs_sched!$I:$I,X$1)),0)/IFERROR(IF((COUNTIFS(d_rs_sched!$D:$D,$A21,d_rs_sched!$I:$I,$A21,d_rs_sched!$K:$K,X$1)+COUNTIFS(d_rs_sched!$D:$D,$A21,d_rs_sched!$I:$I,X$1,d_rs_sched!$K:$K,$A21))&gt;0,(COUNTIFS(d_rs_sched!$D:$D,$A21,d_rs_sched!$I:$I,$A21,d_rs_sched!$K:$K,X$1)+COUNTIFS(d_rs_sched!$D:$D,$A21,d_rs_sched!$I:$I,X$1,d_rs_sched!$K:$K,$A21)),1),1)</f>
        <v>2.25</v>
      </c>
      <c r="Y21">
        <f>IFERROR((SUMIFS(d_rs_sched!$J:$J,d_rs_sched!$D:$D,$A21,d_rs_sched!$I:$I,$A21,d_rs_sched!$K:$K,Y$1)+SUMIFS(d_rs_sched!$L:$L,d_rs_sched!$D:$D,$A21,d_rs_sched!$K:$K,$A21,d_rs_sched!$I:$I,Y$1))-(SUMIFS(d_rs_sched!$L:$L,d_rs_sched!$D:$D,$A21,d_rs_sched!$I:$I,$A21,d_rs_sched!$K:$K,Y$1)+SUMIFS(d_rs_sched!$J:$J,d_rs_sched!$D:$D,$A21,d_rs_sched!$K:$K,$A21,d_rs_sched!$I:$I,Y$1)),0)/IFERROR(IF((COUNTIFS(d_rs_sched!$D:$D,$A21,d_rs_sched!$I:$I,$A21,d_rs_sched!$K:$K,Y$1)+COUNTIFS(d_rs_sched!$D:$D,$A21,d_rs_sched!$I:$I,Y$1,d_rs_sched!$K:$K,$A21))&gt;0,(COUNTIFS(d_rs_sched!$D:$D,$A21,d_rs_sched!$I:$I,$A21,d_rs_sched!$K:$K,Y$1)+COUNTIFS(d_rs_sched!$D:$D,$A21,d_rs_sched!$I:$I,Y$1,d_rs_sched!$K:$K,$A21)),1),1)</f>
        <v>-11</v>
      </c>
      <c r="Z21">
        <f>IFERROR((SUMIFS(d_rs_sched!$J:$J,d_rs_sched!$D:$D,$A21,d_rs_sched!$I:$I,$A21,d_rs_sched!$K:$K,Z$1)+SUMIFS(d_rs_sched!$L:$L,d_rs_sched!$D:$D,$A21,d_rs_sched!$K:$K,$A21,d_rs_sched!$I:$I,Z$1))-(SUMIFS(d_rs_sched!$L:$L,d_rs_sched!$D:$D,$A21,d_rs_sched!$I:$I,$A21,d_rs_sched!$K:$K,Z$1)+SUMIFS(d_rs_sched!$J:$J,d_rs_sched!$D:$D,$A21,d_rs_sched!$K:$K,$A21,d_rs_sched!$I:$I,Z$1)),0)/IFERROR(IF((COUNTIFS(d_rs_sched!$D:$D,$A21,d_rs_sched!$I:$I,$A21,d_rs_sched!$K:$K,Z$1)+COUNTIFS(d_rs_sched!$D:$D,$A21,d_rs_sched!$I:$I,Z$1,d_rs_sched!$K:$K,$A21))&gt;0,(COUNTIFS(d_rs_sched!$D:$D,$A21,d_rs_sched!$I:$I,$A21,d_rs_sched!$K:$K,Z$1)+COUNTIFS(d_rs_sched!$D:$D,$A21,d_rs_sched!$I:$I,Z$1,d_rs_sched!$K:$K,$A21)),1),1)</f>
        <v>-13</v>
      </c>
      <c r="AA21">
        <f>IFERROR((SUMIFS(d_rs_sched!$J:$J,d_rs_sched!$D:$D,$A21,d_rs_sched!$I:$I,$A21,d_rs_sched!$K:$K,AA$1)+SUMIFS(d_rs_sched!$L:$L,d_rs_sched!$D:$D,$A21,d_rs_sched!$K:$K,$A21,d_rs_sched!$I:$I,AA$1))-(SUMIFS(d_rs_sched!$L:$L,d_rs_sched!$D:$D,$A21,d_rs_sched!$I:$I,$A21,d_rs_sched!$K:$K,AA$1)+SUMIFS(d_rs_sched!$J:$J,d_rs_sched!$D:$D,$A21,d_rs_sched!$K:$K,$A21,d_rs_sched!$I:$I,AA$1)),0)/IFERROR(IF((COUNTIFS(d_rs_sched!$D:$D,$A21,d_rs_sched!$I:$I,$A21,d_rs_sched!$K:$K,AA$1)+COUNTIFS(d_rs_sched!$D:$D,$A21,d_rs_sched!$I:$I,AA$1,d_rs_sched!$K:$K,$A21))&gt;0,(COUNTIFS(d_rs_sched!$D:$D,$A21,d_rs_sched!$I:$I,$A21,d_rs_sched!$K:$K,AA$1)+COUNTIFS(d_rs_sched!$D:$D,$A21,d_rs_sched!$I:$I,AA$1,d_rs_sched!$K:$K,$A21)),1),1)</f>
        <v>-5</v>
      </c>
      <c r="AB21">
        <f>IFERROR((SUMIFS(d_rs_sched!$J:$J,d_rs_sched!$D:$D,$A21,d_rs_sched!$I:$I,$A21,d_rs_sched!$K:$K,AB$1)+SUMIFS(d_rs_sched!$L:$L,d_rs_sched!$D:$D,$A21,d_rs_sched!$K:$K,$A21,d_rs_sched!$I:$I,AB$1))-(SUMIFS(d_rs_sched!$L:$L,d_rs_sched!$D:$D,$A21,d_rs_sched!$I:$I,$A21,d_rs_sched!$K:$K,AB$1)+SUMIFS(d_rs_sched!$J:$J,d_rs_sched!$D:$D,$A21,d_rs_sched!$K:$K,$A21,d_rs_sched!$I:$I,AB$1)),0)/IFERROR(IF((COUNTIFS(d_rs_sched!$D:$D,$A21,d_rs_sched!$I:$I,$A21,d_rs_sched!$K:$K,AB$1)+COUNTIFS(d_rs_sched!$D:$D,$A21,d_rs_sched!$I:$I,AB$1,d_rs_sched!$K:$K,$A21))&gt;0,(COUNTIFS(d_rs_sched!$D:$D,$A21,d_rs_sched!$I:$I,$A21,d_rs_sched!$K:$K,AB$1)+COUNTIFS(d_rs_sched!$D:$D,$A21,d_rs_sched!$I:$I,AB$1,d_rs_sched!$K:$K,$A21)),1),1)</f>
        <v>-22</v>
      </c>
      <c r="AC21">
        <f>IFERROR((SUMIFS(d_rs_sched!$J:$J,d_rs_sched!$D:$D,$A21,d_rs_sched!$I:$I,$A21,d_rs_sched!$K:$K,AC$1)+SUMIFS(d_rs_sched!$L:$L,d_rs_sched!$D:$D,$A21,d_rs_sched!$K:$K,$A21,d_rs_sched!$I:$I,AC$1))-(SUMIFS(d_rs_sched!$L:$L,d_rs_sched!$D:$D,$A21,d_rs_sched!$I:$I,$A21,d_rs_sched!$K:$K,AC$1)+SUMIFS(d_rs_sched!$J:$J,d_rs_sched!$D:$D,$A21,d_rs_sched!$K:$K,$A21,d_rs_sched!$I:$I,AC$1)),0)/IFERROR(IF((COUNTIFS(d_rs_sched!$D:$D,$A21,d_rs_sched!$I:$I,$A21,d_rs_sched!$K:$K,AC$1)+COUNTIFS(d_rs_sched!$D:$D,$A21,d_rs_sched!$I:$I,AC$1,d_rs_sched!$K:$K,$A21))&gt;0,(COUNTIFS(d_rs_sched!$D:$D,$A21,d_rs_sched!$I:$I,$A21,d_rs_sched!$K:$K,AC$1)+COUNTIFS(d_rs_sched!$D:$D,$A21,d_rs_sched!$I:$I,AC$1,d_rs_sched!$K:$K,$A21)),1),1)</f>
        <v>-6.75</v>
      </c>
      <c r="AD21">
        <f>IFERROR((SUMIFS(d_rs_sched!$J:$J,d_rs_sched!$D:$D,$A21,d_rs_sched!$I:$I,$A21,d_rs_sched!$K:$K,AD$1)+SUMIFS(d_rs_sched!$L:$L,d_rs_sched!$D:$D,$A21,d_rs_sched!$K:$K,$A21,d_rs_sched!$I:$I,AD$1))-(SUMIFS(d_rs_sched!$L:$L,d_rs_sched!$D:$D,$A21,d_rs_sched!$I:$I,$A21,d_rs_sched!$K:$K,AD$1)+SUMIFS(d_rs_sched!$J:$J,d_rs_sched!$D:$D,$A21,d_rs_sched!$K:$K,$A21,d_rs_sched!$I:$I,AD$1)),0)/IFERROR(IF((COUNTIFS(d_rs_sched!$D:$D,$A21,d_rs_sched!$I:$I,$A21,d_rs_sched!$K:$K,AD$1)+COUNTIFS(d_rs_sched!$D:$D,$A21,d_rs_sched!$I:$I,AD$1,d_rs_sched!$K:$K,$A21))&gt;0,(COUNTIFS(d_rs_sched!$D:$D,$A21,d_rs_sched!$I:$I,$A21,d_rs_sched!$K:$K,AD$1)+COUNTIFS(d_rs_sched!$D:$D,$A21,d_rs_sched!$I:$I,AD$1,d_rs_sched!$K:$K,$A21)),1),1)</f>
        <v>-3.5</v>
      </c>
      <c r="AE21">
        <f>IFERROR((SUMIFS(d_rs_sched!$J:$J,d_rs_sched!$D:$D,$A21,d_rs_sched!$I:$I,$A21,d_rs_sched!$K:$K,AE$1)+SUMIFS(d_rs_sched!$L:$L,d_rs_sched!$D:$D,$A21,d_rs_sched!$K:$K,$A21,d_rs_sched!$I:$I,AE$1))-(SUMIFS(d_rs_sched!$L:$L,d_rs_sched!$D:$D,$A21,d_rs_sched!$I:$I,$A21,d_rs_sched!$K:$K,AE$1)+SUMIFS(d_rs_sched!$J:$J,d_rs_sched!$D:$D,$A21,d_rs_sched!$K:$K,$A21,d_rs_sched!$I:$I,AE$1)),0)/IFERROR(IF((COUNTIFS(d_rs_sched!$D:$D,$A21,d_rs_sched!$I:$I,$A21,d_rs_sched!$K:$K,AE$1)+COUNTIFS(d_rs_sched!$D:$D,$A21,d_rs_sched!$I:$I,AE$1,d_rs_sched!$K:$K,$A21))&gt;0,(COUNTIFS(d_rs_sched!$D:$D,$A21,d_rs_sched!$I:$I,$A21,d_rs_sched!$K:$K,AE$1)+COUNTIFS(d_rs_sched!$D:$D,$A21,d_rs_sched!$I:$I,AE$1,d_rs_sched!$K:$K,$A21)),1),1)</f>
        <v>-12.5</v>
      </c>
      <c r="AG21" t="s">
        <v>31</v>
      </c>
      <c r="AH21">
        <v>0.91587029233278527</v>
      </c>
      <c r="AI21">
        <f t="shared" si="0"/>
        <v>30</v>
      </c>
    </row>
    <row r="22" spans="1:35" x14ac:dyDescent="0.25">
      <c r="A22" t="s">
        <v>38</v>
      </c>
      <c r="B22">
        <f>IFERROR((SUMIFS(d_rs_sched!$J:$J,d_rs_sched!$D:$D,$A22,d_rs_sched!$I:$I,$A22,d_rs_sched!$K:$K,B$1)+SUMIFS(d_rs_sched!$L:$L,d_rs_sched!$D:$D,$A22,d_rs_sched!$K:$K,$A22,d_rs_sched!$I:$I,B$1))-(SUMIFS(d_rs_sched!$L:$L,d_rs_sched!$D:$D,$A22,d_rs_sched!$I:$I,$A22,d_rs_sched!$K:$K,B$1)+SUMIFS(d_rs_sched!$J:$J,d_rs_sched!$D:$D,$A22,d_rs_sched!$K:$K,$A22,d_rs_sched!$I:$I,B$1)),0)/IFERROR(IF((COUNTIFS(d_rs_sched!$D:$D,$A22,d_rs_sched!$I:$I,$A22,d_rs_sched!$K:$K,B$1)+COUNTIFS(d_rs_sched!$D:$D,$A22,d_rs_sched!$I:$I,B$1,d_rs_sched!$K:$K,$A22))&gt;0,(COUNTIFS(d_rs_sched!$D:$D,$A22,d_rs_sched!$I:$I,$A22,d_rs_sched!$K:$K,B$1)+COUNTIFS(d_rs_sched!$D:$D,$A22,d_rs_sched!$I:$I,B$1,d_rs_sched!$K:$K,$A22)),1),1)</f>
        <v>-1</v>
      </c>
      <c r="C22">
        <f>IFERROR((SUMIFS(d_rs_sched!$J:$J,d_rs_sched!$D:$D,$A22,d_rs_sched!$I:$I,$A22,d_rs_sched!$K:$K,C$1)+SUMIFS(d_rs_sched!$L:$L,d_rs_sched!$D:$D,$A22,d_rs_sched!$K:$K,$A22,d_rs_sched!$I:$I,C$1))-(SUMIFS(d_rs_sched!$L:$L,d_rs_sched!$D:$D,$A22,d_rs_sched!$I:$I,$A22,d_rs_sched!$K:$K,C$1)+SUMIFS(d_rs_sched!$J:$J,d_rs_sched!$D:$D,$A22,d_rs_sched!$K:$K,$A22,d_rs_sched!$I:$I,C$1)),0)/IFERROR(IF((COUNTIFS(d_rs_sched!$D:$D,$A22,d_rs_sched!$I:$I,$A22,d_rs_sched!$K:$K,C$1)+COUNTIFS(d_rs_sched!$D:$D,$A22,d_rs_sched!$I:$I,C$1,d_rs_sched!$K:$K,$A22))&gt;0,(COUNTIFS(d_rs_sched!$D:$D,$A22,d_rs_sched!$I:$I,$A22,d_rs_sched!$K:$K,C$1)+COUNTIFS(d_rs_sched!$D:$D,$A22,d_rs_sched!$I:$I,C$1,d_rs_sched!$K:$K,$A22)),1),1)</f>
        <v>-16.5</v>
      </c>
      <c r="D22">
        <f>IFERROR((SUMIFS(d_rs_sched!$J:$J,d_rs_sched!$D:$D,$A22,d_rs_sched!$I:$I,$A22,d_rs_sched!$K:$K,D$1)+SUMIFS(d_rs_sched!$L:$L,d_rs_sched!$D:$D,$A22,d_rs_sched!$K:$K,$A22,d_rs_sched!$I:$I,D$1))-(SUMIFS(d_rs_sched!$L:$L,d_rs_sched!$D:$D,$A22,d_rs_sched!$I:$I,$A22,d_rs_sched!$K:$K,D$1)+SUMIFS(d_rs_sched!$J:$J,d_rs_sched!$D:$D,$A22,d_rs_sched!$K:$K,$A22,d_rs_sched!$I:$I,D$1)),0)/IFERROR(IF((COUNTIFS(d_rs_sched!$D:$D,$A22,d_rs_sched!$I:$I,$A22,d_rs_sched!$K:$K,D$1)+COUNTIFS(d_rs_sched!$D:$D,$A22,d_rs_sched!$I:$I,D$1,d_rs_sched!$K:$K,$A22))&gt;0,(COUNTIFS(d_rs_sched!$D:$D,$A22,d_rs_sched!$I:$I,$A22,d_rs_sched!$K:$K,D$1)+COUNTIFS(d_rs_sched!$D:$D,$A22,d_rs_sched!$I:$I,D$1,d_rs_sched!$K:$K,$A22)),1),1)</f>
        <v>9.5</v>
      </c>
      <c r="E22">
        <f>IFERROR((SUMIFS(d_rs_sched!$J:$J,d_rs_sched!$D:$D,$A22,d_rs_sched!$I:$I,$A22,d_rs_sched!$K:$K,E$1)+SUMIFS(d_rs_sched!$L:$L,d_rs_sched!$D:$D,$A22,d_rs_sched!$K:$K,$A22,d_rs_sched!$I:$I,E$1))-(SUMIFS(d_rs_sched!$L:$L,d_rs_sched!$D:$D,$A22,d_rs_sched!$I:$I,$A22,d_rs_sched!$K:$K,E$1)+SUMIFS(d_rs_sched!$J:$J,d_rs_sched!$D:$D,$A22,d_rs_sched!$K:$K,$A22,d_rs_sched!$I:$I,E$1)),0)/IFERROR(IF((COUNTIFS(d_rs_sched!$D:$D,$A22,d_rs_sched!$I:$I,$A22,d_rs_sched!$K:$K,E$1)+COUNTIFS(d_rs_sched!$D:$D,$A22,d_rs_sched!$I:$I,E$1,d_rs_sched!$K:$K,$A22))&gt;0,(COUNTIFS(d_rs_sched!$D:$D,$A22,d_rs_sched!$I:$I,$A22,d_rs_sched!$K:$K,E$1)+COUNTIFS(d_rs_sched!$D:$D,$A22,d_rs_sched!$I:$I,E$1,d_rs_sched!$K:$K,$A22)),1),1)</f>
        <v>15</v>
      </c>
      <c r="F22">
        <f>IFERROR((SUMIFS(d_rs_sched!$J:$J,d_rs_sched!$D:$D,$A22,d_rs_sched!$I:$I,$A22,d_rs_sched!$K:$K,F$1)+SUMIFS(d_rs_sched!$L:$L,d_rs_sched!$D:$D,$A22,d_rs_sched!$K:$K,$A22,d_rs_sched!$I:$I,F$1))-(SUMIFS(d_rs_sched!$L:$L,d_rs_sched!$D:$D,$A22,d_rs_sched!$I:$I,$A22,d_rs_sched!$K:$K,F$1)+SUMIFS(d_rs_sched!$J:$J,d_rs_sched!$D:$D,$A22,d_rs_sched!$K:$K,$A22,d_rs_sched!$I:$I,F$1)),0)/IFERROR(IF((COUNTIFS(d_rs_sched!$D:$D,$A22,d_rs_sched!$I:$I,$A22,d_rs_sched!$K:$K,F$1)+COUNTIFS(d_rs_sched!$D:$D,$A22,d_rs_sched!$I:$I,F$1,d_rs_sched!$K:$K,$A22))&gt;0,(COUNTIFS(d_rs_sched!$D:$D,$A22,d_rs_sched!$I:$I,$A22,d_rs_sched!$K:$K,F$1)+COUNTIFS(d_rs_sched!$D:$D,$A22,d_rs_sched!$I:$I,F$1,d_rs_sched!$K:$K,$A22)),1),1)</f>
        <v>3</v>
      </c>
      <c r="G22">
        <f>IFERROR((SUMIFS(d_rs_sched!$J:$J,d_rs_sched!$D:$D,$A22,d_rs_sched!$I:$I,$A22,d_rs_sched!$K:$K,G$1)+SUMIFS(d_rs_sched!$L:$L,d_rs_sched!$D:$D,$A22,d_rs_sched!$K:$K,$A22,d_rs_sched!$I:$I,G$1))-(SUMIFS(d_rs_sched!$L:$L,d_rs_sched!$D:$D,$A22,d_rs_sched!$I:$I,$A22,d_rs_sched!$K:$K,G$1)+SUMIFS(d_rs_sched!$J:$J,d_rs_sched!$D:$D,$A22,d_rs_sched!$K:$K,$A22,d_rs_sched!$I:$I,G$1)),0)/IFERROR(IF((COUNTIFS(d_rs_sched!$D:$D,$A22,d_rs_sched!$I:$I,$A22,d_rs_sched!$K:$K,G$1)+COUNTIFS(d_rs_sched!$D:$D,$A22,d_rs_sched!$I:$I,G$1,d_rs_sched!$K:$K,$A22))&gt;0,(COUNTIFS(d_rs_sched!$D:$D,$A22,d_rs_sched!$I:$I,$A22,d_rs_sched!$K:$K,G$1)+COUNTIFS(d_rs_sched!$D:$D,$A22,d_rs_sched!$I:$I,G$1,d_rs_sched!$K:$K,$A22)),1),1)</f>
        <v>-0.5</v>
      </c>
      <c r="H22">
        <f>IFERROR((SUMIFS(d_rs_sched!$J:$J,d_rs_sched!$D:$D,$A22,d_rs_sched!$I:$I,$A22,d_rs_sched!$K:$K,H$1)+SUMIFS(d_rs_sched!$L:$L,d_rs_sched!$D:$D,$A22,d_rs_sched!$K:$K,$A22,d_rs_sched!$I:$I,H$1))-(SUMIFS(d_rs_sched!$L:$L,d_rs_sched!$D:$D,$A22,d_rs_sched!$I:$I,$A22,d_rs_sched!$K:$K,H$1)+SUMIFS(d_rs_sched!$J:$J,d_rs_sched!$D:$D,$A22,d_rs_sched!$K:$K,$A22,d_rs_sched!$I:$I,H$1)),0)/IFERROR(IF((COUNTIFS(d_rs_sched!$D:$D,$A22,d_rs_sched!$I:$I,$A22,d_rs_sched!$K:$K,H$1)+COUNTIFS(d_rs_sched!$D:$D,$A22,d_rs_sched!$I:$I,H$1,d_rs_sched!$K:$K,$A22))&gt;0,(COUNTIFS(d_rs_sched!$D:$D,$A22,d_rs_sched!$I:$I,$A22,d_rs_sched!$K:$K,H$1)+COUNTIFS(d_rs_sched!$D:$D,$A22,d_rs_sched!$I:$I,H$1,d_rs_sched!$K:$K,$A22)),1),1)</f>
        <v>0.5</v>
      </c>
      <c r="I22">
        <f>IFERROR((SUMIFS(d_rs_sched!$J:$J,d_rs_sched!$D:$D,$A22,d_rs_sched!$I:$I,$A22,d_rs_sched!$K:$K,I$1)+SUMIFS(d_rs_sched!$L:$L,d_rs_sched!$D:$D,$A22,d_rs_sched!$K:$K,$A22,d_rs_sched!$I:$I,I$1))-(SUMIFS(d_rs_sched!$L:$L,d_rs_sched!$D:$D,$A22,d_rs_sched!$I:$I,$A22,d_rs_sched!$K:$K,I$1)+SUMIFS(d_rs_sched!$J:$J,d_rs_sched!$D:$D,$A22,d_rs_sched!$K:$K,$A22,d_rs_sched!$I:$I,I$1)),0)/IFERROR(IF((COUNTIFS(d_rs_sched!$D:$D,$A22,d_rs_sched!$I:$I,$A22,d_rs_sched!$K:$K,I$1)+COUNTIFS(d_rs_sched!$D:$D,$A22,d_rs_sched!$I:$I,I$1,d_rs_sched!$K:$K,$A22))&gt;0,(COUNTIFS(d_rs_sched!$D:$D,$A22,d_rs_sched!$I:$I,$A22,d_rs_sched!$K:$K,I$1)+COUNTIFS(d_rs_sched!$D:$D,$A22,d_rs_sched!$I:$I,I$1,d_rs_sched!$K:$K,$A22)),1),1)</f>
        <v>9.75</v>
      </c>
      <c r="J22">
        <f>IFERROR((SUMIFS(d_rs_sched!$J:$J,d_rs_sched!$D:$D,$A22,d_rs_sched!$I:$I,$A22,d_rs_sched!$K:$K,J$1)+SUMIFS(d_rs_sched!$L:$L,d_rs_sched!$D:$D,$A22,d_rs_sched!$K:$K,$A22,d_rs_sched!$I:$I,J$1))-(SUMIFS(d_rs_sched!$L:$L,d_rs_sched!$D:$D,$A22,d_rs_sched!$I:$I,$A22,d_rs_sched!$K:$K,J$1)+SUMIFS(d_rs_sched!$J:$J,d_rs_sched!$D:$D,$A22,d_rs_sched!$K:$K,$A22,d_rs_sched!$I:$I,J$1)),0)/IFERROR(IF((COUNTIFS(d_rs_sched!$D:$D,$A22,d_rs_sched!$I:$I,$A22,d_rs_sched!$K:$K,J$1)+COUNTIFS(d_rs_sched!$D:$D,$A22,d_rs_sched!$I:$I,J$1,d_rs_sched!$K:$K,$A22))&gt;0,(COUNTIFS(d_rs_sched!$D:$D,$A22,d_rs_sched!$I:$I,$A22,d_rs_sched!$K:$K,J$1)+COUNTIFS(d_rs_sched!$D:$D,$A22,d_rs_sched!$I:$I,J$1,d_rs_sched!$K:$K,$A22)),1),1)</f>
        <v>-2.5</v>
      </c>
      <c r="K22">
        <f>IFERROR((SUMIFS(d_rs_sched!$J:$J,d_rs_sched!$D:$D,$A22,d_rs_sched!$I:$I,$A22,d_rs_sched!$K:$K,K$1)+SUMIFS(d_rs_sched!$L:$L,d_rs_sched!$D:$D,$A22,d_rs_sched!$K:$K,$A22,d_rs_sched!$I:$I,K$1))-(SUMIFS(d_rs_sched!$L:$L,d_rs_sched!$D:$D,$A22,d_rs_sched!$I:$I,$A22,d_rs_sched!$K:$K,K$1)+SUMIFS(d_rs_sched!$J:$J,d_rs_sched!$D:$D,$A22,d_rs_sched!$K:$K,$A22,d_rs_sched!$I:$I,K$1)),0)/IFERROR(IF((COUNTIFS(d_rs_sched!$D:$D,$A22,d_rs_sched!$I:$I,$A22,d_rs_sched!$K:$K,K$1)+COUNTIFS(d_rs_sched!$D:$D,$A22,d_rs_sched!$I:$I,K$1,d_rs_sched!$K:$K,$A22))&gt;0,(COUNTIFS(d_rs_sched!$D:$D,$A22,d_rs_sched!$I:$I,$A22,d_rs_sched!$K:$K,K$1)+COUNTIFS(d_rs_sched!$D:$D,$A22,d_rs_sched!$I:$I,K$1,d_rs_sched!$K:$K,$A22)),1),1)</f>
        <v>-6</v>
      </c>
      <c r="L22">
        <f>IFERROR((SUMIFS(d_rs_sched!$J:$J,d_rs_sched!$D:$D,$A22,d_rs_sched!$I:$I,$A22,d_rs_sched!$K:$K,L$1)+SUMIFS(d_rs_sched!$L:$L,d_rs_sched!$D:$D,$A22,d_rs_sched!$K:$K,$A22,d_rs_sched!$I:$I,L$1))-(SUMIFS(d_rs_sched!$L:$L,d_rs_sched!$D:$D,$A22,d_rs_sched!$I:$I,$A22,d_rs_sched!$K:$K,L$1)+SUMIFS(d_rs_sched!$J:$J,d_rs_sched!$D:$D,$A22,d_rs_sched!$K:$K,$A22,d_rs_sched!$I:$I,L$1)),0)/IFERROR(IF((COUNTIFS(d_rs_sched!$D:$D,$A22,d_rs_sched!$I:$I,$A22,d_rs_sched!$K:$K,L$1)+COUNTIFS(d_rs_sched!$D:$D,$A22,d_rs_sched!$I:$I,L$1,d_rs_sched!$K:$K,$A22))&gt;0,(COUNTIFS(d_rs_sched!$D:$D,$A22,d_rs_sched!$I:$I,$A22,d_rs_sched!$K:$K,L$1)+COUNTIFS(d_rs_sched!$D:$D,$A22,d_rs_sched!$I:$I,L$1,d_rs_sched!$K:$K,$A22)),1),1)</f>
        <v>-6</v>
      </c>
      <c r="M22">
        <f>IFERROR((SUMIFS(d_rs_sched!$J:$J,d_rs_sched!$D:$D,$A22,d_rs_sched!$I:$I,$A22,d_rs_sched!$K:$K,M$1)+SUMIFS(d_rs_sched!$L:$L,d_rs_sched!$D:$D,$A22,d_rs_sched!$K:$K,$A22,d_rs_sched!$I:$I,M$1))-(SUMIFS(d_rs_sched!$L:$L,d_rs_sched!$D:$D,$A22,d_rs_sched!$I:$I,$A22,d_rs_sched!$K:$K,M$1)+SUMIFS(d_rs_sched!$J:$J,d_rs_sched!$D:$D,$A22,d_rs_sched!$K:$K,$A22,d_rs_sched!$I:$I,M$1)),0)/IFERROR(IF((COUNTIFS(d_rs_sched!$D:$D,$A22,d_rs_sched!$I:$I,$A22,d_rs_sched!$K:$K,M$1)+COUNTIFS(d_rs_sched!$D:$D,$A22,d_rs_sched!$I:$I,M$1,d_rs_sched!$K:$K,$A22))&gt;0,(COUNTIFS(d_rs_sched!$D:$D,$A22,d_rs_sched!$I:$I,$A22,d_rs_sched!$K:$K,M$1)+COUNTIFS(d_rs_sched!$D:$D,$A22,d_rs_sched!$I:$I,M$1,d_rs_sched!$K:$K,$A22)),1),1)</f>
        <v>0.5</v>
      </c>
      <c r="N22">
        <f>IFERROR((SUMIFS(d_rs_sched!$J:$J,d_rs_sched!$D:$D,$A22,d_rs_sched!$I:$I,$A22,d_rs_sched!$K:$K,N$1)+SUMIFS(d_rs_sched!$L:$L,d_rs_sched!$D:$D,$A22,d_rs_sched!$K:$K,$A22,d_rs_sched!$I:$I,N$1))-(SUMIFS(d_rs_sched!$L:$L,d_rs_sched!$D:$D,$A22,d_rs_sched!$I:$I,$A22,d_rs_sched!$K:$K,N$1)+SUMIFS(d_rs_sched!$J:$J,d_rs_sched!$D:$D,$A22,d_rs_sched!$K:$K,$A22,d_rs_sched!$I:$I,N$1)),0)/IFERROR(IF((COUNTIFS(d_rs_sched!$D:$D,$A22,d_rs_sched!$I:$I,$A22,d_rs_sched!$K:$K,N$1)+COUNTIFS(d_rs_sched!$D:$D,$A22,d_rs_sched!$I:$I,N$1,d_rs_sched!$K:$K,$A22))&gt;0,(COUNTIFS(d_rs_sched!$D:$D,$A22,d_rs_sched!$I:$I,$A22,d_rs_sched!$K:$K,N$1)+COUNTIFS(d_rs_sched!$D:$D,$A22,d_rs_sched!$I:$I,N$1,d_rs_sched!$K:$K,$A22)),1),1)</f>
        <v>2.6666666666666665</v>
      </c>
      <c r="O22">
        <f>IFERROR((SUMIFS(d_rs_sched!$J:$J,d_rs_sched!$D:$D,$A22,d_rs_sched!$I:$I,$A22,d_rs_sched!$K:$K,O$1)+SUMIFS(d_rs_sched!$L:$L,d_rs_sched!$D:$D,$A22,d_rs_sched!$K:$K,$A22,d_rs_sched!$I:$I,O$1))-(SUMIFS(d_rs_sched!$L:$L,d_rs_sched!$D:$D,$A22,d_rs_sched!$I:$I,$A22,d_rs_sched!$K:$K,O$1)+SUMIFS(d_rs_sched!$J:$J,d_rs_sched!$D:$D,$A22,d_rs_sched!$K:$K,$A22,d_rs_sched!$I:$I,O$1)),0)/IFERROR(IF((COUNTIFS(d_rs_sched!$D:$D,$A22,d_rs_sched!$I:$I,$A22,d_rs_sched!$K:$K,O$1)+COUNTIFS(d_rs_sched!$D:$D,$A22,d_rs_sched!$I:$I,O$1,d_rs_sched!$K:$K,$A22))&gt;0,(COUNTIFS(d_rs_sched!$D:$D,$A22,d_rs_sched!$I:$I,$A22,d_rs_sched!$K:$K,O$1)+COUNTIFS(d_rs_sched!$D:$D,$A22,d_rs_sched!$I:$I,O$1,d_rs_sched!$K:$K,$A22)),1),1)</f>
        <v>6</v>
      </c>
      <c r="P22">
        <f>IFERROR((SUMIFS(d_rs_sched!$J:$J,d_rs_sched!$D:$D,$A22,d_rs_sched!$I:$I,$A22,d_rs_sched!$K:$K,P$1)+SUMIFS(d_rs_sched!$L:$L,d_rs_sched!$D:$D,$A22,d_rs_sched!$K:$K,$A22,d_rs_sched!$I:$I,P$1))-(SUMIFS(d_rs_sched!$L:$L,d_rs_sched!$D:$D,$A22,d_rs_sched!$I:$I,$A22,d_rs_sched!$K:$K,P$1)+SUMIFS(d_rs_sched!$J:$J,d_rs_sched!$D:$D,$A22,d_rs_sched!$K:$K,$A22,d_rs_sched!$I:$I,P$1)),0)/IFERROR(IF((COUNTIFS(d_rs_sched!$D:$D,$A22,d_rs_sched!$I:$I,$A22,d_rs_sched!$K:$K,P$1)+COUNTIFS(d_rs_sched!$D:$D,$A22,d_rs_sched!$I:$I,P$1,d_rs_sched!$K:$K,$A22))&gt;0,(COUNTIFS(d_rs_sched!$D:$D,$A22,d_rs_sched!$I:$I,$A22,d_rs_sched!$K:$K,P$1)+COUNTIFS(d_rs_sched!$D:$D,$A22,d_rs_sched!$I:$I,P$1,d_rs_sched!$K:$K,$A22)),1),1)</f>
        <v>-1.25</v>
      </c>
      <c r="Q22">
        <f>IFERROR((SUMIFS(d_rs_sched!$J:$J,d_rs_sched!$D:$D,$A22,d_rs_sched!$I:$I,$A22,d_rs_sched!$K:$K,Q$1)+SUMIFS(d_rs_sched!$L:$L,d_rs_sched!$D:$D,$A22,d_rs_sched!$K:$K,$A22,d_rs_sched!$I:$I,Q$1))-(SUMIFS(d_rs_sched!$L:$L,d_rs_sched!$D:$D,$A22,d_rs_sched!$I:$I,$A22,d_rs_sched!$K:$K,Q$1)+SUMIFS(d_rs_sched!$J:$J,d_rs_sched!$D:$D,$A22,d_rs_sched!$K:$K,$A22,d_rs_sched!$I:$I,Q$1)),0)/IFERROR(IF((COUNTIFS(d_rs_sched!$D:$D,$A22,d_rs_sched!$I:$I,$A22,d_rs_sched!$K:$K,Q$1)+COUNTIFS(d_rs_sched!$D:$D,$A22,d_rs_sched!$I:$I,Q$1,d_rs_sched!$K:$K,$A22))&gt;0,(COUNTIFS(d_rs_sched!$D:$D,$A22,d_rs_sched!$I:$I,$A22,d_rs_sched!$K:$K,Q$1)+COUNTIFS(d_rs_sched!$D:$D,$A22,d_rs_sched!$I:$I,Q$1,d_rs_sched!$K:$K,$A22)),1),1)</f>
        <v>13</v>
      </c>
      <c r="R22">
        <f>IFERROR((SUMIFS(d_rs_sched!$J:$J,d_rs_sched!$D:$D,$A22,d_rs_sched!$I:$I,$A22,d_rs_sched!$K:$K,R$1)+SUMIFS(d_rs_sched!$L:$L,d_rs_sched!$D:$D,$A22,d_rs_sched!$K:$K,$A22,d_rs_sched!$I:$I,R$1))-(SUMIFS(d_rs_sched!$L:$L,d_rs_sched!$D:$D,$A22,d_rs_sched!$I:$I,$A22,d_rs_sched!$K:$K,R$1)+SUMIFS(d_rs_sched!$J:$J,d_rs_sched!$D:$D,$A22,d_rs_sched!$K:$K,$A22,d_rs_sched!$I:$I,R$1)),0)/IFERROR(IF((COUNTIFS(d_rs_sched!$D:$D,$A22,d_rs_sched!$I:$I,$A22,d_rs_sched!$K:$K,R$1)+COUNTIFS(d_rs_sched!$D:$D,$A22,d_rs_sched!$I:$I,R$1,d_rs_sched!$K:$K,$A22))&gt;0,(COUNTIFS(d_rs_sched!$D:$D,$A22,d_rs_sched!$I:$I,$A22,d_rs_sched!$K:$K,R$1)+COUNTIFS(d_rs_sched!$D:$D,$A22,d_rs_sched!$I:$I,R$1,d_rs_sched!$K:$K,$A22)),1),1)</f>
        <v>3</v>
      </c>
      <c r="S22">
        <f>IFERROR((SUMIFS(d_rs_sched!$J:$J,d_rs_sched!$D:$D,$A22,d_rs_sched!$I:$I,$A22,d_rs_sched!$K:$K,S$1)+SUMIFS(d_rs_sched!$L:$L,d_rs_sched!$D:$D,$A22,d_rs_sched!$K:$K,$A22,d_rs_sched!$I:$I,S$1))-(SUMIFS(d_rs_sched!$L:$L,d_rs_sched!$D:$D,$A22,d_rs_sched!$I:$I,$A22,d_rs_sched!$K:$K,S$1)+SUMIFS(d_rs_sched!$J:$J,d_rs_sched!$D:$D,$A22,d_rs_sched!$K:$K,$A22,d_rs_sched!$I:$I,S$1)),0)/IFERROR(IF((COUNTIFS(d_rs_sched!$D:$D,$A22,d_rs_sched!$I:$I,$A22,d_rs_sched!$K:$K,S$1)+COUNTIFS(d_rs_sched!$D:$D,$A22,d_rs_sched!$I:$I,S$1,d_rs_sched!$K:$K,$A22))&gt;0,(COUNTIFS(d_rs_sched!$D:$D,$A22,d_rs_sched!$I:$I,$A22,d_rs_sched!$K:$K,S$1)+COUNTIFS(d_rs_sched!$D:$D,$A22,d_rs_sched!$I:$I,S$1,d_rs_sched!$K:$K,$A22)),1),1)</f>
        <v>16.5</v>
      </c>
      <c r="T22">
        <f>IFERROR((SUMIFS(d_rs_sched!$J:$J,d_rs_sched!$D:$D,$A22,d_rs_sched!$I:$I,$A22,d_rs_sched!$K:$K,T$1)+SUMIFS(d_rs_sched!$L:$L,d_rs_sched!$D:$D,$A22,d_rs_sched!$K:$K,$A22,d_rs_sched!$I:$I,T$1))-(SUMIFS(d_rs_sched!$L:$L,d_rs_sched!$D:$D,$A22,d_rs_sched!$I:$I,$A22,d_rs_sched!$K:$K,T$1)+SUMIFS(d_rs_sched!$J:$J,d_rs_sched!$D:$D,$A22,d_rs_sched!$K:$K,$A22,d_rs_sched!$I:$I,T$1)),0)/IFERROR(IF((COUNTIFS(d_rs_sched!$D:$D,$A22,d_rs_sched!$I:$I,$A22,d_rs_sched!$K:$K,T$1)+COUNTIFS(d_rs_sched!$D:$D,$A22,d_rs_sched!$I:$I,T$1,d_rs_sched!$K:$K,$A22))&gt;0,(COUNTIFS(d_rs_sched!$D:$D,$A22,d_rs_sched!$I:$I,$A22,d_rs_sched!$K:$K,T$1)+COUNTIFS(d_rs_sched!$D:$D,$A22,d_rs_sched!$I:$I,T$1,d_rs_sched!$K:$K,$A22)),1),1)</f>
        <v>-0.5</v>
      </c>
      <c r="U22">
        <f>IFERROR((SUMIFS(d_rs_sched!$J:$J,d_rs_sched!$D:$D,$A22,d_rs_sched!$I:$I,$A22,d_rs_sched!$K:$K,U$1)+SUMIFS(d_rs_sched!$L:$L,d_rs_sched!$D:$D,$A22,d_rs_sched!$K:$K,$A22,d_rs_sched!$I:$I,U$1))-(SUMIFS(d_rs_sched!$L:$L,d_rs_sched!$D:$D,$A22,d_rs_sched!$I:$I,$A22,d_rs_sched!$K:$K,U$1)+SUMIFS(d_rs_sched!$J:$J,d_rs_sched!$D:$D,$A22,d_rs_sched!$K:$K,$A22,d_rs_sched!$I:$I,U$1)),0)/IFERROR(IF((COUNTIFS(d_rs_sched!$D:$D,$A22,d_rs_sched!$I:$I,$A22,d_rs_sched!$K:$K,U$1)+COUNTIFS(d_rs_sched!$D:$D,$A22,d_rs_sched!$I:$I,U$1,d_rs_sched!$K:$K,$A22))&gt;0,(COUNTIFS(d_rs_sched!$D:$D,$A22,d_rs_sched!$I:$I,$A22,d_rs_sched!$K:$K,U$1)+COUNTIFS(d_rs_sched!$D:$D,$A22,d_rs_sched!$I:$I,U$1,d_rs_sched!$K:$K,$A22)),1),1)</f>
        <v>9.5</v>
      </c>
      <c r="V22">
        <f>IFERROR((SUMIFS(d_rs_sched!$J:$J,d_rs_sched!$D:$D,$A22,d_rs_sched!$I:$I,$A22,d_rs_sched!$K:$K,V$1)+SUMIFS(d_rs_sched!$L:$L,d_rs_sched!$D:$D,$A22,d_rs_sched!$K:$K,$A22,d_rs_sched!$I:$I,V$1))-(SUMIFS(d_rs_sched!$L:$L,d_rs_sched!$D:$D,$A22,d_rs_sched!$I:$I,$A22,d_rs_sched!$K:$K,V$1)+SUMIFS(d_rs_sched!$J:$J,d_rs_sched!$D:$D,$A22,d_rs_sched!$K:$K,$A22,d_rs_sched!$I:$I,V$1)),0)/IFERROR(IF((COUNTIFS(d_rs_sched!$D:$D,$A22,d_rs_sched!$I:$I,$A22,d_rs_sched!$K:$K,V$1)+COUNTIFS(d_rs_sched!$D:$D,$A22,d_rs_sched!$I:$I,V$1,d_rs_sched!$K:$K,$A22))&gt;0,(COUNTIFS(d_rs_sched!$D:$D,$A22,d_rs_sched!$I:$I,$A22,d_rs_sched!$K:$K,V$1)+COUNTIFS(d_rs_sched!$D:$D,$A22,d_rs_sched!$I:$I,V$1,d_rs_sched!$K:$K,$A22)),1),1)</f>
        <v>0</v>
      </c>
      <c r="W22">
        <f>IFERROR((SUMIFS(d_rs_sched!$J:$J,d_rs_sched!$D:$D,$A22,d_rs_sched!$I:$I,$A22,d_rs_sched!$K:$K,W$1)+SUMIFS(d_rs_sched!$L:$L,d_rs_sched!$D:$D,$A22,d_rs_sched!$K:$K,$A22,d_rs_sched!$I:$I,W$1))-(SUMIFS(d_rs_sched!$L:$L,d_rs_sched!$D:$D,$A22,d_rs_sched!$I:$I,$A22,d_rs_sched!$K:$K,W$1)+SUMIFS(d_rs_sched!$J:$J,d_rs_sched!$D:$D,$A22,d_rs_sched!$K:$K,$A22,d_rs_sched!$I:$I,W$1)),0)/IFERROR(IF((COUNTIFS(d_rs_sched!$D:$D,$A22,d_rs_sched!$I:$I,$A22,d_rs_sched!$K:$K,W$1)+COUNTIFS(d_rs_sched!$D:$D,$A22,d_rs_sched!$I:$I,W$1,d_rs_sched!$K:$K,$A22))&gt;0,(COUNTIFS(d_rs_sched!$D:$D,$A22,d_rs_sched!$I:$I,$A22,d_rs_sched!$K:$K,W$1)+COUNTIFS(d_rs_sched!$D:$D,$A22,d_rs_sched!$I:$I,W$1,d_rs_sched!$K:$K,$A22)),1),1)</f>
        <v>17.5</v>
      </c>
      <c r="X22">
        <f>IFERROR((SUMIFS(d_rs_sched!$J:$J,d_rs_sched!$D:$D,$A22,d_rs_sched!$I:$I,$A22,d_rs_sched!$K:$K,X$1)+SUMIFS(d_rs_sched!$L:$L,d_rs_sched!$D:$D,$A22,d_rs_sched!$K:$K,$A22,d_rs_sched!$I:$I,X$1))-(SUMIFS(d_rs_sched!$L:$L,d_rs_sched!$D:$D,$A22,d_rs_sched!$I:$I,$A22,d_rs_sched!$K:$K,X$1)+SUMIFS(d_rs_sched!$J:$J,d_rs_sched!$D:$D,$A22,d_rs_sched!$K:$K,$A22,d_rs_sched!$I:$I,X$1)),0)/IFERROR(IF((COUNTIFS(d_rs_sched!$D:$D,$A22,d_rs_sched!$I:$I,$A22,d_rs_sched!$K:$K,X$1)+COUNTIFS(d_rs_sched!$D:$D,$A22,d_rs_sched!$I:$I,X$1,d_rs_sched!$K:$K,$A22))&gt;0,(COUNTIFS(d_rs_sched!$D:$D,$A22,d_rs_sched!$I:$I,$A22,d_rs_sched!$K:$K,X$1)+COUNTIFS(d_rs_sched!$D:$D,$A22,d_rs_sched!$I:$I,X$1,d_rs_sched!$K:$K,$A22)),1),1)</f>
        <v>8.5</v>
      </c>
      <c r="Y22">
        <f>IFERROR((SUMIFS(d_rs_sched!$J:$J,d_rs_sched!$D:$D,$A22,d_rs_sched!$I:$I,$A22,d_rs_sched!$K:$K,Y$1)+SUMIFS(d_rs_sched!$L:$L,d_rs_sched!$D:$D,$A22,d_rs_sched!$K:$K,$A22,d_rs_sched!$I:$I,Y$1))-(SUMIFS(d_rs_sched!$L:$L,d_rs_sched!$D:$D,$A22,d_rs_sched!$I:$I,$A22,d_rs_sched!$K:$K,Y$1)+SUMIFS(d_rs_sched!$J:$J,d_rs_sched!$D:$D,$A22,d_rs_sched!$K:$K,$A22,d_rs_sched!$I:$I,Y$1)),0)/IFERROR(IF((COUNTIFS(d_rs_sched!$D:$D,$A22,d_rs_sched!$I:$I,$A22,d_rs_sched!$K:$K,Y$1)+COUNTIFS(d_rs_sched!$D:$D,$A22,d_rs_sched!$I:$I,Y$1,d_rs_sched!$K:$K,$A22))&gt;0,(COUNTIFS(d_rs_sched!$D:$D,$A22,d_rs_sched!$I:$I,$A22,d_rs_sched!$K:$K,Y$1)+COUNTIFS(d_rs_sched!$D:$D,$A22,d_rs_sched!$I:$I,Y$1,d_rs_sched!$K:$K,$A22)),1),1)</f>
        <v>8.75</v>
      </c>
      <c r="Z22">
        <f>IFERROR((SUMIFS(d_rs_sched!$J:$J,d_rs_sched!$D:$D,$A22,d_rs_sched!$I:$I,$A22,d_rs_sched!$K:$K,Z$1)+SUMIFS(d_rs_sched!$L:$L,d_rs_sched!$D:$D,$A22,d_rs_sched!$K:$K,$A22,d_rs_sched!$I:$I,Z$1))-(SUMIFS(d_rs_sched!$L:$L,d_rs_sched!$D:$D,$A22,d_rs_sched!$I:$I,$A22,d_rs_sched!$K:$K,Z$1)+SUMIFS(d_rs_sched!$J:$J,d_rs_sched!$D:$D,$A22,d_rs_sched!$K:$K,$A22,d_rs_sched!$I:$I,Z$1)),0)/IFERROR(IF((COUNTIFS(d_rs_sched!$D:$D,$A22,d_rs_sched!$I:$I,$A22,d_rs_sched!$K:$K,Z$1)+COUNTIFS(d_rs_sched!$D:$D,$A22,d_rs_sched!$I:$I,Z$1,d_rs_sched!$K:$K,$A22))&gt;0,(COUNTIFS(d_rs_sched!$D:$D,$A22,d_rs_sched!$I:$I,$A22,d_rs_sched!$K:$K,Z$1)+COUNTIFS(d_rs_sched!$D:$D,$A22,d_rs_sched!$I:$I,Z$1,d_rs_sched!$K:$K,$A22)),1),1)</f>
        <v>-3.25</v>
      </c>
      <c r="AA22">
        <f>IFERROR((SUMIFS(d_rs_sched!$J:$J,d_rs_sched!$D:$D,$A22,d_rs_sched!$I:$I,$A22,d_rs_sched!$K:$K,AA$1)+SUMIFS(d_rs_sched!$L:$L,d_rs_sched!$D:$D,$A22,d_rs_sched!$K:$K,$A22,d_rs_sched!$I:$I,AA$1))-(SUMIFS(d_rs_sched!$L:$L,d_rs_sched!$D:$D,$A22,d_rs_sched!$I:$I,$A22,d_rs_sched!$K:$K,AA$1)+SUMIFS(d_rs_sched!$J:$J,d_rs_sched!$D:$D,$A22,d_rs_sched!$K:$K,$A22,d_rs_sched!$I:$I,AA$1)),0)/IFERROR(IF((COUNTIFS(d_rs_sched!$D:$D,$A22,d_rs_sched!$I:$I,$A22,d_rs_sched!$K:$K,AA$1)+COUNTIFS(d_rs_sched!$D:$D,$A22,d_rs_sched!$I:$I,AA$1,d_rs_sched!$K:$K,$A22))&gt;0,(COUNTIFS(d_rs_sched!$D:$D,$A22,d_rs_sched!$I:$I,$A22,d_rs_sched!$K:$K,AA$1)+COUNTIFS(d_rs_sched!$D:$D,$A22,d_rs_sched!$I:$I,AA$1,d_rs_sched!$K:$K,$A22)),1),1)</f>
        <v>-18.666666666666668</v>
      </c>
      <c r="AB22">
        <f>IFERROR((SUMIFS(d_rs_sched!$J:$J,d_rs_sched!$D:$D,$A22,d_rs_sched!$I:$I,$A22,d_rs_sched!$K:$K,AB$1)+SUMIFS(d_rs_sched!$L:$L,d_rs_sched!$D:$D,$A22,d_rs_sched!$K:$K,$A22,d_rs_sched!$I:$I,AB$1))-(SUMIFS(d_rs_sched!$L:$L,d_rs_sched!$D:$D,$A22,d_rs_sched!$I:$I,$A22,d_rs_sched!$K:$K,AB$1)+SUMIFS(d_rs_sched!$J:$J,d_rs_sched!$D:$D,$A22,d_rs_sched!$K:$K,$A22,d_rs_sched!$I:$I,AB$1)),0)/IFERROR(IF((COUNTIFS(d_rs_sched!$D:$D,$A22,d_rs_sched!$I:$I,$A22,d_rs_sched!$K:$K,AB$1)+COUNTIFS(d_rs_sched!$D:$D,$A22,d_rs_sched!$I:$I,AB$1,d_rs_sched!$K:$K,$A22))&gt;0,(COUNTIFS(d_rs_sched!$D:$D,$A22,d_rs_sched!$I:$I,$A22,d_rs_sched!$K:$K,AB$1)+COUNTIFS(d_rs_sched!$D:$D,$A22,d_rs_sched!$I:$I,AB$1,d_rs_sched!$K:$K,$A22)),1),1)</f>
        <v>3</v>
      </c>
      <c r="AC22">
        <f>IFERROR((SUMIFS(d_rs_sched!$J:$J,d_rs_sched!$D:$D,$A22,d_rs_sched!$I:$I,$A22,d_rs_sched!$K:$K,AC$1)+SUMIFS(d_rs_sched!$L:$L,d_rs_sched!$D:$D,$A22,d_rs_sched!$K:$K,$A22,d_rs_sched!$I:$I,AC$1))-(SUMIFS(d_rs_sched!$L:$L,d_rs_sched!$D:$D,$A22,d_rs_sched!$I:$I,$A22,d_rs_sched!$K:$K,AC$1)+SUMIFS(d_rs_sched!$J:$J,d_rs_sched!$D:$D,$A22,d_rs_sched!$K:$K,$A22,d_rs_sched!$I:$I,AC$1)),0)/IFERROR(IF((COUNTIFS(d_rs_sched!$D:$D,$A22,d_rs_sched!$I:$I,$A22,d_rs_sched!$K:$K,AC$1)+COUNTIFS(d_rs_sched!$D:$D,$A22,d_rs_sched!$I:$I,AC$1,d_rs_sched!$K:$K,$A22))&gt;0,(COUNTIFS(d_rs_sched!$D:$D,$A22,d_rs_sched!$I:$I,$A22,d_rs_sched!$K:$K,AC$1)+COUNTIFS(d_rs_sched!$D:$D,$A22,d_rs_sched!$I:$I,AC$1,d_rs_sched!$K:$K,$A22)),1),1)</f>
        <v>-4</v>
      </c>
      <c r="AD22">
        <f>IFERROR((SUMIFS(d_rs_sched!$J:$J,d_rs_sched!$D:$D,$A22,d_rs_sched!$I:$I,$A22,d_rs_sched!$K:$K,AD$1)+SUMIFS(d_rs_sched!$L:$L,d_rs_sched!$D:$D,$A22,d_rs_sched!$K:$K,$A22,d_rs_sched!$I:$I,AD$1))-(SUMIFS(d_rs_sched!$L:$L,d_rs_sched!$D:$D,$A22,d_rs_sched!$I:$I,$A22,d_rs_sched!$K:$K,AD$1)+SUMIFS(d_rs_sched!$J:$J,d_rs_sched!$D:$D,$A22,d_rs_sched!$K:$K,$A22,d_rs_sched!$I:$I,AD$1)),0)/IFERROR(IF((COUNTIFS(d_rs_sched!$D:$D,$A22,d_rs_sched!$I:$I,$A22,d_rs_sched!$K:$K,AD$1)+COUNTIFS(d_rs_sched!$D:$D,$A22,d_rs_sched!$I:$I,AD$1,d_rs_sched!$K:$K,$A22))&gt;0,(COUNTIFS(d_rs_sched!$D:$D,$A22,d_rs_sched!$I:$I,$A22,d_rs_sched!$K:$K,AD$1)+COUNTIFS(d_rs_sched!$D:$D,$A22,d_rs_sched!$I:$I,AD$1,d_rs_sched!$K:$K,$A22)),1),1)</f>
        <v>-0.5</v>
      </c>
      <c r="AE22">
        <f>IFERROR((SUMIFS(d_rs_sched!$J:$J,d_rs_sched!$D:$D,$A22,d_rs_sched!$I:$I,$A22,d_rs_sched!$K:$K,AE$1)+SUMIFS(d_rs_sched!$L:$L,d_rs_sched!$D:$D,$A22,d_rs_sched!$K:$K,$A22,d_rs_sched!$I:$I,AE$1))-(SUMIFS(d_rs_sched!$L:$L,d_rs_sched!$D:$D,$A22,d_rs_sched!$I:$I,$A22,d_rs_sched!$K:$K,AE$1)+SUMIFS(d_rs_sched!$J:$J,d_rs_sched!$D:$D,$A22,d_rs_sched!$K:$K,$A22,d_rs_sched!$I:$I,AE$1)),0)/IFERROR(IF((COUNTIFS(d_rs_sched!$D:$D,$A22,d_rs_sched!$I:$I,$A22,d_rs_sched!$K:$K,AE$1)+COUNTIFS(d_rs_sched!$D:$D,$A22,d_rs_sched!$I:$I,AE$1,d_rs_sched!$K:$K,$A22))&gt;0,(COUNTIFS(d_rs_sched!$D:$D,$A22,d_rs_sched!$I:$I,$A22,d_rs_sched!$K:$K,AE$1)+COUNTIFS(d_rs_sched!$D:$D,$A22,d_rs_sched!$I:$I,AE$1,d_rs_sched!$K:$K,$A22)),1),1)</f>
        <v>4.5</v>
      </c>
      <c r="AG22" t="s">
        <v>38</v>
      </c>
      <c r="AH22">
        <v>0.98614570123127721</v>
      </c>
      <c r="AI22">
        <f t="shared" si="0"/>
        <v>11</v>
      </c>
    </row>
    <row r="23" spans="1:35" x14ac:dyDescent="0.25">
      <c r="A23" t="s">
        <v>13</v>
      </c>
      <c r="B23">
        <f>IFERROR((SUMIFS(d_rs_sched!$J:$J,d_rs_sched!$D:$D,$A23,d_rs_sched!$I:$I,$A23,d_rs_sched!$K:$K,B$1)+SUMIFS(d_rs_sched!$L:$L,d_rs_sched!$D:$D,$A23,d_rs_sched!$K:$K,$A23,d_rs_sched!$I:$I,B$1))-(SUMIFS(d_rs_sched!$L:$L,d_rs_sched!$D:$D,$A23,d_rs_sched!$I:$I,$A23,d_rs_sched!$K:$K,B$1)+SUMIFS(d_rs_sched!$J:$J,d_rs_sched!$D:$D,$A23,d_rs_sched!$K:$K,$A23,d_rs_sched!$I:$I,B$1)),0)/IFERROR(IF((COUNTIFS(d_rs_sched!$D:$D,$A23,d_rs_sched!$I:$I,$A23,d_rs_sched!$K:$K,B$1)+COUNTIFS(d_rs_sched!$D:$D,$A23,d_rs_sched!$I:$I,B$1,d_rs_sched!$K:$K,$A23))&gt;0,(COUNTIFS(d_rs_sched!$D:$D,$A23,d_rs_sched!$I:$I,$A23,d_rs_sched!$K:$K,B$1)+COUNTIFS(d_rs_sched!$D:$D,$A23,d_rs_sched!$I:$I,B$1,d_rs_sched!$K:$K,$A23)),1),1)</f>
        <v>-6</v>
      </c>
      <c r="C23">
        <f>IFERROR((SUMIFS(d_rs_sched!$J:$J,d_rs_sched!$D:$D,$A23,d_rs_sched!$I:$I,$A23,d_rs_sched!$K:$K,C$1)+SUMIFS(d_rs_sched!$L:$L,d_rs_sched!$D:$D,$A23,d_rs_sched!$K:$K,$A23,d_rs_sched!$I:$I,C$1))-(SUMIFS(d_rs_sched!$L:$L,d_rs_sched!$D:$D,$A23,d_rs_sched!$I:$I,$A23,d_rs_sched!$K:$K,C$1)+SUMIFS(d_rs_sched!$J:$J,d_rs_sched!$D:$D,$A23,d_rs_sched!$K:$K,$A23,d_rs_sched!$I:$I,C$1)),0)/IFERROR(IF((COUNTIFS(d_rs_sched!$D:$D,$A23,d_rs_sched!$I:$I,$A23,d_rs_sched!$K:$K,C$1)+COUNTIFS(d_rs_sched!$D:$D,$A23,d_rs_sched!$I:$I,C$1,d_rs_sched!$K:$K,$A23))&gt;0,(COUNTIFS(d_rs_sched!$D:$D,$A23,d_rs_sched!$I:$I,$A23,d_rs_sched!$K:$K,C$1)+COUNTIFS(d_rs_sched!$D:$D,$A23,d_rs_sched!$I:$I,C$1,d_rs_sched!$K:$K,$A23)),1),1)</f>
        <v>-7.666666666666667</v>
      </c>
      <c r="D23">
        <f>IFERROR((SUMIFS(d_rs_sched!$J:$J,d_rs_sched!$D:$D,$A23,d_rs_sched!$I:$I,$A23,d_rs_sched!$K:$K,D$1)+SUMIFS(d_rs_sched!$L:$L,d_rs_sched!$D:$D,$A23,d_rs_sched!$K:$K,$A23,d_rs_sched!$I:$I,D$1))-(SUMIFS(d_rs_sched!$L:$L,d_rs_sched!$D:$D,$A23,d_rs_sched!$I:$I,$A23,d_rs_sched!$K:$K,D$1)+SUMIFS(d_rs_sched!$J:$J,d_rs_sched!$D:$D,$A23,d_rs_sched!$K:$K,$A23,d_rs_sched!$I:$I,D$1)),0)/IFERROR(IF((COUNTIFS(d_rs_sched!$D:$D,$A23,d_rs_sched!$I:$I,$A23,d_rs_sched!$K:$K,D$1)+COUNTIFS(d_rs_sched!$D:$D,$A23,d_rs_sched!$I:$I,D$1,d_rs_sched!$K:$K,$A23))&gt;0,(COUNTIFS(d_rs_sched!$D:$D,$A23,d_rs_sched!$I:$I,$A23,d_rs_sched!$K:$K,D$1)+COUNTIFS(d_rs_sched!$D:$D,$A23,d_rs_sched!$I:$I,D$1,d_rs_sched!$K:$K,$A23)),1),1)</f>
        <v>-3.5</v>
      </c>
      <c r="E23">
        <f>IFERROR((SUMIFS(d_rs_sched!$J:$J,d_rs_sched!$D:$D,$A23,d_rs_sched!$I:$I,$A23,d_rs_sched!$K:$K,E$1)+SUMIFS(d_rs_sched!$L:$L,d_rs_sched!$D:$D,$A23,d_rs_sched!$K:$K,$A23,d_rs_sched!$I:$I,E$1))-(SUMIFS(d_rs_sched!$L:$L,d_rs_sched!$D:$D,$A23,d_rs_sched!$I:$I,$A23,d_rs_sched!$K:$K,E$1)+SUMIFS(d_rs_sched!$J:$J,d_rs_sched!$D:$D,$A23,d_rs_sched!$K:$K,$A23,d_rs_sched!$I:$I,E$1)),0)/IFERROR(IF((COUNTIFS(d_rs_sched!$D:$D,$A23,d_rs_sched!$I:$I,$A23,d_rs_sched!$K:$K,E$1)+COUNTIFS(d_rs_sched!$D:$D,$A23,d_rs_sched!$I:$I,E$1,d_rs_sched!$K:$K,$A23))&gt;0,(COUNTIFS(d_rs_sched!$D:$D,$A23,d_rs_sched!$I:$I,$A23,d_rs_sched!$K:$K,E$1)+COUNTIFS(d_rs_sched!$D:$D,$A23,d_rs_sched!$I:$I,E$1,d_rs_sched!$K:$K,$A23)),1),1)</f>
        <v>-2.5</v>
      </c>
      <c r="F23">
        <f>IFERROR((SUMIFS(d_rs_sched!$J:$J,d_rs_sched!$D:$D,$A23,d_rs_sched!$I:$I,$A23,d_rs_sched!$K:$K,F$1)+SUMIFS(d_rs_sched!$L:$L,d_rs_sched!$D:$D,$A23,d_rs_sched!$K:$K,$A23,d_rs_sched!$I:$I,F$1))-(SUMIFS(d_rs_sched!$L:$L,d_rs_sched!$D:$D,$A23,d_rs_sched!$I:$I,$A23,d_rs_sched!$K:$K,F$1)+SUMIFS(d_rs_sched!$J:$J,d_rs_sched!$D:$D,$A23,d_rs_sched!$K:$K,$A23,d_rs_sched!$I:$I,F$1)),0)/IFERROR(IF((COUNTIFS(d_rs_sched!$D:$D,$A23,d_rs_sched!$I:$I,$A23,d_rs_sched!$K:$K,F$1)+COUNTIFS(d_rs_sched!$D:$D,$A23,d_rs_sched!$I:$I,F$1,d_rs_sched!$K:$K,$A23))&gt;0,(COUNTIFS(d_rs_sched!$D:$D,$A23,d_rs_sched!$I:$I,$A23,d_rs_sched!$K:$K,F$1)+COUNTIFS(d_rs_sched!$D:$D,$A23,d_rs_sched!$I:$I,F$1,d_rs_sched!$K:$K,$A23)),1),1)</f>
        <v>0</v>
      </c>
      <c r="G23">
        <f>IFERROR((SUMIFS(d_rs_sched!$J:$J,d_rs_sched!$D:$D,$A23,d_rs_sched!$I:$I,$A23,d_rs_sched!$K:$K,G$1)+SUMIFS(d_rs_sched!$L:$L,d_rs_sched!$D:$D,$A23,d_rs_sched!$K:$K,$A23,d_rs_sched!$I:$I,G$1))-(SUMIFS(d_rs_sched!$L:$L,d_rs_sched!$D:$D,$A23,d_rs_sched!$I:$I,$A23,d_rs_sched!$K:$K,G$1)+SUMIFS(d_rs_sched!$J:$J,d_rs_sched!$D:$D,$A23,d_rs_sched!$K:$K,$A23,d_rs_sched!$I:$I,G$1)),0)/IFERROR(IF((COUNTIFS(d_rs_sched!$D:$D,$A23,d_rs_sched!$I:$I,$A23,d_rs_sched!$K:$K,G$1)+COUNTIFS(d_rs_sched!$D:$D,$A23,d_rs_sched!$I:$I,G$1,d_rs_sched!$K:$K,$A23))&gt;0,(COUNTIFS(d_rs_sched!$D:$D,$A23,d_rs_sched!$I:$I,$A23,d_rs_sched!$K:$K,G$1)+COUNTIFS(d_rs_sched!$D:$D,$A23,d_rs_sched!$I:$I,G$1,d_rs_sched!$K:$K,$A23)),1),1)</f>
        <v>-18.666666666666668</v>
      </c>
      <c r="H23">
        <f>IFERROR((SUMIFS(d_rs_sched!$J:$J,d_rs_sched!$D:$D,$A23,d_rs_sched!$I:$I,$A23,d_rs_sched!$K:$K,H$1)+SUMIFS(d_rs_sched!$L:$L,d_rs_sched!$D:$D,$A23,d_rs_sched!$K:$K,$A23,d_rs_sched!$I:$I,H$1))-(SUMIFS(d_rs_sched!$L:$L,d_rs_sched!$D:$D,$A23,d_rs_sched!$I:$I,$A23,d_rs_sched!$K:$K,H$1)+SUMIFS(d_rs_sched!$J:$J,d_rs_sched!$D:$D,$A23,d_rs_sched!$K:$K,$A23,d_rs_sched!$I:$I,H$1)),0)/IFERROR(IF((COUNTIFS(d_rs_sched!$D:$D,$A23,d_rs_sched!$I:$I,$A23,d_rs_sched!$K:$K,H$1)+COUNTIFS(d_rs_sched!$D:$D,$A23,d_rs_sched!$I:$I,H$1,d_rs_sched!$K:$K,$A23))&gt;0,(COUNTIFS(d_rs_sched!$D:$D,$A23,d_rs_sched!$I:$I,$A23,d_rs_sched!$K:$K,H$1)+COUNTIFS(d_rs_sched!$D:$D,$A23,d_rs_sched!$I:$I,H$1,d_rs_sched!$K:$K,$A23)),1),1)</f>
        <v>-10</v>
      </c>
      <c r="I23">
        <f>IFERROR((SUMIFS(d_rs_sched!$J:$J,d_rs_sched!$D:$D,$A23,d_rs_sched!$I:$I,$A23,d_rs_sched!$K:$K,I$1)+SUMIFS(d_rs_sched!$L:$L,d_rs_sched!$D:$D,$A23,d_rs_sched!$K:$K,$A23,d_rs_sched!$I:$I,I$1))-(SUMIFS(d_rs_sched!$L:$L,d_rs_sched!$D:$D,$A23,d_rs_sched!$I:$I,$A23,d_rs_sched!$K:$K,I$1)+SUMIFS(d_rs_sched!$J:$J,d_rs_sched!$D:$D,$A23,d_rs_sched!$K:$K,$A23,d_rs_sched!$I:$I,I$1)),0)/IFERROR(IF((COUNTIFS(d_rs_sched!$D:$D,$A23,d_rs_sched!$I:$I,$A23,d_rs_sched!$K:$K,I$1)+COUNTIFS(d_rs_sched!$D:$D,$A23,d_rs_sched!$I:$I,I$1,d_rs_sched!$K:$K,$A23))&gt;0,(COUNTIFS(d_rs_sched!$D:$D,$A23,d_rs_sched!$I:$I,$A23,d_rs_sched!$K:$K,I$1)+COUNTIFS(d_rs_sched!$D:$D,$A23,d_rs_sched!$I:$I,I$1,d_rs_sched!$K:$K,$A23)),1),1)</f>
        <v>-11</v>
      </c>
      <c r="J23">
        <f>IFERROR((SUMIFS(d_rs_sched!$J:$J,d_rs_sched!$D:$D,$A23,d_rs_sched!$I:$I,$A23,d_rs_sched!$K:$K,J$1)+SUMIFS(d_rs_sched!$L:$L,d_rs_sched!$D:$D,$A23,d_rs_sched!$K:$K,$A23,d_rs_sched!$I:$I,J$1))-(SUMIFS(d_rs_sched!$L:$L,d_rs_sched!$D:$D,$A23,d_rs_sched!$I:$I,$A23,d_rs_sched!$K:$K,J$1)+SUMIFS(d_rs_sched!$J:$J,d_rs_sched!$D:$D,$A23,d_rs_sched!$K:$K,$A23,d_rs_sched!$I:$I,J$1)),0)/IFERROR(IF((COUNTIFS(d_rs_sched!$D:$D,$A23,d_rs_sched!$I:$I,$A23,d_rs_sched!$K:$K,J$1)+COUNTIFS(d_rs_sched!$D:$D,$A23,d_rs_sched!$I:$I,J$1,d_rs_sched!$K:$K,$A23))&gt;0,(COUNTIFS(d_rs_sched!$D:$D,$A23,d_rs_sched!$I:$I,$A23,d_rs_sched!$K:$K,J$1)+COUNTIFS(d_rs_sched!$D:$D,$A23,d_rs_sched!$I:$I,J$1,d_rs_sched!$K:$K,$A23)),1),1)</f>
        <v>-8.25</v>
      </c>
      <c r="K23">
        <f>IFERROR((SUMIFS(d_rs_sched!$J:$J,d_rs_sched!$D:$D,$A23,d_rs_sched!$I:$I,$A23,d_rs_sched!$K:$K,K$1)+SUMIFS(d_rs_sched!$L:$L,d_rs_sched!$D:$D,$A23,d_rs_sched!$K:$K,$A23,d_rs_sched!$I:$I,K$1))-(SUMIFS(d_rs_sched!$L:$L,d_rs_sched!$D:$D,$A23,d_rs_sched!$I:$I,$A23,d_rs_sched!$K:$K,K$1)+SUMIFS(d_rs_sched!$J:$J,d_rs_sched!$D:$D,$A23,d_rs_sched!$K:$K,$A23,d_rs_sched!$I:$I,K$1)),0)/IFERROR(IF((COUNTIFS(d_rs_sched!$D:$D,$A23,d_rs_sched!$I:$I,$A23,d_rs_sched!$K:$K,K$1)+COUNTIFS(d_rs_sched!$D:$D,$A23,d_rs_sched!$I:$I,K$1,d_rs_sched!$K:$K,$A23))&gt;0,(COUNTIFS(d_rs_sched!$D:$D,$A23,d_rs_sched!$I:$I,$A23,d_rs_sched!$K:$K,K$1)+COUNTIFS(d_rs_sched!$D:$D,$A23,d_rs_sched!$I:$I,K$1,d_rs_sched!$K:$K,$A23)),1),1)</f>
        <v>-8</v>
      </c>
      <c r="L23">
        <f>IFERROR((SUMIFS(d_rs_sched!$J:$J,d_rs_sched!$D:$D,$A23,d_rs_sched!$I:$I,$A23,d_rs_sched!$K:$K,L$1)+SUMIFS(d_rs_sched!$L:$L,d_rs_sched!$D:$D,$A23,d_rs_sched!$K:$K,$A23,d_rs_sched!$I:$I,L$1))-(SUMIFS(d_rs_sched!$L:$L,d_rs_sched!$D:$D,$A23,d_rs_sched!$I:$I,$A23,d_rs_sched!$K:$K,L$1)+SUMIFS(d_rs_sched!$J:$J,d_rs_sched!$D:$D,$A23,d_rs_sched!$K:$K,$A23,d_rs_sched!$I:$I,L$1)),0)/IFERROR(IF((COUNTIFS(d_rs_sched!$D:$D,$A23,d_rs_sched!$I:$I,$A23,d_rs_sched!$K:$K,L$1)+COUNTIFS(d_rs_sched!$D:$D,$A23,d_rs_sched!$I:$I,L$1,d_rs_sched!$K:$K,$A23))&gt;0,(COUNTIFS(d_rs_sched!$D:$D,$A23,d_rs_sched!$I:$I,$A23,d_rs_sched!$K:$K,L$1)+COUNTIFS(d_rs_sched!$D:$D,$A23,d_rs_sched!$I:$I,L$1,d_rs_sched!$K:$K,$A23)),1),1)</f>
        <v>-3</v>
      </c>
      <c r="M23">
        <f>IFERROR((SUMIFS(d_rs_sched!$J:$J,d_rs_sched!$D:$D,$A23,d_rs_sched!$I:$I,$A23,d_rs_sched!$K:$K,M$1)+SUMIFS(d_rs_sched!$L:$L,d_rs_sched!$D:$D,$A23,d_rs_sched!$K:$K,$A23,d_rs_sched!$I:$I,M$1))-(SUMIFS(d_rs_sched!$L:$L,d_rs_sched!$D:$D,$A23,d_rs_sched!$I:$I,$A23,d_rs_sched!$K:$K,M$1)+SUMIFS(d_rs_sched!$J:$J,d_rs_sched!$D:$D,$A23,d_rs_sched!$K:$K,$A23,d_rs_sched!$I:$I,M$1)),0)/IFERROR(IF((COUNTIFS(d_rs_sched!$D:$D,$A23,d_rs_sched!$I:$I,$A23,d_rs_sched!$K:$K,M$1)+COUNTIFS(d_rs_sched!$D:$D,$A23,d_rs_sched!$I:$I,M$1,d_rs_sched!$K:$K,$A23))&gt;0,(COUNTIFS(d_rs_sched!$D:$D,$A23,d_rs_sched!$I:$I,$A23,d_rs_sched!$K:$K,M$1)+COUNTIFS(d_rs_sched!$D:$D,$A23,d_rs_sched!$I:$I,M$1,d_rs_sched!$K:$K,$A23)),1),1)</f>
        <v>-18</v>
      </c>
      <c r="N23">
        <f>IFERROR((SUMIFS(d_rs_sched!$J:$J,d_rs_sched!$D:$D,$A23,d_rs_sched!$I:$I,$A23,d_rs_sched!$K:$K,N$1)+SUMIFS(d_rs_sched!$L:$L,d_rs_sched!$D:$D,$A23,d_rs_sched!$K:$K,$A23,d_rs_sched!$I:$I,N$1))-(SUMIFS(d_rs_sched!$L:$L,d_rs_sched!$D:$D,$A23,d_rs_sched!$I:$I,$A23,d_rs_sched!$K:$K,N$1)+SUMIFS(d_rs_sched!$J:$J,d_rs_sched!$D:$D,$A23,d_rs_sched!$K:$K,$A23,d_rs_sched!$I:$I,N$1)),0)/IFERROR(IF((COUNTIFS(d_rs_sched!$D:$D,$A23,d_rs_sched!$I:$I,$A23,d_rs_sched!$K:$K,N$1)+COUNTIFS(d_rs_sched!$D:$D,$A23,d_rs_sched!$I:$I,N$1,d_rs_sched!$K:$K,$A23))&gt;0,(COUNTIFS(d_rs_sched!$D:$D,$A23,d_rs_sched!$I:$I,$A23,d_rs_sched!$K:$K,N$1)+COUNTIFS(d_rs_sched!$D:$D,$A23,d_rs_sched!$I:$I,N$1,d_rs_sched!$K:$K,$A23)),1),1)</f>
        <v>-26</v>
      </c>
      <c r="O23">
        <f>IFERROR((SUMIFS(d_rs_sched!$J:$J,d_rs_sched!$D:$D,$A23,d_rs_sched!$I:$I,$A23,d_rs_sched!$K:$K,O$1)+SUMIFS(d_rs_sched!$L:$L,d_rs_sched!$D:$D,$A23,d_rs_sched!$K:$K,$A23,d_rs_sched!$I:$I,O$1))-(SUMIFS(d_rs_sched!$L:$L,d_rs_sched!$D:$D,$A23,d_rs_sched!$I:$I,$A23,d_rs_sched!$K:$K,O$1)+SUMIFS(d_rs_sched!$J:$J,d_rs_sched!$D:$D,$A23,d_rs_sched!$K:$K,$A23,d_rs_sched!$I:$I,O$1)),0)/IFERROR(IF((COUNTIFS(d_rs_sched!$D:$D,$A23,d_rs_sched!$I:$I,$A23,d_rs_sched!$K:$K,O$1)+COUNTIFS(d_rs_sched!$D:$D,$A23,d_rs_sched!$I:$I,O$1,d_rs_sched!$K:$K,$A23))&gt;0,(COUNTIFS(d_rs_sched!$D:$D,$A23,d_rs_sched!$I:$I,$A23,d_rs_sched!$K:$K,O$1)+COUNTIFS(d_rs_sched!$D:$D,$A23,d_rs_sched!$I:$I,O$1,d_rs_sched!$K:$K,$A23)),1),1)</f>
        <v>-5.5</v>
      </c>
      <c r="P23">
        <f>IFERROR((SUMIFS(d_rs_sched!$J:$J,d_rs_sched!$D:$D,$A23,d_rs_sched!$I:$I,$A23,d_rs_sched!$K:$K,P$1)+SUMIFS(d_rs_sched!$L:$L,d_rs_sched!$D:$D,$A23,d_rs_sched!$K:$K,$A23,d_rs_sched!$I:$I,P$1))-(SUMIFS(d_rs_sched!$L:$L,d_rs_sched!$D:$D,$A23,d_rs_sched!$I:$I,$A23,d_rs_sched!$K:$K,P$1)+SUMIFS(d_rs_sched!$J:$J,d_rs_sched!$D:$D,$A23,d_rs_sched!$K:$K,$A23,d_rs_sched!$I:$I,P$1)),0)/IFERROR(IF((COUNTIFS(d_rs_sched!$D:$D,$A23,d_rs_sched!$I:$I,$A23,d_rs_sched!$K:$K,P$1)+COUNTIFS(d_rs_sched!$D:$D,$A23,d_rs_sched!$I:$I,P$1,d_rs_sched!$K:$K,$A23))&gt;0,(COUNTIFS(d_rs_sched!$D:$D,$A23,d_rs_sched!$I:$I,$A23,d_rs_sched!$K:$K,P$1)+COUNTIFS(d_rs_sched!$D:$D,$A23,d_rs_sched!$I:$I,P$1,d_rs_sched!$K:$K,$A23)),1),1)</f>
        <v>-9.5</v>
      </c>
      <c r="Q23">
        <f>IFERROR((SUMIFS(d_rs_sched!$J:$J,d_rs_sched!$D:$D,$A23,d_rs_sched!$I:$I,$A23,d_rs_sched!$K:$K,Q$1)+SUMIFS(d_rs_sched!$L:$L,d_rs_sched!$D:$D,$A23,d_rs_sched!$K:$K,$A23,d_rs_sched!$I:$I,Q$1))-(SUMIFS(d_rs_sched!$L:$L,d_rs_sched!$D:$D,$A23,d_rs_sched!$I:$I,$A23,d_rs_sched!$K:$K,Q$1)+SUMIFS(d_rs_sched!$J:$J,d_rs_sched!$D:$D,$A23,d_rs_sched!$K:$K,$A23,d_rs_sched!$I:$I,Q$1)),0)/IFERROR(IF((COUNTIFS(d_rs_sched!$D:$D,$A23,d_rs_sched!$I:$I,$A23,d_rs_sched!$K:$K,Q$1)+COUNTIFS(d_rs_sched!$D:$D,$A23,d_rs_sched!$I:$I,Q$1,d_rs_sched!$K:$K,$A23))&gt;0,(COUNTIFS(d_rs_sched!$D:$D,$A23,d_rs_sched!$I:$I,$A23,d_rs_sched!$K:$K,Q$1)+COUNTIFS(d_rs_sched!$D:$D,$A23,d_rs_sched!$I:$I,Q$1,d_rs_sched!$K:$K,$A23)),1),1)</f>
        <v>-4</v>
      </c>
      <c r="R23">
        <f>IFERROR((SUMIFS(d_rs_sched!$J:$J,d_rs_sched!$D:$D,$A23,d_rs_sched!$I:$I,$A23,d_rs_sched!$K:$K,R$1)+SUMIFS(d_rs_sched!$L:$L,d_rs_sched!$D:$D,$A23,d_rs_sched!$K:$K,$A23,d_rs_sched!$I:$I,R$1))-(SUMIFS(d_rs_sched!$L:$L,d_rs_sched!$D:$D,$A23,d_rs_sched!$I:$I,$A23,d_rs_sched!$K:$K,R$1)+SUMIFS(d_rs_sched!$J:$J,d_rs_sched!$D:$D,$A23,d_rs_sched!$K:$K,$A23,d_rs_sched!$I:$I,R$1)),0)/IFERROR(IF((COUNTIFS(d_rs_sched!$D:$D,$A23,d_rs_sched!$I:$I,$A23,d_rs_sched!$K:$K,R$1)+COUNTIFS(d_rs_sched!$D:$D,$A23,d_rs_sched!$I:$I,R$1,d_rs_sched!$K:$K,$A23))&gt;0,(COUNTIFS(d_rs_sched!$D:$D,$A23,d_rs_sched!$I:$I,$A23,d_rs_sched!$K:$K,R$1)+COUNTIFS(d_rs_sched!$D:$D,$A23,d_rs_sched!$I:$I,R$1,d_rs_sched!$K:$K,$A23)),1),1)</f>
        <v>0.5</v>
      </c>
      <c r="S23">
        <f>IFERROR((SUMIFS(d_rs_sched!$J:$J,d_rs_sched!$D:$D,$A23,d_rs_sched!$I:$I,$A23,d_rs_sched!$K:$K,S$1)+SUMIFS(d_rs_sched!$L:$L,d_rs_sched!$D:$D,$A23,d_rs_sched!$K:$K,$A23,d_rs_sched!$I:$I,S$1))-(SUMIFS(d_rs_sched!$L:$L,d_rs_sched!$D:$D,$A23,d_rs_sched!$I:$I,$A23,d_rs_sched!$K:$K,S$1)+SUMIFS(d_rs_sched!$J:$J,d_rs_sched!$D:$D,$A23,d_rs_sched!$K:$K,$A23,d_rs_sched!$I:$I,S$1)),0)/IFERROR(IF((COUNTIFS(d_rs_sched!$D:$D,$A23,d_rs_sched!$I:$I,$A23,d_rs_sched!$K:$K,S$1)+COUNTIFS(d_rs_sched!$D:$D,$A23,d_rs_sched!$I:$I,S$1,d_rs_sched!$K:$K,$A23))&gt;0,(COUNTIFS(d_rs_sched!$D:$D,$A23,d_rs_sched!$I:$I,$A23,d_rs_sched!$K:$K,S$1)+COUNTIFS(d_rs_sched!$D:$D,$A23,d_rs_sched!$I:$I,S$1,d_rs_sched!$K:$K,$A23)),1),1)</f>
        <v>11</v>
      </c>
      <c r="T23">
        <f>IFERROR((SUMIFS(d_rs_sched!$J:$J,d_rs_sched!$D:$D,$A23,d_rs_sched!$I:$I,$A23,d_rs_sched!$K:$K,T$1)+SUMIFS(d_rs_sched!$L:$L,d_rs_sched!$D:$D,$A23,d_rs_sched!$K:$K,$A23,d_rs_sched!$I:$I,T$1))-(SUMIFS(d_rs_sched!$L:$L,d_rs_sched!$D:$D,$A23,d_rs_sched!$I:$I,$A23,d_rs_sched!$K:$K,T$1)+SUMIFS(d_rs_sched!$J:$J,d_rs_sched!$D:$D,$A23,d_rs_sched!$K:$K,$A23,d_rs_sched!$I:$I,T$1)),0)/IFERROR(IF((COUNTIFS(d_rs_sched!$D:$D,$A23,d_rs_sched!$I:$I,$A23,d_rs_sched!$K:$K,T$1)+COUNTIFS(d_rs_sched!$D:$D,$A23,d_rs_sched!$I:$I,T$1,d_rs_sched!$K:$K,$A23))&gt;0,(COUNTIFS(d_rs_sched!$D:$D,$A23,d_rs_sched!$I:$I,$A23,d_rs_sched!$K:$K,T$1)+COUNTIFS(d_rs_sched!$D:$D,$A23,d_rs_sched!$I:$I,T$1,d_rs_sched!$K:$K,$A23)),1),1)</f>
        <v>-3</v>
      </c>
      <c r="U23">
        <f>IFERROR((SUMIFS(d_rs_sched!$J:$J,d_rs_sched!$D:$D,$A23,d_rs_sched!$I:$I,$A23,d_rs_sched!$K:$K,U$1)+SUMIFS(d_rs_sched!$L:$L,d_rs_sched!$D:$D,$A23,d_rs_sched!$K:$K,$A23,d_rs_sched!$I:$I,U$1))-(SUMIFS(d_rs_sched!$L:$L,d_rs_sched!$D:$D,$A23,d_rs_sched!$I:$I,$A23,d_rs_sched!$K:$K,U$1)+SUMIFS(d_rs_sched!$J:$J,d_rs_sched!$D:$D,$A23,d_rs_sched!$K:$K,$A23,d_rs_sched!$I:$I,U$1)),0)/IFERROR(IF((COUNTIFS(d_rs_sched!$D:$D,$A23,d_rs_sched!$I:$I,$A23,d_rs_sched!$K:$K,U$1)+COUNTIFS(d_rs_sched!$D:$D,$A23,d_rs_sched!$I:$I,U$1,d_rs_sched!$K:$K,$A23))&gt;0,(COUNTIFS(d_rs_sched!$D:$D,$A23,d_rs_sched!$I:$I,$A23,d_rs_sched!$K:$K,U$1)+COUNTIFS(d_rs_sched!$D:$D,$A23,d_rs_sched!$I:$I,U$1,d_rs_sched!$K:$K,$A23)),1),1)</f>
        <v>0</v>
      </c>
      <c r="V23">
        <f>IFERROR((SUMIFS(d_rs_sched!$J:$J,d_rs_sched!$D:$D,$A23,d_rs_sched!$I:$I,$A23,d_rs_sched!$K:$K,V$1)+SUMIFS(d_rs_sched!$L:$L,d_rs_sched!$D:$D,$A23,d_rs_sched!$K:$K,$A23,d_rs_sched!$I:$I,V$1))-(SUMIFS(d_rs_sched!$L:$L,d_rs_sched!$D:$D,$A23,d_rs_sched!$I:$I,$A23,d_rs_sched!$K:$K,V$1)+SUMIFS(d_rs_sched!$J:$J,d_rs_sched!$D:$D,$A23,d_rs_sched!$K:$K,$A23,d_rs_sched!$I:$I,V$1)),0)/IFERROR(IF((COUNTIFS(d_rs_sched!$D:$D,$A23,d_rs_sched!$I:$I,$A23,d_rs_sched!$K:$K,V$1)+COUNTIFS(d_rs_sched!$D:$D,$A23,d_rs_sched!$I:$I,V$1,d_rs_sched!$K:$K,$A23))&gt;0,(COUNTIFS(d_rs_sched!$D:$D,$A23,d_rs_sched!$I:$I,$A23,d_rs_sched!$K:$K,V$1)+COUNTIFS(d_rs_sched!$D:$D,$A23,d_rs_sched!$I:$I,V$1,d_rs_sched!$K:$K,$A23)),1),1)</f>
        <v>-17.5</v>
      </c>
      <c r="W23">
        <f>IFERROR((SUMIFS(d_rs_sched!$J:$J,d_rs_sched!$D:$D,$A23,d_rs_sched!$I:$I,$A23,d_rs_sched!$K:$K,W$1)+SUMIFS(d_rs_sched!$L:$L,d_rs_sched!$D:$D,$A23,d_rs_sched!$K:$K,$A23,d_rs_sched!$I:$I,W$1))-(SUMIFS(d_rs_sched!$L:$L,d_rs_sched!$D:$D,$A23,d_rs_sched!$I:$I,$A23,d_rs_sched!$K:$K,W$1)+SUMIFS(d_rs_sched!$J:$J,d_rs_sched!$D:$D,$A23,d_rs_sched!$K:$K,$A23,d_rs_sched!$I:$I,W$1)),0)/IFERROR(IF((COUNTIFS(d_rs_sched!$D:$D,$A23,d_rs_sched!$I:$I,$A23,d_rs_sched!$K:$K,W$1)+COUNTIFS(d_rs_sched!$D:$D,$A23,d_rs_sched!$I:$I,W$1,d_rs_sched!$K:$K,$A23))&gt;0,(COUNTIFS(d_rs_sched!$D:$D,$A23,d_rs_sched!$I:$I,$A23,d_rs_sched!$K:$K,W$1)+COUNTIFS(d_rs_sched!$D:$D,$A23,d_rs_sched!$I:$I,W$1,d_rs_sched!$K:$K,$A23)),1),1)</f>
        <v>0</v>
      </c>
      <c r="X23">
        <f>IFERROR((SUMIFS(d_rs_sched!$J:$J,d_rs_sched!$D:$D,$A23,d_rs_sched!$I:$I,$A23,d_rs_sched!$K:$K,X$1)+SUMIFS(d_rs_sched!$L:$L,d_rs_sched!$D:$D,$A23,d_rs_sched!$K:$K,$A23,d_rs_sched!$I:$I,X$1))-(SUMIFS(d_rs_sched!$L:$L,d_rs_sched!$D:$D,$A23,d_rs_sched!$I:$I,$A23,d_rs_sched!$K:$K,X$1)+SUMIFS(d_rs_sched!$J:$J,d_rs_sched!$D:$D,$A23,d_rs_sched!$K:$K,$A23,d_rs_sched!$I:$I,X$1)),0)/IFERROR(IF((COUNTIFS(d_rs_sched!$D:$D,$A23,d_rs_sched!$I:$I,$A23,d_rs_sched!$K:$K,X$1)+COUNTIFS(d_rs_sched!$D:$D,$A23,d_rs_sched!$I:$I,X$1,d_rs_sched!$K:$K,$A23))&gt;0,(COUNTIFS(d_rs_sched!$D:$D,$A23,d_rs_sched!$I:$I,$A23,d_rs_sched!$K:$K,X$1)+COUNTIFS(d_rs_sched!$D:$D,$A23,d_rs_sched!$I:$I,X$1,d_rs_sched!$K:$K,$A23)),1),1)</f>
        <v>-0.33333333333333331</v>
      </c>
      <c r="Y23">
        <f>IFERROR((SUMIFS(d_rs_sched!$J:$J,d_rs_sched!$D:$D,$A23,d_rs_sched!$I:$I,$A23,d_rs_sched!$K:$K,Y$1)+SUMIFS(d_rs_sched!$L:$L,d_rs_sched!$D:$D,$A23,d_rs_sched!$K:$K,$A23,d_rs_sched!$I:$I,Y$1))-(SUMIFS(d_rs_sched!$L:$L,d_rs_sched!$D:$D,$A23,d_rs_sched!$I:$I,$A23,d_rs_sched!$K:$K,Y$1)+SUMIFS(d_rs_sched!$J:$J,d_rs_sched!$D:$D,$A23,d_rs_sched!$K:$K,$A23,d_rs_sched!$I:$I,Y$1)),0)/IFERROR(IF((COUNTIFS(d_rs_sched!$D:$D,$A23,d_rs_sched!$I:$I,$A23,d_rs_sched!$K:$K,Y$1)+COUNTIFS(d_rs_sched!$D:$D,$A23,d_rs_sched!$I:$I,Y$1,d_rs_sched!$K:$K,$A23))&gt;0,(COUNTIFS(d_rs_sched!$D:$D,$A23,d_rs_sched!$I:$I,$A23,d_rs_sched!$K:$K,Y$1)+COUNTIFS(d_rs_sched!$D:$D,$A23,d_rs_sched!$I:$I,Y$1,d_rs_sched!$K:$K,$A23)),1),1)</f>
        <v>-1</v>
      </c>
      <c r="Z23">
        <f>IFERROR((SUMIFS(d_rs_sched!$J:$J,d_rs_sched!$D:$D,$A23,d_rs_sched!$I:$I,$A23,d_rs_sched!$K:$K,Z$1)+SUMIFS(d_rs_sched!$L:$L,d_rs_sched!$D:$D,$A23,d_rs_sched!$K:$K,$A23,d_rs_sched!$I:$I,Z$1))-(SUMIFS(d_rs_sched!$L:$L,d_rs_sched!$D:$D,$A23,d_rs_sched!$I:$I,$A23,d_rs_sched!$K:$K,Z$1)+SUMIFS(d_rs_sched!$J:$J,d_rs_sched!$D:$D,$A23,d_rs_sched!$K:$K,$A23,d_rs_sched!$I:$I,Z$1)),0)/IFERROR(IF((COUNTIFS(d_rs_sched!$D:$D,$A23,d_rs_sched!$I:$I,$A23,d_rs_sched!$K:$K,Z$1)+COUNTIFS(d_rs_sched!$D:$D,$A23,d_rs_sched!$I:$I,Z$1,d_rs_sched!$K:$K,$A23))&gt;0,(COUNTIFS(d_rs_sched!$D:$D,$A23,d_rs_sched!$I:$I,$A23,d_rs_sched!$K:$K,Z$1)+COUNTIFS(d_rs_sched!$D:$D,$A23,d_rs_sched!$I:$I,Z$1,d_rs_sched!$K:$K,$A23)),1),1)</f>
        <v>-2</v>
      </c>
      <c r="AA23">
        <f>IFERROR((SUMIFS(d_rs_sched!$J:$J,d_rs_sched!$D:$D,$A23,d_rs_sched!$I:$I,$A23,d_rs_sched!$K:$K,AA$1)+SUMIFS(d_rs_sched!$L:$L,d_rs_sched!$D:$D,$A23,d_rs_sched!$K:$K,$A23,d_rs_sched!$I:$I,AA$1))-(SUMIFS(d_rs_sched!$L:$L,d_rs_sched!$D:$D,$A23,d_rs_sched!$I:$I,$A23,d_rs_sched!$K:$K,AA$1)+SUMIFS(d_rs_sched!$J:$J,d_rs_sched!$D:$D,$A23,d_rs_sched!$K:$K,$A23,d_rs_sched!$I:$I,AA$1)),0)/IFERROR(IF((COUNTIFS(d_rs_sched!$D:$D,$A23,d_rs_sched!$I:$I,$A23,d_rs_sched!$K:$K,AA$1)+COUNTIFS(d_rs_sched!$D:$D,$A23,d_rs_sched!$I:$I,AA$1,d_rs_sched!$K:$K,$A23))&gt;0,(COUNTIFS(d_rs_sched!$D:$D,$A23,d_rs_sched!$I:$I,$A23,d_rs_sched!$K:$K,AA$1)+COUNTIFS(d_rs_sched!$D:$D,$A23,d_rs_sched!$I:$I,AA$1,d_rs_sched!$K:$K,$A23)),1),1)</f>
        <v>-9.5</v>
      </c>
      <c r="AB23">
        <f>IFERROR((SUMIFS(d_rs_sched!$J:$J,d_rs_sched!$D:$D,$A23,d_rs_sched!$I:$I,$A23,d_rs_sched!$K:$K,AB$1)+SUMIFS(d_rs_sched!$L:$L,d_rs_sched!$D:$D,$A23,d_rs_sched!$K:$K,$A23,d_rs_sched!$I:$I,AB$1))-(SUMIFS(d_rs_sched!$L:$L,d_rs_sched!$D:$D,$A23,d_rs_sched!$I:$I,$A23,d_rs_sched!$K:$K,AB$1)+SUMIFS(d_rs_sched!$J:$J,d_rs_sched!$D:$D,$A23,d_rs_sched!$K:$K,$A23,d_rs_sched!$I:$I,AB$1)),0)/IFERROR(IF((COUNTIFS(d_rs_sched!$D:$D,$A23,d_rs_sched!$I:$I,$A23,d_rs_sched!$K:$K,AB$1)+COUNTIFS(d_rs_sched!$D:$D,$A23,d_rs_sched!$I:$I,AB$1,d_rs_sched!$K:$K,$A23))&gt;0,(COUNTIFS(d_rs_sched!$D:$D,$A23,d_rs_sched!$I:$I,$A23,d_rs_sched!$K:$K,AB$1)+COUNTIFS(d_rs_sched!$D:$D,$A23,d_rs_sched!$I:$I,AB$1,d_rs_sched!$K:$K,$A23)),1),1)</f>
        <v>7</v>
      </c>
      <c r="AC23">
        <f>IFERROR((SUMIFS(d_rs_sched!$J:$J,d_rs_sched!$D:$D,$A23,d_rs_sched!$I:$I,$A23,d_rs_sched!$K:$K,AC$1)+SUMIFS(d_rs_sched!$L:$L,d_rs_sched!$D:$D,$A23,d_rs_sched!$K:$K,$A23,d_rs_sched!$I:$I,AC$1))-(SUMIFS(d_rs_sched!$L:$L,d_rs_sched!$D:$D,$A23,d_rs_sched!$I:$I,$A23,d_rs_sched!$K:$K,AC$1)+SUMIFS(d_rs_sched!$J:$J,d_rs_sched!$D:$D,$A23,d_rs_sched!$K:$K,$A23,d_rs_sched!$I:$I,AC$1)),0)/IFERROR(IF((COUNTIFS(d_rs_sched!$D:$D,$A23,d_rs_sched!$I:$I,$A23,d_rs_sched!$K:$K,AC$1)+COUNTIFS(d_rs_sched!$D:$D,$A23,d_rs_sched!$I:$I,AC$1,d_rs_sched!$K:$K,$A23))&gt;0,(COUNTIFS(d_rs_sched!$D:$D,$A23,d_rs_sched!$I:$I,$A23,d_rs_sched!$K:$K,AC$1)+COUNTIFS(d_rs_sched!$D:$D,$A23,d_rs_sched!$I:$I,AC$1,d_rs_sched!$K:$K,$A23)),1),1)</f>
        <v>-8</v>
      </c>
      <c r="AD23">
        <f>IFERROR((SUMIFS(d_rs_sched!$J:$J,d_rs_sched!$D:$D,$A23,d_rs_sched!$I:$I,$A23,d_rs_sched!$K:$K,AD$1)+SUMIFS(d_rs_sched!$L:$L,d_rs_sched!$D:$D,$A23,d_rs_sched!$K:$K,$A23,d_rs_sched!$I:$I,AD$1))-(SUMIFS(d_rs_sched!$L:$L,d_rs_sched!$D:$D,$A23,d_rs_sched!$I:$I,$A23,d_rs_sched!$K:$K,AD$1)+SUMIFS(d_rs_sched!$J:$J,d_rs_sched!$D:$D,$A23,d_rs_sched!$K:$K,$A23,d_rs_sched!$I:$I,AD$1)),0)/IFERROR(IF((COUNTIFS(d_rs_sched!$D:$D,$A23,d_rs_sched!$I:$I,$A23,d_rs_sched!$K:$K,AD$1)+COUNTIFS(d_rs_sched!$D:$D,$A23,d_rs_sched!$I:$I,AD$1,d_rs_sched!$K:$K,$A23))&gt;0,(COUNTIFS(d_rs_sched!$D:$D,$A23,d_rs_sched!$I:$I,$A23,d_rs_sched!$K:$K,AD$1)+COUNTIFS(d_rs_sched!$D:$D,$A23,d_rs_sched!$I:$I,AD$1,d_rs_sched!$K:$K,$A23)),1),1)</f>
        <v>-1</v>
      </c>
      <c r="AE23">
        <f>IFERROR((SUMIFS(d_rs_sched!$J:$J,d_rs_sched!$D:$D,$A23,d_rs_sched!$I:$I,$A23,d_rs_sched!$K:$K,AE$1)+SUMIFS(d_rs_sched!$L:$L,d_rs_sched!$D:$D,$A23,d_rs_sched!$K:$K,$A23,d_rs_sched!$I:$I,AE$1))-(SUMIFS(d_rs_sched!$L:$L,d_rs_sched!$D:$D,$A23,d_rs_sched!$I:$I,$A23,d_rs_sched!$K:$K,AE$1)+SUMIFS(d_rs_sched!$J:$J,d_rs_sched!$D:$D,$A23,d_rs_sched!$K:$K,$A23,d_rs_sched!$I:$I,AE$1)),0)/IFERROR(IF((COUNTIFS(d_rs_sched!$D:$D,$A23,d_rs_sched!$I:$I,$A23,d_rs_sched!$K:$K,AE$1)+COUNTIFS(d_rs_sched!$D:$D,$A23,d_rs_sched!$I:$I,AE$1,d_rs_sched!$K:$K,$A23))&gt;0,(COUNTIFS(d_rs_sched!$D:$D,$A23,d_rs_sched!$I:$I,$A23,d_rs_sched!$K:$K,AE$1)+COUNTIFS(d_rs_sched!$D:$D,$A23,d_rs_sched!$I:$I,AE$1,d_rs_sched!$K:$K,$A23)),1),1)</f>
        <v>-7.5</v>
      </c>
      <c r="AG23" t="s">
        <v>13</v>
      </c>
      <c r="AH23">
        <v>1.0285337080196009</v>
      </c>
      <c r="AI23">
        <f t="shared" si="0"/>
        <v>2</v>
      </c>
    </row>
    <row r="24" spans="1:35" x14ac:dyDescent="0.25">
      <c r="A24" t="s">
        <v>21</v>
      </c>
      <c r="B24">
        <f>IFERROR((SUMIFS(d_rs_sched!$J:$J,d_rs_sched!$D:$D,$A24,d_rs_sched!$I:$I,$A24,d_rs_sched!$K:$K,B$1)+SUMIFS(d_rs_sched!$L:$L,d_rs_sched!$D:$D,$A24,d_rs_sched!$K:$K,$A24,d_rs_sched!$I:$I,B$1))-(SUMIFS(d_rs_sched!$L:$L,d_rs_sched!$D:$D,$A24,d_rs_sched!$I:$I,$A24,d_rs_sched!$K:$K,B$1)+SUMIFS(d_rs_sched!$J:$J,d_rs_sched!$D:$D,$A24,d_rs_sched!$K:$K,$A24,d_rs_sched!$I:$I,B$1)),0)/IFERROR(IF((COUNTIFS(d_rs_sched!$D:$D,$A24,d_rs_sched!$I:$I,$A24,d_rs_sched!$K:$K,B$1)+COUNTIFS(d_rs_sched!$D:$D,$A24,d_rs_sched!$I:$I,B$1,d_rs_sched!$K:$K,$A24))&gt;0,(COUNTIFS(d_rs_sched!$D:$D,$A24,d_rs_sched!$I:$I,$A24,d_rs_sched!$K:$K,B$1)+COUNTIFS(d_rs_sched!$D:$D,$A24,d_rs_sched!$I:$I,B$1,d_rs_sched!$K:$K,$A24)),1),1)</f>
        <v>-8</v>
      </c>
      <c r="C24">
        <f>IFERROR((SUMIFS(d_rs_sched!$J:$J,d_rs_sched!$D:$D,$A24,d_rs_sched!$I:$I,$A24,d_rs_sched!$K:$K,C$1)+SUMIFS(d_rs_sched!$L:$L,d_rs_sched!$D:$D,$A24,d_rs_sched!$K:$K,$A24,d_rs_sched!$I:$I,C$1))-(SUMIFS(d_rs_sched!$L:$L,d_rs_sched!$D:$D,$A24,d_rs_sched!$I:$I,$A24,d_rs_sched!$K:$K,C$1)+SUMIFS(d_rs_sched!$J:$J,d_rs_sched!$D:$D,$A24,d_rs_sched!$K:$K,$A24,d_rs_sched!$I:$I,C$1)),0)/IFERROR(IF((COUNTIFS(d_rs_sched!$D:$D,$A24,d_rs_sched!$I:$I,$A24,d_rs_sched!$K:$K,C$1)+COUNTIFS(d_rs_sched!$D:$D,$A24,d_rs_sched!$I:$I,C$1,d_rs_sched!$K:$K,$A24))&gt;0,(COUNTIFS(d_rs_sched!$D:$D,$A24,d_rs_sched!$I:$I,$A24,d_rs_sched!$K:$K,C$1)+COUNTIFS(d_rs_sched!$D:$D,$A24,d_rs_sched!$I:$I,C$1,d_rs_sched!$K:$K,$A24)),1),1)</f>
        <v>-7.75</v>
      </c>
      <c r="D24">
        <f>IFERROR((SUMIFS(d_rs_sched!$J:$J,d_rs_sched!$D:$D,$A24,d_rs_sched!$I:$I,$A24,d_rs_sched!$K:$K,D$1)+SUMIFS(d_rs_sched!$L:$L,d_rs_sched!$D:$D,$A24,d_rs_sched!$K:$K,$A24,d_rs_sched!$I:$I,D$1))-(SUMIFS(d_rs_sched!$L:$L,d_rs_sched!$D:$D,$A24,d_rs_sched!$I:$I,$A24,d_rs_sched!$K:$K,D$1)+SUMIFS(d_rs_sched!$J:$J,d_rs_sched!$D:$D,$A24,d_rs_sched!$K:$K,$A24,d_rs_sched!$I:$I,D$1)),0)/IFERROR(IF((COUNTIFS(d_rs_sched!$D:$D,$A24,d_rs_sched!$I:$I,$A24,d_rs_sched!$K:$K,D$1)+COUNTIFS(d_rs_sched!$D:$D,$A24,d_rs_sched!$I:$I,D$1,d_rs_sched!$K:$K,$A24))&gt;0,(COUNTIFS(d_rs_sched!$D:$D,$A24,d_rs_sched!$I:$I,$A24,d_rs_sched!$K:$K,D$1)+COUNTIFS(d_rs_sched!$D:$D,$A24,d_rs_sched!$I:$I,D$1,d_rs_sched!$K:$K,$A24)),1),1)</f>
        <v>-14.75</v>
      </c>
      <c r="E24">
        <f>IFERROR((SUMIFS(d_rs_sched!$J:$J,d_rs_sched!$D:$D,$A24,d_rs_sched!$I:$I,$A24,d_rs_sched!$K:$K,E$1)+SUMIFS(d_rs_sched!$L:$L,d_rs_sched!$D:$D,$A24,d_rs_sched!$K:$K,$A24,d_rs_sched!$I:$I,E$1))-(SUMIFS(d_rs_sched!$L:$L,d_rs_sched!$D:$D,$A24,d_rs_sched!$I:$I,$A24,d_rs_sched!$K:$K,E$1)+SUMIFS(d_rs_sched!$J:$J,d_rs_sched!$D:$D,$A24,d_rs_sched!$K:$K,$A24,d_rs_sched!$I:$I,E$1)),0)/IFERROR(IF((COUNTIFS(d_rs_sched!$D:$D,$A24,d_rs_sched!$I:$I,$A24,d_rs_sched!$K:$K,E$1)+COUNTIFS(d_rs_sched!$D:$D,$A24,d_rs_sched!$I:$I,E$1,d_rs_sched!$K:$K,$A24))&gt;0,(COUNTIFS(d_rs_sched!$D:$D,$A24,d_rs_sched!$I:$I,$A24,d_rs_sched!$K:$K,E$1)+COUNTIFS(d_rs_sched!$D:$D,$A24,d_rs_sched!$I:$I,E$1,d_rs_sched!$K:$K,$A24)),1),1)</f>
        <v>-3.6666666666666665</v>
      </c>
      <c r="F24">
        <f>IFERROR((SUMIFS(d_rs_sched!$J:$J,d_rs_sched!$D:$D,$A24,d_rs_sched!$I:$I,$A24,d_rs_sched!$K:$K,F$1)+SUMIFS(d_rs_sched!$L:$L,d_rs_sched!$D:$D,$A24,d_rs_sched!$K:$K,$A24,d_rs_sched!$I:$I,F$1))-(SUMIFS(d_rs_sched!$L:$L,d_rs_sched!$D:$D,$A24,d_rs_sched!$I:$I,$A24,d_rs_sched!$K:$K,F$1)+SUMIFS(d_rs_sched!$J:$J,d_rs_sched!$D:$D,$A24,d_rs_sched!$K:$K,$A24,d_rs_sched!$I:$I,F$1)),0)/IFERROR(IF((COUNTIFS(d_rs_sched!$D:$D,$A24,d_rs_sched!$I:$I,$A24,d_rs_sched!$K:$K,F$1)+COUNTIFS(d_rs_sched!$D:$D,$A24,d_rs_sched!$I:$I,F$1,d_rs_sched!$K:$K,$A24))&gt;0,(COUNTIFS(d_rs_sched!$D:$D,$A24,d_rs_sched!$I:$I,$A24,d_rs_sched!$K:$K,F$1)+COUNTIFS(d_rs_sched!$D:$D,$A24,d_rs_sched!$I:$I,F$1,d_rs_sched!$K:$K,$A24)),1),1)</f>
        <v>-6.333333333333333</v>
      </c>
      <c r="G24">
        <f>IFERROR((SUMIFS(d_rs_sched!$J:$J,d_rs_sched!$D:$D,$A24,d_rs_sched!$I:$I,$A24,d_rs_sched!$K:$K,G$1)+SUMIFS(d_rs_sched!$L:$L,d_rs_sched!$D:$D,$A24,d_rs_sched!$K:$K,$A24,d_rs_sched!$I:$I,G$1))-(SUMIFS(d_rs_sched!$L:$L,d_rs_sched!$D:$D,$A24,d_rs_sched!$I:$I,$A24,d_rs_sched!$K:$K,G$1)+SUMIFS(d_rs_sched!$J:$J,d_rs_sched!$D:$D,$A24,d_rs_sched!$K:$K,$A24,d_rs_sched!$I:$I,G$1)),0)/IFERROR(IF((COUNTIFS(d_rs_sched!$D:$D,$A24,d_rs_sched!$I:$I,$A24,d_rs_sched!$K:$K,G$1)+COUNTIFS(d_rs_sched!$D:$D,$A24,d_rs_sched!$I:$I,G$1,d_rs_sched!$K:$K,$A24))&gt;0,(COUNTIFS(d_rs_sched!$D:$D,$A24,d_rs_sched!$I:$I,$A24,d_rs_sched!$K:$K,G$1)+COUNTIFS(d_rs_sched!$D:$D,$A24,d_rs_sched!$I:$I,G$1,d_rs_sched!$K:$K,$A24)),1),1)</f>
        <v>-3.6666666666666665</v>
      </c>
      <c r="H24">
        <f>IFERROR((SUMIFS(d_rs_sched!$J:$J,d_rs_sched!$D:$D,$A24,d_rs_sched!$I:$I,$A24,d_rs_sched!$K:$K,H$1)+SUMIFS(d_rs_sched!$L:$L,d_rs_sched!$D:$D,$A24,d_rs_sched!$K:$K,$A24,d_rs_sched!$I:$I,H$1))-(SUMIFS(d_rs_sched!$L:$L,d_rs_sched!$D:$D,$A24,d_rs_sched!$I:$I,$A24,d_rs_sched!$K:$K,H$1)+SUMIFS(d_rs_sched!$J:$J,d_rs_sched!$D:$D,$A24,d_rs_sched!$K:$K,$A24,d_rs_sched!$I:$I,H$1)),0)/IFERROR(IF((COUNTIFS(d_rs_sched!$D:$D,$A24,d_rs_sched!$I:$I,$A24,d_rs_sched!$K:$K,H$1)+COUNTIFS(d_rs_sched!$D:$D,$A24,d_rs_sched!$I:$I,H$1,d_rs_sched!$K:$K,$A24))&gt;0,(COUNTIFS(d_rs_sched!$D:$D,$A24,d_rs_sched!$I:$I,$A24,d_rs_sched!$K:$K,H$1)+COUNTIFS(d_rs_sched!$D:$D,$A24,d_rs_sched!$I:$I,H$1,d_rs_sched!$K:$K,$A24)),1),1)</f>
        <v>-30</v>
      </c>
      <c r="I24">
        <f>IFERROR((SUMIFS(d_rs_sched!$J:$J,d_rs_sched!$D:$D,$A24,d_rs_sched!$I:$I,$A24,d_rs_sched!$K:$K,I$1)+SUMIFS(d_rs_sched!$L:$L,d_rs_sched!$D:$D,$A24,d_rs_sched!$K:$K,$A24,d_rs_sched!$I:$I,I$1))-(SUMIFS(d_rs_sched!$L:$L,d_rs_sched!$D:$D,$A24,d_rs_sched!$I:$I,$A24,d_rs_sched!$K:$K,I$1)+SUMIFS(d_rs_sched!$J:$J,d_rs_sched!$D:$D,$A24,d_rs_sched!$K:$K,$A24,d_rs_sched!$I:$I,I$1)),0)/IFERROR(IF((COUNTIFS(d_rs_sched!$D:$D,$A24,d_rs_sched!$I:$I,$A24,d_rs_sched!$K:$K,I$1)+COUNTIFS(d_rs_sched!$D:$D,$A24,d_rs_sched!$I:$I,I$1,d_rs_sched!$K:$K,$A24))&gt;0,(COUNTIFS(d_rs_sched!$D:$D,$A24,d_rs_sched!$I:$I,$A24,d_rs_sched!$K:$K,I$1)+COUNTIFS(d_rs_sched!$D:$D,$A24,d_rs_sched!$I:$I,I$1,d_rs_sched!$K:$K,$A24)),1),1)</f>
        <v>10.5</v>
      </c>
      <c r="J24">
        <f>IFERROR((SUMIFS(d_rs_sched!$J:$J,d_rs_sched!$D:$D,$A24,d_rs_sched!$I:$I,$A24,d_rs_sched!$K:$K,J$1)+SUMIFS(d_rs_sched!$L:$L,d_rs_sched!$D:$D,$A24,d_rs_sched!$K:$K,$A24,d_rs_sched!$I:$I,J$1))-(SUMIFS(d_rs_sched!$L:$L,d_rs_sched!$D:$D,$A24,d_rs_sched!$I:$I,$A24,d_rs_sched!$K:$K,J$1)+SUMIFS(d_rs_sched!$J:$J,d_rs_sched!$D:$D,$A24,d_rs_sched!$K:$K,$A24,d_rs_sched!$I:$I,J$1)),0)/IFERROR(IF((COUNTIFS(d_rs_sched!$D:$D,$A24,d_rs_sched!$I:$I,$A24,d_rs_sched!$K:$K,J$1)+COUNTIFS(d_rs_sched!$D:$D,$A24,d_rs_sched!$I:$I,J$1,d_rs_sched!$K:$K,$A24))&gt;0,(COUNTIFS(d_rs_sched!$D:$D,$A24,d_rs_sched!$I:$I,$A24,d_rs_sched!$K:$K,J$1)+COUNTIFS(d_rs_sched!$D:$D,$A24,d_rs_sched!$I:$I,J$1,d_rs_sched!$K:$K,$A24)),1),1)</f>
        <v>5</v>
      </c>
      <c r="K24">
        <f>IFERROR((SUMIFS(d_rs_sched!$J:$J,d_rs_sched!$D:$D,$A24,d_rs_sched!$I:$I,$A24,d_rs_sched!$K:$K,K$1)+SUMIFS(d_rs_sched!$L:$L,d_rs_sched!$D:$D,$A24,d_rs_sched!$K:$K,$A24,d_rs_sched!$I:$I,K$1))-(SUMIFS(d_rs_sched!$L:$L,d_rs_sched!$D:$D,$A24,d_rs_sched!$I:$I,$A24,d_rs_sched!$K:$K,K$1)+SUMIFS(d_rs_sched!$J:$J,d_rs_sched!$D:$D,$A24,d_rs_sched!$K:$K,$A24,d_rs_sched!$I:$I,K$1)),0)/IFERROR(IF((COUNTIFS(d_rs_sched!$D:$D,$A24,d_rs_sched!$I:$I,$A24,d_rs_sched!$K:$K,K$1)+COUNTIFS(d_rs_sched!$D:$D,$A24,d_rs_sched!$I:$I,K$1,d_rs_sched!$K:$K,$A24))&gt;0,(COUNTIFS(d_rs_sched!$D:$D,$A24,d_rs_sched!$I:$I,$A24,d_rs_sched!$K:$K,K$1)+COUNTIFS(d_rs_sched!$D:$D,$A24,d_rs_sched!$I:$I,K$1,d_rs_sched!$K:$K,$A24)),1),1)</f>
        <v>-22.5</v>
      </c>
      <c r="L24">
        <f>IFERROR((SUMIFS(d_rs_sched!$J:$J,d_rs_sched!$D:$D,$A24,d_rs_sched!$I:$I,$A24,d_rs_sched!$K:$K,L$1)+SUMIFS(d_rs_sched!$L:$L,d_rs_sched!$D:$D,$A24,d_rs_sched!$K:$K,$A24,d_rs_sched!$I:$I,L$1))-(SUMIFS(d_rs_sched!$L:$L,d_rs_sched!$D:$D,$A24,d_rs_sched!$I:$I,$A24,d_rs_sched!$K:$K,L$1)+SUMIFS(d_rs_sched!$J:$J,d_rs_sched!$D:$D,$A24,d_rs_sched!$K:$K,$A24,d_rs_sched!$I:$I,L$1)),0)/IFERROR(IF((COUNTIFS(d_rs_sched!$D:$D,$A24,d_rs_sched!$I:$I,$A24,d_rs_sched!$K:$K,L$1)+COUNTIFS(d_rs_sched!$D:$D,$A24,d_rs_sched!$I:$I,L$1,d_rs_sched!$K:$K,$A24))&gt;0,(COUNTIFS(d_rs_sched!$D:$D,$A24,d_rs_sched!$I:$I,$A24,d_rs_sched!$K:$K,L$1)+COUNTIFS(d_rs_sched!$D:$D,$A24,d_rs_sched!$I:$I,L$1,d_rs_sched!$K:$K,$A24)),1),1)</f>
        <v>-6</v>
      </c>
      <c r="M24">
        <f>IFERROR((SUMIFS(d_rs_sched!$J:$J,d_rs_sched!$D:$D,$A24,d_rs_sched!$I:$I,$A24,d_rs_sched!$K:$K,M$1)+SUMIFS(d_rs_sched!$L:$L,d_rs_sched!$D:$D,$A24,d_rs_sched!$K:$K,$A24,d_rs_sched!$I:$I,M$1))-(SUMIFS(d_rs_sched!$L:$L,d_rs_sched!$D:$D,$A24,d_rs_sched!$I:$I,$A24,d_rs_sched!$K:$K,M$1)+SUMIFS(d_rs_sched!$J:$J,d_rs_sched!$D:$D,$A24,d_rs_sched!$K:$K,$A24,d_rs_sched!$I:$I,M$1)),0)/IFERROR(IF((COUNTIFS(d_rs_sched!$D:$D,$A24,d_rs_sched!$I:$I,$A24,d_rs_sched!$K:$K,M$1)+COUNTIFS(d_rs_sched!$D:$D,$A24,d_rs_sched!$I:$I,M$1,d_rs_sched!$K:$K,$A24))&gt;0,(COUNTIFS(d_rs_sched!$D:$D,$A24,d_rs_sched!$I:$I,$A24,d_rs_sched!$K:$K,M$1)+COUNTIFS(d_rs_sched!$D:$D,$A24,d_rs_sched!$I:$I,M$1,d_rs_sched!$K:$K,$A24)),1),1)</f>
        <v>-10.5</v>
      </c>
      <c r="N24">
        <f>IFERROR((SUMIFS(d_rs_sched!$J:$J,d_rs_sched!$D:$D,$A24,d_rs_sched!$I:$I,$A24,d_rs_sched!$K:$K,N$1)+SUMIFS(d_rs_sched!$L:$L,d_rs_sched!$D:$D,$A24,d_rs_sched!$K:$K,$A24,d_rs_sched!$I:$I,N$1))-(SUMIFS(d_rs_sched!$L:$L,d_rs_sched!$D:$D,$A24,d_rs_sched!$I:$I,$A24,d_rs_sched!$K:$K,N$1)+SUMIFS(d_rs_sched!$J:$J,d_rs_sched!$D:$D,$A24,d_rs_sched!$K:$K,$A24,d_rs_sched!$I:$I,N$1)),0)/IFERROR(IF((COUNTIFS(d_rs_sched!$D:$D,$A24,d_rs_sched!$I:$I,$A24,d_rs_sched!$K:$K,N$1)+COUNTIFS(d_rs_sched!$D:$D,$A24,d_rs_sched!$I:$I,N$1,d_rs_sched!$K:$K,$A24))&gt;0,(COUNTIFS(d_rs_sched!$D:$D,$A24,d_rs_sched!$I:$I,$A24,d_rs_sched!$K:$K,N$1)+COUNTIFS(d_rs_sched!$D:$D,$A24,d_rs_sched!$I:$I,N$1,d_rs_sched!$K:$K,$A24)),1),1)</f>
        <v>-28.5</v>
      </c>
      <c r="O24">
        <f>IFERROR((SUMIFS(d_rs_sched!$J:$J,d_rs_sched!$D:$D,$A24,d_rs_sched!$I:$I,$A24,d_rs_sched!$K:$K,O$1)+SUMIFS(d_rs_sched!$L:$L,d_rs_sched!$D:$D,$A24,d_rs_sched!$K:$K,$A24,d_rs_sched!$I:$I,O$1))-(SUMIFS(d_rs_sched!$L:$L,d_rs_sched!$D:$D,$A24,d_rs_sched!$I:$I,$A24,d_rs_sched!$K:$K,O$1)+SUMIFS(d_rs_sched!$J:$J,d_rs_sched!$D:$D,$A24,d_rs_sched!$K:$K,$A24,d_rs_sched!$I:$I,O$1)),0)/IFERROR(IF((COUNTIFS(d_rs_sched!$D:$D,$A24,d_rs_sched!$I:$I,$A24,d_rs_sched!$K:$K,O$1)+COUNTIFS(d_rs_sched!$D:$D,$A24,d_rs_sched!$I:$I,O$1,d_rs_sched!$K:$K,$A24))&gt;0,(COUNTIFS(d_rs_sched!$D:$D,$A24,d_rs_sched!$I:$I,$A24,d_rs_sched!$K:$K,O$1)+COUNTIFS(d_rs_sched!$D:$D,$A24,d_rs_sched!$I:$I,O$1,d_rs_sched!$K:$K,$A24)),1),1)</f>
        <v>-8</v>
      </c>
      <c r="P24">
        <f>IFERROR((SUMIFS(d_rs_sched!$J:$J,d_rs_sched!$D:$D,$A24,d_rs_sched!$I:$I,$A24,d_rs_sched!$K:$K,P$1)+SUMIFS(d_rs_sched!$L:$L,d_rs_sched!$D:$D,$A24,d_rs_sched!$K:$K,$A24,d_rs_sched!$I:$I,P$1))-(SUMIFS(d_rs_sched!$L:$L,d_rs_sched!$D:$D,$A24,d_rs_sched!$I:$I,$A24,d_rs_sched!$K:$K,P$1)+SUMIFS(d_rs_sched!$J:$J,d_rs_sched!$D:$D,$A24,d_rs_sched!$K:$K,$A24,d_rs_sched!$I:$I,P$1)),0)/IFERROR(IF((COUNTIFS(d_rs_sched!$D:$D,$A24,d_rs_sched!$I:$I,$A24,d_rs_sched!$K:$K,P$1)+COUNTIFS(d_rs_sched!$D:$D,$A24,d_rs_sched!$I:$I,P$1,d_rs_sched!$K:$K,$A24))&gt;0,(COUNTIFS(d_rs_sched!$D:$D,$A24,d_rs_sched!$I:$I,$A24,d_rs_sched!$K:$K,P$1)+COUNTIFS(d_rs_sched!$D:$D,$A24,d_rs_sched!$I:$I,P$1,d_rs_sched!$K:$K,$A24)),1),1)</f>
        <v>-11.5</v>
      </c>
      <c r="Q24">
        <f>IFERROR((SUMIFS(d_rs_sched!$J:$J,d_rs_sched!$D:$D,$A24,d_rs_sched!$I:$I,$A24,d_rs_sched!$K:$K,Q$1)+SUMIFS(d_rs_sched!$L:$L,d_rs_sched!$D:$D,$A24,d_rs_sched!$K:$K,$A24,d_rs_sched!$I:$I,Q$1))-(SUMIFS(d_rs_sched!$L:$L,d_rs_sched!$D:$D,$A24,d_rs_sched!$I:$I,$A24,d_rs_sched!$K:$K,Q$1)+SUMIFS(d_rs_sched!$J:$J,d_rs_sched!$D:$D,$A24,d_rs_sched!$K:$K,$A24,d_rs_sched!$I:$I,Q$1)),0)/IFERROR(IF((COUNTIFS(d_rs_sched!$D:$D,$A24,d_rs_sched!$I:$I,$A24,d_rs_sched!$K:$K,Q$1)+COUNTIFS(d_rs_sched!$D:$D,$A24,d_rs_sched!$I:$I,Q$1,d_rs_sched!$K:$K,$A24))&gt;0,(COUNTIFS(d_rs_sched!$D:$D,$A24,d_rs_sched!$I:$I,$A24,d_rs_sched!$K:$K,Q$1)+COUNTIFS(d_rs_sched!$D:$D,$A24,d_rs_sched!$I:$I,Q$1,d_rs_sched!$K:$K,$A24)),1),1)</f>
        <v>-7.25</v>
      </c>
      <c r="R24">
        <f>IFERROR((SUMIFS(d_rs_sched!$J:$J,d_rs_sched!$D:$D,$A24,d_rs_sched!$I:$I,$A24,d_rs_sched!$K:$K,R$1)+SUMIFS(d_rs_sched!$L:$L,d_rs_sched!$D:$D,$A24,d_rs_sched!$K:$K,$A24,d_rs_sched!$I:$I,R$1))-(SUMIFS(d_rs_sched!$L:$L,d_rs_sched!$D:$D,$A24,d_rs_sched!$I:$I,$A24,d_rs_sched!$K:$K,R$1)+SUMIFS(d_rs_sched!$J:$J,d_rs_sched!$D:$D,$A24,d_rs_sched!$K:$K,$A24,d_rs_sched!$I:$I,R$1)),0)/IFERROR(IF((COUNTIFS(d_rs_sched!$D:$D,$A24,d_rs_sched!$I:$I,$A24,d_rs_sched!$K:$K,R$1)+COUNTIFS(d_rs_sched!$D:$D,$A24,d_rs_sched!$I:$I,R$1,d_rs_sched!$K:$K,$A24))&gt;0,(COUNTIFS(d_rs_sched!$D:$D,$A24,d_rs_sched!$I:$I,$A24,d_rs_sched!$K:$K,R$1)+COUNTIFS(d_rs_sched!$D:$D,$A24,d_rs_sched!$I:$I,R$1,d_rs_sched!$K:$K,$A24)),1),1)</f>
        <v>-14.5</v>
      </c>
      <c r="S24">
        <f>IFERROR((SUMIFS(d_rs_sched!$J:$J,d_rs_sched!$D:$D,$A24,d_rs_sched!$I:$I,$A24,d_rs_sched!$K:$K,S$1)+SUMIFS(d_rs_sched!$L:$L,d_rs_sched!$D:$D,$A24,d_rs_sched!$K:$K,$A24,d_rs_sched!$I:$I,S$1))-(SUMIFS(d_rs_sched!$L:$L,d_rs_sched!$D:$D,$A24,d_rs_sched!$I:$I,$A24,d_rs_sched!$K:$K,S$1)+SUMIFS(d_rs_sched!$J:$J,d_rs_sched!$D:$D,$A24,d_rs_sched!$K:$K,$A24,d_rs_sched!$I:$I,S$1)),0)/IFERROR(IF((COUNTIFS(d_rs_sched!$D:$D,$A24,d_rs_sched!$I:$I,$A24,d_rs_sched!$K:$K,S$1)+COUNTIFS(d_rs_sched!$D:$D,$A24,d_rs_sched!$I:$I,S$1,d_rs_sched!$K:$K,$A24))&gt;0,(COUNTIFS(d_rs_sched!$D:$D,$A24,d_rs_sched!$I:$I,$A24,d_rs_sched!$K:$K,S$1)+COUNTIFS(d_rs_sched!$D:$D,$A24,d_rs_sched!$I:$I,S$1,d_rs_sched!$K:$K,$A24)),1),1)</f>
        <v>8.5</v>
      </c>
      <c r="T24">
        <f>IFERROR((SUMIFS(d_rs_sched!$J:$J,d_rs_sched!$D:$D,$A24,d_rs_sched!$I:$I,$A24,d_rs_sched!$K:$K,T$1)+SUMIFS(d_rs_sched!$L:$L,d_rs_sched!$D:$D,$A24,d_rs_sched!$K:$K,$A24,d_rs_sched!$I:$I,T$1))-(SUMIFS(d_rs_sched!$L:$L,d_rs_sched!$D:$D,$A24,d_rs_sched!$I:$I,$A24,d_rs_sched!$K:$K,T$1)+SUMIFS(d_rs_sched!$J:$J,d_rs_sched!$D:$D,$A24,d_rs_sched!$K:$K,$A24,d_rs_sched!$I:$I,T$1)),0)/IFERROR(IF((COUNTIFS(d_rs_sched!$D:$D,$A24,d_rs_sched!$I:$I,$A24,d_rs_sched!$K:$K,T$1)+COUNTIFS(d_rs_sched!$D:$D,$A24,d_rs_sched!$I:$I,T$1,d_rs_sched!$K:$K,$A24))&gt;0,(COUNTIFS(d_rs_sched!$D:$D,$A24,d_rs_sched!$I:$I,$A24,d_rs_sched!$K:$K,T$1)+COUNTIFS(d_rs_sched!$D:$D,$A24,d_rs_sched!$I:$I,T$1,d_rs_sched!$K:$K,$A24)),1),1)</f>
        <v>-5</v>
      </c>
      <c r="U24">
        <f>IFERROR((SUMIFS(d_rs_sched!$J:$J,d_rs_sched!$D:$D,$A24,d_rs_sched!$I:$I,$A24,d_rs_sched!$K:$K,U$1)+SUMIFS(d_rs_sched!$L:$L,d_rs_sched!$D:$D,$A24,d_rs_sched!$K:$K,$A24,d_rs_sched!$I:$I,U$1))-(SUMIFS(d_rs_sched!$L:$L,d_rs_sched!$D:$D,$A24,d_rs_sched!$I:$I,$A24,d_rs_sched!$K:$K,U$1)+SUMIFS(d_rs_sched!$J:$J,d_rs_sched!$D:$D,$A24,d_rs_sched!$K:$K,$A24,d_rs_sched!$I:$I,U$1)),0)/IFERROR(IF((COUNTIFS(d_rs_sched!$D:$D,$A24,d_rs_sched!$I:$I,$A24,d_rs_sched!$K:$K,U$1)+COUNTIFS(d_rs_sched!$D:$D,$A24,d_rs_sched!$I:$I,U$1,d_rs_sched!$K:$K,$A24))&gt;0,(COUNTIFS(d_rs_sched!$D:$D,$A24,d_rs_sched!$I:$I,$A24,d_rs_sched!$K:$K,U$1)+COUNTIFS(d_rs_sched!$D:$D,$A24,d_rs_sched!$I:$I,U$1,d_rs_sched!$K:$K,$A24)),1),1)</f>
        <v>-2.25</v>
      </c>
      <c r="V24">
        <f>IFERROR((SUMIFS(d_rs_sched!$J:$J,d_rs_sched!$D:$D,$A24,d_rs_sched!$I:$I,$A24,d_rs_sched!$K:$K,V$1)+SUMIFS(d_rs_sched!$L:$L,d_rs_sched!$D:$D,$A24,d_rs_sched!$K:$K,$A24,d_rs_sched!$I:$I,V$1))-(SUMIFS(d_rs_sched!$L:$L,d_rs_sched!$D:$D,$A24,d_rs_sched!$I:$I,$A24,d_rs_sched!$K:$K,V$1)+SUMIFS(d_rs_sched!$J:$J,d_rs_sched!$D:$D,$A24,d_rs_sched!$K:$K,$A24,d_rs_sched!$I:$I,V$1)),0)/IFERROR(IF((COUNTIFS(d_rs_sched!$D:$D,$A24,d_rs_sched!$I:$I,$A24,d_rs_sched!$K:$K,V$1)+COUNTIFS(d_rs_sched!$D:$D,$A24,d_rs_sched!$I:$I,V$1,d_rs_sched!$K:$K,$A24))&gt;0,(COUNTIFS(d_rs_sched!$D:$D,$A24,d_rs_sched!$I:$I,$A24,d_rs_sched!$K:$K,V$1)+COUNTIFS(d_rs_sched!$D:$D,$A24,d_rs_sched!$I:$I,V$1,d_rs_sched!$K:$K,$A24)),1),1)</f>
        <v>-8.5</v>
      </c>
      <c r="W24">
        <f>IFERROR((SUMIFS(d_rs_sched!$J:$J,d_rs_sched!$D:$D,$A24,d_rs_sched!$I:$I,$A24,d_rs_sched!$K:$K,W$1)+SUMIFS(d_rs_sched!$L:$L,d_rs_sched!$D:$D,$A24,d_rs_sched!$K:$K,$A24,d_rs_sched!$I:$I,W$1))-(SUMIFS(d_rs_sched!$L:$L,d_rs_sched!$D:$D,$A24,d_rs_sched!$I:$I,$A24,d_rs_sched!$K:$K,W$1)+SUMIFS(d_rs_sched!$J:$J,d_rs_sched!$D:$D,$A24,d_rs_sched!$K:$K,$A24,d_rs_sched!$I:$I,W$1)),0)/IFERROR(IF((COUNTIFS(d_rs_sched!$D:$D,$A24,d_rs_sched!$I:$I,$A24,d_rs_sched!$K:$K,W$1)+COUNTIFS(d_rs_sched!$D:$D,$A24,d_rs_sched!$I:$I,W$1,d_rs_sched!$K:$K,$A24))&gt;0,(COUNTIFS(d_rs_sched!$D:$D,$A24,d_rs_sched!$I:$I,$A24,d_rs_sched!$K:$K,W$1)+COUNTIFS(d_rs_sched!$D:$D,$A24,d_rs_sched!$I:$I,W$1,d_rs_sched!$K:$K,$A24)),1),1)</f>
        <v>0.33333333333333331</v>
      </c>
      <c r="X24">
        <f>IFERROR((SUMIFS(d_rs_sched!$J:$J,d_rs_sched!$D:$D,$A24,d_rs_sched!$I:$I,$A24,d_rs_sched!$K:$K,X$1)+SUMIFS(d_rs_sched!$L:$L,d_rs_sched!$D:$D,$A24,d_rs_sched!$K:$K,$A24,d_rs_sched!$I:$I,X$1))-(SUMIFS(d_rs_sched!$L:$L,d_rs_sched!$D:$D,$A24,d_rs_sched!$I:$I,$A24,d_rs_sched!$K:$K,X$1)+SUMIFS(d_rs_sched!$J:$J,d_rs_sched!$D:$D,$A24,d_rs_sched!$K:$K,$A24,d_rs_sched!$I:$I,X$1)),0)/IFERROR(IF((COUNTIFS(d_rs_sched!$D:$D,$A24,d_rs_sched!$I:$I,$A24,d_rs_sched!$K:$K,X$1)+COUNTIFS(d_rs_sched!$D:$D,$A24,d_rs_sched!$I:$I,X$1,d_rs_sched!$K:$K,$A24))&gt;0,(COUNTIFS(d_rs_sched!$D:$D,$A24,d_rs_sched!$I:$I,$A24,d_rs_sched!$K:$K,X$1)+COUNTIFS(d_rs_sched!$D:$D,$A24,d_rs_sched!$I:$I,X$1,d_rs_sched!$K:$K,$A24)),1),1)</f>
        <v>0</v>
      </c>
      <c r="Y24">
        <f>IFERROR((SUMIFS(d_rs_sched!$J:$J,d_rs_sched!$D:$D,$A24,d_rs_sched!$I:$I,$A24,d_rs_sched!$K:$K,Y$1)+SUMIFS(d_rs_sched!$L:$L,d_rs_sched!$D:$D,$A24,d_rs_sched!$K:$K,$A24,d_rs_sched!$I:$I,Y$1))-(SUMIFS(d_rs_sched!$L:$L,d_rs_sched!$D:$D,$A24,d_rs_sched!$I:$I,$A24,d_rs_sched!$K:$K,Y$1)+SUMIFS(d_rs_sched!$J:$J,d_rs_sched!$D:$D,$A24,d_rs_sched!$K:$K,$A24,d_rs_sched!$I:$I,Y$1)),0)/IFERROR(IF((COUNTIFS(d_rs_sched!$D:$D,$A24,d_rs_sched!$I:$I,$A24,d_rs_sched!$K:$K,Y$1)+COUNTIFS(d_rs_sched!$D:$D,$A24,d_rs_sched!$I:$I,Y$1,d_rs_sched!$K:$K,$A24))&gt;0,(COUNTIFS(d_rs_sched!$D:$D,$A24,d_rs_sched!$I:$I,$A24,d_rs_sched!$K:$K,Y$1)+COUNTIFS(d_rs_sched!$D:$D,$A24,d_rs_sched!$I:$I,Y$1,d_rs_sched!$K:$K,$A24)),1),1)</f>
        <v>-21</v>
      </c>
      <c r="Z24">
        <f>IFERROR((SUMIFS(d_rs_sched!$J:$J,d_rs_sched!$D:$D,$A24,d_rs_sched!$I:$I,$A24,d_rs_sched!$K:$K,Z$1)+SUMIFS(d_rs_sched!$L:$L,d_rs_sched!$D:$D,$A24,d_rs_sched!$K:$K,$A24,d_rs_sched!$I:$I,Z$1))-(SUMIFS(d_rs_sched!$L:$L,d_rs_sched!$D:$D,$A24,d_rs_sched!$I:$I,$A24,d_rs_sched!$K:$K,Z$1)+SUMIFS(d_rs_sched!$J:$J,d_rs_sched!$D:$D,$A24,d_rs_sched!$K:$K,$A24,d_rs_sched!$I:$I,Z$1)),0)/IFERROR(IF((COUNTIFS(d_rs_sched!$D:$D,$A24,d_rs_sched!$I:$I,$A24,d_rs_sched!$K:$K,Z$1)+COUNTIFS(d_rs_sched!$D:$D,$A24,d_rs_sched!$I:$I,Z$1,d_rs_sched!$K:$K,$A24))&gt;0,(COUNTIFS(d_rs_sched!$D:$D,$A24,d_rs_sched!$I:$I,$A24,d_rs_sched!$K:$K,Z$1)+COUNTIFS(d_rs_sched!$D:$D,$A24,d_rs_sched!$I:$I,Z$1,d_rs_sched!$K:$K,$A24)),1),1)</f>
        <v>-15.5</v>
      </c>
      <c r="AA24">
        <f>IFERROR((SUMIFS(d_rs_sched!$J:$J,d_rs_sched!$D:$D,$A24,d_rs_sched!$I:$I,$A24,d_rs_sched!$K:$K,AA$1)+SUMIFS(d_rs_sched!$L:$L,d_rs_sched!$D:$D,$A24,d_rs_sched!$K:$K,$A24,d_rs_sched!$I:$I,AA$1))-(SUMIFS(d_rs_sched!$L:$L,d_rs_sched!$D:$D,$A24,d_rs_sched!$I:$I,$A24,d_rs_sched!$K:$K,AA$1)+SUMIFS(d_rs_sched!$J:$J,d_rs_sched!$D:$D,$A24,d_rs_sched!$K:$K,$A24,d_rs_sched!$I:$I,AA$1)),0)/IFERROR(IF((COUNTIFS(d_rs_sched!$D:$D,$A24,d_rs_sched!$I:$I,$A24,d_rs_sched!$K:$K,AA$1)+COUNTIFS(d_rs_sched!$D:$D,$A24,d_rs_sched!$I:$I,AA$1,d_rs_sched!$K:$K,$A24))&gt;0,(COUNTIFS(d_rs_sched!$D:$D,$A24,d_rs_sched!$I:$I,$A24,d_rs_sched!$K:$K,AA$1)+COUNTIFS(d_rs_sched!$D:$D,$A24,d_rs_sched!$I:$I,AA$1,d_rs_sched!$K:$K,$A24)),1),1)</f>
        <v>-15.5</v>
      </c>
      <c r="AB24">
        <f>IFERROR((SUMIFS(d_rs_sched!$J:$J,d_rs_sched!$D:$D,$A24,d_rs_sched!$I:$I,$A24,d_rs_sched!$K:$K,AB$1)+SUMIFS(d_rs_sched!$L:$L,d_rs_sched!$D:$D,$A24,d_rs_sched!$K:$K,$A24,d_rs_sched!$I:$I,AB$1))-(SUMIFS(d_rs_sched!$L:$L,d_rs_sched!$D:$D,$A24,d_rs_sched!$I:$I,$A24,d_rs_sched!$K:$K,AB$1)+SUMIFS(d_rs_sched!$J:$J,d_rs_sched!$D:$D,$A24,d_rs_sched!$K:$K,$A24,d_rs_sched!$I:$I,AB$1)),0)/IFERROR(IF((COUNTIFS(d_rs_sched!$D:$D,$A24,d_rs_sched!$I:$I,$A24,d_rs_sched!$K:$K,AB$1)+COUNTIFS(d_rs_sched!$D:$D,$A24,d_rs_sched!$I:$I,AB$1,d_rs_sched!$K:$K,$A24))&gt;0,(COUNTIFS(d_rs_sched!$D:$D,$A24,d_rs_sched!$I:$I,$A24,d_rs_sched!$K:$K,AB$1)+COUNTIFS(d_rs_sched!$D:$D,$A24,d_rs_sched!$I:$I,AB$1,d_rs_sched!$K:$K,$A24)),1),1)</f>
        <v>3</v>
      </c>
      <c r="AC24">
        <f>IFERROR((SUMIFS(d_rs_sched!$J:$J,d_rs_sched!$D:$D,$A24,d_rs_sched!$I:$I,$A24,d_rs_sched!$K:$K,AC$1)+SUMIFS(d_rs_sched!$L:$L,d_rs_sched!$D:$D,$A24,d_rs_sched!$K:$K,$A24,d_rs_sched!$I:$I,AC$1))-(SUMIFS(d_rs_sched!$L:$L,d_rs_sched!$D:$D,$A24,d_rs_sched!$I:$I,$A24,d_rs_sched!$K:$K,AC$1)+SUMIFS(d_rs_sched!$J:$J,d_rs_sched!$D:$D,$A24,d_rs_sched!$K:$K,$A24,d_rs_sched!$I:$I,AC$1)),0)/IFERROR(IF((COUNTIFS(d_rs_sched!$D:$D,$A24,d_rs_sched!$I:$I,$A24,d_rs_sched!$K:$K,AC$1)+COUNTIFS(d_rs_sched!$D:$D,$A24,d_rs_sched!$I:$I,AC$1,d_rs_sched!$K:$K,$A24))&gt;0,(COUNTIFS(d_rs_sched!$D:$D,$A24,d_rs_sched!$I:$I,$A24,d_rs_sched!$K:$K,AC$1)+COUNTIFS(d_rs_sched!$D:$D,$A24,d_rs_sched!$I:$I,AC$1,d_rs_sched!$K:$K,$A24)),1),1)</f>
        <v>-16</v>
      </c>
      <c r="AD24">
        <f>IFERROR((SUMIFS(d_rs_sched!$J:$J,d_rs_sched!$D:$D,$A24,d_rs_sched!$I:$I,$A24,d_rs_sched!$K:$K,AD$1)+SUMIFS(d_rs_sched!$L:$L,d_rs_sched!$D:$D,$A24,d_rs_sched!$K:$K,$A24,d_rs_sched!$I:$I,AD$1))-(SUMIFS(d_rs_sched!$L:$L,d_rs_sched!$D:$D,$A24,d_rs_sched!$I:$I,$A24,d_rs_sched!$K:$K,AD$1)+SUMIFS(d_rs_sched!$J:$J,d_rs_sched!$D:$D,$A24,d_rs_sched!$K:$K,$A24,d_rs_sched!$I:$I,AD$1)),0)/IFERROR(IF((COUNTIFS(d_rs_sched!$D:$D,$A24,d_rs_sched!$I:$I,$A24,d_rs_sched!$K:$K,AD$1)+COUNTIFS(d_rs_sched!$D:$D,$A24,d_rs_sched!$I:$I,AD$1,d_rs_sched!$K:$K,$A24))&gt;0,(COUNTIFS(d_rs_sched!$D:$D,$A24,d_rs_sched!$I:$I,$A24,d_rs_sched!$K:$K,AD$1)+COUNTIFS(d_rs_sched!$D:$D,$A24,d_rs_sched!$I:$I,AD$1,d_rs_sched!$K:$K,$A24)),1),1)</f>
        <v>-11.5</v>
      </c>
      <c r="AE24">
        <f>IFERROR((SUMIFS(d_rs_sched!$J:$J,d_rs_sched!$D:$D,$A24,d_rs_sched!$I:$I,$A24,d_rs_sched!$K:$K,AE$1)+SUMIFS(d_rs_sched!$L:$L,d_rs_sched!$D:$D,$A24,d_rs_sched!$K:$K,$A24,d_rs_sched!$I:$I,AE$1))-(SUMIFS(d_rs_sched!$L:$L,d_rs_sched!$D:$D,$A24,d_rs_sched!$I:$I,$A24,d_rs_sched!$K:$K,AE$1)+SUMIFS(d_rs_sched!$J:$J,d_rs_sched!$D:$D,$A24,d_rs_sched!$K:$K,$A24,d_rs_sched!$I:$I,AE$1)),0)/IFERROR(IF((COUNTIFS(d_rs_sched!$D:$D,$A24,d_rs_sched!$I:$I,$A24,d_rs_sched!$K:$K,AE$1)+COUNTIFS(d_rs_sched!$D:$D,$A24,d_rs_sched!$I:$I,AE$1,d_rs_sched!$K:$K,$A24))&gt;0,(COUNTIFS(d_rs_sched!$D:$D,$A24,d_rs_sched!$I:$I,$A24,d_rs_sched!$K:$K,AE$1)+COUNTIFS(d_rs_sched!$D:$D,$A24,d_rs_sched!$I:$I,AE$1,d_rs_sched!$K:$K,$A24)),1),1)</f>
        <v>-17.25</v>
      </c>
      <c r="AG24" t="s">
        <v>21</v>
      </c>
      <c r="AH24">
        <v>0.96236381334560783</v>
      </c>
      <c r="AI24">
        <f t="shared" si="0"/>
        <v>23</v>
      </c>
    </row>
    <row r="25" spans="1:35" x14ac:dyDescent="0.25">
      <c r="A25" t="s">
        <v>35</v>
      </c>
      <c r="B25">
        <f>IFERROR((SUMIFS(d_rs_sched!$J:$J,d_rs_sched!$D:$D,$A25,d_rs_sched!$I:$I,$A25,d_rs_sched!$K:$K,B$1)+SUMIFS(d_rs_sched!$L:$L,d_rs_sched!$D:$D,$A25,d_rs_sched!$K:$K,$A25,d_rs_sched!$I:$I,B$1))-(SUMIFS(d_rs_sched!$L:$L,d_rs_sched!$D:$D,$A25,d_rs_sched!$I:$I,$A25,d_rs_sched!$K:$K,B$1)+SUMIFS(d_rs_sched!$J:$J,d_rs_sched!$D:$D,$A25,d_rs_sched!$K:$K,$A25,d_rs_sched!$I:$I,B$1)),0)/IFERROR(IF((COUNTIFS(d_rs_sched!$D:$D,$A25,d_rs_sched!$I:$I,$A25,d_rs_sched!$K:$K,B$1)+COUNTIFS(d_rs_sched!$D:$D,$A25,d_rs_sched!$I:$I,B$1,d_rs_sched!$K:$K,$A25))&gt;0,(COUNTIFS(d_rs_sched!$D:$D,$A25,d_rs_sched!$I:$I,$A25,d_rs_sched!$K:$K,B$1)+COUNTIFS(d_rs_sched!$D:$D,$A25,d_rs_sched!$I:$I,B$1,d_rs_sched!$K:$K,$A25)),1),1)</f>
        <v>-18</v>
      </c>
      <c r="C25">
        <f>IFERROR((SUMIFS(d_rs_sched!$J:$J,d_rs_sched!$D:$D,$A25,d_rs_sched!$I:$I,$A25,d_rs_sched!$K:$K,C$1)+SUMIFS(d_rs_sched!$L:$L,d_rs_sched!$D:$D,$A25,d_rs_sched!$K:$K,$A25,d_rs_sched!$I:$I,C$1))-(SUMIFS(d_rs_sched!$L:$L,d_rs_sched!$D:$D,$A25,d_rs_sched!$I:$I,$A25,d_rs_sched!$K:$K,C$1)+SUMIFS(d_rs_sched!$J:$J,d_rs_sched!$D:$D,$A25,d_rs_sched!$K:$K,$A25,d_rs_sched!$I:$I,C$1)),0)/IFERROR(IF((COUNTIFS(d_rs_sched!$D:$D,$A25,d_rs_sched!$I:$I,$A25,d_rs_sched!$K:$K,C$1)+COUNTIFS(d_rs_sched!$D:$D,$A25,d_rs_sched!$I:$I,C$1,d_rs_sched!$K:$K,$A25))&gt;0,(COUNTIFS(d_rs_sched!$D:$D,$A25,d_rs_sched!$I:$I,$A25,d_rs_sched!$K:$K,C$1)+COUNTIFS(d_rs_sched!$D:$D,$A25,d_rs_sched!$I:$I,C$1,d_rs_sched!$K:$K,$A25)),1),1)</f>
        <v>8</v>
      </c>
      <c r="D25">
        <f>IFERROR((SUMIFS(d_rs_sched!$J:$J,d_rs_sched!$D:$D,$A25,d_rs_sched!$I:$I,$A25,d_rs_sched!$K:$K,D$1)+SUMIFS(d_rs_sched!$L:$L,d_rs_sched!$D:$D,$A25,d_rs_sched!$K:$K,$A25,d_rs_sched!$I:$I,D$1))-(SUMIFS(d_rs_sched!$L:$L,d_rs_sched!$D:$D,$A25,d_rs_sched!$I:$I,$A25,d_rs_sched!$K:$K,D$1)+SUMIFS(d_rs_sched!$J:$J,d_rs_sched!$D:$D,$A25,d_rs_sched!$K:$K,$A25,d_rs_sched!$I:$I,D$1)),0)/IFERROR(IF((COUNTIFS(d_rs_sched!$D:$D,$A25,d_rs_sched!$I:$I,$A25,d_rs_sched!$K:$K,D$1)+COUNTIFS(d_rs_sched!$D:$D,$A25,d_rs_sched!$I:$I,D$1,d_rs_sched!$K:$K,$A25))&gt;0,(COUNTIFS(d_rs_sched!$D:$D,$A25,d_rs_sched!$I:$I,$A25,d_rs_sched!$K:$K,D$1)+COUNTIFS(d_rs_sched!$D:$D,$A25,d_rs_sched!$I:$I,D$1,d_rs_sched!$K:$K,$A25)),1),1)</f>
        <v>-0.5</v>
      </c>
      <c r="E25">
        <f>IFERROR((SUMIFS(d_rs_sched!$J:$J,d_rs_sched!$D:$D,$A25,d_rs_sched!$I:$I,$A25,d_rs_sched!$K:$K,E$1)+SUMIFS(d_rs_sched!$L:$L,d_rs_sched!$D:$D,$A25,d_rs_sched!$K:$K,$A25,d_rs_sched!$I:$I,E$1))-(SUMIFS(d_rs_sched!$L:$L,d_rs_sched!$D:$D,$A25,d_rs_sched!$I:$I,$A25,d_rs_sched!$K:$K,E$1)+SUMIFS(d_rs_sched!$J:$J,d_rs_sched!$D:$D,$A25,d_rs_sched!$K:$K,$A25,d_rs_sched!$I:$I,E$1)),0)/IFERROR(IF((COUNTIFS(d_rs_sched!$D:$D,$A25,d_rs_sched!$I:$I,$A25,d_rs_sched!$K:$K,E$1)+COUNTIFS(d_rs_sched!$D:$D,$A25,d_rs_sched!$I:$I,E$1,d_rs_sched!$K:$K,$A25))&gt;0,(COUNTIFS(d_rs_sched!$D:$D,$A25,d_rs_sched!$I:$I,$A25,d_rs_sched!$K:$K,E$1)+COUNTIFS(d_rs_sched!$D:$D,$A25,d_rs_sched!$I:$I,E$1,d_rs_sched!$K:$K,$A25)),1),1)</f>
        <v>-1.5</v>
      </c>
      <c r="F25">
        <f>IFERROR((SUMIFS(d_rs_sched!$J:$J,d_rs_sched!$D:$D,$A25,d_rs_sched!$I:$I,$A25,d_rs_sched!$K:$K,F$1)+SUMIFS(d_rs_sched!$L:$L,d_rs_sched!$D:$D,$A25,d_rs_sched!$K:$K,$A25,d_rs_sched!$I:$I,F$1))-(SUMIFS(d_rs_sched!$L:$L,d_rs_sched!$D:$D,$A25,d_rs_sched!$I:$I,$A25,d_rs_sched!$K:$K,F$1)+SUMIFS(d_rs_sched!$J:$J,d_rs_sched!$D:$D,$A25,d_rs_sched!$K:$K,$A25,d_rs_sched!$I:$I,F$1)),0)/IFERROR(IF((COUNTIFS(d_rs_sched!$D:$D,$A25,d_rs_sched!$I:$I,$A25,d_rs_sched!$K:$K,F$1)+COUNTIFS(d_rs_sched!$D:$D,$A25,d_rs_sched!$I:$I,F$1,d_rs_sched!$K:$K,$A25))&gt;0,(COUNTIFS(d_rs_sched!$D:$D,$A25,d_rs_sched!$I:$I,$A25,d_rs_sched!$K:$K,F$1)+COUNTIFS(d_rs_sched!$D:$D,$A25,d_rs_sched!$I:$I,F$1,d_rs_sched!$K:$K,$A25)),1),1)</f>
        <v>0.5</v>
      </c>
      <c r="G25">
        <f>IFERROR((SUMIFS(d_rs_sched!$J:$J,d_rs_sched!$D:$D,$A25,d_rs_sched!$I:$I,$A25,d_rs_sched!$K:$K,G$1)+SUMIFS(d_rs_sched!$L:$L,d_rs_sched!$D:$D,$A25,d_rs_sched!$K:$K,$A25,d_rs_sched!$I:$I,G$1))-(SUMIFS(d_rs_sched!$L:$L,d_rs_sched!$D:$D,$A25,d_rs_sched!$I:$I,$A25,d_rs_sched!$K:$K,G$1)+SUMIFS(d_rs_sched!$J:$J,d_rs_sched!$D:$D,$A25,d_rs_sched!$K:$K,$A25,d_rs_sched!$I:$I,G$1)),0)/IFERROR(IF((COUNTIFS(d_rs_sched!$D:$D,$A25,d_rs_sched!$I:$I,$A25,d_rs_sched!$K:$K,G$1)+COUNTIFS(d_rs_sched!$D:$D,$A25,d_rs_sched!$I:$I,G$1,d_rs_sched!$K:$K,$A25))&gt;0,(COUNTIFS(d_rs_sched!$D:$D,$A25,d_rs_sched!$I:$I,$A25,d_rs_sched!$K:$K,G$1)+COUNTIFS(d_rs_sched!$D:$D,$A25,d_rs_sched!$I:$I,G$1,d_rs_sched!$K:$K,$A25)),1),1)</f>
        <v>-1.5</v>
      </c>
      <c r="H25">
        <f>IFERROR((SUMIFS(d_rs_sched!$J:$J,d_rs_sched!$D:$D,$A25,d_rs_sched!$I:$I,$A25,d_rs_sched!$K:$K,H$1)+SUMIFS(d_rs_sched!$L:$L,d_rs_sched!$D:$D,$A25,d_rs_sched!$K:$K,$A25,d_rs_sched!$I:$I,H$1))-(SUMIFS(d_rs_sched!$L:$L,d_rs_sched!$D:$D,$A25,d_rs_sched!$I:$I,$A25,d_rs_sched!$K:$K,H$1)+SUMIFS(d_rs_sched!$J:$J,d_rs_sched!$D:$D,$A25,d_rs_sched!$K:$K,$A25,d_rs_sched!$I:$I,H$1)),0)/IFERROR(IF((COUNTIFS(d_rs_sched!$D:$D,$A25,d_rs_sched!$I:$I,$A25,d_rs_sched!$K:$K,H$1)+COUNTIFS(d_rs_sched!$D:$D,$A25,d_rs_sched!$I:$I,H$1,d_rs_sched!$K:$K,$A25))&gt;0,(COUNTIFS(d_rs_sched!$D:$D,$A25,d_rs_sched!$I:$I,$A25,d_rs_sched!$K:$K,H$1)+COUNTIFS(d_rs_sched!$D:$D,$A25,d_rs_sched!$I:$I,H$1,d_rs_sched!$K:$K,$A25)),1),1)</f>
        <v>6</v>
      </c>
      <c r="I25">
        <f>IFERROR((SUMIFS(d_rs_sched!$J:$J,d_rs_sched!$D:$D,$A25,d_rs_sched!$I:$I,$A25,d_rs_sched!$K:$K,I$1)+SUMIFS(d_rs_sched!$L:$L,d_rs_sched!$D:$D,$A25,d_rs_sched!$K:$K,$A25,d_rs_sched!$I:$I,I$1))-(SUMIFS(d_rs_sched!$L:$L,d_rs_sched!$D:$D,$A25,d_rs_sched!$I:$I,$A25,d_rs_sched!$K:$K,I$1)+SUMIFS(d_rs_sched!$J:$J,d_rs_sched!$D:$D,$A25,d_rs_sched!$K:$K,$A25,d_rs_sched!$I:$I,I$1)),0)/IFERROR(IF((COUNTIFS(d_rs_sched!$D:$D,$A25,d_rs_sched!$I:$I,$A25,d_rs_sched!$K:$K,I$1)+COUNTIFS(d_rs_sched!$D:$D,$A25,d_rs_sched!$I:$I,I$1,d_rs_sched!$K:$K,$A25))&gt;0,(COUNTIFS(d_rs_sched!$D:$D,$A25,d_rs_sched!$I:$I,$A25,d_rs_sched!$K:$K,I$1)+COUNTIFS(d_rs_sched!$D:$D,$A25,d_rs_sched!$I:$I,I$1,d_rs_sched!$K:$K,$A25)),1),1)</f>
        <v>-1</v>
      </c>
      <c r="J25">
        <f>IFERROR((SUMIFS(d_rs_sched!$J:$J,d_rs_sched!$D:$D,$A25,d_rs_sched!$I:$I,$A25,d_rs_sched!$K:$K,J$1)+SUMIFS(d_rs_sched!$L:$L,d_rs_sched!$D:$D,$A25,d_rs_sched!$K:$K,$A25,d_rs_sched!$I:$I,J$1))-(SUMIFS(d_rs_sched!$L:$L,d_rs_sched!$D:$D,$A25,d_rs_sched!$I:$I,$A25,d_rs_sched!$K:$K,J$1)+SUMIFS(d_rs_sched!$J:$J,d_rs_sched!$D:$D,$A25,d_rs_sched!$K:$K,$A25,d_rs_sched!$I:$I,J$1)),0)/IFERROR(IF((COUNTIFS(d_rs_sched!$D:$D,$A25,d_rs_sched!$I:$I,$A25,d_rs_sched!$K:$K,J$1)+COUNTIFS(d_rs_sched!$D:$D,$A25,d_rs_sched!$I:$I,J$1,d_rs_sched!$K:$K,$A25))&gt;0,(COUNTIFS(d_rs_sched!$D:$D,$A25,d_rs_sched!$I:$I,$A25,d_rs_sched!$K:$K,J$1)+COUNTIFS(d_rs_sched!$D:$D,$A25,d_rs_sched!$I:$I,J$1,d_rs_sched!$K:$K,$A25)),1),1)</f>
        <v>0</v>
      </c>
      <c r="K25">
        <f>IFERROR((SUMIFS(d_rs_sched!$J:$J,d_rs_sched!$D:$D,$A25,d_rs_sched!$I:$I,$A25,d_rs_sched!$K:$K,K$1)+SUMIFS(d_rs_sched!$L:$L,d_rs_sched!$D:$D,$A25,d_rs_sched!$K:$K,$A25,d_rs_sched!$I:$I,K$1))-(SUMIFS(d_rs_sched!$L:$L,d_rs_sched!$D:$D,$A25,d_rs_sched!$I:$I,$A25,d_rs_sched!$K:$K,K$1)+SUMIFS(d_rs_sched!$J:$J,d_rs_sched!$D:$D,$A25,d_rs_sched!$K:$K,$A25,d_rs_sched!$I:$I,K$1)),0)/IFERROR(IF((COUNTIFS(d_rs_sched!$D:$D,$A25,d_rs_sched!$I:$I,$A25,d_rs_sched!$K:$K,K$1)+COUNTIFS(d_rs_sched!$D:$D,$A25,d_rs_sched!$I:$I,K$1,d_rs_sched!$K:$K,$A25))&gt;0,(COUNTIFS(d_rs_sched!$D:$D,$A25,d_rs_sched!$I:$I,$A25,d_rs_sched!$K:$K,K$1)+COUNTIFS(d_rs_sched!$D:$D,$A25,d_rs_sched!$I:$I,K$1,d_rs_sched!$K:$K,$A25)),1),1)</f>
        <v>-6.5</v>
      </c>
      <c r="L25">
        <f>IFERROR((SUMIFS(d_rs_sched!$J:$J,d_rs_sched!$D:$D,$A25,d_rs_sched!$I:$I,$A25,d_rs_sched!$K:$K,L$1)+SUMIFS(d_rs_sched!$L:$L,d_rs_sched!$D:$D,$A25,d_rs_sched!$K:$K,$A25,d_rs_sched!$I:$I,L$1))-(SUMIFS(d_rs_sched!$L:$L,d_rs_sched!$D:$D,$A25,d_rs_sched!$I:$I,$A25,d_rs_sched!$K:$K,L$1)+SUMIFS(d_rs_sched!$J:$J,d_rs_sched!$D:$D,$A25,d_rs_sched!$K:$K,$A25,d_rs_sched!$I:$I,L$1)),0)/IFERROR(IF((COUNTIFS(d_rs_sched!$D:$D,$A25,d_rs_sched!$I:$I,$A25,d_rs_sched!$K:$K,L$1)+COUNTIFS(d_rs_sched!$D:$D,$A25,d_rs_sched!$I:$I,L$1,d_rs_sched!$K:$K,$A25))&gt;0,(COUNTIFS(d_rs_sched!$D:$D,$A25,d_rs_sched!$I:$I,$A25,d_rs_sched!$K:$K,L$1)+COUNTIFS(d_rs_sched!$D:$D,$A25,d_rs_sched!$I:$I,L$1,d_rs_sched!$K:$K,$A25)),1),1)</f>
        <v>-0.25</v>
      </c>
      <c r="M25">
        <f>IFERROR((SUMIFS(d_rs_sched!$J:$J,d_rs_sched!$D:$D,$A25,d_rs_sched!$I:$I,$A25,d_rs_sched!$K:$K,M$1)+SUMIFS(d_rs_sched!$L:$L,d_rs_sched!$D:$D,$A25,d_rs_sched!$K:$K,$A25,d_rs_sched!$I:$I,M$1))-(SUMIFS(d_rs_sched!$L:$L,d_rs_sched!$D:$D,$A25,d_rs_sched!$I:$I,$A25,d_rs_sched!$K:$K,M$1)+SUMIFS(d_rs_sched!$J:$J,d_rs_sched!$D:$D,$A25,d_rs_sched!$K:$K,$A25,d_rs_sched!$I:$I,M$1)),0)/IFERROR(IF((COUNTIFS(d_rs_sched!$D:$D,$A25,d_rs_sched!$I:$I,$A25,d_rs_sched!$K:$K,M$1)+COUNTIFS(d_rs_sched!$D:$D,$A25,d_rs_sched!$I:$I,M$1,d_rs_sched!$K:$K,$A25))&gt;0,(COUNTIFS(d_rs_sched!$D:$D,$A25,d_rs_sched!$I:$I,$A25,d_rs_sched!$K:$K,M$1)+COUNTIFS(d_rs_sched!$D:$D,$A25,d_rs_sched!$I:$I,M$1,d_rs_sched!$K:$K,$A25)),1),1)</f>
        <v>17</v>
      </c>
      <c r="N25">
        <f>IFERROR((SUMIFS(d_rs_sched!$J:$J,d_rs_sched!$D:$D,$A25,d_rs_sched!$I:$I,$A25,d_rs_sched!$K:$K,N$1)+SUMIFS(d_rs_sched!$L:$L,d_rs_sched!$D:$D,$A25,d_rs_sched!$K:$K,$A25,d_rs_sched!$I:$I,N$1))-(SUMIFS(d_rs_sched!$L:$L,d_rs_sched!$D:$D,$A25,d_rs_sched!$I:$I,$A25,d_rs_sched!$K:$K,N$1)+SUMIFS(d_rs_sched!$J:$J,d_rs_sched!$D:$D,$A25,d_rs_sched!$K:$K,$A25,d_rs_sched!$I:$I,N$1)),0)/IFERROR(IF((COUNTIFS(d_rs_sched!$D:$D,$A25,d_rs_sched!$I:$I,$A25,d_rs_sched!$K:$K,N$1)+COUNTIFS(d_rs_sched!$D:$D,$A25,d_rs_sched!$I:$I,N$1,d_rs_sched!$K:$K,$A25))&gt;0,(COUNTIFS(d_rs_sched!$D:$D,$A25,d_rs_sched!$I:$I,$A25,d_rs_sched!$K:$K,N$1)+COUNTIFS(d_rs_sched!$D:$D,$A25,d_rs_sched!$I:$I,N$1,d_rs_sched!$K:$K,$A25)),1),1)</f>
        <v>-11.25</v>
      </c>
      <c r="O25">
        <f>IFERROR((SUMIFS(d_rs_sched!$J:$J,d_rs_sched!$D:$D,$A25,d_rs_sched!$I:$I,$A25,d_rs_sched!$K:$K,O$1)+SUMIFS(d_rs_sched!$L:$L,d_rs_sched!$D:$D,$A25,d_rs_sched!$K:$K,$A25,d_rs_sched!$I:$I,O$1))-(SUMIFS(d_rs_sched!$L:$L,d_rs_sched!$D:$D,$A25,d_rs_sched!$I:$I,$A25,d_rs_sched!$K:$K,O$1)+SUMIFS(d_rs_sched!$J:$J,d_rs_sched!$D:$D,$A25,d_rs_sched!$K:$K,$A25,d_rs_sched!$I:$I,O$1)),0)/IFERROR(IF((COUNTIFS(d_rs_sched!$D:$D,$A25,d_rs_sched!$I:$I,$A25,d_rs_sched!$K:$K,O$1)+COUNTIFS(d_rs_sched!$D:$D,$A25,d_rs_sched!$I:$I,O$1,d_rs_sched!$K:$K,$A25))&gt;0,(COUNTIFS(d_rs_sched!$D:$D,$A25,d_rs_sched!$I:$I,$A25,d_rs_sched!$K:$K,O$1)+COUNTIFS(d_rs_sched!$D:$D,$A25,d_rs_sched!$I:$I,O$1,d_rs_sched!$K:$K,$A25)),1),1)</f>
        <v>12.5</v>
      </c>
      <c r="P25">
        <f>IFERROR((SUMIFS(d_rs_sched!$J:$J,d_rs_sched!$D:$D,$A25,d_rs_sched!$I:$I,$A25,d_rs_sched!$K:$K,P$1)+SUMIFS(d_rs_sched!$L:$L,d_rs_sched!$D:$D,$A25,d_rs_sched!$K:$K,$A25,d_rs_sched!$I:$I,P$1))-(SUMIFS(d_rs_sched!$L:$L,d_rs_sched!$D:$D,$A25,d_rs_sched!$I:$I,$A25,d_rs_sched!$K:$K,P$1)+SUMIFS(d_rs_sched!$J:$J,d_rs_sched!$D:$D,$A25,d_rs_sched!$K:$K,$A25,d_rs_sched!$I:$I,P$1)),0)/IFERROR(IF((COUNTIFS(d_rs_sched!$D:$D,$A25,d_rs_sched!$I:$I,$A25,d_rs_sched!$K:$K,P$1)+COUNTIFS(d_rs_sched!$D:$D,$A25,d_rs_sched!$I:$I,P$1,d_rs_sched!$K:$K,$A25))&gt;0,(COUNTIFS(d_rs_sched!$D:$D,$A25,d_rs_sched!$I:$I,$A25,d_rs_sched!$K:$K,P$1)+COUNTIFS(d_rs_sched!$D:$D,$A25,d_rs_sched!$I:$I,P$1,d_rs_sched!$K:$K,$A25)),1),1)</f>
        <v>-8</v>
      </c>
      <c r="Q25">
        <f>IFERROR((SUMIFS(d_rs_sched!$J:$J,d_rs_sched!$D:$D,$A25,d_rs_sched!$I:$I,$A25,d_rs_sched!$K:$K,Q$1)+SUMIFS(d_rs_sched!$L:$L,d_rs_sched!$D:$D,$A25,d_rs_sched!$K:$K,$A25,d_rs_sched!$I:$I,Q$1))-(SUMIFS(d_rs_sched!$L:$L,d_rs_sched!$D:$D,$A25,d_rs_sched!$I:$I,$A25,d_rs_sched!$K:$K,Q$1)+SUMIFS(d_rs_sched!$J:$J,d_rs_sched!$D:$D,$A25,d_rs_sched!$K:$K,$A25,d_rs_sched!$I:$I,Q$1)),0)/IFERROR(IF((COUNTIFS(d_rs_sched!$D:$D,$A25,d_rs_sched!$I:$I,$A25,d_rs_sched!$K:$K,Q$1)+COUNTIFS(d_rs_sched!$D:$D,$A25,d_rs_sched!$I:$I,Q$1,d_rs_sched!$K:$K,$A25))&gt;0,(COUNTIFS(d_rs_sched!$D:$D,$A25,d_rs_sched!$I:$I,$A25,d_rs_sched!$K:$K,Q$1)+COUNTIFS(d_rs_sched!$D:$D,$A25,d_rs_sched!$I:$I,Q$1,d_rs_sched!$K:$K,$A25)),1),1)</f>
        <v>-11.5</v>
      </c>
      <c r="R25">
        <f>IFERROR((SUMIFS(d_rs_sched!$J:$J,d_rs_sched!$D:$D,$A25,d_rs_sched!$I:$I,$A25,d_rs_sched!$K:$K,R$1)+SUMIFS(d_rs_sched!$L:$L,d_rs_sched!$D:$D,$A25,d_rs_sched!$K:$K,$A25,d_rs_sched!$I:$I,R$1))-(SUMIFS(d_rs_sched!$L:$L,d_rs_sched!$D:$D,$A25,d_rs_sched!$I:$I,$A25,d_rs_sched!$K:$K,R$1)+SUMIFS(d_rs_sched!$J:$J,d_rs_sched!$D:$D,$A25,d_rs_sched!$K:$K,$A25,d_rs_sched!$I:$I,R$1)),0)/IFERROR(IF((COUNTIFS(d_rs_sched!$D:$D,$A25,d_rs_sched!$I:$I,$A25,d_rs_sched!$K:$K,R$1)+COUNTIFS(d_rs_sched!$D:$D,$A25,d_rs_sched!$I:$I,R$1,d_rs_sched!$K:$K,$A25))&gt;0,(COUNTIFS(d_rs_sched!$D:$D,$A25,d_rs_sched!$I:$I,$A25,d_rs_sched!$K:$K,R$1)+COUNTIFS(d_rs_sched!$D:$D,$A25,d_rs_sched!$I:$I,R$1,d_rs_sched!$K:$K,$A25)),1),1)</f>
        <v>2</v>
      </c>
      <c r="S25">
        <f>IFERROR((SUMIFS(d_rs_sched!$J:$J,d_rs_sched!$D:$D,$A25,d_rs_sched!$I:$I,$A25,d_rs_sched!$K:$K,S$1)+SUMIFS(d_rs_sched!$L:$L,d_rs_sched!$D:$D,$A25,d_rs_sched!$K:$K,$A25,d_rs_sched!$I:$I,S$1))-(SUMIFS(d_rs_sched!$L:$L,d_rs_sched!$D:$D,$A25,d_rs_sched!$I:$I,$A25,d_rs_sched!$K:$K,S$1)+SUMIFS(d_rs_sched!$J:$J,d_rs_sched!$D:$D,$A25,d_rs_sched!$K:$K,$A25,d_rs_sched!$I:$I,S$1)),0)/IFERROR(IF((COUNTIFS(d_rs_sched!$D:$D,$A25,d_rs_sched!$I:$I,$A25,d_rs_sched!$K:$K,S$1)+COUNTIFS(d_rs_sched!$D:$D,$A25,d_rs_sched!$I:$I,S$1,d_rs_sched!$K:$K,$A25))&gt;0,(COUNTIFS(d_rs_sched!$D:$D,$A25,d_rs_sched!$I:$I,$A25,d_rs_sched!$K:$K,S$1)+COUNTIFS(d_rs_sched!$D:$D,$A25,d_rs_sched!$I:$I,S$1,d_rs_sched!$K:$K,$A25)),1),1)</f>
        <v>5</v>
      </c>
      <c r="T25">
        <f>IFERROR((SUMIFS(d_rs_sched!$J:$J,d_rs_sched!$D:$D,$A25,d_rs_sched!$I:$I,$A25,d_rs_sched!$K:$K,T$1)+SUMIFS(d_rs_sched!$L:$L,d_rs_sched!$D:$D,$A25,d_rs_sched!$K:$K,$A25,d_rs_sched!$I:$I,T$1))-(SUMIFS(d_rs_sched!$L:$L,d_rs_sched!$D:$D,$A25,d_rs_sched!$I:$I,$A25,d_rs_sched!$K:$K,T$1)+SUMIFS(d_rs_sched!$J:$J,d_rs_sched!$D:$D,$A25,d_rs_sched!$K:$K,$A25,d_rs_sched!$I:$I,T$1)),0)/IFERROR(IF((COUNTIFS(d_rs_sched!$D:$D,$A25,d_rs_sched!$I:$I,$A25,d_rs_sched!$K:$K,T$1)+COUNTIFS(d_rs_sched!$D:$D,$A25,d_rs_sched!$I:$I,T$1,d_rs_sched!$K:$K,$A25))&gt;0,(COUNTIFS(d_rs_sched!$D:$D,$A25,d_rs_sched!$I:$I,$A25,d_rs_sched!$K:$K,T$1)+COUNTIFS(d_rs_sched!$D:$D,$A25,d_rs_sched!$I:$I,T$1,d_rs_sched!$K:$K,$A25)),1),1)</f>
        <v>-5.666666666666667</v>
      </c>
      <c r="U25">
        <f>IFERROR((SUMIFS(d_rs_sched!$J:$J,d_rs_sched!$D:$D,$A25,d_rs_sched!$I:$I,$A25,d_rs_sched!$K:$K,U$1)+SUMIFS(d_rs_sched!$L:$L,d_rs_sched!$D:$D,$A25,d_rs_sched!$K:$K,$A25,d_rs_sched!$I:$I,U$1))-(SUMIFS(d_rs_sched!$L:$L,d_rs_sched!$D:$D,$A25,d_rs_sched!$I:$I,$A25,d_rs_sched!$K:$K,U$1)+SUMIFS(d_rs_sched!$J:$J,d_rs_sched!$D:$D,$A25,d_rs_sched!$K:$K,$A25,d_rs_sched!$I:$I,U$1)),0)/IFERROR(IF((COUNTIFS(d_rs_sched!$D:$D,$A25,d_rs_sched!$I:$I,$A25,d_rs_sched!$K:$K,U$1)+COUNTIFS(d_rs_sched!$D:$D,$A25,d_rs_sched!$I:$I,U$1,d_rs_sched!$K:$K,$A25))&gt;0,(COUNTIFS(d_rs_sched!$D:$D,$A25,d_rs_sched!$I:$I,$A25,d_rs_sched!$K:$K,U$1)+COUNTIFS(d_rs_sched!$D:$D,$A25,d_rs_sched!$I:$I,U$1,d_rs_sched!$K:$K,$A25)),1),1)</f>
        <v>11</v>
      </c>
      <c r="V25">
        <f>IFERROR((SUMIFS(d_rs_sched!$J:$J,d_rs_sched!$D:$D,$A25,d_rs_sched!$I:$I,$A25,d_rs_sched!$K:$K,V$1)+SUMIFS(d_rs_sched!$L:$L,d_rs_sched!$D:$D,$A25,d_rs_sched!$K:$K,$A25,d_rs_sched!$I:$I,V$1))-(SUMIFS(d_rs_sched!$L:$L,d_rs_sched!$D:$D,$A25,d_rs_sched!$I:$I,$A25,d_rs_sched!$K:$K,V$1)+SUMIFS(d_rs_sched!$J:$J,d_rs_sched!$D:$D,$A25,d_rs_sched!$K:$K,$A25,d_rs_sched!$I:$I,V$1)),0)/IFERROR(IF((COUNTIFS(d_rs_sched!$D:$D,$A25,d_rs_sched!$I:$I,$A25,d_rs_sched!$K:$K,V$1)+COUNTIFS(d_rs_sched!$D:$D,$A25,d_rs_sched!$I:$I,V$1,d_rs_sched!$K:$K,$A25))&gt;0,(COUNTIFS(d_rs_sched!$D:$D,$A25,d_rs_sched!$I:$I,$A25,d_rs_sched!$K:$K,V$1)+COUNTIFS(d_rs_sched!$D:$D,$A25,d_rs_sched!$I:$I,V$1,d_rs_sched!$K:$K,$A25)),1),1)</f>
        <v>-8.75</v>
      </c>
      <c r="W25">
        <f>IFERROR((SUMIFS(d_rs_sched!$J:$J,d_rs_sched!$D:$D,$A25,d_rs_sched!$I:$I,$A25,d_rs_sched!$K:$K,W$1)+SUMIFS(d_rs_sched!$L:$L,d_rs_sched!$D:$D,$A25,d_rs_sched!$K:$K,$A25,d_rs_sched!$I:$I,W$1))-(SUMIFS(d_rs_sched!$L:$L,d_rs_sched!$D:$D,$A25,d_rs_sched!$I:$I,$A25,d_rs_sched!$K:$K,W$1)+SUMIFS(d_rs_sched!$J:$J,d_rs_sched!$D:$D,$A25,d_rs_sched!$K:$K,$A25,d_rs_sched!$I:$I,W$1)),0)/IFERROR(IF((COUNTIFS(d_rs_sched!$D:$D,$A25,d_rs_sched!$I:$I,$A25,d_rs_sched!$K:$K,W$1)+COUNTIFS(d_rs_sched!$D:$D,$A25,d_rs_sched!$I:$I,W$1,d_rs_sched!$K:$K,$A25))&gt;0,(COUNTIFS(d_rs_sched!$D:$D,$A25,d_rs_sched!$I:$I,$A25,d_rs_sched!$K:$K,W$1)+COUNTIFS(d_rs_sched!$D:$D,$A25,d_rs_sched!$I:$I,W$1,d_rs_sched!$K:$K,$A25)),1),1)</f>
        <v>1</v>
      </c>
      <c r="X25">
        <f>IFERROR((SUMIFS(d_rs_sched!$J:$J,d_rs_sched!$D:$D,$A25,d_rs_sched!$I:$I,$A25,d_rs_sched!$K:$K,X$1)+SUMIFS(d_rs_sched!$L:$L,d_rs_sched!$D:$D,$A25,d_rs_sched!$K:$K,$A25,d_rs_sched!$I:$I,X$1))-(SUMIFS(d_rs_sched!$L:$L,d_rs_sched!$D:$D,$A25,d_rs_sched!$I:$I,$A25,d_rs_sched!$K:$K,X$1)+SUMIFS(d_rs_sched!$J:$J,d_rs_sched!$D:$D,$A25,d_rs_sched!$K:$K,$A25,d_rs_sched!$I:$I,X$1)),0)/IFERROR(IF((COUNTIFS(d_rs_sched!$D:$D,$A25,d_rs_sched!$I:$I,$A25,d_rs_sched!$K:$K,X$1)+COUNTIFS(d_rs_sched!$D:$D,$A25,d_rs_sched!$I:$I,X$1,d_rs_sched!$K:$K,$A25))&gt;0,(COUNTIFS(d_rs_sched!$D:$D,$A25,d_rs_sched!$I:$I,$A25,d_rs_sched!$K:$K,X$1)+COUNTIFS(d_rs_sched!$D:$D,$A25,d_rs_sched!$I:$I,X$1,d_rs_sched!$K:$K,$A25)),1),1)</f>
        <v>21</v>
      </c>
      <c r="Y25">
        <f>IFERROR((SUMIFS(d_rs_sched!$J:$J,d_rs_sched!$D:$D,$A25,d_rs_sched!$I:$I,$A25,d_rs_sched!$K:$K,Y$1)+SUMIFS(d_rs_sched!$L:$L,d_rs_sched!$D:$D,$A25,d_rs_sched!$K:$K,$A25,d_rs_sched!$I:$I,Y$1))-(SUMIFS(d_rs_sched!$L:$L,d_rs_sched!$D:$D,$A25,d_rs_sched!$I:$I,$A25,d_rs_sched!$K:$K,Y$1)+SUMIFS(d_rs_sched!$J:$J,d_rs_sched!$D:$D,$A25,d_rs_sched!$K:$K,$A25,d_rs_sched!$I:$I,Y$1)),0)/IFERROR(IF((COUNTIFS(d_rs_sched!$D:$D,$A25,d_rs_sched!$I:$I,$A25,d_rs_sched!$K:$K,Y$1)+COUNTIFS(d_rs_sched!$D:$D,$A25,d_rs_sched!$I:$I,Y$1,d_rs_sched!$K:$K,$A25))&gt;0,(COUNTIFS(d_rs_sched!$D:$D,$A25,d_rs_sched!$I:$I,$A25,d_rs_sched!$K:$K,Y$1)+COUNTIFS(d_rs_sched!$D:$D,$A25,d_rs_sched!$I:$I,Y$1,d_rs_sched!$K:$K,$A25)),1),1)</f>
        <v>0</v>
      </c>
      <c r="Z25">
        <f>IFERROR((SUMIFS(d_rs_sched!$J:$J,d_rs_sched!$D:$D,$A25,d_rs_sched!$I:$I,$A25,d_rs_sched!$K:$K,Z$1)+SUMIFS(d_rs_sched!$L:$L,d_rs_sched!$D:$D,$A25,d_rs_sched!$K:$K,$A25,d_rs_sched!$I:$I,Z$1))-(SUMIFS(d_rs_sched!$L:$L,d_rs_sched!$D:$D,$A25,d_rs_sched!$I:$I,$A25,d_rs_sched!$K:$K,Z$1)+SUMIFS(d_rs_sched!$J:$J,d_rs_sched!$D:$D,$A25,d_rs_sched!$K:$K,$A25,d_rs_sched!$I:$I,Z$1)),0)/IFERROR(IF((COUNTIFS(d_rs_sched!$D:$D,$A25,d_rs_sched!$I:$I,$A25,d_rs_sched!$K:$K,Z$1)+COUNTIFS(d_rs_sched!$D:$D,$A25,d_rs_sched!$I:$I,Z$1,d_rs_sched!$K:$K,$A25))&gt;0,(COUNTIFS(d_rs_sched!$D:$D,$A25,d_rs_sched!$I:$I,$A25,d_rs_sched!$K:$K,Z$1)+COUNTIFS(d_rs_sched!$D:$D,$A25,d_rs_sched!$I:$I,Z$1,d_rs_sched!$K:$K,$A25)),1),1)</f>
        <v>-11.25</v>
      </c>
      <c r="AA25">
        <f>IFERROR((SUMIFS(d_rs_sched!$J:$J,d_rs_sched!$D:$D,$A25,d_rs_sched!$I:$I,$A25,d_rs_sched!$K:$K,AA$1)+SUMIFS(d_rs_sched!$L:$L,d_rs_sched!$D:$D,$A25,d_rs_sched!$K:$K,$A25,d_rs_sched!$I:$I,AA$1))-(SUMIFS(d_rs_sched!$L:$L,d_rs_sched!$D:$D,$A25,d_rs_sched!$I:$I,$A25,d_rs_sched!$K:$K,AA$1)+SUMIFS(d_rs_sched!$J:$J,d_rs_sched!$D:$D,$A25,d_rs_sched!$K:$K,$A25,d_rs_sched!$I:$I,AA$1)),0)/IFERROR(IF((COUNTIFS(d_rs_sched!$D:$D,$A25,d_rs_sched!$I:$I,$A25,d_rs_sched!$K:$K,AA$1)+COUNTIFS(d_rs_sched!$D:$D,$A25,d_rs_sched!$I:$I,AA$1,d_rs_sched!$K:$K,$A25))&gt;0,(COUNTIFS(d_rs_sched!$D:$D,$A25,d_rs_sched!$I:$I,$A25,d_rs_sched!$K:$K,AA$1)+COUNTIFS(d_rs_sched!$D:$D,$A25,d_rs_sched!$I:$I,AA$1,d_rs_sched!$K:$K,$A25)),1),1)</f>
        <v>-10.75</v>
      </c>
      <c r="AB25">
        <f>IFERROR((SUMIFS(d_rs_sched!$J:$J,d_rs_sched!$D:$D,$A25,d_rs_sched!$I:$I,$A25,d_rs_sched!$K:$K,AB$1)+SUMIFS(d_rs_sched!$L:$L,d_rs_sched!$D:$D,$A25,d_rs_sched!$K:$K,$A25,d_rs_sched!$I:$I,AB$1))-(SUMIFS(d_rs_sched!$L:$L,d_rs_sched!$D:$D,$A25,d_rs_sched!$I:$I,$A25,d_rs_sched!$K:$K,AB$1)+SUMIFS(d_rs_sched!$J:$J,d_rs_sched!$D:$D,$A25,d_rs_sched!$K:$K,$A25,d_rs_sched!$I:$I,AB$1)),0)/IFERROR(IF((COUNTIFS(d_rs_sched!$D:$D,$A25,d_rs_sched!$I:$I,$A25,d_rs_sched!$K:$K,AB$1)+COUNTIFS(d_rs_sched!$D:$D,$A25,d_rs_sched!$I:$I,AB$1,d_rs_sched!$K:$K,$A25))&gt;0,(COUNTIFS(d_rs_sched!$D:$D,$A25,d_rs_sched!$I:$I,$A25,d_rs_sched!$K:$K,AB$1)+COUNTIFS(d_rs_sched!$D:$D,$A25,d_rs_sched!$I:$I,AB$1,d_rs_sched!$K:$K,$A25)),1),1)</f>
        <v>-1</v>
      </c>
      <c r="AC25">
        <f>IFERROR((SUMIFS(d_rs_sched!$J:$J,d_rs_sched!$D:$D,$A25,d_rs_sched!$I:$I,$A25,d_rs_sched!$K:$K,AC$1)+SUMIFS(d_rs_sched!$L:$L,d_rs_sched!$D:$D,$A25,d_rs_sched!$K:$K,$A25,d_rs_sched!$I:$I,AC$1))-(SUMIFS(d_rs_sched!$L:$L,d_rs_sched!$D:$D,$A25,d_rs_sched!$I:$I,$A25,d_rs_sched!$K:$K,AC$1)+SUMIFS(d_rs_sched!$J:$J,d_rs_sched!$D:$D,$A25,d_rs_sched!$K:$K,$A25,d_rs_sched!$I:$I,AC$1)),0)/IFERROR(IF((COUNTIFS(d_rs_sched!$D:$D,$A25,d_rs_sched!$I:$I,$A25,d_rs_sched!$K:$K,AC$1)+COUNTIFS(d_rs_sched!$D:$D,$A25,d_rs_sched!$I:$I,AC$1,d_rs_sched!$K:$K,$A25))&gt;0,(COUNTIFS(d_rs_sched!$D:$D,$A25,d_rs_sched!$I:$I,$A25,d_rs_sched!$K:$K,AC$1)+COUNTIFS(d_rs_sched!$D:$D,$A25,d_rs_sched!$I:$I,AC$1,d_rs_sched!$K:$K,$A25)),1),1)</f>
        <v>6</v>
      </c>
      <c r="AD25">
        <f>IFERROR((SUMIFS(d_rs_sched!$J:$J,d_rs_sched!$D:$D,$A25,d_rs_sched!$I:$I,$A25,d_rs_sched!$K:$K,AD$1)+SUMIFS(d_rs_sched!$L:$L,d_rs_sched!$D:$D,$A25,d_rs_sched!$K:$K,$A25,d_rs_sched!$I:$I,AD$1))-(SUMIFS(d_rs_sched!$L:$L,d_rs_sched!$D:$D,$A25,d_rs_sched!$I:$I,$A25,d_rs_sched!$K:$K,AD$1)+SUMIFS(d_rs_sched!$J:$J,d_rs_sched!$D:$D,$A25,d_rs_sched!$K:$K,$A25,d_rs_sched!$I:$I,AD$1)),0)/IFERROR(IF((COUNTIFS(d_rs_sched!$D:$D,$A25,d_rs_sched!$I:$I,$A25,d_rs_sched!$K:$K,AD$1)+COUNTIFS(d_rs_sched!$D:$D,$A25,d_rs_sched!$I:$I,AD$1,d_rs_sched!$K:$K,$A25))&gt;0,(COUNTIFS(d_rs_sched!$D:$D,$A25,d_rs_sched!$I:$I,$A25,d_rs_sched!$K:$K,AD$1)+COUNTIFS(d_rs_sched!$D:$D,$A25,d_rs_sched!$I:$I,AD$1,d_rs_sched!$K:$K,$A25)),1),1)</f>
        <v>-6</v>
      </c>
      <c r="AE25">
        <f>IFERROR((SUMIFS(d_rs_sched!$J:$J,d_rs_sched!$D:$D,$A25,d_rs_sched!$I:$I,$A25,d_rs_sched!$K:$K,AE$1)+SUMIFS(d_rs_sched!$L:$L,d_rs_sched!$D:$D,$A25,d_rs_sched!$K:$K,$A25,d_rs_sched!$I:$I,AE$1))-(SUMIFS(d_rs_sched!$L:$L,d_rs_sched!$D:$D,$A25,d_rs_sched!$I:$I,$A25,d_rs_sched!$K:$K,AE$1)+SUMIFS(d_rs_sched!$J:$J,d_rs_sched!$D:$D,$A25,d_rs_sched!$K:$K,$A25,d_rs_sched!$I:$I,AE$1)),0)/IFERROR(IF((COUNTIFS(d_rs_sched!$D:$D,$A25,d_rs_sched!$I:$I,$A25,d_rs_sched!$K:$K,AE$1)+COUNTIFS(d_rs_sched!$D:$D,$A25,d_rs_sched!$I:$I,AE$1,d_rs_sched!$K:$K,$A25))&gt;0,(COUNTIFS(d_rs_sched!$D:$D,$A25,d_rs_sched!$I:$I,$A25,d_rs_sched!$K:$K,AE$1)+COUNTIFS(d_rs_sched!$D:$D,$A25,d_rs_sched!$I:$I,AE$1,d_rs_sched!$K:$K,$A25)),1),1)</f>
        <v>10</v>
      </c>
      <c r="AG25" t="s">
        <v>35</v>
      </c>
      <c r="AH25">
        <v>0.99757173308315528</v>
      </c>
      <c r="AI25">
        <f t="shared" si="0"/>
        <v>5</v>
      </c>
    </row>
    <row r="26" spans="1:35" x14ac:dyDescent="0.25">
      <c r="A26" t="s">
        <v>39</v>
      </c>
      <c r="B26">
        <f>IFERROR((SUMIFS(d_rs_sched!$J:$J,d_rs_sched!$D:$D,$A26,d_rs_sched!$I:$I,$A26,d_rs_sched!$K:$K,B$1)+SUMIFS(d_rs_sched!$L:$L,d_rs_sched!$D:$D,$A26,d_rs_sched!$K:$K,$A26,d_rs_sched!$I:$I,B$1))-(SUMIFS(d_rs_sched!$L:$L,d_rs_sched!$D:$D,$A26,d_rs_sched!$I:$I,$A26,d_rs_sched!$K:$K,B$1)+SUMIFS(d_rs_sched!$J:$J,d_rs_sched!$D:$D,$A26,d_rs_sched!$K:$K,$A26,d_rs_sched!$I:$I,B$1)),0)/IFERROR(IF((COUNTIFS(d_rs_sched!$D:$D,$A26,d_rs_sched!$I:$I,$A26,d_rs_sched!$K:$K,B$1)+COUNTIFS(d_rs_sched!$D:$D,$A26,d_rs_sched!$I:$I,B$1,d_rs_sched!$K:$K,$A26))&gt;0,(COUNTIFS(d_rs_sched!$D:$D,$A26,d_rs_sched!$I:$I,$A26,d_rs_sched!$K:$K,B$1)+COUNTIFS(d_rs_sched!$D:$D,$A26,d_rs_sched!$I:$I,B$1,d_rs_sched!$K:$K,$A26)),1),1)</f>
        <v>-7</v>
      </c>
      <c r="C26">
        <f>IFERROR((SUMIFS(d_rs_sched!$J:$J,d_rs_sched!$D:$D,$A26,d_rs_sched!$I:$I,$A26,d_rs_sched!$K:$K,C$1)+SUMIFS(d_rs_sched!$L:$L,d_rs_sched!$D:$D,$A26,d_rs_sched!$K:$K,$A26,d_rs_sched!$I:$I,C$1))-(SUMIFS(d_rs_sched!$L:$L,d_rs_sched!$D:$D,$A26,d_rs_sched!$I:$I,$A26,d_rs_sched!$K:$K,C$1)+SUMIFS(d_rs_sched!$J:$J,d_rs_sched!$D:$D,$A26,d_rs_sched!$K:$K,$A26,d_rs_sched!$I:$I,C$1)),0)/IFERROR(IF((COUNTIFS(d_rs_sched!$D:$D,$A26,d_rs_sched!$I:$I,$A26,d_rs_sched!$K:$K,C$1)+COUNTIFS(d_rs_sched!$D:$D,$A26,d_rs_sched!$I:$I,C$1,d_rs_sched!$K:$K,$A26))&gt;0,(COUNTIFS(d_rs_sched!$D:$D,$A26,d_rs_sched!$I:$I,$A26,d_rs_sched!$K:$K,C$1)+COUNTIFS(d_rs_sched!$D:$D,$A26,d_rs_sched!$I:$I,C$1,d_rs_sched!$K:$K,$A26)),1),1)</f>
        <v>0</v>
      </c>
      <c r="D26">
        <f>IFERROR((SUMIFS(d_rs_sched!$J:$J,d_rs_sched!$D:$D,$A26,d_rs_sched!$I:$I,$A26,d_rs_sched!$K:$K,D$1)+SUMIFS(d_rs_sched!$L:$L,d_rs_sched!$D:$D,$A26,d_rs_sched!$K:$K,$A26,d_rs_sched!$I:$I,D$1))-(SUMIFS(d_rs_sched!$L:$L,d_rs_sched!$D:$D,$A26,d_rs_sched!$I:$I,$A26,d_rs_sched!$K:$K,D$1)+SUMIFS(d_rs_sched!$J:$J,d_rs_sched!$D:$D,$A26,d_rs_sched!$K:$K,$A26,d_rs_sched!$I:$I,D$1)),0)/IFERROR(IF((COUNTIFS(d_rs_sched!$D:$D,$A26,d_rs_sched!$I:$I,$A26,d_rs_sched!$K:$K,D$1)+COUNTIFS(d_rs_sched!$D:$D,$A26,d_rs_sched!$I:$I,D$1,d_rs_sched!$K:$K,$A26))&gt;0,(COUNTIFS(d_rs_sched!$D:$D,$A26,d_rs_sched!$I:$I,$A26,d_rs_sched!$K:$K,D$1)+COUNTIFS(d_rs_sched!$D:$D,$A26,d_rs_sched!$I:$I,D$1,d_rs_sched!$K:$K,$A26)),1),1)</f>
        <v>2.5</v>
      </c>
      <c r="E26">
        <f>IFERROR((SUMIFS(d_rs_sched!$J:$J,d_rs_sched!$D:$D,$A26,d_rs_sched!$I:$I,$A26,d_rs_sched!$K:$K,E$1)+SUMIFS(d_rs_sched!$L:$L,d_rs_sched!$D:$D,$A26,d_rs_sched!$K:$K,$A26,d_rs_sched!$I:$I,E$1))-(SUMIFS(d_rs_sched!$L:$L,d_rs_sched!$D:$D,$A26,d_rs_sched!$I:$I,$A26,d_rs_sched!$K:$K,E$1)+SUMIFS(d_rs_sched!$J:$J,d_rs_sched!$D:$D,$A26,d_rs_sched!$K:$K,$A26,d_rs_sched!$I:$I,E$1)),0)/IFERROR(IF((COUNTIFS(d_rs_sched!$D:$D,$A26,d_rs_sched!$I:$I,$A26,d_rs_sched!$K:$K,E$1)+COUNTIFS(d_rs_sched!$D:$D,$A26,d_rs_sched!$I:$I,E$1,d_rs_sched!$K:$K,$A26))&gt;0,(COUNTIFS(d_rs_sched!$D:$D,$A26,d_rs_sched!$I:$I,$A26,d_rs_sched!$K:$K,E$1)+COUNTIFS(d_rs_sched!$D:$D,$A26,d_rs_sched!$I:$I,E$1,d_rs_sched!$K:$K,$A26)),1),1)</f>
        <v>5</v>
      </c>
      <c r="F26">
        <f>IFERROR((SUMIFS(d_rs_sched!$J:$J,d_rs_sched!$D:$D,$A26,d_rs_sched!$I:$I,$A26,d_rs_sched!$K:$K,F$1)+SUMIFS(d_rs_sched!$L:$L,d_rs_sched!$D:$D,$A26,d_rs_sched!$K:$K,$A26,d_rs_sched!$I:$I,F$1))-(SUMIFS(d_rs_sched!$L:$L,d_rs_sched!$D:$D,$A26,d_rs_sched!$I:$I,$A26,d_rs_sched!$K:$K,F$1)+SUMIFS(d_rs_sched!$J:$J,d_rs_sched!$D:$D,$A26,d_rs_sched!$K:$K,$A26,d_rs_sched!$I:$I,F$1)),0)/IFERROR(IF((COUNTIFS(d_rs_sched!$D:$D,$A26,d_rs_sched!$I:$I,$A26,d_rs_sched!$K:$K,F$1)+COUNTIFS(d_rs_sched!$D:$D,$A26,d_rs_sched!$I:$I,F$1,d_rs_sched!$K:$K,$A26))&gt;0,(COUNTIFS(d_rs_sched!$D:$D,$A26,d_rs_sched!$I:$I,$A26,d_rs_sched!$K:$K,F$1)+COUNTIFS(d_rs_sched!$D:$D,$A26,d_rs_sched!$I:$I,F$1,d_rs_sched!$K:$K,$A26)),1),1)</f>
        <v>-0.5</v>
      </c>
      <c r="G26">
        <f>IFERROR((SUMIFS(d_rs_sched!$J:$J,d_rs_sched!$D:$D,$A26,d_rs_sched!$I:$I,$A26,d_rs_sched!$K:$K,G$1)+SUMIFS(d_rs_sched!$L:$L,d_rs_sched!$D:$D,$A26,d_rs_sched!$K:$K,$A26,d_rs_sched!$I:$I,G$1))-(SUMIFS(d_rs_sched!$L:$L,d_rs_sched!$D:$D,$A26,d_rs_sched!$I:$I,$A26,d_rs_sched!$K:$K,G$1)+SUMIFS(d_rs_sched!$J:$J,d_rs_sched!$D:$D,$A26,d_rs_sched!$K:$K,$A26,d_rs_sched!$I:$I,G$1)),0)/IFERROR(IF((COUNTIFS(d_rs_sched!$D:$D,$A26,d_rs_sched!$I:$I,$A26,d_rs_sched!$K:$K,G$1)+COUNTIFS(d_rs_sched!$D:$D,$A26,d_rs_sched!$I:$I,G$1,d_rs_sched!$K:$K,$A26))&gt;0,(COUNTIFS(d_rs_sched!$D:$D,$A26,d_rs_sched!$I:$I,$A26,d_rs_sched!$K:$K,G$1)+COUNTIFS(d_rs_sched!$D:$D,$A26,d_rs_sched!$I:$I,G$1,d_rs_sched!$K:$K,$A26)),1),1)</f>
        <v>7</v>
      </c>
      <c r="H26">
        <f>IFERROR((SUMIFS(d_rs_sched!$J:$J,d_rs_sched!$D:$D,$A26,d_rs_sched!$I:$I,$A26,d_rs_sched!$K:$K,H$1)+SUMIFS(d_rs_sched!$L:$L,d_rs_sched!$D:$D,$A26,d_rs_sched!$K:$K,$A26,d_rs_sched!$I:$I,H$1))-(SUMIFS(d_rs_sched!$L:$L,d_rs_sched!$D:$D,$A26,d_rs_sched!$I:$I,$A26,d_rs_sched!$K:$K,H$1)+SUMIFS(d_rs_sched!$J:$J,d_rs_sched!$D:$D,$A26,d_rs_sched!$K:$K,$A26,d_rs_sched!$I:$I,H$1)),0)/IFERROR(IF((COUNTIFS(d_rs_sched!$D:$D,$A26,d_rs_sched!$I:$I,$A26,d_rs_sched!$K:$K,H$1)+COUNTIFS(d_rs_sched!$D:$D,$A26,d_rs_sched!$I:$I,H$1,d_rs_sched!$K:$K,$A26))&gt;0,(COUNTIFS(d_rs_sched!$D:$D,$A26,d_rs_sched!$I:$I,$A26,d_rs_sched!$K:$K,H$1)+COUNTIFS(d_rs_sched!$D:$D,$A26,d_rs_sched!$I:$I,H$1,d_rs_sched!$K:$K,$A26)),1),1)</f>
        <v>3.5</v>
      </c>
      <c r="I26">
        <f>IFERROR((SUMIFS(d_rs_sched!$J:$J,d_rs_sched!$D:$D,$A26,d_rs_sched!$I:$I,$A26,d_rs_sched!$K:$K,I$1)+SUMIFS(d_rs_sched!$L:$L,d_rs_sched!$D:$D,$A26,d_rs_sched!$K:$K,$A26,d_rs_sched!$I:$I,I$1))-(SUMIFS(d_rs_sched!$L:$L,d_rs_sched!$D:$D,$A26,d_rs_sched!$I:$I,$A26,d_rs_sched!$K:$K,I$1)+SUMIFS(d_rs_sched!$J:$J,d_rs_sched!$D:$D,$A26,d_rs_sched!$K:$K,$A26,d_rs_sched!$I:$I,I$1)),0)/IFERROR(IF((COUNTIFS(d_rs_sched!$D:$D,$A26,d_rs_sched!$I:$I,$A26,d_rs_sched!$K:$K,I$1)+COUNTIFS(d_rs_sched!$D:$D,$A26,d_rs_sched!$I:$I,I$1,d_rs_sched!$K:$K,$A26))&gt;0,(COUNTIFS(d_rs_sched!$D:$D,$A26,d_rs_sched!$I:$I,$A26,d_rs_sched!$K:$K,I$1)+COUNTIFS(d_rs_sched!$D:$D,$A26,d_rs_sched!$I:$I,I$1,d_rs_sched!$K:$K,$A26)),1),1)</f>
        <v>10.25</v>
      </c>
      <c r="J26">
        <f>IFERROR((SUMIFS(d_rs_sched!$J:$J,d_rs_sched!$D:$D,$A26,d_rs_sched!$I:$I,$A26,d_rs_sched!$K:$K,J$1)+SUMIFS(d_rs_sched!$L:$L,d_rs_sched!$D:$D,$A26,d_rs_sched!$K:$K,$A26,d_rs_sched!$I:$I,J$1))-(SUMIFS(d_rs_sched!$L:$L,d_rs_sched!$D:$D,$A26,d_rs_sched!$I:$I,$A26,d_rs_sched!$K:$K,J$1)+SUMIFS(d_rs_sched!$J:$J,d_rs_sched!$D:$D,$A26,d_rs_sched!$K:$K,$A26,d_rs_sched!$I:$I,J$1)),0)/IFERROR(IF((COUNTIFS(d_rs_sched!$D:$D,$A26,d_rs_sched!$I:$I,$A26,d_rs_sched!$K:$K,J$1)+COUNTIFS(d_rs_sched!$D:$D,$A26,d_rs_sched!$I:$I,J$1,d_rs_sched!$K:$K,$A26))&gt;0,(COUNTIFS(d_rs_sched!$D:$D,$A26,d_rs_sched!$I:$I,$A26,d_rs_sched!$K:$K,J$1)+COUNTIFS(d_rs_sched!$D:$D,$A26,d_rs_sched!$I:$I,J$1,d_rs_sched!$K:$K,$A26)),1),1)</f>
        <v>15.5</v>
      </c>
      <c r="K26">
        <f>IFERROR((SUMIFS(d_rs_sched!$J:$J,d_rs_sched!$D:$D,$A26,d_rs_sched!$I:$I,$A26,d_rs_sched!$K:$K,K$1)+SUMIFS(d_rs_sched!$L:$L,d_rs_sched!$D:$D,$A26,d_rs_sched!$K:$K,$A26,d_rs_sched!$I:$I,K$1))-(SUMIFS(d_rs_sched!$L:$L,d_rs_sched!$D:$D,$A26,d_rs_sched!$I:$I,$A26,d_rs_sched!$K:$K,K$1)+SUMIFS(d_rs_sched!$J:$J,d_rs_sched!$D:$D,$A26,d_rs_sched!$K:$K,$A26,d_rs_sched!$I:$I,K$1)),0)/IFERROR(IF((COUNTIFS(d_rs_sched!$D:$D,$A26,d_rs_sched!$I:$I,$A26,d_rs_sched!$K:$K,K$1)+COUNTIFS(d_rs_sched!$D:$D,$A26,d_rs_sched!$I:$I,K$1,d_rs_sched!$K:$K,$A26))&gt;0,(COUNTIFS(d_rs_sched!$D:$D,$A26,d_rs_sched!$I:$I,$A26,d_rs_sched!$K:$K,K$1)+COUNTIFS(d_rs_sched!$D:$D,$A26,d_rs_sched!$I:$I,K$1,d_rs_sched!$K:$K,$A26)),1),1)</f>
        <v>-10</v>
      </c>
      <c r="L26">
        <f>IFERROR((SUMIFS(d_rs_sched!$J:$J,d_rs_sched!$D:$D,$A26,d_rs_sched!$I:$I,$A26,d_rs_sched!$K:$K,L$1)+SUMIFS(d_rs_sched!$L:$L,d_rs_sched!$D:$D,$A26,d_rs_sched!$K:$K,$A26,d_rs_sched!$I:$I,L$1))-(SUMIFS(d_rs_sched!$L:$L,d_rs_sched!$D:$D,$A26,d_rs_sched!$I:$I,$A26,d_rs_sched!$K:$K,L$1)+SUMIFS(d_rs_sched!$J:$J,d_rs_sched!$D:$D,$A26,d_rs_sched!$K:$K,$A26,d_rs_sched!$I:$I,L$1)),0)/IFERROR(IF((COUNTIFS(d_rs_sched!$D:$D,$A26,d_rs_sched!$I:$I,$A26,d_rs_sched!$K:$K,L$1)+COUNTIFS(d_rs_sched!$D:$D,$A26,d_rs_sched!$I:$I,L$1,d_rs_sched!$K:$K,$A26))&gt;0,(COUNTIFS(d_rs_sched!$D:$D,$A26,d_rs_sched!$I:$I,$A26,d_rs_sched!$K:$K,L$1)+COUNTIFS(d_rs_sched!$D:$D,$A26,d_rs_sched!$I:$I,L$1,d_rs_sched!$K:$K,$A26)),1),1)</f>
        <v>0.33333333333333331</v>
      </c>
      <c r="M26">
        <f>IFERROR((SUMIFS(d_rs_sched!$J:$J,d_rs_sched!$D:$D,$A26,d_rs_sched!$I:$I,$A26,d_rs_sched!$K:$K,M$1)+SUMIFS(d_rs_sched!$L:$L,d_rs_sched!$D:$D,$A26,d_rs_sched!$K:$K,$A26,d_rs_sched!$I:$I,M$1))-(SUMIFS(d_rs_sched!$L:$L,d_rs_sched!$D:$D,$A26,d_rs_sched!$I:$I,$A26,d_rs_sched!$K:$K,M$1)+SUMIFS(d_rs_sched!$J:$J,d_rs_sched!$D:$D,$A26,d_rs_sched!$K:$K,$A26,d_rs_sched!$I:$I,M$1)),0)/IFERROR(IF((COUNTIFS(d_rs_sched!$D:$D,$A26,d_rs_sched!$I:$I,$A26,d_rs_sched!$K:$K,M$1)+COUNTIFS(d_rs_sched!$D:$D,$A26,d_rs_sched!$I:$I,M$1,d_rs_sched!$K:$K,$A26))&gt;0,(COUNTIFS(d_rs_sched!$D:$D,$A26,d_rs_sched!$I:$I,$A26,d_rs_sched!$K:$K,M$1)+COUNTIFS(d_rs_sched!$D:$D,$A26,d_rs_sched!$I:$I,M$1,d_rs_sched!$K:$K,$A26)),1),1)</f>
        <v>8</v>
      </c>
      <c r="N26">
        <f>IFERROR((SUMIFS(d_rs_sched!$J:$J,d_rs_sched!$D:$D,$A26,d_rs_sched!$I:$I,$A26,d_rs_sched!$K:$K,N$1)+SUMIFS(d_rs_sched!$L:$L,d_rs_sched!$D:$D,$A26,d_rs_sched!$K:$K,$A26,d_rs_sched!$I:$I,N$1))-(SUMIFS(d_rs_sched!$L:$L,d_rs_sched!$D:$D,$A26,d_rs_sched!$I:$I,$A26,d_rs_sched!$K:$K,N$1)+SUMIFS(d_rs_sched!$J:$J,d_rs_sched!$D:$D,$A26,d_rs_sched!$K:$K,$A26,d_rs_sched!$I:$I,N$1)),0)/IFERROR(IF((COUNTIFS(d_rs_sched!$D:$D,$A26,d_rs_sched!$I:$I,$A26,d_rs_sched!$K:$K,N$1)+COUNTIFS(d_rs_sched!$D:$D,$A26,d_rs_sched!$I:$I,N$1,d_rs_sched!$K:$K,$A26))&gt;0,(COUNTIFS(d_rs_sched!$D:$D,$A26,d_rs_sched!$I:$I,$A26,d_rs_sched!$K:$K,N$1)+COUNTIFS(d_rs_sched!$D:$D,$A26,d_rs_sched!$I:$I,N$1,d_rs_sched!$K:$K,$A26)),1),1)</f>
        <v>-2.25</v>
      </c>
      <c r="O26">
        <f>IFERROR((SUMIFS(d_rs_sched!$J:$J,d_rs_sched!$D:$D,$A26,d_rs_sched!$I:$I,$A26,d_rs_sched!$K:$K,O$1)+SUMIFS(d_rs_sched!$L:$L,d_rs_sched!$D:$D,$A26,d_rs_sched!$K:$K,$A26,d_rs_sched!$I:$I,O$1))-(SUMIFS(d_rs_sched!$L:$L,d_rs_sched!$D:$D,$A26,d_rs_sched!$I:$I,$A26,d_rs_sched!$K:$K,O$1)+SUMIFS(d_rs_sched!$J:$J,d_rs_sched!$D:$D,$A26,d_rs_sched!$K:$K,$A26,d_rs_sched!$I:$I,O$1)),0)/IFERROR(IF((COUNTIFS(d_rs_sched!$D:$D,$A26,d_rs_sched!$I:$I,$A26,d_rs_sched!$K:$K,O$1)+COUNTIFS(d_rs_sched!$D:$D,$A26,d_rs_sched!$I:$I,O$1,d_rs_sched!$K:$K,$A26))&gt;0,(COUNTIFS(d_rs_sched!$D:$D,$A26,d_rs_sched!$I:$I,$A26,d_rs_sched!$K:$K,O$1)+COUNTIFS(d_rs_sched!$D:$D,$A26,d_rs_sched!$I:$I,O$1,d_rs_sched!$K:$K,$A26)),1),1)</f>
        <v>15.5</v>
      </c>
      <c r="P26">
        <f>IFERROR((SUMIFS(d_rs_sched!$J:$J,d_rs_sched!$D:$D,$A26,d_rs_sched!$I:$I,$A26,d_rs_sched!$K:$K,P$1)+SUMIFS(d_rs_sched!$L:$L,d_rs_sched!$D:$D,$A26,d_rs_sched!$K:$K,$A26,d_rs_sched!$I:$I,P$1))-(SUMIFS(d_rs_sched!$L:$L,d_rs_sched!$D:$D,$A26,d_rs_sched!$I:$I,$A26,d_rs_sched!$K:$K,P$1)+SUMIFS(d_rs_sched!$J:$J,d_rs_sched!$D:$D,$A26,d_rs_sched!$K:$K,$A26,d_rs_sched!$I:$I,P$1)),0)/IFERROR(IF((COUNTIFS(d_rs_sched!$D:$D,$A26,d_rs_sched!$I:$I,$A26,d_rs_sched!$K:$K,P$1)+COUNTIFS(d_rs_sched!$D:$D,$A26,d_rs_sched!$I:$I,P$1,d_rs_sched!$K:$K,$A26))&gt;0,(COUNTIFS(d_rs_sched!$D:$D,$A26,d_rs_sched!$I:$I,$A26,d_rs_sched!$K:$K,P$1)+COUNTIFS(d_rs_sched!$D:$D,$A26,d_rs_sched!$I:$I,P$1,d_rs_sched!$K:$K,$A26)),1),1)</f>
        <v>-8.5</v>
      </c>
      <c r="Q26">
        <f>IFERROR((SUMIFS(d_rs_sched!$J:$J,d_rs_sched!$D:$D,$A26,d_rs_sched!$I:$I,$A26,d_rs_sched!$K:$K,Q$1)+SUMIFS(d_rs_sched!$L:$L,d_rs_sched!$D:$D,$A26,d_rs_sched!$K:$K,$A26,d_rs_sched!$I:$I,Q$1))-(SUMIFS(d_rs_sched!$L:$L,d_rs_sched!$D:$D,$A26,d_rs_sched!$I:$I,$A26,d_rs_sched!$K:$K,Q$1)+SUMIFS(d_rs_sched!$J:$J,d_rs_sched!$D:$D,$A26,d_rs_sched!$K:$K,$A26,d_rs_sched!$I:$I,Q$1)),0)/IFERROR(IF((COUNTIFS(d_rs_sched!$D:$D,$A26,d_rs_sched!$I:$I,$A26,d_rs_sched!$K:$K,Q$1)+COUNTIFS(d_rs_sched!$D:$D,$A26,d_rs_sched!$I:$I,Q$1,d_rs_sched!$K:$K,$A26))&gt;0,(COUNTIFS(d_rs_sched!$D:$D,$A26,d_rs_sched!$I:$I,$A26,d_rs_sched!$K:$K,Q$1)+COUNTIFS(d_rs_sched!$D:$D,$A26,d_rs_sched!$I:$I,Q$1,d_rs_sched!$K:$K,$A26)),1),1)</f>
        <v>6</v>
      </c>
      <c r="R26">
        <f>IFERROR((SUMIFS(d_rs_sched!$J:$J,d_rs_sched!$D:$D,$A26,d_rs_sched!$I:$I,$A26,d_rs_sched!$K:$K,R$1)+SUMIFS(d_rs_sched!$L:$L,d_rs_sched!$D:$D,$A26,d_rs_sched!$K:$K,$A26,d_rs_sched!$I:$I,R$1))-(SUMIFS(d_rs_sched!$L:$L,d_rs_sched!$D:$D,$A26,d_rs_sched!$I:$I,$A26,d_rs_sched!$K:$K,R$1)+SUMIFS(d_rs_sched!$J:$J,d_rs_sched!$D:$D,$A26,d_rs_sched!$K:$K,$A26,d_rs_sched!$I:$I,R$1)),0)/IFERROR(IF((COUNTIFS(d_rs_sched!$D:$D,$A26,d_rs_sched!$I:$I,$A26,d_rs_sched!$K:$K,R$1)+COUNTIFS(d_rs_sched!$D:$D,$A26,d_rs_sched!$I:$I,R$1,d_rs_sched!$K:$K,$A26))&gt;0,(COUNTIFS(d_rs_sched!$D:$D,$A26,d_rs_sched!$I:$I,$A26,d_rs_sched!$K:$K,R$1)+COUNTIFS(d_rs_sched!$D:$D,$A26,d_rs_sched!$I:$I,R$1,d_rs_sched!$K:$K,$A26)),1),1)</f>
        <v>0</v>
      </c>
      <c r="S26">
        <f>IFERROR((SUMIFS(d_rs_sched!$J:$J,d_rs_sched!$D:$D,$A26,d_rs_sched!$I:$I,$A26,d_rs_sched!$K:$K,S$1)+SUMIFS(d_rs_sched!$L:$L,d_rs_sched!$D:$D,$A26,d_rs_sched!$K:$K,$A26,d_rs_sched!$I:$I,S$1))-(SUMIFS(d_rs_sched!$L:$L,d_rs_sched!$D:$D,$A26,d_rs_sched!$I:$I,$A26,d_rs_sched!$K:$K,S$1)+SUMIFS(d_rs_sched!$J:$J,d_rs_sched!$D:$D,$A26,d_rs_sched!$K:$K,$A26,d_rs_sched!$I:$I,S$1)),0)/IFERROR(IF((COUNTIFS(d_rs_sched!$D:$D,$A26,d_rs_sched!$I:$I,$A26,d_rs_sched!$K:$K,S$1)+COUNTIFS(d_rs_sched!$D:$D,$A26,d_rs_sched!$I:$I,S$1,d_rs_sched!$K:$K,$A26))&gt;0,(COUNTIFS(d_rs_sched!$D:$D,$A26,d_rs_sched!$I:$I,$A26,d_rs_sched!$K:$K,S$1)+COUNTIFS(d_rs_sched!$D:$D,$A26,d_rs_sched!$I:$I,S$1,d_rs_sched!$K:$K,$A26)),1),1)</f>
        <v>5.75</v>
      </c>
      <c r="T26">
        <f>IFERROR((SUMIFS(d_rs_sched!$J:$J,d_rs_sched!$D:$D,$A26,d_rs_sched!$I:$I,$A26,d_rs_sched!$K:$K,T$1)+SUMIFS(d_rs_sched!$L:$L,d_rs_sched!$D:$D,$A26,d_rs_sched!$K:$K,$A26,d_rs_sched!$I:$I,T$1))-(SUMIFS(d_rs_sched!$L:$L,d_rs_sched!$D:$D,$A26,d_rs_sched!$I:$I,$A26,d_rs_sched!$K:$K,T$1)+SUMIFS(d_rs_sched!$J:$J,d_rs_sched!$D:$D,$A26,d_rs_sched!$K:$K,$A26,d_rs_sched!$I:$I,T$1)),0)/IFERROR(IF((COUNTIFS(d_rs_sched!$D:$D,$A26,d_rs_sched!$I:$I,$A26,d_rs_sched!$K:$K,T$1)+COUNTIFS(d_rs_sched!$D:$D,$A26,d_rs_sched!$I:$I,T$1,d_rs_sched!$K:$K,$A26))&gt;0,(COUNTIFS(d_rs_sched!$D:$D,$A26,d_rs_sched!$I:$I,$A26,d_rs_sched!$K:$K,T$1)+COUNTIFS(d_rs_sched!$D:$D,$A26,d_rs_sched!$I:$I,T$1,d_rs_sched!$K:$K,$A26)),1),1)</f>
        <v>14.666666666666666</v>
      </c>
      <c r="U26">
        <f>IFERROR((SUMIFS(d_rs_sched!$J:$J,d_rs_sched!$D:$D,$A26,d_rs_sched!$I:$I,$A26,d_rs_sched!$K:$K,U$1)+SUMIFS(d_rs_sched!$L:$L,d_rs_sched!$D:$D,$A26,d_rs_sched!$K:$K,$A26,d_rs_sched!$I:$I,U$1))-(SUMIFS(d_rs_sched!$L:$L,d_rs_sched!$D:$D,$A26,d_rs_sched!$I:$I,$A26,d_rs_sched!$K:$K,U$1)+SUMIFS(d_rs_sched!$J:$J,d_rs_sched!$D:$D,$A26,d_rs_sched!$K:$K,$A26,d_rs_sched!$I:$I,U$1)),0)/IFERROR(IF((COUNTIFS(d_rs_sched!$D:$D,$A26,d_rs_sched!$I:$I,$A26,d_rs_sched!$K:$K,U$1)+COUNTIFS(d_rs_sched!$D:$D,$A26,d_rs_sched!$I:$I,U$1,d_rs_sched!$K:$K,$A26))&gt;0,(COUNTIFS(d_rs_sched!$D:$D,$A26,d_rs_sched!$I:$I,$A26,d_rs_sched!$K:$K,U$1)+COUNTIFS(d_rs_sched!$D:$D,$A26,d_rs_sched!$I:$I,U$1,d_rs_sched!$K:$K,$A26)),1),1)</f>
        <v>13</v>
      </c>
      <c r="V26">
        <f>IFERROR((SUMIFS(d_rs_sched!$J:$J,d_rs_sched!$D:$D,$A26,d_rs_sched!$I:$I,$A26,d_rs_sched!$K:$K,V$1)+SUMIFS(d_rs_sched!$L:$L,d_rs_sched!$D:$D,$A26,d_rs_sched!$K:$K,$A26,d_rs_sched!$I:$I,V$1))-(SUMIFS(d_rs_sched!$L:$L,d_rs_sched!$D:$D,$A26,d_rs_sched!$I:$I,$A26,d_rs_sched!$K:$K,V$1)+SUMIFS(d_rs_sched!$J:$J,d_rs_sched!$D:$D,$A26,d_rs_sched!$K:$K,$A26,d_rs_sched!$I:$I,V$1)),0)/IFERROR(IF((COUNTIFS(d_rs_sched!$D:$D,$A26,d_rs_sched!$I:$I,$A26,d_rs_sched!$K:$K,V$1)+COUNTIFS(d_rs_sched!$D:$D,$A26,d_rs_sched!$I:$I,V$1,d_rs_sched!$K:$K,$A26))&gt;0,(COUNTIFS(d_rs_sched!$D:$D,$A26,d_rs_sched!$I:$I,$A26,d_rs_sched!$K:$K,V$1)+COUNTIFS(d_rs_sched!$D:$D,$A26,d_rs_sched!$I:$I,V$1,d_rs_sched!$K:$K,$A26)),1),1)</f>
        <v>3.25</v>
      </c>
      <c r="W26">
        <f>IFERROR((SUMIFS(d_rs_sched!$J:$J,d_rs_sched!$D:$D,$A26,d_rs_sched!$I:$I,$A26,d_rs_sched!$K:$K,W$1)+SUMIFS(d_rs_sched!$L:$L,d_rs_sched!$D:$D,$A26,d_rs_sched!$K:$K,$A26,d_rs_sched!$I:$I,W$1))-(SUMIFS(d_rs_sched!$L:$L,d_rs_sched!$D:$D,$A26,d_rs_sched!$I:$I,$A26,d_rs_sched!$K:$K,W$1)+SUMIFS(d_rs_sched!$J:$J,d_rs_sched!$D:$D,$A26,d_rs_sched!$K:$K,$A26,d_rs_sched!$I:$I,W$1)),0)/IFERROR(IF((COUNTIFS(d_rs_sched!$D:$D,$A26,d_rs_sched!$I:$I,$A26,d_rs_sched!$K:$K,W$1)+COUNTIFS(d_rs_sched!$D:$D,$A26,d_rs_sched!$I:$I,W$1,d_rs_sched!$K:$K,$A26))&gt;0,(COUNTIFS(d_rs_sched!$D:$D,$A26,d_rs_sched!$I:$I,$A26,d_rs_sched!$K:$K,W$1)+COUNTIFS(d_rs_sched!$D:$D,$A26,d_rs_sched!$I:$I,W$1,d_rs_sched!$K:$K,$A26)),1),1)</f>
        <v>2</v>
      </c>
      <c r="X26">
        <f>IFERROR((SUMIFS(d_rs_sched!$J:$J,d_rs_sched!$D:$D,$A26,d_rs_sched!$I:$I,$A26,d_rs_sched!$K:$K,X$1)+SUMIFS(d_rs_sched!$L:$L,d_rs_sched!$D:$D,$A26,d_rs_sched!$K:$K,$A26,d_rs_sched!$I:$I,X$1))-(SUMIFS(d_rs_sched!$L:$L,d_rs_sched!$D:$D,$A26,d_rs_sched!$I:$I,$A26,d_rs_sched!$K:$K,X$1)+SUMIFS(d_rs_sched!$J:$J,d_rs_sched!$D:$D,$A26,d_rs_sched!$K:$K,$A26,d_rs_sched!$I:$I,X$1)),0)/IFERROR(IF((COUNTIFS(d_rs_sched!$D:$D,$A26,d_rs_sched!$I:$I,$A26,d_rs_sched!$K:$K,X$1)+COUNTIFS(d_rs_sched!$D:$D,$A26,d_rs_sched!$I:$I,X$1,d_rs_sched!$K:$K,$A26))&gt;0,(COUNTIFS(d_rs_sched!$D:$D,$A26,d_rs_sched!$I:$I,$A26,d_rs_sched!$K:$K,X$1)+COUNTIFS(d_rs_sched!$D:$D,$A26,d_rs_sched!$I:$I,X$1,d_rs_sched!$K:$K,$A26)),1),1)</f>
        <v>15.5</v>
      </c>
      <c r="Y26">
        <f>IFERROR((SUMIFS(d_rs_sched!$J:$J,d_rs_sched!$D:$D,$A26,d_rs_sched!$I:$I,$A26,d_rs_sched!$K:$K,Y$1)+SUMIFS(d_rs_sched!$L:$L,d_rs_sched!$D:$D,$A26,d_rs_sched!$K:$K,$A26,d_rs_sched!$I:$I,Y$1))-(SUMIFS(d_rs_sched!$L:$L,d_rs_sched!$D:$D,$A26,d_rs_sched!$I:$I,$A26,d_rs_sched!$K:$K,Y$1)+SUMIFS(d_rs_sched!$J:$J,d_rs_sched!$D:$D,$A26,d_rs_sched!$K:$K,$A26,d_rs_sched!$I:$I,Y$1)),0)/IFERROR(IF((COUNTIFS(d_rs_sched!$D:$D,$A26,d_rs_sched!$I:$I,$A26,d_rs_sched!$K:$K,Y$1)+COUNTIFS(d_rs_sched!$D:$D,$A26,d_rs_sched!$I:$I,Y$1,d_rs_sched!$K:$K,$A26))&gt;0,(COUNTIFS(d_rs_sched!$D:$D,$A26,d_rs_sched!$I:$I,$A26,d_rs_sched!$K:$K,Y$1)+COUNTIFS(d_rs_sched!$D:$D,$A26,d_rs_sched!$I:$I,Y$1,d_rs_sched!$K:$K,$A26)),1),1)</f>
        <v>11.25</v>
      </c>
      <c r="Z26">
        <f>IFERROR((SUMIFS(d_rs_sched!$J:$J,d_rs_sched!$D:$D,$A26,d_rs_sched!$I:$I,$A26,d_rs_sched!$K:$K,Z$1)+SUMIFS(d_rs_sched!$L:$L,d_rs_sched!$D:$D,$A26,d_rs_sched!$K:$K,$A26,d_rs_sched!$I:$I,Z$1))-(SUMIFS(d_rs_sched!$L:$L,d_rs_sched!$D:$D,$A26,d_rs_sched!$I:$I,$A26,d_rs_sched!$K:$K,Z$1)+SUMIFS(d_rs_sched!$J:$J,d_rs_sched!$D:$D,$A26,d_rs_sched!$K:$K,$A26,d_rs_sched!$I:$I,Z$1)),0)/IFERROR(IF((COUNTIFS(d_rs_sched!$D:$D,$A26,d_rs_sched!$I:$I,$A26,d_rs_sched!$K:$K,Z$1)+COUNTIFS(d_rs_sched!$D:$D,$A26,d_rs_sched!$I:$I,Z$1,d_rs_sched!$K:$K,$A26))&gt;0,(COUNTIFS(d_rs_sched!$D:$D,$A26,d_rs_sched!$I:$I,$A26,d_rs_sched!$K:$K,Z$1)+COUNTIFS(d_rs_sched!$D:$D,$A26,d_rs_sched!$I:$I,Z$1,d_rs_sched!$K:$K,$A26)),1),1)</f>
        <v>0</v>
      </c>
      <c r="AA26">
        <f>IFERROR((SUMIFS(d_rs_sched!$J:$J,d_rs_sched!$D:$D,$A26,d_rs_sched!$I:$I,$A26,d_rs_sched!$K:$K,AA$1)+SUMIFS(d_rs_sched!$L:$L,d_rs_sched!$D:$D,$A26,d_rs_sched!$K:$K,$A26,d_rs_sched!$I:$I,AA$1))-(SUMIFS(d_rs_sched!$L:$L,d_rs_sched!$D:$D,$A26,d_rs_sched!$I:$I,$A26,d_rs_sched!$K:$K,AA$1)+SUMIFS(d_rs_sched!$J:$J,d_rs_sched!$D:$D,$A26,d_rs_sched!$K:$K,$A26,d_rs_sched!$I:$I,AA$1)),0)/IFERROR(IF((COUNTIFS(d_rs_sched!$D:$D,$A26,d_rs_sched!$I:$I,$A26,d_rs_sched!$K:$K,AA$1)+COUNTIFS(d_rs_sched!$D:$D,$A26,d_rs_sched!$I:$I,AA$1,d_rs_sched!$K:$K,$A26))&gt;0,(COUNTIFS(d_rs_sched!$D:$D,$A26,d_rs_sched!$I:$I,$A26,d_rs_sched!$K:$K,AA$1)+COUNTIFS(d_rs_sched!$D:$D,$A26,d_rs_sched!$I:$I,AA$1,d_rs_sched!$K:$K,$A26)),1),1)</f>
        <v>6.25</v>
      </c>
      <c r="AB26">
        <f>IFERROR((SUMIFS(d_rs_sched!$J:$J,d_rs_sched!$D:$D,$A26,d_rs_sched!$I:$I,$A26,d_rs_sched!$K:$K,AB$1)+SUMIFS(d_rs_sched!$L:$L,d_rs_sched!$D:$D,$A26,d_rs_sched!$K:$K,$A26,d_rs_sched!$I:$I,AB$1))-(SUMIFS(d_rs_sched!$L:$L,d_rs_sched!$D:$D,$A26,d_rs_sched!$I:$I,$A26,d_rs_sched!$K:$K,AB$1)+SUMIFS(d_rs_sched!$J:$J,d_rs_sched!$D:$D,$A26,d_rs_sched!$K:$K,$A26,d_rs_sched!$I:$I,AB$1)),0)/IFERROR(IF((COUNTIFS(d_rs_sched!$D:$D,$A26,d_rs_sched!$I:$I,$A26,d_rs_sched!$K:$K,AB$1)+COUNTIFS(d_rs_sched!$D:$D,$A26,d_rs_sched!$I:$I,AB$1,d_rs_sched!$K:$K,$A26))&gt;0,(COUNTIFS(d_rs_sched!$D:$D,$A26,d_rs_sched!$I:$I,$A26,d_rs_sched!$K:$K,AB$1)+COUNTIFS(d_rs_sched!$D:$D,$A26,d_rs_sched!$I:$I,AB$1,d_rs_sched!$K:$K,$A26)),1),1)</f>
        <v>2</v>
      </c>
      <c r="AC26">
        <f>IFERROR((SUMIFS(d_rs_sched!$J:$J,d_rs_sched!$D:$D,$A26,d_rs_sched!$I:$I,$A26,d_rs_sched!$K:$K,AC$1)+SUMIFS(d_rs_sched!$L:$L,d_rs_sched!$D:$D,$A26,d_rs_sched!$K:$K,$A26,d_rs_sched!$I:$I,AC$1))-(SUMIFS(d_rs_sched!$L:$L,d_rs_sched!$D:$D,$A26,d_rs_sched!$I:$I,$A26,d_rs_sched!$K:$K,AC$1)+SUMIFS(d_rs_sched!$J:$J,d_rs_sched!$D:$D,$A26,d_rs_sched!$K:$K,$A26,d_rs_sched!$I:$I,AC$1)),0)/IFERROR(IF((COUNTIFS(d_rs_sched!$D:$D,$A26,d_rs_sched!$I:$I,$A26,d_rs_sched!$K:$K,AC$1)+COUNTIFS(d_rs_sched!$D:$D,$A26,d_rs_sched!$I:$I,AC$1,d_rs_sched!$K:$K,$A26))&gt;0,(COUNTIFS(d_rs_sched!$D:$D,$A26,d_rs_sched!$I:$I,$A26,d_rs_sched!$K:$K,AC$1)+COUNTIFS(d_rs_sched!$D:$D,$A26,d_rs_sched!$I:$I,AC$1,d_rs_sched!$K:$K,$A26)),1),1)</f>
        <v>10.5</v>
      </c>
      <c r="AD26">
        <f>IFERROR((SUMIFS(d_rs_sched!$J:$J,d_rs_sched!$D:$D,$A26,d_rs_sched!$I:$I,$A26,d_rs_sched!$K:$K,AD$1)+SUMIFS(d_rs_sched!$L:$L,d_rs_sched!$D:$D,$A26,d_rs_sched!$K:$K,$A26,d_rs_sched!$I:$I,AD$1))-(SUMIFS(d_rs_sched!$L:$L,d_rs_sched!$D:$D,$A26,d_rs_sched!$I:$I,$A26,d_rs_sched!$K:$K,AD$1)+SUMIFS(d_rs_sched!$J:$J,d_rs_sched!$D:$D,$A26,d_rs_sched!$K:$K,$A26,d_rs_sched!$I:$I,AD$1)),0)/IFERROR(IF((COUNTIFS(d_rs_sched!$D:$D,$A26,d_rs_sched!$I:$I,$A26,d_rs_sched!$K:$K,AD$1)+COUNTIFS(d_rs_sched!$D:$D,$A26,d_rs_sched!$I:$I,AD$1,d_rs_sched!$K:$K,$A26))&gt;0,(COUNTIFS(d_rs_sched!$D:$D,$A26,d_rs_sched!$I:$I,$A26,d_rs_sched!$K:$K,AD$1)+COUNTIFS(d_rs_sched!$D:$D,$A26,d_rs_sched!$I:$I,AD$1,d_rs_sched!$K:$K,$A26)),1),1)</f>
        <v>-4.5</v>
      </c>
      <c r="AE26">
        <f>IFERROR((SUMIFS(d_rs_sched!$J:$J,d_rs_sched!$D:$D,$A26,d_rs_sched!$I:$I,$A26,d_rs_sched!$K:$K,AE$1)+SUMIFS(d_rs_sched!$L:$L,d_rs_sched!$D:$D,$A26,d_rs_sched!$K:$K,$A26,d_rs_sched!$I:$I,AE$1))-(SUMIFS(d_rs_sched!$L:$L,d_rs_sched!$D:$D,$A26,d_rs_sched!$I:$I,$A26,d_rs_sched!$K:$K,AE$1)+SUMIFS(d_rs_sched!$J:$J,d_rs_sched!$D:$D,$A26,d_rs_sched!$K:$K,$A26,d_rs_sched!$I:$I,AE$1)),0)/IFERROR(IF((COUNTIFS(d_rs_sched!$D:$D,$A26,d_rs_sched!$I:$I,$A26,d_rs_sched!$K:$K,AE$1)+COUNTIFS(d_rs_sched!$D:$D,$A26,d_rs_sched!$I:$I,AE$1,d_rs_sched!$K:$K,$A26))&gt;0,(COUNTIFS(d_rs_sched!$D:$D,$A26,d_rs_sched!$I:$I,$A26,d_rs_sched!$K:$K,AE$1)+COUNTIFS(d_rs_sched!$D:$D,$A26,d_rs_sched!$I:$I,AE$1,d_rs_sched!$K:$K,$A26)),1),1)</f>
        <v>-0.5</v>
      </c>
      <c r="AG26" t="s">
        <v>39</v>
      </c>
      <c r="AH26">
        <v>0.97059587598563246</v>
      </c>
      <c r="AI26">
        <f t="shared" si="0"/>
        <v>17</v>
      </c>
    </row>
    <row r="27" spans="1:35" x14ac:dyDescent="0.25">
      <c r="A27" t="s">
        <v>15</v>
      </c>
      <c r="B27">
        <f>IFERROR((SUMIFS(d_rs_sched!$J:$J,d_rs_sched!$D:$D,$A27,d_rs_sched!$I:$I,$A27,d_rs_sched!$K:$K,B$1)+SUMIFS(d_rs_sched!$L:$L,d_rs_sched!$D:$D,$A27,d_rs_sched!$K:$K,$A27,d_rs_sched!$I:$I,B$1))-(SUMIFS(d_rs_sched!$L:$L,d_rs_sched!$D:$D,$A27,d_rs_sched!$I:$I,$A27,d_rs_sched!$K:$K,B$1)+SUMIFS(d_rs_sched!$J:$J,d_rs_sched!$D:$D,$A27,d_rs_sched!$K:$K,$A27,d_rs_sched!$I:$I,B$1)),0)/IFERROR(IF((COUNTIFS(d_rs_sched!$D:$D,$A27,d_rs_sched!$I:$I,$A27,d_rs_sched!$K:$K,B$1)+COUNTIFS(d_rs_sched!$D:$D,$A27,d_rs_sched!$I:$I,B$1,d_rs_sched!$K:$K,$A27))&gt;0,(COUNTIFS(d_rs_sched!$D:$D,$A27,d_rs_sched!$I:$I,$A27,d_rs_sched!$K:$K,B$1)+COUNTIFS(d_rs_sched!$D:$D,$A27,d_rs_sched!$I:$I,B$1,d_rs_sched!$K:$K,$A27)),1),1)</f>
        <v>10.5</v>
      </c>
      <c r="C27">
        <f>IFERROR((SUMIFS(d_rs_sched!$J:$J,d_rs_sched!$D:$D,$A27,d_rs_sched!$I:$I,$A27,d_rs_sched!$K:$K,C$1)+SUMIFS(d_rs_sched!$L:$L,d_rs_sched!$D:$D,$A27,d_rs_sched!$K:$K,$A27,d_rs_sched!$I:$I,C$1))-(SUMIFS(d_rs_sched!$L:$L,d_rs_sched!$D:$D,$A27,d_rs_sched!$I:$I,$A27,d_rs_sched!$K:$K,C$1)+SUMIFS(d_rs_sched!$J:$J,d_rs_sched!$D:$D,$A27,d_rs_sched!$K:$K,$A27,d_rs_sched!$I:$I,C$1)),0)/IFERROR(IF((COUNTIFS(d_rs_sched!$D:$D,$A27,d_rs_sched!$I:$I,$A27,d_rs_sched!$K:$K,C$1)+COUNTIFS(d_rs_sched!$D:$D,$A27,d_rs_sched!$I:$I,C$1,d_rs_sched!$K:$K,$A27))&gt;0,(COUNTIFS(d_rs_sched!$D:$D,$A27,d_rs_sched!$I:$I,$A27,d_rs_sched!$K:$K,C$1)+COUNTIFS(d_rs_sched!$D:$D,$A27,d_rs_sched!$I:$I,C$1,d_rs_sched!$K:$K,$A27)),1),1)</f>
        <v>5</v>
      </c>
      <c r="D27">
        <f>IFERROR((SUMIFS(d_rs_sched!$J:$J,d_rs_sched!$D:$D,$A27,d_rs_sched!$I:$I,$A27,d_rs_sched!$K:$K,D$1)+SUMIFS(d_rs_sched!$L:$L,d_rs_sched!$D:$D,$A27,d_rs_sched!$K:$K,$A27,d_rs_sched!$I:$I,D$1))-(SUMIFS(d_rs_sched!$L:$L,d_rs_sched!$D:$D,$A27,d_rs_sched!$I:$I,$A27,d_rs_sched!$K:$K,D$1)+SUMIFS(d_rs_sched!$J:$J,d_rs_sched!$D:$D,$A27,d_rs_sched!$K:$K,$A27,d_rs_sched!$I:$I,D$1)),0)/IFERROR(IF((COUNTIFS(d_rs_sched!$D:$D,$A27,d_rs_sched!$I:$I,$A27,d_rs_sched!$K:$K,D$1)+COUNTIFS(d_rs_sched!$D:$D,$A27,d_rs_sched!$I:$I,D$1,d_rs_sched!$K:$K,$A27))&gt;0,(COUNTIFS(d_rs_sched!$D:$D,$A27,d_rs_sched!$I:$I,$A27,d_rs_sched!$K:$K,D$1)+COUNTIFS(d_rs_sched!$D:$D,$A27,d_rs_sched!$I:$I,D$1,d_rs_sched!$K:$K,$A27)),1),1)</f>
        <v>17</v>
      </c>
      <c r="E27">
        <f>IFERROR((SUMIFS(d_rs_sched!$J:$J,d_rs_sched!$D:$D,$A27,d_rs_sched!$I:$I,$A27,d_rs_sched!$K:$K,E$1)+SUMIFS(d_rs_sched!$L:$L,d_rs_sched!$D:$D,$A27,d_rs_sched!$K:$K,$A27,d_rs_sched!$I:$I,E$1))-(SUMIFS(d_rs_sched!$L:$L,d_rs_sched!$D:$D,$A27,d_rs_sched!$I:$I,$A27,d_rs_sched!$K:$K,E$1)+SUMIFS(d_rs_sched!$J:$J,d_rs_sched!$D:$D,$A27,d_rs_sched!$K:$K,$A27,d_rs_sched!$I:$I,E$1)),0)/IFERROR(IF((COUNTIFS(d_rs_sched!$D:$D,$A27,d_rs_sched!$I:$I,$A27,d_rs_sched!$K:$K,E$1)+COUNTIFS(d_rs_sched!$D:$D,$A27,d_rs_sched!$I:$I,E$1,d_rs_sched!$K:$K,$A27))&gt;0,(COUNTIFS(d_rs_sched!$D:$D,$A27,d_rs_sched!$I:$I,$A27,d_rs_sched!$K:$K,E$1)+COUNTIFS(d_rs_sched!$D:$D,$A27,d_rs_sched!$I:$I,E$1,d_rs_sched!$K:$K,$A27)),1),1)</f>
        <v>7</v>
      </c>
      <c r="F27">
        <f>IFERROR((SUMIFS(d_rs_sched!$J:$J,d_rs_sched!$D:$D,$A27,d_rs_sched!$I:$I,$A27,d_rs_sched!$K:$K,F$1)+SUMIFS(d_rs_sched!$L:$L,d_rs_sched!$D:$D,$A27,d_rs_sched!$K:$K,$A27,d_rs_sched!$I:$I,F$1))-(SUMIFS(d_rs_sched!$L:$L,d_rs_sched!$D:$D,$A27,d_rs_sched!$I:$I,$A27,d_rs_sched!$K:$K,F$1)+SUMIFS(d_rs_sched!$J:$J,d_rs_sched!$D:$D,$A27,d_rs_sched!$K:$K,$A27,d_rs_sched!$I:$I,F$1)),0)/IFERROR(IF((COUNTIFS(d_rs_sched!$D:$D,$A27,d_rs_sched!$I:$I,$A27,d_rs_sched!$K:$K,F$1)+COUNTIFS(d_rs_sched!$D:$D,$A27,d_rs_sched!$I:$I,F$1,d_rs_sched!$K:$K,$A27))&gt;0,(COUNTIFS(d_rs_sched!$D:$D,$A27,d_rs_sched!$I:$I,$A27,d_rs_sched!$K:$K,F$1)+COUNTIFS(d_rs_sched!$D:$D,$A27,d_rs_sched!$I:$I,F$1,d_rs_sched!$K:$K,$A27)),1),1)</f>
        <v>-6</v>
      </c>
      <c r="G27">
        <f>IFERROR((SUMIFS(d_rs_sched!$J:$J,d_rs_sched!$D:$D,$A27,d_rs_sched!$I:$I,$A27,d_rs_sched!$K:$K,G$1)+SUMIFS(d_rs_sched!$L:$L,d_rs_sched!$D:$D,$A27,d_rs_sched!$K:$K,$A27,d_rs_sched!$I:$I,G$1))-(SUMIFS(d_rs_sched!$L:$L,d_rs_sched!$D:$D,$A27,d_rs_sched!$I:$I,$A27,d_rs_sched!$K:$K,G$1)+SUMIFS(d_rs_sched!$J:$J,d_rs_sched!$D:$D,$A27,d_rs_sched!$K:$K,$A27,d_rs_sched!$I:$I,G$1)),0)/IFERROR(IF((COUNTIFS(d_rs_sched!$D:$D,$A27,d_rs_sched!$I:$I,$A27,d_rs_sched!$K:$K,G$1)+COUNTIFS(d_rs_sched!$D:$D,$A27,d_rs_sched!$I:$I,G$1,d_rs_sched!$K:$K,$A27))&gt;0,(COUNTIFS(d_rs_sched!$D:$D,$A27,d_rs_sched!$I:$I,$A27,d_rs_sched!$K:$K,G$1)+COUNTIFS(d_rs_sched!$D:$D,$A27,d_rs_sched!$I:$I,G$1,d_rs_sched!$K:$K,$A27)),1),1)</f>
        <v>-0.5</v>
      </c>
      <c r="H27">
        <f>IFERROR((SUMIFS(d_rs_sched!$J:$J,d_rs_sched!$D:$D,$A27,d_rs_sched!$I:$I,$A27,d_rs_sched!$K:$K,H$1)+SUMIFS(d_rs_sched!$L:$L,d_rs_sched!$D:$D,$A27,d_rs_sched!$K:$K,$A27,d_rs_sched!$I:$I,H$1))-(SUMIFS(d_rs_sched!$L:$L,d_rs_sched!$D:$D,$A27,d_rs_sched!$I:$I,$A27,d_rs_sched!$K:$K,H$1)+SUMIFS(d_rs_sched!$J:$J,d_rs_sched!$D:$D,$A27,d_rs_sched!$K:$K,$A27,d_rs_sched!$I:$I,H$1)),0)/IFERROR(IF((COUNTIFS(d_rs_sched!$D:$D,$A27,d_rs_sched!$I:$I,$A27,d_rs_sched!$K:$K,H$1)+COUNTIFS(d_rs_sched!$D:$D,$A27,d_rs_sched!$I:$I,H$1,d_rs_sched!$K:$K,$A27))&gt;0,(COUNTIFS(d_rs_sched!$D:$D,$A27,d_rs_sched!$I:$I,$A27,d_rs_sched!$K:$K,H$1)+COUNTIFS(d_rs_sched!$D:$D,$A27,d_rs_sched!$I:$I,H$1,d_rs_sched!$K:$K,$A27)),1),1)</f>
        <v>1.5</v>
      </c>
      <c r="I27">
        <f>IFERROR((SUMIFS(d_rs_sched!$J:$J,d_rs_sched!$D:$D,$A27,d_rs_sched!$I:$I,$A27,d_rs_sched!$K:$K,I$1)+SUMIFS(d_rs_sched!$L:$L,d_rs_sched!$D:$D,$A27,d_rs_sched!$K:$K,$A27,d_rs_sched!$I:$I,I$1))-(SUMIFS(d_rs_sched!$L:$L,d_rs_sched!$D:$D,$A27,d_rs_sched!$I:$I,$A27,d_rs_sched!$K:$K,I$1)+SUMIFS(d_rs_sched!$J:$J,d_rs_sched!$D:$D,$A27,d_rs_sched!$K:$K,$A27,d_rs_sched!$I:$I,I$1)),0)/IFERROR(IF((COUNTIFS(d_rs_sched!$D:$D,$A27,d_rs_sched!$I:$I,$A27,d_rs_sched!$K:$K,I$1)+COUNTIFS(d_rs_sched!$D:$D,$A27,d_rs_sched!$I:$I,I$1,d_rs_sched!$K:$K,$A27))&gt;0,(COUNTIFS(d_rs_sched!$D:$D,$A27,d_rs_sched!$I:$I,$A27,d_rs_sched!$K:$K,I$1)+COUNTIFS(d_rs_sched!$D:$D,$A27,d_rs_sched!$I:$I,I$1,d_rs_sched!$K:$K,$A27)),1),1)</f>
        <v>14.25</v>
      </c>
      <c r="J27">
        <f>IFERROR((SUMIFS(d_rs_sched!$J:$J,d_rs_sched!$D:$D,$A27,d_rs_sched!$I:$I,$A27,d_rs_sched!$K:$K,J$1)+SUMIFS(d_rs_sched!$L:$L,d_rs_sched!$D:$D,$A27,d_rs_sched!$K:$K,$A27,d_rs_sched!$I:$I,J$1))-(SUMIFS(d_rs_sched!$L:$L,d_rs_sched!$D:$D,$A27,d_rs_sched!$I:$I,$A27,d_rs_sched!$K:$K,J$1)+SUMIFS(d_rs_sched!$J:$J,d_rs_sched!$D:$D,$A27,d_rs_sched!$K:$K,$A27,d_rs_sched!$I:$I,J$1)),0)/IFERROR(IF((COUNTIFS(d_rs_sched!$D:$D,$A27,d_rs_sched!$I:$I,$A27,d_rs_sched!$K:$K,J$1)+COUNTIFS(d_rs_sched!$D:$D,$A27,d_rs_sched!$I:$I,J$1,d_rs_sched!$K:$K,$A27))&gt;0,(COUNTIFS(d_rs_sched!$D:$D,$A27,d_rs_sched!$I:$I,$A27,d_rs_sched!$K:$K,J$1)+COUNTIFS(d_rs_sched!$D:$D,$A27,d_rs_sched!$I:$I,J$1,d_rs_sched!$K:$K,$A27)),1),1)</f>
        <v>8</v>
      </c>
      <c r="K27">
        <f>IFERROR((SUMIFS(d_rs_sched!$J:$J,d_rs_sched!$D:$D,$A27,d_rs_sched!$I:$I,$A27,d_rs_sched!$K:$K,K$1)+SUMIFS(d_rs_sched!$L:$L,d_rs_sched!$D:$D,$A27,d_rs_sched!$K:$K,$A27,d_rs_sched!$I:$I,K$1))-(SUMIFS(d_rs_sched!$L:$L,d_rs_sched!$D:$D,$A27,d_rs_sched!$I:$I,$A27,d_rs_sched!$K:$K,K$1)+SUMIFS(d_rs_sched!$J:$J,d_rs_sched!$D:$D,$A27,d_rs_sched!$K:$K,$A27,d_rs_sched!$I:$I,K$1)),0)/IFERROR(IF((COUNTIFS(d_rs_sched!$D:$D,$A27,d_rs_sched!$I:$I,$A27,d_rs_sched!$K:$K,K$1)+COUNTIFS(d_rs_sched!$D:$D,$A27,d_rs_sched!$I:$I,K$1,d_rs_sched!$K:$K,$A27))&gt;0,(COUNTIFS(d_rs_sched!$D:$D,$A27,d_rs_sched!$I:$I,$A27,d_rs_sched!$K:$K,K$1)+COUNTIFS(d_rs_sched!$D:$D,$A27,d_rs_sched!$I:$I,K$1,d_rs_sched!$K:$K,$A27)),1),1)</f>
        <v>5.666666666666667</v>
      </c>
      <c r="L27">
        <f>IFERROR((SUMIFS(d_rs_sched!$J:$J,d_rs_sched!$D:$D,$A27,d_rs_sched!$I:$I,$A27,d_rs_sched!$K:$K,L$1)+SUMIFS(d_rs_sched!$L:$L,d_rs_sched!$D:$D,$A27,d_rs_sched!$K:$K,$A27,d_rs_sched!$I:$I,L$1))-(SUMIFS(d_rs_sched!$L:$L,d_rs_sched!$D:$D,$A27,d_rs_sched!$I:$I,$A27,d_rs_sched!$K:$K,L$1)+SUMIFS(d_rs_sched!$J:$J,d_rs_sched!$D:$D,$A27,d_rs_sched!$K:$K,$A27,d_rs_sched!$I:$I,L$1)),0)/IFERROR(IF((COUNTIFS(d_rs_sched!$D:$D,$A27,d_rs_sched!$I:$I,$A27,d_rs_sched!$K:$K,L$1)+COUNTIFS(d_rs_sched!$D:$D,$A27,d_rs_sched!$I:$I,L$1,d_rs_sched!$K:$K,$A27))&gt;0,(COUNTIFS(d_rs_sched!$D:$D,$A27,d_rs_sched!$I:$I,$A27,d_rs_sched!$K:$K,L$1)+COUNTIFS(d_rs_sched!$D:$D,$A27,d_rs_sched!$I:$I,L$1,d_rs_sched!$K:$K,$A27)),1),1)</f>
        <v>0</v>
      </c>
      <c r="M27">
        <f>IFERROR((SUMIFS(d_rs_sched!$J:$J,d_rs_sched!$D:$D,$A27,d_rs_sched!$I:$I,$A27,d_rs_sched!$K:$K,M$1)+SUMIFS(d_rs_sched!$L:$L,d_rs_sched!$D:$D,$A27,d_rs_sched!$K:$K,$A27,d_rs_sched!$I:$I,M$1))-(SUMIFS(d_rs_sched!$L:$L,d_rs_sched!$D:$D,$A27,d_rs_sched!$I:$I,$A27,d_rs_sched!$K:$K,M$1)+SUMIFS(d_rs_sched!$J:$J,d_rs_sched!$D:$D,$A27,d_rs_sched!$K:$K,$A27,d_rs_sched!$I:$I,M$1)),0)/IFERROR(IF((COUNTIFS(d_rs_sched!$D:$D,$A27,d_rs_sched!$I:$I,$A27,d_rs_sched!$K:$K,M$1)+COUNTIFS(d_rs_sched!$D:$D,$A27,d_rs_sched!$I:$I,M$1,d_rs_sched!$K:$K,$A27))&gt;0,(COUNTIFS(d_rs_sched!$D:$D,$A27,d_rs_sched!$I:$I,$A27,d_rs_sched!$K:$K,M$1)+COUNTIFS(d_rs_sched!$D:$D,$A27,d_rs_sched!$I:$I,M$1,d_rs_sched!$K:$K,$A27)),1),1)</f>
        <v>4</v>
      </c>
      <c r="N27">
        <f>IFERROR((SUMIFS(d_rs_sched!$J:$J,d_rs_sched!$D:$D,$A27,d_rs_sched!$I:$I,$A27,d_rs_sched!$K:$K,N$1)+SUMIFS(d_rs_sched!$L:$L,d_rs_sched!$D:$D,$A27,d_rs_sched!$K:$K,$A27,d_rs_sched!$I:$I,N$1))-(SUMIFS(d_rs_sched!$L:$L,d_rs_sched!$D:$D,$A27,d_rs_sched!$I:$I,$A27,d_rs_sched!$K:$K,N$1)+SUMIFS(d_rs_sched!$J:$J,d_rs_sched!$D:$D,$A27,d_rs_sched!$K:$K,$A27,d_rs_sched!$I:$I,N$1)),0)/IFERROR(IF((COUNTIFS(d_rs_sched!$D:$D,$A27,d_rs_sched!$I:$I,$A27,d_rs_sched!$K:$K,N$1)+COUNTIFS(d_rs_sched!$D:$D,$A27,d_rs_sched!$I:$I,N$1,d_rs_sched!$K:$K,$A27))&gt;0,(COUNTIFS(d_rs_sched!$D:$D,$A27,d_rs_sched!$I:$I,$A27,d_rs_sched!$K:$K,N$1)+COUNTIFS(d_rs_sched!$D:$D,$A27,d_rs_sched!$I:$I,N$1,d_rs_sched!$K:$K,$A27)),1),1)</f>
        <v>-3.25</v>
      </c>
      <c r="O27">
        <f>IFERROR((SUMIFS(d_rs_sched!$J:$J,d_rs_sched!$D:$D,$A27,d_rs_sched!$I:$I,$A27,d_rs_sched!$K:$K,O$1)+SUMIFS(d_rs_sched!$L:$L,d_rs_sched!$D:$D,$A27,d_rs_sched!$K:$K,$A27,d_rs_sched!$I:$I,O$1))-(SUMIFS(d_rs_sched!$L:$L,d_rs_sched!$D:$D,$A27,d_rs_sched!$I:$I,$A27,d_rs_sched!$K:$K,O$1)+SUMIFS(d_rs_sched!$J:$J,d_rs_sched!$D:$D,$A27,d_rs_sched!$K:$K,$A27,d_rs_sched!$I:$I,O$1)),0)/IFERROR(IF((COUNTIFS(d_rs_sched!$D:$D,$A27,d_rs_sched!$I:$I,$A27,d_rs_sched!$K:$K,O$1)+COUNTIFS(d_rs_sched!$D:$D,$A27,d_rs_sched!$I:$I,O$1,d_rs_sched!$K:$K,$A27))&gt;0,(COUNTIFS(d_rs_sched!$D:$D,$A27,d_rs_sched!$I:$I,$A27,d_rs_sched!$K:$K,O$1)+COUNTIFS(d_rs_sched!$D:$D,$A27,d_rs_sched!$I:$I,O$1,d_rs_sched!$K:$K,$A27)),1),1)</f>
        <v>8.3333333333333339</v>
      </c>
      <c r="P27">
        <f>IFERROR((SUMIFS(d_rs_sched!$J:$J,d_rs_sched!$D:$D,$A27,d_rs_sched!$I:$I,$A27,d_rs_sched!$K:$K,P$1)+SUMIFS(d_rs_sched!$L:$L,d_rs_sched!$D:$D,$A27,d_rs_sched!$K:$K,$A27,d_rs_sched!$I:$I,P$1))-(SUMIFS(d_rs_sched!$L:$L,d_rs_sched!$D:$D,$A27,d_rs_sched!$I:$I,$A27,d_rs_sched!$K:$K,P$1)+SUMIFS(d_rs_sched!$J:$J,d_rs_sched!$D:$D,$A27,d_rs_sched!$K:$K,$A27,d_rs_sched!$I:$I,P$1)),0)/IFERROR(IF((COUNTIFS(d_rs_sched!$D:$D,$A27,d_rs_sched!$I:$I,$A27,d_rs_sched!$K:$K,P$1)+COUNTIFS(d_rs_sched!$D:$D,$A27,d_rs_sched!$I:$I,P$1,d_rs_sched!$K:$K,$A27))&gt;0,(COUNTIFS(d_rs_sched!$D:$D,$A27,d_rs_sched!$I:$I,$A27,d_rs_sched!$K:$K,P$1)+COUNTIFS(d_rs_sched!$D:$D,$A27,d_rs_sched!$I:$I,P$1,d_rs_sched!$K:$K,$A27)),1),1)</f>
        <v>2.75</v>
      </c>
      <c r="Q27">
        <f>IFERROR((SUMIFS(d_rs_sched!$J:$J,d_rs_sched!$D:$D,$A27,d_rs_sched!$I:$I,$A27,d_rs_sched!$K:$K,Q$1)+SUMIFS(d_rs_sched!$L:$L,d_rs_sched!$D:$D,$A27,d_rs_sched!$K:$K,$A27,d_rs_sched!$I:$I,Q$1))-(SUMIFS(d_rs_sched!$L:$L,d_rs_sched!$D:$D,$A27,d_rs_sched!$I:$I,$A27,d_rs_sched!$K:$K,Q$1)+SUMIFS(d_rs_sched!$J:$J,d_rs_sched!$D:$D,$A27,d_rs_sched!$K:$K,$A27,d_rs_sched!$I:$I,Q$1)),0)/IFERROR(IF((COUNTIFS(d_rs_sched!$D:$D,$A27,d_rs_sched!$I:$I,$A27,d_rs_sched!$K:$K,Q$1)+COUNTIFS(d_rs_sched!$D:$D,$A27,d_rs_sched!$I:$I,Q$1,d_rs_sched!$K:$K,$A27))&gt;0,(COUNTIFS(d_rs_sched!$D:$D,$A27,d_rs_sched!$I:$I,$A27,d_rs_sched!$K:$K,Q$1)+COUNTIFS(d_rs_sched!$D:$D,$A27,d_rs_sched!$I:$I,Q$1,d_rs_sched!$K:$K,$A27)),1),1)</f>
        <v>13.5</v>
      </c>
      <c r="R27">
        <f>IFERROR((SUMIFS(d_rs_sched!$J:$J,d_rs_sched!$D:$D,$A27,d_rs_sched!$I:$I,$A27,d_rs_sched!$K:$K,R$1)+SUMIFS(d_rs_sched!$L:$L,d_rs_sched!$D:$D,$A27,d_rs_sched!$K:$K,$A27,d_rs_sched!$I:$I,R$1))-(SUMIFS(d_rs_sched!$L:$L,d_rs_sched!$D:$D,$A27,d_rs_sched!$I:$I,$A27,d_rs_sched!$K:$K,R$1)+SUMIFS(d_rs_sched!$J:$J,d_rs_sched!$D:$D,$A27,d_rs_sched!$K:$K,$A27,d_rs_sched!$I:$I,R$1)),0)/IFERROR(IF((COUNTIFS(d_rs_sched!$D:$D,$A27,d_rs_sched!$I:$I,$A27,d_rs_sched!$K:$K,R$1)+COUNTIFS(d_rs_sched!$D:$D,$A27,d_rs_sched!$I:$I,R$1,d_rs_sched!$K:$K,$A27))&gt;0,(COUNTIFS(d_rs_sched!$D:$D,$A27,d_rs_sched!$I:$I,$A27,d_rs_sched!$K:$K,R$1)+COUNTIFS(d_rs_sched!$D:$D,$A27,d_rs_sched!$I:$I,R$1,d_rs_sched!$K:$K,$A27)),1),1)</f>
        <v>8.5</v>
      </c>
      <c r="S27">
        <f>IFERROR((SUMIFS(d_rs_sched!$J:$J,d_rs_sched!$D:$D,$A27,d_rs_sched!$I:$I,$A27,d_rs_sched!$K:$K,S$1)+SUMIFS(d_rs_sched!$L:$L,d_rs_sched!$D:$D,$A27,d_rs_sched!$K:$K,$A27,d_rs_sched!$I:$I,S$1))-(SUMIFS(d_rs_sched!$L:$L,d_rs_sched!$D:$D,$A27,d_rs_sched!$I:$I,$A27,d_rs_sched!$K:$K,S$1)+SUMIFS(d_rs_sched!$J:$J,d_rs_sched!$D:$D,$A27,d_rs_sched!$K:$K,$A27,d_rs_sched!$I:$I,S$1)),0)/IFERROR(IF((COUNTIFS(d_rs_sched!$D:$D,$A27,d_rs_sched!$I:$I,$A27,d_rs_sched!$K:$K,S$1)+COUNTIFS(d_rs_sched!$D:$D,$A27,d_rs_sched!$I:$I,S$1,d_rs_sched!$K:$K,$A27))&gt;0,(COUNTIFS(d_rs_sched!$D:$D,$A27,d_rs_sched!$I:$I,$A27,d_rs_sched!$K:$K,S$1)+COUNTIFS(d_rs_sched!$D:$D,$A27,d_rs_sched!$I:$I,S$1,d_rs_sched!$K:$K,$A27)),1),1)</f>
        <v>23</v>
      </c>
      <c r="T27">
        <f>IFERROR((SUMIFS(d_rs_sched!$J:$J,d_rs_sched!$D:$D,$A27,d_rs_sched!$I:$I,$A27,d_rs_sched!$K:$K,T$1)+SUMIFS(d_rs_sched!$L:$L,d_rs_sched!$D:$D,$A27,d_rs_sched!$K:$K,$A27,d_rs_sched!$I:$I,T$1))-(SUMIFS(d_rs_sched!$L:$L,d_rs_sched!$D:$D,$A27,d_rs_sched!$I:$I,$A27,d_rs_sched!$K:$K,T$1)+SUMIFS(d_rs_sched!$J:$J,d_rs_sched!$D:$D,$A27,d_rs_sched!$K:$K,$A27,d_rs_sched!$I:$I,T$1)),0)/IFERROR(IF((COUNTIFS(d_rs_sched!$D:$D,$A27,d_rs_sched!$I:$I,$A27,d_rs_sched!$K:$K,T$1)+COUNTIFS(d_rs_sched!$D:$D,$A27,d_rs_sched!$I:$I,T$1,d_rs_sched!$K:$K,$A27))&gt;0,(COUNTIFS(d_rs_sched!$D:$D,$A27,d_rs_sched!$I:$I,$A27,d_rs_sched!$K:$K,T$1)+COUNTIFS(d_rs_sched!$D:$D,$A27,d_rs_sched!$I:$I,T$1,d_rs_sched!$K:$K,$A27)),1),1)</f>
        <v>-2.75</v>
      </c>
      <c r="U27">
        <f>IFERROR((SUMIFS(d_rs_sched!$J:$J,d_rs_sched!$D:$D,$A27,d_rs_sched!$I:$I,$A27,d_rs_sched!$K:$K,U$1)+SUMIFS(d_rs_sched!$L:$L,d_rs_sched!$D:$D,$A27,d_rs_sched!$K:$K,$A27,d_rs_sched!$I:$I,U$1))-(SUMIFS(d_rs_sched!$L:$L,d_rs_sched!$D:$D,$A27,d_rs_sched!$I:$I,$A27,d_rs_sched!$K:$K,U$1)+SUMIFS(d_rs_sched!$J:$J,d_rs_sched!$D:$D,$A27,d_rs_sched!$K:$K,$A27,d_rs_sched!$I:$I,U$1)),0)/IFERROR(IF((COUNTIFS(d_rs_sched!$D:$D,$A27,d_rs_sched!$I:$I,$A27,d_rs_sched!$K:$K,U$1)+COUNTIFS(d_rs_sched!$D:$D,$A27,d_rs_sched!$I:$I,U$1,d_rs_sched!$K:$K,$A27))&gt;0,(COUNTIFS(d_rs_sched!$D:$D,$A27,d_rs_sched!$I:$I,$A27,d_rs_sched!$K:$K,U$1)+COUNTIFS(d_rs_sched!$D:$D,$A27,d_rs_sched!$I:$I,U$1,d_rs_sched!$K:$K,$A27)),1),1)</f>
        <v>5</v>
      </c>
      <c r="V27">
        <f>IFERROR((SUMIFS(d_rs_sched!$J:$J,d_rs_sched!$D:$D,$A27,d_rs_sched!$I:$I,$A27,d_rs_sched!$K:$K,V$1)+SUMIFS(d_rs_sched!$L:$L,d_rs_sched!$D:$D,$A27,d_rs_sched!$K:$K,$A27,d_rs_sched!$I:$I,V$1))-(SUMIFS(d_rs_sched!$L:$L,d_rs_sched!$D:$D,$A27,d_rs_sched!$I:$I,$A27,d_rs_sched!$K:$K,V$1)+SUMIFS(d_rs_sched!$J:$J,d_rs_sched!$D:$D,$A27,d_rs_sched!$K:$K,$A27,d_rs_sched!$I:$I,V$1)),0)/IFERROR(IF((COUNTIFS(d_rs_sched!$D:$D,$A27,d_rs_sched!$I:$I,$A27,d_rs_sched!$K:$K,V$1)+COUNTIFS(d_rs_sched!$D:$D,$A27,d_rs_sched!$I:$I,V$1,d_rs_sched!$K:$K,$A27))&gt;0,(COUNTIFS(d_rs_sched!$D:$D,$A27,d_rs_sched!$I:$I,$A27,d_rs_sched!$K:$K,V$1)+COUNTIFS(d_rs_sched!$D:$D,$A27,d_rs_sched!$I:$I,V$1,d_rs_sched!$K:$K,$A27)),1),1)</f>
        <v>18.666666666666668</v>
      </c>
      <c r="W27">
        <f>IFERROR((SUMIFS(d_rs_sched!$J:$J,d_rs_sched!$D:$D,$A27,d_rs_sched!$I:$I,$A27,d_rs_sched!$K:$K,W$1)+SUMIFS(d_rs_sched!$L:$L,d_rs_sched!$D:$D,$A27,d_rs_sched!$K:$K,$A27,d_rs_sched!$I:$I,W$1))-(SUMIFS(d_rs_sched!$L:$L,d_rs_sched!$D:$D,$A27,d_rs_sched!$I:$I,$A27,d_rs_sched!$K:$K,W$1)+SUMIFS(d_rs_sched!$J:$J,d_rs_sched!$D:$D,$A27,d_rs_sched!$K:$K,$A27,d_rs_sched!$I:$I,W$1)),0)/IFERROR(IF((COUNTIFS(d_rs_sched!$D:$D,$A27,d_rs_sched!$I:$I,$A27,d_rs_sched!$K:$K,W$1)+COUNTIFS(d_rs_sched!$D:$D,$A27,d_rs_sched!$I:$I,W$1,d_rs_sched!$K:$K,$A27))&gt;0,(COUNTIFS(d_rs_sched!$D:$D,$A27,d_rs_sched!$I:$I,$A27,d_rs_sched!$K:$K,W$1)+COUNTIFS(d_rs_sched!$D:$D,$A27,d_rs_sched!$I:$I,W$1,d_rs_sched!$K:$K,$A27)),1),1)</f>
        <v>9.5</v>
      </c>
      <c r="X27">
        <f>IFERROR((SUMIFS(d_rs_sched!$J:$J,d_rs_sched!$D:$D,$A27,d_rs_sched!$I:$I,$A27,d_rs_sched!$K:$K,X$1)+SUMIFS(d_rs_sched!$L:$L,d_rs_sched!$D:$D,$A27,d_rs_sched!$K:$K,$A27,d_rs_sched!$I:$I,X$1))-(SUMIFS(d_rs_sched!$L:$L,d_rs_sched!$D:$D,$A27,d_rs_sched!$I:$I,$A27,d_rs_sched!$K:$K,X$1)+SUMIFS(d_rs_sched!$J:$J,d_rs_sched!$D:$D,$A27,d_rs_sched!$K:$K,$A27,d_rs_sched!$I:$I,X$1)),0)/IFERROR(IF((COUNTIFS(d_rs_sched!$D:$D,$A27,d_rs_sched!$I:$I,$A27,d_rs_sched!$K:$K,X$1)+COUNTIFS(d_rs_sched!$D:$D,$A27,d_rs_sched!$I:$I,X$1,d_rs_sched!$K:$K,$A27))&gt;0,(COUNTIFS(d_rs_sched!$D:$D,$A27,d_rs_sched!$I:$I,$A27,d_rs_sched!$K:$K,X$1)+COUNTIFS(d_rs_sched!$D:$D,$A27,d_rs_sched!$I:$I,X$1,d_rs_sched!$K:$K,$A27)),1),1)</f>
        <v>15.5</v>
      </c>
      <c r="Y27">
        <f>IFERROR((SUMIFS(d_rs_sched!$J:$J,d_rs_sched!$D:$D,$A27,d_rs_sched!$I:$I,$A27,d_rs_sched!$K:$K,Y$1)+SUMIFS(d_rs_sched!$L:$L,d_rs_sched!$D:$D,$A27,d_rs_sched!$K:$K,$A27,d_rs_sched!$I:$I,Y$1))-(SUMIFS(d_rs_sched!$L:$L,d_rs_sched!$D:$D,$A27,d_rs_sched!$I:$I,$A27,d_rs_sched!$K:$K,Y$1)+SUMIFS(d_rs_sched!$J:$J,d_rs_sched!$D:$D,$A27,d_rs_sched!$K:$K,$A27,d_rs_sched!$I:$I,Y$1)),0)/IFERROR(IF((COUNTIFS(d_rs_sched!$D:$D,$A27,d_rs_sched!$I:$I,$A27,d_rs_sched!$K:$K,Y$1)+COUNTIFS(d_rs_sched!$D:$D,$A27,d_rs_sched!$I:$I,Y$1,d_rs_sched!$K:$K,$A27))&gt;0,(COUNTIFS(d_rs_sched!$D:$D,$A27,d_rs_sched!$I:$I,$A27,d_rs_sched!$K:$K,Y$1)+COUNTIFS(d_rs_sched!$D:$D,$A27,d_rs_sched!$I:$I,Y$1,d_rs_sched!$K:$K,$A27)),1),1)</f>
        <v>10.75</v>
      </c>
      <c r="Z27">
        <f>IFERROR((SUMIFS(d_rs_sched!$J:$J,d_rs_sched!$D:$D,$A27,d_rs_sched!$I:$I,$A27,d_rs_sched!$K:$K,Z$1)+SUMIFS(d_rs_sched!$L:$L,d_rs_sched!$D:$D,$A27,d_rs_sched!$K:$K,$A27,d_rs_sched!$I:$I,Z$1))-(SUMIFS(d_rs_sched!$L:$L,d_rs_sched!$D:$D,$A27,d_rs_sched!$I:$I,$A27,d_rs_sched!$K:$K,Z$1)+SUMIFS(d_rs_sched!$J:$J,d_rs_sched!$D:$D,$A27,d_rs_sched!$K:$K,$A27,d_rs_sched!$I:$I,Z$1)),0)/IFERROR(IF((COUNTIFS(d_rs_sched!$D:$D,$A27,d_rs_sched!$I:$I,$A27,d_rs_sched!$K:$K,Z$1)+COUNTIFS(d_rs_sched!$D:$D,$A27,d_rs_sched!$I:$I,Z$1,d_rs_sched!$K:$K,$A27))&gt;0,(COUNTIFS(d_rs_sched!$D:$D,$A27,d_rs_sched!$I:$I,$A27,d_rs_sched!$K:$K,Z$1)+COUNTIFS(d_rs_sched!$D:$D,$A27,d_rs_sched!$I:$I,Z$1,d_rs_sched!$K:$K,$A27)),1),1)</f>
        <v>-6.25</v>
      </c>
      <c r="AA27">
        <f>IFERROR((SUMIFS(d_rs_sched!$J:$J,d_rs_sched!$D:$D,$A27,d_rs_sched!$I:$I,$A27,d_rs_sched!$K:$K,AA$1)+SUMIFS(d_rs_sched!$L:$L,d_rs_sched!$D:$D,$A27,d_rs_sched!$K:$K,$A27,d_rs_sched!$I:$I,AA$1))-(SUMIFS(d_rs_sched!$L:$L,d_rs_sched!$D:$D,$A27,d_rs_sched!$I:$I,$A27,d_rs_sched!$K:$K,AA$1)+SUMIFS(d_rs_sched!$J:$J,d_rs_sched!$D:$D,$A27,d_rs_sched!$K:$K,$A27,d_rs_sched!$I:$I,AA$1)),0)/IFERROR(IF((COUNTIFS(d_rs_sched!$D:$D,$A27,d_rs_sched!$I:$I,$A27,d_rs_sched!$K:$K,AA$1)+COUNTIFS(d_rs_sched!$D:$D,$A27,d_rs_sched!$I:$I,AA$1,d_rs_sched!$K:$K,$A27))&gt;0,(COUNTIFS(d_rs_sched!$D:$D,$A27,d_rs_sched!$I:$I,$A27,d_rs_sched!$K:$K,AA$1)+COUNTIFS(d_rs_sched!$D:$D,$A27,d_rs_sched!$I:$I,AA$1,d_rs_sched!$K:$K,$A27)),1),1)</f>
        <v>0</v>
      </c>
      <c r="AB27">
        <f>IFERROR((SUMIFS(d_rs_sched!$J:$J,d_rs_sched!$D:$D,$A27,d_rs_sched!$I:$I,$A27,d_rs_sched!$K:$K,AB$1)+SUMIFS(d_rs_sched!$L:$L,d_rs_sched!$D:$D,$A27,d_rs_sched!$K:$K,$A27,d_rs_sched!$I:$I,AB$1))-(SUMIFS(d_rs_sched!$L:$L,d_rs_sched!$D:$D,$A27,d_rs_sched!$I:$I,$A27,d_rs_sched!$K:$K,AB$1)+SUMIFS(d_rs_sched!$J:$J,d_rs_sched!$D:$D,$A27,d_rs_sched!$K:$K,$A27,d_rs_sched!$I:$I,AB$1)),0)/IFERROR(IF((COUNTIFS(d_rs_sched!$D:$D,$A27,d_rs_sched!$I:$I,$A27,d_rs_sched!$K:$K,AB$1)+COUNTIFS(d_rs_sched!$D:$D,$A27,d_rs_sched!$I:$I,AB$1,d_rs_sched!$K:$K,$A27))&gt;0,(COUNTIFS(d_rs_sched!$D:$D,$A27,d_rs_sched!$I:$I,$A27,d_rs_sched!$K:$K,AB$1)+COUNTIFS(d_rs_sched!$D:$D,$A27,d_rs_sched!$I:$I,AB$1,d_rs_sched!$K:$K,$A27)),1),1)</f>
        <v>10.75</v>
      </c>
      <c r="AC27">
        <f>IFERROR((SUMIFS(d_rs_sched!$J:$J,d_rs_sched!$D:$D,$A27,d_rs_sched!$I:$I,$A27,d_rs_sched!$K:$K,AC$1)+SUMIFS(d_rs_sched!$L:$L,d_rs_sched!$D:$D,$A27,d_rs_sched!$K:$K,$A27,d_rs_sched!$I:$I,AC$1))-(SUMIFS(d_rs_sched!$L:$L,d_rs_sched!$D:$D,$A27,d_rs_sched!$I:$I,$A27,d_rs_sched!$K:$K,AC$1)+SUMIFS(d_rs_sched!$J:$J,d_rs_sched!$D:$D,$A27,d_rs_sched!$K:$K,$A27,d_rs_sched!$I:$I,AC$1)),0)/IFERROR(IF((COUNTIFS(d_rs_sched!$D:$D,$A27,d_rs_sched!$I:$I,$A27,d_rs_sched!$K:$K,AC$1)+COUNTIFS(d_rs_sched!$D:$D,$A27,d_rs_sched!$I:$I,AC$1,d_rs_sched!$K:$K,$A27))&gt;0,(COUNTIFS(d_rs_sched!$D:$D,$A27,d_rs_sched!$I:$I,$A27,d_rs_sched!$K:$K,AC$1)+COUNTIFS(d_rs_sched!$D:$D,$A27,d_rs_sched!$I:$I,AC$1,d_rs_sched!$K:$K,$A27)),1),1)</f>
        <v>2.5</v>
      </c>
      <c r="AD27">
        <f>IFERROR((SUMIFS(d_rs_sched!$J:$J,d_rs_sched!$D:$D,$A27,d_rs_sched!$I:$I,$A27,d_rs_sched!$K:$K,AD$1)+SUMIFS(d_rs_sched!$L:$L,d_rs_sched!$D:$D,$A27,d_rs_sched!$K:$K,$A27,d_rs_sched!$I:$I,AD$1))-(SUMIFS(d_rs_sched!$L:$L,d_rs_sched!$D:$D,$A27,d_rs_sched!$I:$I,$A27,d_rs_sched!$K:$K,AD$1)+SUMIFS(d_rs_sched!$J:$J,d_rs_sched!$D:$D,$A27,d_rs_sched!$K:$K,$A27,d_rs_sched!$I:$I,AD$1)),0)/IFERROR(IF((COUNTIFS(d_rs_sched!$D:$D,$A27,d_rs_sched!$I:$I,$A27,d_rs_sched!$K:$K,AD$1)+COUNTIFS(d_rs_sched!$D:$D,$A27,d_rs_sched!$I:$I,AD$1,d_rs_sched!$K:$K,$A27))&gt;0,(COUNTIFS(d_rs_sched!$D:$D,$A27,d_rs_sched!$I:$I,$A27,d_rs_sched!$K:$K,AD$1)+COUNTIFS(d_rs_sched!$D:$D,$A27,d_rs_sched!$I:$I,AD$1,d_rs_sched!$K:$K,$A27)),1),1)</f>
        <v>2.3333333333333335</v>
      </c>
      <c r="AE27">
        <f>IFERROR((SUMIFS(d_rs_sched!$J:$J,d_rs_sched!$D:$D,$A27,d_rs_sched!$I:$I,$A27,d_rs_sched!$K:$K,AE$1)+SUMIFS(d_rs_sched!$L:$L,d_rs_sched!$D:$D,$A27,d_rs_sched!$K:$K,$A27,d_rs_sched!$I:$I,AE$1))-(SUMIFS(d_rs_sched!$L:$L,d_rs_sched!$D:$D,$A27,d_rs_sched!$I:$I,$A27,d_rs_sched!$K:$K,AE$1)+SUMIFS(d_rs_sched!$J:$J,d_rs_sched!$D:$D,$A27,d_rs_sched!$K:$K,$A27,d_rs_sched!$I:$I,AE$1)),0)/IFERROR(IF((COUNTIFS(d_rs_sched!$D:$D,$A27,d_rs_sched!$I:$I,$A27,d_rs_sched!$K:$K,AE$1)+COUNTIFS(d_rs_sched!$D:$D,$A27,d_rs_sched!$I:$I,AE$1,d_rs_sched!$K:$K,$A27))&gt;0,(COUNTIFS(d_rs_sched!$D:$D,$A27,d_rs_sched!$I:$I,$A27,d_rs_sched!$K:$K,AE$1)+COUNTIFS(d_rs_sched!$D:$D,$A27,d_rs_sched!$I:$I,AE$1,d_rs_sched!$K:$K,$A27)),1),1)</f>
        <v>0.5</v>
      </c>
      <c r="AG27" t="s">
        <v>15</v>
      </c>
      <c r="AH27">
        <v>0.98830520981456693</v>
      </c>
      <c r="AI27">
        <f t="shared" si="0"/>
        <v>10</v>
      </c>
    </row>
    <row r="28" spans="1:35" x14ac:dyDescent="0.25">
      <c r="A28" t="s">
        <v>37</v>
      </c>
      <c r="B28">
        <f>IFERROR((SUMIFS(d_rs_sched!$J:$J,d_rs_sched!$D:$D,$A28,d_rs_sched!$I:$I,$A28,d_rs_sched!$K:$K,B$1)+SUMIFS(d_rs_sched!$L:$L,d_rs_sched!$D:$D,$A28,d_rs_sched!$K:$K,$A28,d_rs_sched!$I:$I,B$1))-(SUMIFS(d_rs_sched!$L:$L,d_rs_sched!$D:$D,$A28,d_rs_sched!$I:$I,$A28,d_rs_sched!$K:$K,B$1)+SUMIFS(d_rs_sched!$J:$J,d_rs_sched!$D:$D,$A28,d_rs_sched!$K:$K,$A28,d_rs_sched!$I:$I,B$1)),0)/IFERROR(IF((COUNTIFS(d_rs_sched!$D:$D,$A28,d_rs_sched!$I:$I,$A28,d_rs_sched!$K:$K,B$1)+COUNTIFS(d_rs_sched!$D:$D,$A28,d_rs_sched!$I:$I,B$1,d_rs_sched!$K:$K,$A28))&gt;0,(COUNTIFS(d_rs_sched!$D:$D,$A28,d_rs_sched!$I:$I,$A28,d_rs_sched!$K:$K,B$1)+COUNTIFS(d_rs_sched!$D:$D,$A28,d_rs_sched!$I:$I,B$1,d_rs_sched!$K:$K,$A28)),1),1)</f>
        <v>-16</v>
      </c>
      <c r="C28">
        <f>IFERROR((SUMIFS(d_rs_sched!$J:$J,d_rs_sched!$D:$D,$A28,d_rs_sched!$I:$I,$A28,d_rs_sched!$K:$K,C$1)+SUMIFS(d_rs_sched!$L:$L,d_rs_sched!$D:$D,$A28,d_rs_sched!$K:$K,$A28,d_rs_sched!$I:$I,C$1))-(SUMIFS(d_rs_sched!$L:$L,d_rs_sched!$D:$D,$A28,d_rs_sched!$I:$I,$A28,d_rs_sched!$K:$K,C$1)+SUMIFS(d_rs_sched!$J:$J,d_rs_sched!$D:$D,$A28,d_rs_sched!$K:$K,$A28,d_rs_sched!$I:$I,C$1)),0)/IFERROR(IF((COUNTIFS(d_rs_sched!$D:$D,$A28,d_rs_sched!$I:$I,$A28,d_rs_sched!$K:$K,C$1)+COUNTIFS(d_rs_sched!$D:$D,$A28,d_rs_sched!$I:$I,C$1,d_rs_sched!$K:$K,$A28))&gt;0,(COUNTIFS(d_rs_sched!$D:$D,$A28,d_rs_sched!$I:$I,$A28,d_rs_sched!$K:$K,C$1)+COUNTIFS(d_rs_sched!$D:$D,$A28,d_rs_sched!$I:$I,C$1,d_rs_sched!$K:$K,$A28)),1),1)</f>
        <v>-5.5</v>
      </c>
      <c r="D28">
        <f>IFERROR((SUMIFS(d_rs_sched!$J:$J,d_rs_sched!$D:$D,$A28,d_rs_sched!$I:$I,$A28,d_rs_sched!$K:$K,D$1)+SUMIFS(d_rs_sched!$L:$L,d_rs_sched!$D:$D,$A28,d_rs_sched!$K:$K,$A28,d_rs_sched!$I:$I,D$1))-(SUMIFS(d_rs_sched!$L:$L,d_rs_sched!$D:$D,$A28,d_rs_sched!$I:$I,$A28,d_rs_sched!$K:$K,D$1)+SUMIFS(d_rs_sched!$J:$J,d_rs_sched!$D:$D,$A28,d_rs_sched!$K:$K,$A28,d_rs_sched!$I:$I,D$1)),0)/IFERROR(IF((COUNTIFS(d_rs_sched!$D:$D,$A28,d_rs_sched!$I:$I,$A28,d_rs_sched!$K:$K,D$1)+COUNTIFS(d_rs_sched!$D:$D,$A28,d_rs_sched!$I:$I,D$1,d_rs_sched!$K:$K,$A28))&gt;0,(COUNTIFS(d_rs_sched!$D:$D,$A28,d_rs_sched!$I:$I,$A28,d_rs_sched!$K:$K,D$1)+COUNTIFS(d_rs_sched!$D:$D,$A28,d_rs_sched!$I:$I,D$1,d_rs_sched!$K:$K,$A28)),1),1)</f>
        <v>-7</v>
      </c>
      <c r="E28">
        <f>IFERROR((SUMIFS(d_rs_sched!$J:$J,d_rs_sched!$D:$D,$A28,d_rs_sched!$I:$I,$A28,d_rs_sched!$K:$K,E$1)+SUMIFS(d_rs_sched!$L:$L,d_rs_sched!$D:$D,$A28,d_rs_sched!$K:$K,$A28,d_rs_sched!$I:$I,E$1))-(SUMIFS(d_rs_sched!$L:$L,d_rs_sched!$D:$D,$A28,d_rs_sched!$I:$I,$A28,d_rs_sched!$K:$K,E$1)+SUMIFS(d_rs_sched!$J:$J,d_rs_sched!$D:$D,$A28,d_rs_sched!$K:$K,$A28,d_rs_sched!$I:$I,E$1)),0)/IFERROR(IF((COUNTIFS(d_rs_sched!$D:$D,$A28,d_rs_sched!$I:$I,$A28,d_rs_sched!$K:$K,E$1)+COUNTIFS(d_rs_sched!$D:$D,$A28,d_rs_sched!$I:$I,E$1,d_rs_sched!$K:$K,$A28))&gt;0,(COUNTIFS(d_rs_sched!$D:$D,$A28,d_rs_sched!$I:$I,$A28,d_rs_sched!$K:$K,E$1)+COUNTIFS(d_rs_sched!$D:$D,$A28,d_rs_sched!$I:$I,E$1,d_rs_sched!$K:$K,$A28)),1),1)</f>
        <v>8.5</v>
      </c>
      <c r="F28">
        <f>IFERROR((SUMIFS(d_rs_sched!$J:$J,d_rs_sched!$D:$D,$A28,d_rs_sched!$I:$I,$A28,d_rs_sched!$K:$K,F$1)+SUMIFS(d_rs_sched!$L:$L,d_rs_sched!$D:$D,$A28,d_rs_sched!$K:$K,$A28,d_rs_sched!$I:$I,F$1))-(SUMIFS(d_rs_sched!$L:$L,d_rs_sched!$D:$D,$A28,d_rs_sched!$I:$I,$A28,d_rs_sched!$K:$K,F$1)+SUMIFS(d_rs_sched!$J:$J,d_rs_sched!$D:$D,$A28,d_rs_sched!$K:$K,$A28,d_rs_sched!$I:$I,F$1)),0)/IFERROR(IF((COUNTIFS(d_rs_sched!$D:$D,$A28,d_rs_sched!$I:$I,$A28,d_rs_sched!$K:$K,F$1)+COUNTIFS(d_rs_sched!$D:$D,$A28,d_rs_sched!$I:$I,F$1,d_rs_sched!$K:$K,$A28))&gt;0,(COUNTIFS(d_rs_sched!$D:$D,$A28,d_rs_sched!$I:$I,$A28,d_rs_sched!$K:$K,F$1)+COUNTIFS(d_rs_sched!$D:$D,$A28,d_rs_sched!$I:$I,F$1,d_rs_sched!$K:$K,$A28)),1),1)</f>
        <v>-1.5</v>
      </c>
      <c r="G28">
        <f>IFERROR((SUMIFS(d_rs_sched!$J:$J,d_rs_sched!$D:$D,$A28,d_rs_sched!$I:$I,$A28,d_rs_sched!$K:$K,G$1)+SUMIFS(d_rs_sched!$L:$L,d_rs_sched!$D:$D,$A28,d_rs_sched!$K:$K,$A28,d_rs_sched!$I:$I,G$1))-(SUMIFS(d_rs_sched!$L:$L,d_rs_sched!$D:$D,$A28,d_rs_sched!$I:$I,$A28,d_rs_sched!$K:$K,G$1)+SUMIFS(d_rs_sched!$J:$J,d_rs_sched!$D:$D,$A28,d_rs_sched!$K:$K,$A28,d_rs_sched!$I:$I,G$1)),0)/IFERROR(IF((COUNTIFS(d_rs_sched!$D:$D,$A28,d_rs_sched!$I:$I,$A28,d_rs_sched!$K:$K,G$1)+COUNTIFS(d_rs_sched!$D:$D,$A28,d_rs_sched!$I:$I,G$1,d_rs_sched!$K:$K,$A28))&gt;0,(COUNTIFS(d_rs_sched!$D:$D,$A28,d_rs_sched!$I:$I,$A28,d_rs_sched!$K:$K,G$1)+COUNTIFS(d_rs_sched!$D:$D,$A28,d_rs_sched!$I:$I,G$1,d_rs_sched!$K:$K,$A28)),1),1)</f>
        <v>4</v>
      </c>
      <c r="H28">
        <f>IFERROR((SUMIFS(d_rs_sched!$J:$J,d_rs_sched!$D:$D,$A28,d_rs_sched!$I:$I,$A28,d_rs_sched!$K:$K,H$1)+SUMIFS(d_rs_sched!$L:$L,d_rs_sched!$D:$D,$A28,d_rs_sched!$K:$K,$A28,d_rs_sched!$I:$I,H$1))-(SUMIFS(d_rs_sched!$L:$L,d_rs_sched!$D:$D,$A28,d_rs_sched!$I:$I,$A28,d_rs_sched!$K:$K,H$1)+SUMIFS(d_rs_sched!$J:$J,d_rs_sched!$D:$D,$A28,d_rs_sched!$K:$K,$A28,d_rs_sched!$I:$I,H$1)),0)/IFERROR(IF((COUNTIFS(d_rs_sched!$D:$D,$A28,d_rs_sched!$I:$I,$A28,d_rs_sched!$K:$K,H$1)+COUNTIFS(d_rs_sched!$D:$D,$A28,d_rs_sched!$I:$I,H$1,d_rs_sched!$K:$K,$A28))&gt;0,(COUNTIFS(d_rs_sched!$D:$D,$A28,d_rs_sched!$I:$I,$A28,d_rs_sched!$K:$K,H$1)+COUNTIFS(d_rs_sched!$D:$D,$A28,d_rs_sched!$I:$I,H$1,d_rs_sched!$K:$K,$A28)),1),1)</f>
        <v>-11.666666666666666</v>
      </c>
      <c r="I28">
        <f>IFERROR((SUMIFS(d_rs_sched!$J:$J,d_rs_sched!$D:$D,$A28,d_rs_sched!$I:$I,$A28,d_rs_sched!$K:$K,I$1)+SUMIFS(d_rs_sched!$L:$L,d_rs_sched!$D:$D,$A28,d_rs_sched!$K:$K,$A28,d_rs_sched!$I:$I,I$1))-(SUMIFS(d_rs_sched!$L:$L,d_rs_sched!$D:$D,$A28,d_rs_sched!$I:$I,$A28,d_rs_sched!$K:$K,I$1)+SUMIFS(d_rs_sched!$J:$J,d_rs_sched!$D:$D,$A28,d_rs_sched!$K:$K,$A28,d_rs_sched!$I:$I,I$1)),0)/IFERROR(IF((COUNTIFS(d_rs_sched!$D:$D,$A28,d_rs_sched!$I:$I,$A28,d_rs_sched!$K:$K,I$1)+COUNTIFS(d_rs_sched!$D:$D,$A28,d_rs_sched!$I:$I,I$1,d_rs_sched!$K:$K,$A28))&gt;0,(COUNTIFS(d_rs_sched!$D:$D,$A28,d_rs_sched!$I:$I,$A28,d_rs_sched!$K:$K,I$1)+COUNTIFS(d_rs_sched!$D:$D,$A28,d_rs_sched!$I:$I,I$1,d_rs_sched!$K:$K,$A28)),1),1)</f>
        <v>1.5</v>
      </c>
      <c r="J28">
        <f>IFERROR((SUMIFS(d_rs_sched!$J:$J,d_rs_sched!$D:$D,$A28,d_rs_sched!$I:$I,$A28,d_rs_sched!$K:$K,J$1)+SUMIFS(d_rs_sched!$L:$L,d_rs_sched!$D:$D,$A28,d_rs_sched!$K:$K,$A28,d_rs_sched!$I:$I,J$1))-(SUMIFS(d_rs_sched!$L:$L,d_rs_sched!$D:$D,$A28,d_rs_sched!$I:$I,$A28,d_rs_sched!$K:$K,J$1)+SUMIFS(d_rs_sched!$J:$J,d_rs_sched!$D:$D,$A28,d_rs_sched!$K:$K,$A28,d_rs_sched!$I:$I,J$1)),0)/IFERROR(IF((COUNTIFS(d_rs_sched!$D:$D,$A28,d_rs_sched!$I:$I,$A28,d_rs_sched!$K:$K,J$1)+COUNTIFS(d_rs_sched!$D:$D,$A28,d_rs_sched!$I:$I,J$1,d_rs_sched!$K:$K,$A28))&gt;0,(COUNTIFS(d_rs_sched!$D:$D,$A28,d_rs_sched!$I:$I,$A28,d_rs_sched!$K:$K,J$1)+COUNTIFS(d_rs_sched!$D:$D,$A28,d_rs_sched!$I:$I,J$1,d_rs_sched!$K:$K,$A28)),1),1)</f>
        <v>-12</v>
      </c>
      <c r="K28">
        <f>IFERROR((SUMIFS(d_rs_sched!$J:$J,d_rs_sched!$D:$D,$A28,d_rs_sched!$I:$I,$A28,d_rs_sched!$K:$K,K$1)+SUMIFS(d_rs_sched!$L:$L,d_rs_sched!$D:$D,$A28,d_rs_sched!$K:$K,$A28,d_rs_sched!$I:$I,K$1))-(SUMIFS(d_rs_sched!$L:$L,d_rs_sched!$D:$D,$A28,d_rs_sched!$I:$I,$A28,d_rs_sched!$K:$K,K$1)+SUMIFS(d_rs_sched!$J:$J,d_rs_sched!$D:$D,$A28,d_rs_sched!$K:$K,$A28,d_rs_sched!$I:$I,K$1)),0)/IFERROR(IF((COUNTIFS(d_rs_sched!$D:$D,$A28,d_rs_sched!$I:$I,$A28,d_rs_sched!$K:$K,K$1)+COUNTIFS(d_rs_sched!$D:$D,$A28,d_rs_sched!$I:$I,K$1,d_rs_sched!$K:$K,$A28))&gt;0,(COUNTIFS(d_rs_sched!$D:$D,$A28,d_rs_sched!$I:$I,$A28,d_rs_sched!$K:$K,K$1)+COUNTIFS(d_rs_sched!$D:$D,$A28,d_rs_sched!$I:$I,K$1,d_rs_sched!$K:$K,$A28)),1),1)</f>
        <v>-22</v>
      </c>
      <c r="L28">
        <f>IFERROR((SUMIFS(d_rs_sched!$J:$J,d_rs_sched!$D:$D,$A28,d_rs_sched!$I:$I,$A28,d_rs_sched!$K:$K,L$1)+SUMIFS(d_rs_sched!$L:$L,d_rs_sched!$D:$D,$A28,d_rs_sched!$K:$K,$A28,d_rs_sched!$I:$I,L$1))-(SUMIFS(d_rs_sched!$L:$L,d_rs_sched!$D:$D,$A28,d_rs_sched!$I:$I,$A28,d_rs_sched!$K:$K,L$1)+SUMIFS(d_rs_sched!$J:$J,d_rs_sched!$D:$D,$A28,d_rs_sched!$K:$K,$A28,d_rs_sched!$I:$I,L$1)),0)/IFERROR(IF((COUNTIFS(d_rs_sched!$D:$D,$A28,d_rs_sched!$I:$I,$A28,d_rs_sched!$K:$K,L$1)+COUNTIFS(d_rs_sched!$D:$D,$A28,d_rs_sched!$I:$I,L$1,d_rs_sched!$K:$K,$A28))&gt;0,(COUNTIFS(d_rs_sched!$D:$D,$A28,d_rs_sched!$I:$I,$A28,d_rs_sched!$K:$K,L$1)+COUNTIFS(d_rs_sched!$D:$D,$A28,d_rs_sched!$I:$I,L$1,d_rs_sched!$K:$K,$A28)),1),1)</f>
        <v>-7</v>
      </c>
      <c r="M28">
        <f>IFERROR((SUMIFS(d_rs_sched!$J:$J,d_rs_sched!$D:$D,$A28,d_rs_sched!$I:$I,$A28,d_rs_sched!$K:$K,M$1)+SUMIFS(d_rs_sched!$L:$L,d_rs_sched!$D:$D,$A28,d_rs_sched!$K:$K,$A28,d_rs_sched!$I:$I,M$1))-(SUMIFS(d_rs_sched!$L:$L,d_rs_sched!$D:$D,$A28,d_rs_sched!$I:$I,$A28,d_rs_sched!$K:$K,M$1)+SUMIFS(d_rs_sched!$J:$J,d_rs_sched!$D:$D,$A28,d_rs_sched!$K:$K,$A28,d_rs_sched!$I:$I,M$1)),0)/IFERROR(IF((COUNTIFS(d_rs_sched!$D:$D,$A28,d_rs_sched!$I:$I,$A28,d_rs_sched!$K:$K,M$1)+COUNTIFS(d_rs_sched!$D:$D,$A28,d_rs_sched!$I:$I,M$1,d_rs_sched!$K:$K,$A28))&gt;0,(COUNTIFS(d_rs_sched!$D:$D,$A28,d_rs_sched!$I:$I,$A28,d_rs_sched!$K:$K,M$1)+COUNTIFS(d_rs_sched!$D:$D,$A28,d_rs_sched!$I:$I,M$1,d_rs_sched!$K:$K,$A28)),1),1)</f>
        <v>3</v>
      </c>
      <c r="N28">
        <f>IFERROR((SUMIFS(d_rs_sched!$J:$J,d_rs_sched!$D:$D,$A28,d_rs_sched!$I:$I,$A28,d_rs_sched!$K:$K,N$1)+SUMIFS(d_rs_sched!$L:$L,d_rs_sched!$D:$D,$A28,d_rs_sched!$K:$K,$A28,d_rs_sched!$I:$I,N$1))-(SUMIFS(d_rs_sched!$L:$L,d_rs_sched!$D:$D,$A28,d_rs_sched!$I:$I,$A28,d_rs_sched!$K:$K,N$1)+SUMIFS(d_rs_sched!$J:$J,d_rs_sched!$D:$D,$A28,d_rs_sched!$K:$K,$A28,d_rs_sched!$I:$I,N$1)),0)/IFERROR(IF((COUNTIFS(d_rs_sched!$D:$D,$A28,d_rs_sched!$I:$I,$A28,d_rs_sched!$K:$K,N$1)+COUNTIFS(d_rs_sched!$D:$D,$A28,d_rs_sched!$I:$I,N$1,d_rs_sched!$K:$K,$A28))&gt;0,(COUNTIFS(d_rs_sched!$D:$D,$A28,d_rs_sched!$I:$I,$A28,d_rs_sched!$K:$K,N$1)+COUNTIFS(d_rs_sched!$D:$D,$A28,d_rs_sched!$I:$I,N$1,d_rs_sched!$K:$K,$A28)),1),1)</f>
        <v>-10.25</v>
      </c>
      <c r="O28">
        <f>IFERROR((SUMIFS(d_rs_sched!$J:$J,d_rs_sched!$D:$D,$A28,d_rs_sched!$I:$I,$A28,d_rs_sched!$K:$K,O$1)+SUMIFS(d_rs_sched!$L:$L,d_rs_sched!$D:$D,$A28,d_rs_sched!$K:$K,$A28,d_rs_sched!$I:$I,O$1))-(SUMIFS(d_rs_sched!$L:$L,d_rs_sched!$D:$D,$A28,d_rs_sched!$I:$I,$A28,d_rs_sched!$K:$K,O$1)+SUMIFS(d_rs_sched!$J:$J,d_rs_sched!$D:$D,$A28,d_rs_sched!$K:$K,$A28,d_rs_sched!$I:$I,O$1)),0)/IFERROR(IF((COUNTIFS(d_rs_sched!$D:$D,$A28,d_rs_sched!$I:$I,$A28,d_rs_sched!$K:$K,O$1)+COUNTIFS(d_rs_sched!$D:$D,$A28,d_rs_sched!$I:$I,O$1,d_rs_sched!$K:$K,$A28))&gt;0,(COUNTIFS(d_rs_sched!$D:$D,$A28,d_rs_sched!$I:$I,$A28,d_rs_sched!$K:$K,O$1)+COUNTIFS(d_rs_sched!$D:$D,$A28,d_rs_sched!$I:$I,O$1,d_rs_sched!$K:$K,$A28)),1),1)</f>
        <v>9.25</v>
      </c>
      <c r="P28">
        <f>IFERROR((SUMIFS(d_rs_sched!$J:$J,d_rs_sched!$D:$D,$A28,d_rs_sched!$I:$I,$A28,d_rs_sched!$K:$K,P$1)+SUMIFS(d_rs_sched!$L:$L,d_rs_sched!$D:$D,$A28,d_rs_sched!$K:$K,$A28,d_rs_sched!$I:$I,P$1))-(SUMIFS(d_rs_sched!$L:$L,d_rs_sched!$D:$D,$A28,d_rs_sched!$I:$I,$A28,d_rs_sched!$K:$K,P$1)+SUMIFS(d_rs_sched!$J:$J,d_rs_sched!$D:$D,$A28,d_rs_sched!$K:$K,$A28,d_rs_sched!$I:$I,P$1)),0)/IFERROR(IF((COUNTIFS(d_rs_sched!$D:$D,$A28,d_rs_sched!$I:$I,$A28,d_rs_sched!$K:$K,P$1)+COUNTIFS(d_rs_sched!$D:$D,$A28,d_rs_sched!$I:$I,P$1,d_rs_sched!$K:$K,$A28))&gt;0,(COUNTIFS(d_rs_sched!$D:$D,$A28,d_rs_sched!$I:$I,$A28,d_rs_sched!$K:$K,P$1)+COUNTIFS(d_rs_sched!$D:$D,$A28,d_rs_sched!$I:$I,P$1,d_rs_sched!$K:$K,$A28)),1),1)</f>
        <v>-3.75</v>
      </c>
      <c r="Q28">
        <f>IFERROR((SUMIFS(d_rs_sched!$J:$J,d_rs_sched!$D:$D,$A28,d_rs_sched!$I:$I,$A28,d_rs_sched!$K:$K,Q$1)+SUMIFS(d_rs_sched!$L:$L,d_rs_sched!$D:$D,$A28,d_rs_sched!$K:$K,$A28,d_rs_sched!$I:$I,Q$1))-(SUMIFS(d_rs_sched!$L:$L,d_rs_sched!$D:$D,$A28,d_rs_sched!$I:$I,$A28,d_rs_sched!$K:$K,Q$1)+SUMIFS(d_rs_sched!$J:$J,d_rs_sched!$D:$D,$A28,d_rs_sched!$K:$K,$A28,d_rs_sched!$I:$I,Q$1)),0)/IFERROR(IF((COUNTIFS(d_rs_sched!$D:$D,$A28,d_rs_sched!$I:$I,$A28,d_rs_sched!$K:$K,Q$1)+COUNTIFS(d_rs_sched!$D:$D,$A28,d_rs_sched!$I:$I,Q$1,d_rs_sched!$K:$K,$A28))&gt;0,(COUNTIFS(d_rs_sched!$D:$D,$A28,d_rs_sched!$I:$I,$A28,d_rs_sched!$K:$K,Q$1)+COUNTIFS(d_rs_sched!$D:$D,$A28,d_rs_sched!$I:$I,Q$1,d_rs_sched!$K:$K,$A28)),1),1)</f>
        <v>-8.5</v>
      </c>
      <c r="R28">
        <f>IFERROR((SUMIFS(d_rs_sched!$J:$J,d_rs_sched!$D:$D,$A28,d_rs_sched!$I:$I,$A28,d_rs_sched!$K:$K,R$1)+SUMIFS(d_rs_sched!$L:$L,d_rs_sched!$D:$D,$A28,d_rs_sched!$K:$K,$A28,d_rs_sched!$I:$I,R$1))-(SUMIFS(d_rs_sched!$L:$L,d_rs_sched!$D:$D,$A28,d_rs_sched!$I:$I,$A28,d_rs_sched!$K:$K,R$1)+SUMIFS(d_rs_sched!$J:$J,d_rs_sched!$D:$D,$A28,d_rs_sched!$K:$K,$A28,d_rs_sched!$I:$I,R$1)),0)/IFERROR(IF((COUNTIFS(d_rs_sched!$D:$D,$A28,d_rs_sched!$I:$I,$A28,d_rs_sched!$K:$K,R$1)+COUNTIFS(d_rs_sched!$D:$D,$A28,d_rs_sched!$I:$I,R$1,d_rs_sched!$K:$K,$A28))&gt;0,(COUNTIFS(d_rs_sched!$D:$D,$A28,d_rs_sched!$I:$I,$A28,d_rs_sched!$K:$K,R$1)+COUNTIFS(d_rs_sched!$D:$D,$A28,d_rs_sched!$I:$I,R$1,d_rs_sched!$K:$K,$A28)),1),1)</f>
        <v>-4.5</v>
      </c>
      <c r="S28">
        <f>IFERROR((SUMIFS(d_rs_sched!$J:$J,d_rs_sched!$D:$D,$A28,d_rs_sched!$I:$I,$A28,d_rs_sched!$K:$K,S$1)+SUMIFS(d_rs_sched!$L:$L,d_rs_sched!$D:$D,$A28,d_rs_sched!$K:$K,$A28,d_rs_sched!$I:$I,S$1))-(SUMIFS(d_rs_sched!$L:$L,d_rs_sched!$D:$D,$A28,d_rs_sched!$I:$I,$A28,d_rs_sched!$K:$K,S$1)+SUMIFS(d_rs_sched!$J:$J,d_rs_sched!$D:$D,$A28,d_rs_sched!$K:$K,$A28,d_rs_sched!$I:$I,S$1)),0)/IFERROR(IF((COUNTIFS(d_rs_sched!$D:$D,$A28,d_rs_sched!$I:$I,$A28,d_rs_sched!$K:$K,S$1)+COUNTIFS(d_rs_sched!$D:$D,$A28,d_rs_sched!$I:$I,S$1,d_rs_sched!$K:$K,$A28))&gt;0,(COUNTIFS(d_rs_sched!$D:$D,$A28,d_rs_sched!$I:$I,$A28,d_rs_sched!$K:$K,S$1)+COUNTIFS(d_rs_sched!$D:$D,$A28,d_rs_sched!$I:$I,S$1,d_rs_sched!$K:$K,$A28)),1),1)</f>
        <v>6.666666666666667</v>
      </c>
      <c r="T28">
        <f>IFERROR((SUMIFS(d_rs_sched!$J:$J,d_rs_sched!$D:$D,$A28,d_rs_sched!$I:$I,$A28,d_rs_sched!$K:$K,T$1)+SUMIFS(d_rs_sched!$L:$L,d_rs_sched!$D:$D,$A28,d_rs_sched!$K:$K,$A28,d_rs_sched!$I:$I,T$1))-(SUMIFS(d_rs_sched!$L:$L,d_rs_sched!$D:$D,$A28,d_rs_sched!$I:$I,$A28,d_rs_sched!$K:$K,T$1)+SUMIFS(d_rs_sched!$J:$J,d_rs_sched!$D:$D,$A28,d_rs_sched!$K:$K,$A28,d_rs_sched!$I:$I,T$1)),0)/IFERROR(IF((COUNTIFS(d_rs_sched!$D:$D,$A28,d_rs_sched!$I:$I,$A28,d_rs_sched!$K:$K,T$1)+COUNTIFS(d_rs_sched!$D:$D,$A28,d_rs_sched!$I:$I,T$1,d_rs_sched!$K:$K,$A28))&gt;0,(COUNTIFS(d_rs_sched!$D:$D,$A28,d_rs_sched!$I:$I,$A28,d_rs_sched!$K:$K,T$1)+COUNTIFS(d_rs_sched!$D:$D,$A28,d_rs_sched!$I:$I,T$1,d_rs_sched!$K:$K,$A28)),1),1)</f>
        <v>-4</v>
      </c>
      <c r="U28">
        <f>IFERROR((SUMIFS(d_rs_sched!$J:$J,d_rs_sched!$D:$D,$A28,d_rs_sched!$I:$I,$A28,d_rs_sched!$K:$K,U$1)+SUMIFS(d_rs_sched!$L:$L,d_rs_sched!$D:$D,$A28,d_rs_sched!$K:$K,$A28,d_rs_sched!$I:$I,U$1))-(SUMIFS(d_rs_sched!$L:$L,d_rs_sched!$D:$D,$A28,d_rs_sched!$I:$I,$A28,d_rs_sched!$K:$K,U$1)+SUMIFS(d_rs_sched!$J:$J,d_rs_sched!$D:$D,$A28,d_rs_sched!$K:$K,$A28,d_rs_sched!$I:$I,U$1)),0)/IFERROR(IF((COUNTIFS(d_rs_sched!$D:$D,$A28,d_rs_sched!$I:$I,$A28,d_rs_sched!$K:$K,U$1)+COUNTIFS(d_rs_sched!$D:$D,$A28,d_rs_sched!$I:$I,U$1,d_rs_sched!$K:$K,$A28))&gt;0,(COUNTIFS(d_rs_sched!$D:$D,$A28,d_rs_sched!$I:$I,$A28,d_rs_sched!$K:$K,U$1)+COUNTIFS(d_rs_sched!$D:$D,$A28,d_rs_sched!$I:$I,U$1,d_rs_sched!$K:$K,$A28)),1),1)</f>
        <v>22</v>
      </c>
      <c r="V28">
        <f>IFERROR((SUMIFS(d_rs_sched!$J:$J,d_rs_sched!$D:$D,$A28,d_rs_sched!$I:$I,$A28,d_rs_sched!$K:$K,V$1)+SUMIFS(d_rs_sched!$L:$L,d_rs_sched!$D:$D,$A28,d_rs_sched!$K:$K,$A28,d_rs_sched!$I:$I,V$1))-(SUMIFS(d_rs_sched!$L:$L,d_rs_sched!$D:$D,$A28,d_rs_sched!$I:$I,$A28,d_rs_sched!$K:$K,V$1)+SUMIFS(d_rs_sched!$J:$J,d_rs_sched!$D:$D,$A28,d_rs_sched!$K:$K,$A28,d_rs_sched!$I:$I,V$1)),0)/IFERROR(IF((COUNTIFS(d_rs_sched!$D:$D,$A28,d_rs_sched!$I:$I,$A28,d_rs_sched!$K:$K,V$1)+COUNTIFS(d_rs_sched!$D:$D,$A28,d_rs_sched!$I:$I,V$1,d_rs_sched!$K:$K,$A28))&gt;0,(COUNTIFS(d_rs_sched!$D:$D,$A28,d_rs_sched!$I:$I,$A28,d_rs_sched!$K:$K,V$1)+COUNTIFS(d_rs_sched!$D:$D,$A28,d_rs_sched!$I:$I,V$1,d_rs_sched!$K:$K,$A28)),1),1)</f>
        <v>-3</v>
      </c>
      <c r="W28">
        <f>IFERROR((SUMIFS(d_rs_sched!$J:$J,d_rs_sched!$D:$D,$A28,d_rs_sched!$I:$I,$A28,d_rs_sched!$K:$K,W$1)+SUMIFS(d_rs_sched!$L:$L,d_rs_sched!$D:$D,$A28,d_rs_sched!$K:$K,$A28,d_rs_sched!$I:$I,W$1))-(SUMIFS(d_rs_sched!$L:$L,d_rs_sched!$D:$D,$A28,d_rs_sched!$I:$I,$A28,d_rs_sched!$K:$K,W$1)+SUMIFS(d_rs_sched!$J:$J,d_rs_sched!$D:$D,$A28,d_rs_sched!$K:$K,$A28,d_rs_sched!$I:$I,W$1)),0)/IFERROR(IF((COUNTIFS(d_rs_sched!$D:$D,$A28,d_rs_sched!$I:$I,$A28,d_rs_sched!$K:$K,W$1)+COUNTIFS(d_rs_sched!$D:$D,$A28,d_rs_sched!$I:$I,W$1,d_rs_sched!$K:$K,$A28))&gt;0,(COUNTIFS(d_rs_sched!$D:$D,$A28,d_rs_sched!$I:$I,$A28,d_rs_sched!$K:$K,W$1)+COUNTIFS(d_rs_sched!$D:$D,$A28,d_rs_sched!$I:$I,W$1,d_rs_sched!$K:$K,$A28)),1),1)</f>
        <v>-7</v>
      </c>
      <c r="X28">
        <f>IFERROR((SUMIFS(d_rs_sched!$J:$J,d_rs_sched!$D:$D,$A28,d_rs_sched!$I:$I,$A28,d_rs_sched!$K:$K,X$1)+SUMIFS(d_rs_sched!$L:$L,d_rs_sched!$D:$D,$A28,d_rs_sched!$K:$K,$A28,d_rs_sched!$I:$I,X$1))-(SUMIFS(d_rs_sched!$L:$L,d_rs_sched!$D:$D,$A28,d_rs_sched!$I:$I,$A28,d_rs_sched!$K:$K,X$1)+SUMIFS(d_rs_sched!$J:$J,d_rs_sched!$D:$D,$A28,d_rs_sched!$K:$K,$A28,d_rs_sched!$I:$I,X$1)),0)/IFERROR(IF((COUNTIFS(d_rs_sched!$D:$D,$A28,d_rs_sched!$I:$I,$A28,d_rs_sched!$K:$K,X$1)+COUNTIFS(d_rs_sched!$D:$D,$A28,d_rs_sched!$I:$I,X$1,d_rs_sched!$K:$K,$A28))&gt;0,(COUNTIFS(d_rs_sched!$D:$D,$A28,d_rs_sched!$I:$I,$A28,d_rs_sched!$K:$K,X$1)+COUNTIFS(d_rs_sched!$D:$D,$A28,d_rs_sched!$I:$I,X$1,d_rs_sched!$K:$K,$A28)),1),1)</f>
        <v>-3</v>
      </c>
      <c r="Y28">
        <f>IFERROR((SUMIFS(d_rs_sched!$J:$J,d_rs_sched!$D:$D,$A28,d_rs_sched!$I:$I,$A28,d_rs_sched!$K:$K,Y$1)+SUMIFS(d_rs_sched!$L:$L,d_rs_sched!$D:$D,$A28,d_rs_sched!$K:$K,$A28,d_rs_sched!$I:$I,Y$1))-(SUMIFS(d_rs_sched!$L:$L,d_rs_sched!$D:$D,$A28,d_rs_sched!$I:$I,$A28,d_rs_sched!$K:$K,Y$1)+SUMIFS(d_rs_sched!$J:$J,d_rs_sched!$D:$D,$A28,d_rs_sched!$K:$K,$A28,d_rs_sched!$I:$I,Y$1)),0)/IFERROR(IF((COUNTIFS(d_rs_sched!$D:$D,$A28,d_rs_sched!$I:$I,$A28,d_rs_sched!$K:$K,Y$1)+COUNTIFS(d_rs_sched!$D:$D,$A28,d_rs_sched!$I:$I,Y$1,d_rs_sched!$K:$K,$A28))&gt;0,(COUNTIFS(d_rs_sched!$D:$D,$A28,d_rs_sched!$I:$I,$A28,d_rs_sched!$K:$K,Y$1)+COUNTIFS(d_rs_sched!$D:$D,$A28,d_rs_sched!$I:$I,Y$1,d_rs_sched!$K:$K,$A28)),1),1)</f>
        <v>1</v>
      </c>
      <c r="Z28">
        <f>IFERROR((SUMIFS(d_rs_sched!$J:$J,d_rs_sched!$D:$D,$A28,d_rs_sched!$I:$I,$A28,d_rs_sched!$K:$K,Z$1)+SUMIFS(d_rs_sched!$L:$L,d_rs_sched!$D:$D,$A28,d_rs_sched!$K:$K,$A28,d_rs_sched!$I:$I,Z$1))-(SUMIFS(d_rs_sched!$L:$L,d_rs_sched!$D:$D,$A28,d_rs_sched!$I:$I,$A28,d_rs_sched!$K:$K,Z$1)+SUMIFS(d_rs_sched!$J:$J,d_rs_sched!$D:$D,$A28,d_rs_sched!$K:$K,$A28,d_rs_sched!$I:$I,Z$1)),0)/IFERROR(IF((COUNTIFS(d_rs_sched!$D:$D,$A28,d_rs_sched!$I:$I,$A28,d_rs_sched!$K:$K,Z$1)+COUNTIFS(d_rs_sched!$D:$D,$A28,d_rs_sched!$I:$I,Z$1,d_rs_sched!$K:$K,$A28))&gt;0,(COUNTIFS(d_rs_sched!$D:$D,$A28,d_rs_sched!$I:$I,$A28,d_rs_sched!$K:$K,Z$1)+COUNTIFS(d_rs_sched!$D:$D,$A28,d_rs_sched!$I:$I,Z$1,d_rs_sched!$K:$K,$A28)),1),1)</f>
        <v>-2</v>
      </c>
      <c r="AA28">
        <f>IFERROR((SUMIFS(d_rs_sched!$J:$J,d_rs_sched!$D:$D,$A28,d_rs_sched!$I:$I,$A28,d_rs_sched!$K:$K,AA$1)+SUMIFS(d_rs_sched!$L:$L,d_rs_sched!$D:$D,$A28,d_rs_sched!$K:$K,$A28,d_rs_sched!$I:$I,AA$1))-(SUMIFS(d_rs_sched!$L:$L,d_rs_sched!$D:$D,$A28,d_rs_sched!$I:$I,$A28,d_rs_sched!$K:$K,AA$1)+SUMIFS(d_rs_sched!$J:$J,d_rs_sched!$D:$D,$A28,d_rs_sched!$K:$K,$A28,d_rs_sched!$I:$I,AA$1)),0)/IFERROR(IF((COUNTIFS(d_rs_sched!$D:$D,$A28,d_rs_sched!$I:$I,$A28,d_rs_sched!$K:$K,AA$1)+COUNTIFS(d_rs_sched!$D:$D,$A28,d_rs_sched!$I:$I,AA$1,d_rs_sched!$K:$K,$A28))&gt;0,(COUNTIFS(d_rs_sched!$D:$D,$A28,d_rs_sched!$I:$I,$A28,d_rs_sched!$K:$K,AA$1)+COUNTIFS(d_rs_sched!$D:$D,$A28,d_rs_sched!$I:$I,AA$1,d_rs_sched!$K:$K,$A28)),1),1)</f>
        <v>-10.75</v>
      </c>
      <c r="AB28">
        <f>IFERROR((SUMIFS(d_rs_sched!$J:$J,d_rs_sched!$D:$D,$A28,d_rs_sched!$I:$I,$A28,d_rs_sched!$K:$K,AB$1)+SUMIFS(d_rs_sched!$L:$L,d_rs_sched!$D:$D,$A28,d_rs_sched!$K:$K,$A28,d_rs_sched!$I:$I,AB$1))-(SUMIFS(d_rs_sched!$L:$L,d_rs_sched!$D:$D,$A28,d_rs_sched!$I:$I,$A28,d_rs_sched!$K:$K,AB$1)+SUMIFS(d_rs_sched!$J:$J,d_rs_sched!$D:$D,$A28,d_rs_sched!$K:$K,$A28,d_rs_sched!$I:$I,AB$1)),0)/IFERROR(IF((COUNTIFS(d_rs_sched!$D:$D,$A28,d_rs_sched!$I:$I,$A28,d_rs_sched!$K:$K,AB$1)+COUNTIFS(d_rs_sched!$D:$D,$A28,d_rs_sched!$I:$I,AB$1,d_rs_sched!$K:$K,$A28))&gt;0,(COUNTIFS(d_rs_sched!$D:$D,$A28,d_rs_sched!$I:$I,$A28,d_rs_sched!$K:$K,AB$1)+COUNTIFS(d_rs_sched!$D:$D,$A28,d_rs_sched!$I:$I,AB$1,d_rs_sched!$K:$K,$A28)),1),1)</f>
        <v>0</v>
      </c>
      <c r="AC28">
        <f>IFERROR((SUMIFS(d_rs_sched!$J:$J,d_rs_sched!$D:$D,$A28,d_rs_sched!$I:$I,$A28,d_rs_sched!$K:$K,AC$1)+SUMIFS(d_rs_sched!$L:$L,d_rs_sched!$D:$D,$A28,d_rs_sched!$K:$K,$A28,d_rs_sched!$I:$I,AC$1))-(SUMIFS(d_rs_sched!$L:$L,d_rs_sched!$D:$D,$A28,d_rs_sched!$I:$I,$A28,d_rs_sched!$K:$K,AC$1)+SUMIFS(d_rs_sched!$J:$J,d_rs_sched!$D:$D,$A28,d_rs_sched!$K:$K,$A28,d_rs_sched!$I:$I,AC$1)),0)/IFERROR(IF((COUNTIFS(d_rs_sched!$D:$D,$A28,d_rs_sched!$I:$I,$A28,d_rs_sched!$K:$K,AC$1)+COUNTIFS(d_rs_sched!$D:$D,$A28,d_rs_sched!$I:$I,AC$1,d_rs_sched!$K:$K,$A28))&gt;0,(COUNTIFS(d_rs_sched!$D:$D,$A28,d_rs_sched!$I:$I,$A28,d_rs_sched!$K:$K,AC$1)+COUNTIFS(d_rs_sched!$D:$D,$A28,d_rs_sched!$I:$I,AC$1,d_rs_sched!$K:$K,$A28)),1),1)</f>
        <v>-12.5</v>
      </c>
      <c r="AD28">
        <f>IFERROR((SUMIFS(d_rs_sched!$J:$J,d_rs_sched!$D:$D,$A28,d_rs_sched!$I:$I,$A28,d_rs_sched!$K:$K,AD$1)+SUMIFS(d_rs_sched!$L:$L,d_rs_sched!$D:$D,$A28,d_rs_sched!$K:$K,$A28,d_rs_sched!$I:$I,AD$1))-(SUMIFS(d_rs_sched!$L:$L,d_rs_sched!$D:$D,$A28,d_rs_sched!$I:$I,$A28,d_rs_sched!$K:$K,AD$1)+SUMIFS(d_rs_sched!$J:$J,d_rs_sched!$D:$D,$A28,d_rs_sched!$K:$K,$A28,d_rs_sched!$I:$I,AD$1)),0)/IFERROR(IF((COUNTIFS(d_rs_sched!$D:$D,$A28,d_rs_sched!$I:$I,$A28,d_rs_sched!$K:$K,AD$1)+COUNTIFS(d_rs_sched!$D:$D,$A28,d_rs_sched!$I:$I,AD$1,d_rs_sched!$K:$K,$A28))&gt;0,(COUNTIFS(d_rs_sched!$D:$D,$A28,d_rs_sched!$I:$I,$A28,d_rs_sched!$K:$K,AD$1)+COUNTIFS(d_rs_sched!$D:$D,$A28,d_rs_sched!$I:$I,AD$1,d_rs_sched!$K:$K,$A28)),1),1)</f>
        <v>-5.25</v>
      </c>
      <c r="AE28">
        <f>IFERROR((SUMIFS(d_rs_sched!$J:$J,d_rs_sched!$D:$D,$A28,d_rs_sched!$I:$I,$A28,d_rs_sched!$K:$K,AE$1)+SUMIFS(d_rs_sched!$L:$L,d_rs_sched!$D:$D,$A28,d_rs_sched!$K:$K,$A28,d_rs_sched!$I:$I,AE$1))-(SUMIFS(d_rs_sched!$L:$L,d_rs_sched!$D:$D,$A28,d_rs_sched!$I:$I,$A28,d_rs_sched!$K:$K,AE$1)+SUMIFS(d_rs_sched!$J:$J,d_rs_sched!$D:$D,$A28,d_rs_sched!$K:$K,$A28,d_rs_sched!$I:$I,AE$1)),0)/IFERROR(IF((COUNTIFS(d_rs_sched!$D:$D,$A28,d_rs_sched!$I:$I,$A28,d_rs_sched!$K:$K,AE$1)+COUNTIFS(d_rs_sched!$D:$D,$A28,d_rs_sched!$I:$I,AE$1,d_rs_sched!$K:$K,$A28))&gt;0,(COUNTIFS(d_rs_sched!$D:$D,$A28,d_rs_sched!$I:$I,$A28,d_rs_sched!$K:$K,AE$1)+COUNTIFS(d_rs_sched!$D:$D,$A28,d_rs_sched!$I:$I,AE$1,d_rs_sched!$K:$K,$A28)),1),1)</f>
        <v>3.5</v>
      </c>
      <c r="AG28" t="s">
        <v>37</v>
      </c>
      <c r="AH28">
        <v>0.95514344346124269</v>
      </c>
      <c r="AI28">
        <f t="shared" si="0"/>
        <v>27</v>
      </c>
    </row>
    <row r="29" spans="1:35" x14ac:dyDescent="0.25">
      <c r="A29" t="s">
        <v>27</v>
      </c>
      <c r="B29">
        <f>IFERROR((SUMIFS(d_rs_sched!$J:$J,d_rs_sched!$D:$D,$A29,d_rs_sched!$I:$I,$A29,d_rs_sched!$K:$K,B$1)+SUMIFS(d_rs_sched!$L:$L,d_rs_sched!$D:$D,$A29,d_rs_sched!$K:$K,$A29,d_rs_sched!$I:$I,B$1))-(SUMIFS(d_rs_sched!$L:$L,d_rs_sched!$D:$D,$A29,d_rs_sched!$I:$I,$A29,d_rs_sched!$K:$K,B$1)+SUMIFS(d_rs_sched!$J:$J,d_rs_sched!$D:$D,$A29,d_rs_sched!$K:$K,$A29,d_rs_sched!$I:$I,B$1)),0)/IFERROR(IF((COUNTIFS(d_rs_sched!$D:$D,$A29,d_rs_sched!$I:$I,$A29,d_rs_sched!$K:$K,B$1)+COUNTIFS(d_rs_sched!$D:$D,$A29,d_rs_sched!$I:$I,B$1,d_rs_sched!$K:$K,$A29))&gt;0,(COUNTIFS(d_rs_sched!$D:$D,$A29,d_rs_sched!$I:$I,$A29,d_rs_sched!$K:$K,B$1)+COUNTIFS(d_rs_sched!$D:$D,$A29,d_rs_sched!$I:$I,B$1,d_rs_sched!$K:$K,$A29)),1),1)</f>
        <v>5.5</v>
      </c>
      <c r="C29">
        <f>IFERROR((SUMIFS(d_rs_sched!$J:$J,d_rs_sched!$D:$D,$A29,d_rs_sched!$I:$I,$A29,d_rs_sched!$K:$K,C$1)+SUMIFS(d_rs_sched!$L:$L,d_rs_sched!$D:$D,$A29,d_rs_sched!$K:$K,$A29,d_rs_sched!$I:$I,C$1))-(SUMIFS(d_rs_sched!$L:$L,d_rs_sched!$D:$D,$A29,d_rs_sched!$I:$I,$A29,d_rs_sched!$K:$K,C$1)+SUMIFS(d_rs_sched!$J:$J,d_rs_sched!$D:$D,$A29,d_rs_sched!$K:$K,$A29,d_rs_sched!$I:$I,C$1)),0)/IFERROR(IF((COUNTIFS(d_rs_sched!$D:$D,$A29,d_rs_sched!$I:$I,$A29,d_rs_sched!$K:$K,C$1)+COUNTIFS(d_rs_sched!$D:$D,$A29,d_rs_sched!$I:$I,C$1,d_rs_sched!$K:$K,$A29))&gt;0,(COUNTIFS(d_rs_sched!$D:$D,$A29,d_rs_sched!$I:$I,$A29,d_rs_sched!$K:$K,C$1)+COUNTIFS(d_rs_sched!$D:$D,$A29,d_rs_sched!$I:$I,C$1,d_rs_sched!$K:$K,$A29)),1),1)</f>
        <v>0</v>
      </c>
      <c r="D29">
        <f>IFERROR((SUMIFS(d_rs_sched!$J:$J,d_rs_sched!$D:$D,$A29,d_rs_sched!$I:$I,$A29,d_rs_sched!$K:$K,D$1)+SUMIFS(d_rs_sched!$L:$L,d_rs_sched!$D:$D,$A29,d_rs_sched!$K:$K,$A29,d_rs_sched!$I:$I,D$1))-(SUMIFS(d_rs_sched!$L:$L,d_rs_sched!$D:$D,$A29,d_rs_sched!$I:$I,$A29,d_rs_sched!$K:$K,D$1)+SUMIFS(d_rs_sched!$J:$J,d_rs_sched!$D:$D,$A29,d_rs_sched!$K:$K,$A29,d_rs_sched!$I:$I,D$1)),0)/IFERROR(IF((COUNTIFS(d_rs_sched!$D:$D,$A29,d_rs_sched!$I:$I,$A29,d_rs_sched!$K:$K,D$1)+COUNTIFS(d_rs_sched!$D:$D,$A29,d_rs_sched!$I:$I,D$1,d_rs_sched!$K:$K,$A29))&gt;0,(COUNTIFS(d_rs_sched!$D:$D,$A29,d_rs_sched!$I:$I,$A29,d_rs_sched!$K:$K,D$1)+COUNTIFS(d_rs_sched!$D:$D,$A29,d_rs_sched!$I:$I,D$1,d_rs_sched!$K:$K,$A29)),1),1)</f>
        <v>3.25</v>
      </c>
      <c r="E29">
        <f>IFERROR((SUMIFS(d_rs_sched!$J:$J,d_rs_sched!$D:$D,$A29,d_rs_sched!$I:$I,$A29,d_rs_sched!$K:$K,E$1)+SUMIFS(d_rs_sched!$L:$L,d_rs_sched!$D:$D,$A29,d_rs_sched!$K:$K,$A29,d_rs_sched!$I:$I,E$1))-(SUMIFS(d_rs_sched!$L:$L,d_rs_sched!$D:$D,$A29,d_rs_sched!$I:$I,$A29,d_rs_sched!$K:$K,E$1)+SUMIFS(d_rs_sched!$J:$J,d_rs_sched!$D:$D,$A29,d_rs_sched!$K:$K,$A29,d_rs_sched!$I:$I,E$1)),0)/IFERROR(IF((COUNTIFS(d_rs_sched!$D:$D,$A29,d_rs_sched!$I:$I,$A29,d_rs_sched!$K:$K,E$1)+COUNTIFS(d_rs_sched!$D:$D,$A29,d_rs_sched!$I:$I,E$1,d_rs_sched!$K:$K,$A29))&gt;0,(COUNTIFS(d_rs_sched!$D:$D,$A29,d_rs_sched!$I:$I,$A29,d_rs_sched!$K:$K,E$1)+COUNTIFS(d_rs_sched!$D:$D,$A29,d_rs_sched!$I:$I,E$1,d_rs_sched!$K:$K,$A29)),1),1)</f>
        <v>1.5</v>
      </c>
      <c r="F29">
        <f>IFERROR((SUMIFS(d_rs_sched!$J:$J,d_rs_sched!$D:$D,$A29,d_rs_sched!$I:$I,$A29,d_rs_sched!$K:$K,F$1)+SUMIFS(d_rs_sched!$L:$L,d_rs_sched!$D:$D,$A29,d_rs_sched!$K:$K,$A29,d_rs_sched!$I:$I,F$1))-(SUMIFS(d_rs_sched!$L:$L,d_rs_sched!$D:$D,$A29,d_rs_sched!$I:$I,$A29,d_rs_sched!$K:$K,F$1)+SUMIFS(d_rs_sched!$J:$J,d_rs_sched!$D:$D,$A29,d_rs_sched!$K:$K,$A29,d_rs_sched!$I:$I,F$1)),0)/IFERROR(IF((COUNTIFS(d_rs_sched!$D:$D,$A29,d_rs_sched!$I:$I,$A29,d_rs_sched!$K:$K,F$1)+COUNTIFS(d_rs_sched!$D:$D,$A29,d_rs_sched!$I:$I,F$1,d_rs_sched!$K:$K,$A29))&gt;0,(COUNTIFS(d_rs_sched!$D:$D,$A29,d_rs_sched!$I:$I,$A29,d_rs_sched!$K:$K,F$1)+COUNTIFS(d_rs_sched!$D:$D,$A29,d_rs_sched!$I:$I,F$1,d_rs_sched!$K:$K,$A29)),1),1)</f>
        <v>-11.25</v>
      </c>
      <c r="G29">
        <f>IFERROR((SUMIFS(d_rs_sched!$J:$J,d_rs_sched!$D:$D,$A29,d_rs_sched!$I:$I,$A29,d_rs_sched!$K:$K,G$1)+SUMIFS(d_rs_sched!$L:$L,d_rs_sched!$D:$D,$A29,d_rs_sched!$K:$K,$A29,d_rs_sched!$I:$I,G$1))-(SUMIFS(d_rs_sched!$L:$L,d_rs_sched!$D:$D,$A29,d_rs_sched!$I:$I,$A29,d_rs_sched!$K:$K,G$1)+SUMIFS(d_rs_sched!$J:$J,d_rs_sched!$D:$D,$A29,d_rs_sched!$K:$K,$A29,d_rs_sched!$I:$I,G$1)),0)/IFERROR(IF((COUNTIFS(d_rs_sched!$D:$D,$A29,d_rs_sched!$I:$I,$A29,d_rs_sched!$K:$K,G$1)+COUNTIFS(d_rs_sched!$D:$D,$A29,d_rs_sched!$I:$I,G$1,d_rs_sched!$K:$K,$A29))&gt;0,(COUNTIFS(d_rs_sched!$D:$D,$A29,d_rs_sched!$I:$I,$A29,d_rs_sched!$K:$K,G$1)+COUNTIFS(d_rs_sched!$D:$D,$A29,d_rs_sched!$I:$I,G$1,d_rs_sched!$K:$K,$A29)),1),1)</f>
        <v>-2.25</v>
      </c>
      <c r="H29">
        <f>IFERROR((SUMIFS(d_rs_sched!$J:$J,d_rs_sched!$D:$D,$A29,d_rs_sched!$I:$I,$A29,d_rs_sched!$K:$K,H$1)+SUMIFS(d_rs_sched!$L:$L,d_rs_sched!$D:$D,$A29,d_rs_sched!$K:$K,$A29,d_rs_sched!$I:$I,H$1))-(SUMIFS(d_rs_sched!$L:$L,d_rs_sched!$D:$D,$A29,d_rs_sched!$I:$I,$A29,d_rs_sched!$K:$K,H$1)+SUMIFS(d_rs_sched!$J:$J,d_rs_sched!$D:$D,$A29,d_rs_sched!$K:$K,$A29,d_rs_sched!$I:$I,H$1)),0)/IFERROR(IF((COUNTIFS(d_rs_sched!$D:$D,$A29,d_rs_sched!$I:$I,$A29,d_rs_sched!$K:$K,H$1)+COUNTIFS(d_rs_sched!$D:$D,$A29,d_rs_sched!$I:$I,H$1,d_rs_sched!$K:$K,$A29))&gt;0,(COUNTIFS(d_rs_sched!$D:$D,$A29,d_rs_sched!$I:$I,$A29,d_rs_sched!$K:$K,H$1)+COUNTIFS(d_rs_sched!$D:$D,$A29,d_rs_sched!$I:$I,H$1,d_rs_sched!$K:$K,$A29)),1),1)</f>
        <v>-5.5</v>
      </c>
      <c r="I29">
        <f>IFERROR((SUMIFS(d_rs_sched!$J:$J,d_rs_sched!$D:$D,$A29,d_rs_sched!$I:$I,$A29,d_rs_sched!$K:$K,I$1)+SUMIFS(d_rs_sched!$L:$L,d_rs_sched!$D:$D,$A29,d_rs_sched!$K:$K,$A29,d_rs_sched!$I:$I,I$1))-(SUMIFS(d_rs_sched!$L:$L,d_rs_sched!$D:$D,$A29,d_rs_sched!$I:$I,$A29,d_rs_sched!$K:$K,I$1)+SUMIFS(d_rs_sched!$J:$J,d_rs_sched!$D:$D,$A29,d_rs_sched!$K:$K,$A29,d_rs_sched!$I:$I,I$1)),0)/IFERROR(IF((COUNTIFS(d_rs_sched!$D:$D,$A29,d_rs_sched!$I:$I,$A29,d_rs_sched!$K:$K,I$1)+COUNTIFS(d_rs_sched!$D:$D,$A29,d_rs_sched!$I:$I,I$1,d_rs_sched!$K:$K,$A29))&gt;0,(COUNTIFS(d_rs_sched!$D:$D,$A29,d_rs_sched!$I:$I,$A29,d_rs_sched!$K:$K,I$1)+COUNTIFS(d_rs_sched!$D:$D,$A29,d_rs_sched!$I:$I,I$1,d_rs_sched!$K:$K,$A29)),1),1)</f>
        <v>9.5</v>
      </c>
      <c r="J29">
        <f>IFERROR((SUMIFS(d_rs_sched!$J:$J,d_rs_sched!$D:$D,$A29,d_rs_sched!$I:$I,$A29,d_rs_sched!$K:$K,J$1)+SUMIFS(d_rs_sched!$L:$L,d_rs_sched!$D:$D,$A29,d_rs_sched!$K:$K,$A29,d_rs_sched!$I:$I,J$1))-(SUMIFS(d_rs_sched!$L:$L,d_rs_sched!$D:$D,$A29,d_rs_sched!$I:$I,$A29,d_rs_sched!$K:$K,J$1)+SUMIFS(d_rs_sched!$J:$J,d_rs_sched!$D:$D,$A29,d_rs_sched!$K:$K,$A29,d_rs_sched!$I:$I,J$1)),0)/IFERROR(IF((COUNTIFS(d_rs_sched!$D:$D,$A29,d_rs_sched!$I:$I,$A29,d_rs_sched!$K:$K,J$1)+COUNTIFS(d_rs_sched!$D:$D,$A29,d_rs_sched!$I:$I,J$1,d_rs_sched!$K:$K,$A29))&gt;0,(COUNTIFS(d_rs_sched!$D:$D,$A29,d_rs_sched!$I:$I,$A29,d_rs_sched!$K:$K,J$1)+COUNTIFS(d_rs_sched!$D:$D,$A29,d_rs_sched!$I:$I,J$1,d_rs_sched!$K:$K,$A29)),1),1)</f>
        <v>1.75</v>
      </c>
      <c r="K29">
        <f>IFERROR((SUMIFS(d_rs_sched!$J:$J,d_rs_sched!$D:$D,$A29,d_rs_sched!$I:$I,$A29,d_rs_sched!$K:$K,K$1)+SUMIFS(d_rs_sched!$L:$L,d_rs_sched!$D:$D,$A29,d_rs_sched!$K:$K,$A29,d_rs_sched!$I:$I,K$1))-(SUMIFS(d_rs_sched!$L:$L,d_rs_sched!$D:$D,$A29,d_rs_sched!$I:$I,$A29,d_rs_sched!$K:$K,K$1)+SUMIFS(d_rs_sched!$J:$J,d_rs_sched!$D:$D,$A29,d_rs_sched!$K:$K,$A29,d_rs_sched!$I:$I,K$1)),0)/IFERROR(IF((COUNTIFS(d_rs_sched!$D:$D,$A29,d_rs_sched!$I:$I,$A29,d_rs_sched!$K:$K,K$1)+COUNTIFS(d_rs_sched!$D:$D,$A29,d_rs_sched!$I:$I,K$1,d_rs_sched!$K:$K,$A29))&gt;0,(COUNTIFS(d_rs_sched!$D:$D,$A29,d_rs_sched!$I:$I,$A29,d_rs_sched!$K:$K,K$1)+COUNTIFS(d_rs_sched!$D:$D,$A29,d_rs_sched!$I:$I,K$1,d_rs_sched!$K:$K,$A29)),1),1)</f>
        <v>-22.5</v>
      </c>
      <c r="L29">
        <f>IFERROR((SUMIFS(d_rs_sched!$J:$J,d_rs_sched!$D:$D,$A29,d_rs_sched!$I:$I,$A29,d_rs_sched!$K:$K,L$1)+SUMIFS(d_rs_sched!$L:$L,d_rs_sched!$D:$D,$A29,d_rs_sched!$K:$K,$A29,d_rs_sched!$I:$I,L$1))-(SUMIFS(d_rs_sched!$L:$L,d_rs_sched!$D:$D,$A29,d_rs_sched!$I:$I,$A29,d_rs_sched!$K:$K,L$1)+SUMIFS(d_rs_sched!$J:$J,d_rs_sched!$D:$D,$A29,d_rs_sched!$K:$K,$A29,d_rs_sched!$I:$I,L$1)),0)/IFERROR(IF((COUNTIFS(d_rs_sched!$D:$D,$A29,d_rs_sched!$I:$I,$A29,d_rs_sched!$K:$K,L$1)+COUNTIFS(d_rs_sched!$D:$D,$A29,d_rs_sched!$I:$I,L$1,d_rs_sched!$K:$K,$A29))&gt;0,(COUNTIFS(d_rs_sched!$D:$D,$A29,d_rs_sched!$I:$I,$A29,d_rs_sched!$K:$K,L$1)+COUNTIFS(d_rs_sched!$D:$D,$A29,d_rs_sched!$I:$I,L$1,d_rs_sched!$K:$K,$A29)),1),1)</f>
        <v>-9.5</v>
      </c>
      <c r="M29">
        <f>IFERROR((SUMIFS(d_rs_sched!$J:$J,d_rs_sched!$D:$D,$A29,d_rs_sched!$I:$I,$A29,d_rs_sched!$K:$K,M$1)+SUMIFS(d_rs_sched!$L:$L,d_rs_sched!$D:$D,$A29,d_rs_sched!$K:$K,$A29,d_rs_sched!$I:$I,M$1))-(SUMIFS(d_rs_sched!$L:$L,d_rs_sched!$D:$D,$A29,d_rs_sched!$I:$I,$A29,d_rs_sched!$K:$K,M$1)+SUMIFS(d_rs_sched!$J:$J,d_rs_sched!$D:$D,$A29,d_rs_sched!$K:$K,$A29,d_rs_sched!$I:$I,M$1)),0)/IFERROR(IF((COUNTIFS(d_rs_sched!$D:$D,$A29,d_rs_sched!$I:$I,$A29,d_rs_sched!$K:$K,M$1)+COUNTIFS(d_rs_sched!$D:$D,$A29,d_rs_sched!$I:$I,M$1,d_rs_sched!$K:$K,$A29))&gt;0,(COUNTIFS(d_rs_sched!$D:$D,$A29,d_rs_sched!$I:$I,$A29,d_rs_sched!$K:$K,M$1)+COUNTIFS(d_rs_sched!$D:$D,$A29,d_rs_sched!$I:$I,M$1,d_rs_sched!$K:$K,$A29)),1),1)</f>
        <v>14.666666666666666</v>
      </c>
      <c r="N29">
        <f>IFERROR((SUMIFS(d_rs_sched!$J:$J,d_rs_sched!$D:$D,$A29,d_rs_sched!$I:$I,$A29,d_rs_sched!$K:$K,N$1)+SUMIFS(d_rs_sched!$L:$L,d_rs_sched!$D:$D,$A29,d_rs_sched!$K:$K,$A29,d_rs_sched!$I:$I,N$1))-(SUMIFS(d_rs_sched!$L:$L,d_rs_sched!$D:$D,$A29,d_rs_sched!$I:$I,$A29,d_rs_sched!$K:$K,N$1)+SUMIFS(d_rs_sched!$J:$J,d_rs_sched!$D:$D,$A29,d_rs_sched!$K:$K,$A29,d_rs_sched!$I:$I,N$1)),0)/IFERROR(IF((COUNTIFS(d_rs_sched!$D:$D,$A29,d_rs_sched!$I:$I,$A29,d_rs_sched!$K:$K,N$1)+COUNTIFS(d_rs_sched!$D:$D,$A29,d_rs_sched!$I:$I,N$1,d_rs_sched!$K:$K,$A29))&gt;0,(COUNTIFS(d_rs_sched!$D:$D,$A29,d_rs_sched!$I:$I,$A29,d_rs_sched!$K:$K,N$1)+COUNTIFS(d_rs_sched!$D:$D,$A29,d_rs_sched!$I:$I,N$1,d_rs_sched!$K:$K,$A29)),1),1)</f>
        <v>14</v>
      </c>
      <c r="O29">
        <f>IFERROR((SUMIFS(d_rs_sched!$J:$J,d_rs_sched!$D:$D,$A29,d_rs_sched!$I:$I,$A29,d_rs_sched!$K:$K,O$1)+SUMIFS(d_rs_sched!$L:$L,d_rs_sched!$D:$D,$A29,d_rs_sched!$K:$K,$A29,d_rs_sched!$I:$I,O$1))-(SUMIFS(d_rs_sched!$L:$L,d_rs_sched!$D:$D,$A29,d_rs_sched!$I:$I,$A29,d_rs_sched!$K:$K,O$1)+SUMIFS(d_rs_sched!$J:$J,d_rs_sched!$D:$D,$A29,d_rs_sched!$K:$K,$A29,d_rs_sched!$I:$I,O$1)),0)/IFERROR(IF((COUNTIFS(d_rs_sched!$D:$D,$A29,d_rs_sched!$I:$I,$A29,d_rs_sched!$K:$K,O$1)+COUNTIFS(d_rs_sched!$D:$D,$A29,d_rs_sched!$I:$I,O$1,d_rs_sched!$K:$K,$A29))&gt;0,(COUNTIFS(d_rs_sched!$D:$D,$A29,d_rs_sched!$I:$I,$A29,d_rs_sched!$K:$K,O$1)+COUNTIFS(d_rs_sched!$D:$D,$A29,d_rs_sched!$I:$I,O$1,d_rs_sched!$K:$K,$A29)),1),1)</f>
        <v>2</v>
      </c>
      <c r="P29">
        <f>IFERROR((SUMIFS(d_rs_sched!$J:$J,d_rs_sched!$D:$D,$A29,d_rs_sched!$I:$I,$A29,d_rs_sched!$K:$K,P$1)+SUMIFS(d_rs_sched!$L:$L,d_rs_sched!$D:$D,$A29,d_rs_sched!$K:$K,$A29,d_rs_sched!$I:$I,P$1))-(SUMIFS(d_rs_sched!$L:$L,d_rs_sched!$D:$D,$A29,d_rs_sched!$I:$I,$A29,d_rs_sched!$K:$K,P$1)+SUMIFS(d_rs_sched!$J:$J,d_rs_sched!$D:$D,$A29,d_rs_sched!$K:$K,$A29,d_rs_sched!$I:$I,P$1)),0)/IFERROR(IF((COUNTIFS(d_rs_sched!$D:$D,$A29,d_rs_sched!$I:$I,$A29,d_rs_sched!$K:$K,P$1)+COUNTIFS(d_rs_sched!$D:$D,$A29,d_rs_sched!$I:$I,P$1,d_rs_sched!$K:$K,$A29))&gt;0,(COUNTIFS(d_rs_sched!$D:$D,$A29,d_rs_sched!$I:$I,$A29,d_rs_sched!$K:$K,P$1)+COUNTIFS(d_rs_sched!$D:$D,$A29,d_rs_sched!$I:$I,P$1,d_rs_sched!$K:$K,$A29)),1),1)</f>
        <v>-1</v>
      </c>
      <c r="Q29">
        <f>IFERROR((SUMIFS(d_rs_sched!$J:$J,d_rs_sched!$D:$D,$A29,d_rs_sched!$I:$I,$A29,d_rs_sched!$K:$K,Q$1)+SUMIFS(d_rs_sched!$L:$L,d_rs_sched!$D:$D,$A29,d_rs_sched!$K:$K,$A29,d_rs_sched!$I:$I,Q$1))-(SUMIFS(d_rs_sched!$L:$L,d_rs_sched!$D:$D,$A29,d_rs_sched!$I:$I,$A29,d_rs_sched!$K:$K,Q$1)+SUMIFS(d_rs_sched!$J:$J,d_rs_sched!$D:$D,$A29,d_rs_sched!$K:$K,$A29,d_rs_sched!$I:$I,Q$1)),0)/IFERROR(IF((COUNTIFS(d_rs_sched!$D:$D,$A29,d_rs_sched!$I:$I,$A29,d_rs_sched!$K:$K,Q$1)+COUNTIFS(d_rs_sched!$D:$D,$A29,d_rs_sched!$I:$I,Q$1,d_rs_sched!$K:$K,$A29))&gt;0,(COUNTIFS(d_rs_sched!$D:$D,$A29,d_rs_sched!$I:$I,$A29,d_rs_sched!$K:$K,Q$1)+COUNTIFS(d_rs_sched!$D:$D,$A29,d_rs_sched!$I:$I,Q$1,d_rs_sched!$K:$K,$A29)),1),1)</f>
        <v>2.5</v>
      </c>
      <c r="R29">
        <f>IFERROR((SUMIFS(d_rs_sched!$J:$J,d_rs_sched!$D:$D,$A29,d_rs_sched!$I:$I,$A29,d_rs_sched!$K:$K,R$1)+SUMIFS(d_rs_sched!$L:$L,d_rs_sched!$D:$D,$A29,d_rs_sched!$K:$K,$A29,d_rs_sched!$I:$I,R$1))-(SUMIFS(d_rs_sched!$L:$L,d_rs_sched!$D:$D,$A29,d_rs_sched!$I:$I,$A29,d_rs_sched!$K:$K,R$1)+SUMIFS(d_rs_sched!$J:$J,d_rs_sched!$D:$D,$A29,d_rs_sched!$K:$K,$A29,d_rs_sched!$I:$I,R$1)),0)/IFERROR(IF((COUNTIFS(d_rs_sched!$D:$D,$A29,d_rs_sched!$I:$I,$A29,d_rs_sched!$K:$K,R$1)+COUNTIFS(d_rs_sched!$D:$D,$A29,d_rs_sched!$I:$I,R$1,d_rs_sched!$K:$K,$A29))&gt;0,(COUNTIFS(d_rs_sched!$D:$D,$A29,d_rs_sched!$I:$I,$A29,d_rs_sched!$K:$K,R$1)+COUNTIFS(d_rs_sched!$D:$D,$A29,d_rs_sched!$I:$I,R$1,d_rs_sched!$K:$K,$A29)),1),1)</f>
        <v>12.666666666666666</v>
      </c>
      <c r="S29">
        <f>IFERROR((SUMIFS(d_rs_sched!$J:$J,d_rs_sched!$D:$D,$A29,d_rs_sched!$I:$I,$A29,d_rs_sched!$K:$K,S$1)+SUMIFS(d_rs_sched!$L:$L,d_rs_sched!$D:$D,$A29,d_rs_sched!$K:$K,$A29,d_rs_sched!$I:$I,S$1))-(SUMIFS(d_rs_sched!$L:$L,d_rs_sched!$D:$D,$A29,d_rs_sched!$I:$I,$A29,d_rs_sched!$K:$K,S$1)+SUMIFS(d_rs_sched!$J:$J,d_rs_sched!$D:$D,$A29,d_rs_sched!$K:$K,$A29,d_rs_sched!$I:$I,S$1)),0)/IFERROR(IF((COUNTIFS(d_rs_sched!$D:$D,$A29,d_rs_sched!$I:$I,$A29,d_rs_sched!$K:$K,S$1)+COUNTIFS(d_rs_sched!$D:$D,$A29,d_rs_sched!$I:$I,S$1,d_rs_sched!$K:$K,$A29))&gt;0,(COUNTIFS(d_rs_sched!$D:$D,$A29,d_rs_sched!$I:$I,$A29,d_rs_sched!$K:$K,S$1)+COUNTIFS(d_rs_sched!$D:$D,$A29,d_rs_sched!$I:$I,S$1,d_rs_sched!$K:$K,$A29)),1),1)</f>
        <v>9.5</v>
      </c>
      <c r="T29">
        <f>IFERROR((SUMIFS(d_rs_sched!$J:$J,d_rs_sched!$D:$D,$A29,d_rs_sched!$I:$I,$A29,d_rs_sched!$K:$K,T$1)+SUMIFS(d_rs_sched!$L:$L,d_rs_sched!$D:$D,$A29,d_rs_sched!$K:$K,$A29,d_rs_sched!$I:$I,T$1))-(SUMIFS(d_rs_sched!$L:$L,d_rs_sched!$D:$D,$A29,d_rs_sched!$I:$I,$A29,d_rs_sched!$K:$K,T$1)+SUMIFS(d_rs_sched!$J:$J,d_rs_sched!$D:$D,$A29,d_rs_sched!$K:$K,$A29,d_rs_sched!$I:$I,T$1)),0)/IFERROR(IF((COUNTIFS(d_rs_sched!$D:$D,$A29,d_rs_sched!$I:$I,$A29,d_rs_sched!$K:$K,T$1)+COUNTIFS(d_rs_sched!$D:$D,$A29,d_rs_sched!$I:$I,T$1,d_rs_sched!$K:$K,$A29))&gt;0,(COUNTIFS(d_rs_sched!$D:$D,$A29,d_rs_sched!$I:$I,$A29,d_rs_sched!$K:$K,T$1)+COUNTIFS(d_rs_sched!$D:$D,$A29,d_rs_sched!$I:$I,T$1,d_rs_sched!$K:$K,$A29)),1),1)</f>
        <v>-2.5</v>
      </c>
      <c r="U29">
        <f>IFERROR((SUMIFS(d_rs_sched!$J:$J,d_rs_sched!$D:$D,$A29,d_rs_sched!$I:$I,$A29,d_rs_sched!$K:$K,U$1)+SUMIFS(d_rs_sched!$L:$L,d_rs_sched!$D:$D,$A29,d_rs_sched!$K:$K,$A29,d_rs_sched!$I:$I,U$1))-(SUMIFS(d_rs_sched!$L:$L,d_rs_sched!$D:$D,$A29,d_rs_sched!$I:$I,$A29,d_rs_sched!$K:$K,U$1)+SUMIFS(d_rs_sched!$J:$J,d_rs_sched!$D:$D,$A29,d_rs_sched!$K:$K,$A29,d_rs_sched!$I:$I,U$1)),0)/IFERROR(IF((COUNTIFS(d_rs_sched!$D:$D,$A29,d_rs_sched!$I:$I,$A29,d_rs_sched!$K:$K,U$1)+COUNTIFS(d_rs_sched!$D:$D,$A29,d_rs_sched!$I:$I,U$1,d_rs_sched!$K:$K,$A29))&gt;0,(COUNTIFS(d_rs_sched!$D:$D,$A29,d_rs_sched!$I:$I,$A29,d_rs_sched!$K:$K,U$1)+COUNTIFS(d_rs_sched!$D:$D,$A29,d_rs_sched!$I:$I,U$1,d_rs_sched!$K:$K,$A29)),1),1)</f>
        <v>6.75</v>
      </c>
      <c r="V29">
        <f>IFERROR((SUMIFS(d_rs_sched!$J:$J,d_rs_sched!$D:$D,$A29,d_rs_sched!$I:$I,$A29,d_rs_sched!$K:$K,V$1)+SUMIFS(d_rs_sched!$L:$L,d_rs_sched!$D:$D,$A29,d_rs_sched!$K:$K,$A29,d_rs_sched!$I:$I,V$1))-(SUMIFS(d_rs_sched!$L:$L,d_rs_sched!$D:$D,$A29,d_rs_sched!$I:$I,$A29,d_rs_sched!$K:$K,V$1)+SUMIFS(d_rs_sched!$J:$J,d_rs_sched!$D:$D,$A29,d_rs_sched!$K:$K,$A29,d_rs_sched!$I:$I,V$1)),0)/IFERROR(IF((COUNTIFS(d_rs_sched!$D:$D,$A29,d_rs_sched!$I:$I,$A29,d_rs_sched!$K:$K,V$1)+COUNTIFS(d_rs_sched!$D:$D,$A29,d_rs_sched!$I:$I,V$1,d_rs_sched!$K:$K,$A29))&gt;0,(COUNTIFS(d_rs_sched!$D:$D,$A29,d_rs_sched!$I:$I,$A29,d_rs_sched!$K:$K,V$1)+COUNTIFS(d_rs_sched!$D:$D,$A29,d_rs_sched!$I:$I,V$1,d_rs_sched!$K:$K,$A29)),1),1)</f>
        <v>4</v>
      </c>
      <c r="W29">
        <f>IFERROR((SUMIFS(d_rs_sched!$J:$J,d_rs_sched!$D:$D,$A29,d_rs_sched!$I:$I,$A29,d_rs_sched!$K:$K,W$1)+SUMIFS(d_rs_sched!$L:$L,d_rs_sched!$D:$D,$A29,d_rs_sched!$K:$K,$A29,d_rs_sched!$I:$I,W$1))-(SUMIFS(d_rs_sched!$L:$L,d_rs_sched!$D:$D,$A29,d_rs_sched!$I:$I,$A29,d_rs_sched!$K:$K,W$1)+SUMIFS(d_rs_sched!$J:$J,d_rs_sched!$D:$D,$A29,d_rs_sched!$K:$K,$A29,d_rs_sched!$I:$I,W$1)),0)/IFERROR(IF((COUNTIFS(d_rs_sched!$D:$D,$A29,d_rs_sched!$I:$I,$A29,d_rs_sched!$K:$K,W$1)+COUNTIFS(d_rs_sched!$D:$D,$A29,d_rs_sched!$I:$I,W$1,d_rs_sched!$K:$K,$A29))&gt;0,(COUNTIFS(d_rs_sched!$D:$D,$A29,d_rs_sched!$I:$I,$A29,d_rs_sched!$K:$K,W$1)+COUNTIFS(d_rs_sched!$D:$D,$A29,d_rs_sched!$I:$I,W$1,d_rs_sched!$K:$K,$A29)),1),1)</f>
        <v>8</v>
      </c>
      <c r="X29">
        <f>IFERROR((SUMIFS(d_rs_sched!$J:$J,d_rs_sched!$D:$D,$A29,d_rs_sched!$I:$I,$A29,d_rs_sched!$K:$K,X$1)+SUMIFS(d_rs_sched!$L:$L,d_rs_sched!$D:$D,$A29,d_rs_sched!$K:$K,$A29,d_rs_sched!$I:$I,X$1))-(SUMIFS(d_rs_sched!$L:$L,d_rs_sched!$D:$D,$A29,d_rs_sched!$I:$I,$A29,d_rs_sched!$K:$K,X$1)+SUMIFS(d_rs_sched!$J:$J,d_rs_sched!$D:$D,$A29,d_rs_sched!$K:$K,$A29,d_rs_sched!$I:$I,X$1)),0)/IFERROR(IF((COUNTIFS(d_rs_sched!$D:$D,$A29,d_rs_sched!$I:$I,$A29,d_rs_sched!$K:$K,X$1)+COUNTIFS(d_rs_sched!$D:$D,$A29,d_rs_sched!$I:$I,X$1,d_rs_sched!$K:$K,$A29))&gt;0,(COUNTIFS(d_rs_sched!$D:$D,$A29,d_rs_sched!$I:$I,$A29,d_rs_sched!$K:$K,X$1)+COUNTIFS(d_rs_sched!$D:$D,$A29,d_rs_sched!$I:$I,X$1,d_rs_sched!$K:$K,$A29)),1),1)</f>
        <v>16</v>
      </c>
      <c r="Y29">
        <f>IFERROR((SUMIFS(d_rs_sched!$J:$J,d_rs_sched!$D:$D,$A29,d_rs_sched!$I:$I,$A29,d_rs_sched!$K:$K,Y$1)+SUMIFS(d_rs_sched!$L:$L,d_rs_sched!$D:$D,$A29,d_rs_sched!$K:$K,$A29,d_rs_sched!$I:$I,Y$1))-(SUMIFS(d_rs_sched!$L:$L,d_rs_sched!$D:$D,$A29,d_rs_sched!$I:$I,$A29,d_rs_sched!$K:$K,Y$1)+SUMIFS(d_rs_sched!$J:$J,d_rs_sched!$D:$D,$A29,d_rs_sched!$K:$K,$A29,d_rs_sched!$I:$I,Y$1)),0)/IFERROR(IF((COUNTIFS(d_rs_sched!$D:$D,$A29,d_rs_sched!$I:$I,$A29,d_rs_sched!$K:$K,Y$1)+COUNTIFS(d_rs_sched!$D:$D,$A29,d_rs_sched!$I:$I,Y$1,d_rs_sched!$K:$K,$A29))&gt;0,(COUNTIFS(d_rs_sched!$D:$D,$A29,d_rs_sched!$I:$I,$A29,d_rs_sched!$K:$K,Y$1)+COUNTIFS(d_rs_sched!$D:$D,$A29,d_rs_sched!$I:$I,Y$1,d_rs_sched!$K:$K,$A29)),1),1)</f>
        <v>-6</v>
      </c>
      <c r="Z29">
        <f>IFERROR((SUMIFS(d_rs_sched!$J:$J,d_rs_sched!$D:$D,$A29,d_rs_sched!$I:$I,$A29,d_rs_sched!$K:$K,Z$1)+SUMIFS(d_rs_sched!$L:$L,d_rs_sched!$D:$D,$A29,d_rs_sched!$K:$K,$A29,d_rs_sched!$I:$I,Z$1))-(SUMIFS(d_rs_sched!$L:$L,d_rs_sched!$D:$D,$A29,d_rs_sched!$I:$I,$A29,d_rs_sched!$K:$K,Z$1)+SUMIFS(d_rs_sched!$J:$J,d_rs_sched!$D:$D,$A29,d_rs_sched!$K:$K,$A29,d_rs_sched!$I:$I,Z$1)),0)/IFERROR(IF((COUNTIFS(d_rs_sched!$D:$D,$A29,d_rs_sched!$I:$I,$A29,d_rs_sched!$K:$K,Z$1)+COUNTIFS(d_rs_sched!$D:$D,$A29,d_rs_sched!$I:$I,Z$1,d_rs_sched!$K:$K,$A29))&gt;0,(COUNTIFS(d_rs_sched!$D:$D,$A29,d_rs_sched!$I:$I,$A29,d_rs_sched!$K:$K,Z$1)+COUNTIFS(d_rs_sched!$D:$D,$A29,d_rs_sched!$I:$I,Z$1,d_rs_sched!$K:$K,$A29)),1),1)</f>
        <v>-10.5</v>
      </c>
      <c r="AA29">
        <f>IFERROR((SUMIFS(d_rs_sched!$J:$J,d_rs_sched!$D:$D,$A29,d_rs_sched!$I:$I,$A29,d_rs_sched!$K:$K,AA$1)+SUMIFS(d_rs_sched!$L:$L,d_rs_sched!$D:$D,$A29,d_rs_sched!$K:$K,$A29,d_rs_sched!$I:$I,AA$1))-(SUMIFS(d_rs_sched!$L:$L,d_rs_sched!$D:$D,$A29,d_rs_sched!$I:$I,$A29,d_rs_sched!$K:$K,AA$1)+SUMIFS(d_rs_sched!$J:$J,d_rs_sched!$D:$D,$A29,d_rs_sched!$K:$K,$A29,d_rs_sched!$I:$I,AA$1)),0)/IFERROR(IF((COUNTIFS(d_rs_sched!$D:$D,$A29,d_rs_sched!$I:$I,$A29,d_rs_sched!$K:$K,AA$1)+COUNTIFS(d_rs_sched!$D:$D,$A29,d_rs_sched!$I:$I,AA$1,d_rs_sched!$K:$K,$A29))&gt;0,(COUNTIFS(d_rs_sched!$D:$D,$A29,d_rs_sched!$I:$I,$A29,d_rs_sched!$K:$K,AA$1)+COUNTIFS(d_rs_sched!$D:$D,$A29,d_rs_sched!$I:$I,AA$1,d_rs_sched!$K:$K,$A29)),1),1)</f>
        <v>-2.5</v>
      </c>
      <c r="AB29">
        <f>IFERROR((SUMIFS(d_rs_sched!$J:$J,d_rs_sched!$D:$D,$A29,d_rs_sched!$I:$I,$A29,d_rs_sched!$K:$K,AB$1)+SUMIFS(d_rs_sched!$L:$L,d_rs_sched!$D:$D,$A29,d_rs_sched!$K:$K,$A29,d_rs_sched!$I:$I,AB$1))-(SUMIFS(d_rs_sched!$L:$L,d_rs_sched!$D:$D,$A29,d_rs_sched!$I:$I,$A29,d_rs_sched!$K:$K,AB$1)+SUMIFS(d_rs_sched!$J:$J,d_rs_sched!$D:$D,$A29,d_rs_sched!$K:$K,$A29,d_rs_sched!$I:$I,AB$1)),0)/IFERROR(IF((COUNTIFS(d_rs_sched!$D:$D,$A29,d_rs_sched!$I:$I,$A29,d_rs_sched!$K:$K,AB$1)+COUNTIFS(d_rs_sched!$D:$D,$A29,d_rs_sched!$I:$I,AB$1,d_rs_sched!$K:$K,$A29))&gt;0,(COUNTIFS(d_rs_sched!$D:$D,$A29,d_rs_sched!$I:$I,$A29,d_rs_sched!$K:$K,AB$1)+COUNTIFS(d_rs_sched!$D:$D,$A29,d_rs_sched!$I:$I,AB$1,d_rs_sched!$K:$K,$A29)),1),1)</f>
        <v>12.5</v>
      </c>
      <c r="AC29">
        <f>IFERROR((SUMIFS(d_rs_sched!$J:$J,d_rs_sched!$D:$D,$A29,d_rs_sched!$I:$I,$A29,d_rs_sched!$K:$K,AC$1)+SUMIFS(d_rs_sched!$L:$L,d_rs_sched!$D:$D,$A29,d_rs_sched!$K:$K,$A29,d_rs_sched!$I:$I,AC$1))-(SUMIFS(d_rs_sched!$L:$L,d_rs_sched!$D:$D,$A29,d_rs_sched!$I:$I,$A29,d_rs_sched!$K:$K,AC$1)+SUMIFS(d_rs_sched!$J:$J,d_rs_sched!$D:$D,$A29,d_rs_sched!$K:$K,$A29,d_rs_sched!$I:$I,AC$1)),0)/IFERROR(IF((COUNTIFS(d_rs_sched!$D:$D,$A29,d_rs_sched!$I:$I,$A29,d_rs_sched!$K:$K,AC$1)+COUNTIFS(d_rs_sched!$D:$D,$A29,d_rs_sched!$I:$I,AC$1,d_rs_sched!$K:$K,$A29))&gt;0,(COUNTIFS(d_rs_sched!$D:$D,$A29,d_rs_sched!$I:$I,$A29,d_rs_sched!$K:$K,AC$1)+COUNTIFS(d_rs_sched!$D:$D,$A29,d_rs_sched!$I:$I,AC$1,d_rs_sched!$K:$K,$A29)),1),1)</f>
        <v>0</v>
      </c>
      <c r="AD29">
        <f>IFERROR((SUMIFS(d_rs_sched!$J:$J,d_rs_sched!$D:$D,$A29,d_rs_sched!$I:$I,$A29,d_rs_sched!$K:$K,AD$1)+SUMIFS(d_rs_sched!$L:$L,d_rs_sched!$D:$D,$A29,d_rs_sched!$K:$K,$A29,d_rs_sched!$I:$I,AD$1))-(SUMIFS(d_rs_sched!$L:$L,d_rs_sched!$D:$D,$A29,d_rs_sched!$I:$I,$A29,d_rs_sched!$K:$K,AD$1)+SUMIFS(d_rs_sched!$J:$J,d_rs_sched!$D:$D,$A29,d_rs_sched!$K:$K,$A29,d_rs_sched!$I:$I,AD$1)),0)/IFERROR(IF((COUNTIFS(d_rs_sched!$D:$D,$A29,d_rs_sched!$I:$I,$A29,d_rs_sched!$K:$K,AD$1)+COUNTIFS(d_rs_sched!$D:$D,$A29,d_rs_sched!$I:$I,AD$1,d_rs_sched!$K:$K,$A29))&gt;0,(COUNTIFS(d_rs_sched!$D:$D,$A29,d_rs_sched!$I:$I,$A29,d_rs_sched!$K:$K,AD$1)+COUNTIFS(d_rs_sched!$D:$D,$A29,d_rs_sched!$I:$I,AD$1,d_rs_sched!$K:$K,$A29)),1),1)</f>
        <v>18.5</v>
      </c>
      <c r="AE29">
        <f>IFERROR((SUMIFS(d_rs_sched!$J:$J,d_rs_sched!$D:$D,$A29,d_rs_sched!$I:$I,$A29,d_rs_sched!$K:$K,AE$1)+SUMIFS(d_rs_sched!$L:$L,d_rs_sched!$D:$D,$A29,d_rs_sched!$K:$K,$A29,d_rs_sched!$I:$I,AE$1))-(SUMIFS(d_rs_sched!$L:$L,d_rs_sched!$D:$D,$A29,d_rs_sched!$I:$I,$A29,d_rs_sched!$K:$K,AE$1)+SUMIFS(d_rs_sched!$J:$J,d_rs_sched!$D:$D,$A29,d_rs_sched!$K:$K,$A29,d_rs_sched!$I:$I,AE$1)),0)/IFERROR(IF((COUNTIFS(d_rs_sched!$D:$D,$A29,d_rs_sched!$I:$I,$A29,d_rs_sched!$K:$K,AE$1)+COUNTIFS(d_rs_sched!$D:$D,$A29,d_rs_sched!$I:$I,AE$1,d_rs_sched!$K:$K,$A29))&gt;0,(COUNTIFS(d_rs_sched!$D:$D,$A29,d_rs_sched!$I:$I,$A29,d_rs_sched!$K:$K,AE$1)+COUNTIFS(d_rs_sched!$D:$D,$A29,d_rs_sched!$I:$I,AE$1,d_rs_sched!$K:$K,$A29)),1),1)</f>
        <v>8.3333333333333339</v>
      </c>
      <c r="AG29" t="s">
        <v>27</v>
      </c>
      <c r="AH29">
        <v>0.96505489079446571</v>
      </c>
      <c r="AI29">
        <f t="shared" si="0"/>
        <v>22</v>
      </c>
    </row>
    <row r="30" spans="1:35" x14ac:dyDescent="0.25">
      <c r="A30" t="s">
        <v>34</v>
      </c>
      <c r="B30">
        <f>IFERROR((SUMIFS(d_rs_sched!$J:$J,d_rs_sched!$D:$D,$A30,d_rs_sched!$I:$I,$A30,d_rs_sched!$K:$K,B$1)+SUMIFS(d_rs_sched!$L:$L,d_rs_sched!$D:$D,$A30,d_rs_sched!$K:$K,$A30,d_rs_sched!$I:$I,B$1))-(SUMIFS(d_rs_sched!$L:$L,d_rs_sched!$D:$D,$A30,d_rs_sched!$I:$I,$A30,d_rs_sched!$K:$K,B$1)+SUMIFS(d_rs_sched!$J:$J,d_rs_sched!$D:$D,$A30,d_rs_sched!$K:$K,$A30,d_rs_sched!$I:$I,B$1)),0)/IFERROR(IF((COUNTIFS(d_rs_sched!$D:$D,$A30,d_rs_sched!$I:$I,$A30,d_rs_sched!$K:$K,B$1)+COUNTIFS(d_rs_sched!$D:$D,$A30,d_rs_sched!$I:$I,B$1,d_rs_sched!$K:$K,$A30))&gt;0,(COUNTIFS(d_rs_sched!$D:$D,$A30,d_rs_sched!$I:$I,$A30,d_rs_sched!$K:$K,B$1)+COUNTIFS(d_rs_sched!$D:$D,$A30,d_rs_sched!$I:$I,B$1,d_rs_sched!$K:$K,$A30)),1),1)</f>
        <v>-4.5</v>
      </c>
      <c r="C30">
        <f>IFERROR((SUMIFS(d_rs_sched!$J:$J,d_rs_sched!$D:$D,$A30,d_rs_sched!$I:$I,$A30,d_rs_sched!$K:$K,C$1)+SUMIFS(d_rs_sched!$L:$L,d_rs_sched!$D:$D,$A30,d_rs_sched!$K:$K,$A30,d_rs_sched!$I:$I,C$1))-(SUMIFS(d_rs_sched!$L:$L,d_rs_sched!$D:$D,$A30,d_rs_sched!$I:$I,$A30,d_rs_sched!$K:$K,C$1)+SUMIFS(d_rs_sched!$J:$J,d_rs_sched!$D:$D,$A30,d_rs_sched!$K:$K,$A30,d_rs_sched!$I:$I,C$1)),0)/IFERROR(IF((COUNTIFS(d_rs_sched!$D:$D,$A30,d_rs_sched!$I:$I,$A30,d_rs_sched!$K:$K,C$1)+COUNTIFS(d_rs_sched!$D:$D,$A30,d_rs_sched!$I:$I,C$1,d_rs_sched!$K:$K,$A30))&gt;0,(COUNTIFS(d_rs_sched!$D:$D,$A30,d_rs_sched!$I:$I,$A30,d_rs_sched!$K:$K,C$1)+COUNTIFS(d_rs_sched!$D:$D,$A30,d_rs_sched!$I:$I,C$1,d_rs_sched!$K:$K,$A30)),1),1)</f>
        <v>21</v>
      </c>
      <c r="D30">
        <f>IFERROR((SUMIFS(d_rs_sched!$J:$J,d_rs_sched!$D:$D,$A30,d_rs_sched!$I:$I,$A30,d_rs_sched!$K:$K,D$1)+SUMIFS(d_rs_sched!$L:$L,d_rs_sched!$D:$D,$A30,d_rs_sched!$K:$K,$A30,d_rs_sched!$I:$I,D$1))-(SUMIFS(d_rs_sched!$L:$L,d_rs_sched!$D:$D,$A30,d_rs_sched!$I:$I,$A30,d_rs_sched!$K:$K,D$1)+SUMIFS(d_rs_sched!$J:$J,d_rs_sched!$D:$D,$A30,d_rs_sched!$K:$K,$A30,d_rs_sched!$I:$I,D$1)),0)/IFERROR(IF((COUNTIFS(d_rs_sched!$D:$D,$A30,d_rs_sched!$I:$I,$A30,d_rs_sched!$K:$K,D$1)+COUNTIFS(d_rs_sched!$D:$D,$A30,d_rs_sched!$I:$I,D$1,d_rs_sched!$K:$K,$A30))&gt;0,(COUNTIFS(d_rs_sched!$D:$D,$A30,d_rs_sched!$I:$I,$A30,d_rs_sched!$K:$K,D$1)+COUNTIFS(d_rs_sched!$D:$D,$A30,d_rs_sched!$I:$I,D$1,d_rs_sched!$K:$K,$A30)),1),1)</f>
        <v>-5</v>
      </c>
      <c r="E30">
        <f>IFERROR((SUMIFS(d_rs_sched!$J:$J,d_rs_sched!$D:$D,$A30,d_rs_sched!$I:$I,$A30,d_rs_sched!$K:$K,E$1)+SUMIFS(d_rs_sched!$L:$L,d_rs_sched!$D:$D,$A30,d_rs_sched!$K:$K,$A30,d_rs_sched!$I:$I,E$1))-(SUMIFS(d_rs_sched!$L:$L,d_rs_sched!$D:$D,$A30,d_rs_sched!$I:$I,$A30,d_rs_sched!$K:$K,E$1)+SUMIFS(d_rs_sched!$J:$J,d_rs_sched!$D:$D,$A30,d_rs_sched!$K:$K,$A30,d_rs_sched!$I:$I,E$1)),0)/IFERROR(IF((COUNTIFS(d_rs_sched!$D:$D,$A30,d_rs_sched!$I:$I,$A30,d_rs_sched!$K:$K,E$1)+COUNTIFS(d_rs_sched!$D:$D,$A30,d_rs_sched!$I:$I,E$1,d_rs_sched!$K:$K,$A30))&gt;0,(COUNTIFS(d_rs_sched!$D:$D,$A30,d_rs_sched!$I:$I,$A30,d_rs_sched!$K:$K,E$1)+COUNTIFS(d_rs_sched!$D:$D,$A30,d_rs_sched!$I:$I,E$1,d_rs_sched!$K:$K,$A30)),1),1)</f>
        <v>5</v>
      </c>
      <c r="F30">
        <f>IFERROR((SUMIFS(d_rs_sched!$J:$J,d_rs_sched!$D:$D,$A30,d_rs_sched!$I:$I,$A30,d_rs_sched!$K:$K,F$1)+SUMIFS(d_rs_sched!$L:$L,d_rs_sched!$D:$D,$A30,d_rs_sched!$K:$K,$A30,d_rs_sched!$I:$I,F$1))-(SUMIFS(d_rs_sched!$L:$L,d_rs_sched!$D:$D,$A30,d_rs_sched!$I:$I,$A30,d_rs_sched!$K:$K,F$1)+SUMIFS(d_rs_sched!$J:$J,d_rs_sched!$D:$D,$A30,d_rs_sched!$K:$K,$A30,d_rs_sched!$I:$I,F$1)),0)/IFERROR(IF((COUNTIFS(d_rs_sched!$D:$D,$A30,d_rs_sched!$I:$I,$A30,d_rs_sched!$K:$K,F$1)+COUNTIFS(d_rs_sched!$D:$D,$A30,d_rs_sched!$I:$I,F$1,d_rs_sched!$K:$K,$A30))&gt;0,(COUNTIFS(d_rs_sched!$D:$D,$A30,d_rs_sched!$I:$I,$A30,d_rs_sched!$K:$K,F$1)+COUNTIFS(d_rs_sched!$D:$D,$A30,d_rs_sched!$I:$I,F$1,d_rs_sched!$K:$K,$A30)),1),1)</f>
        <v>9</v>
      </c>
      <c r="G30">
        <f>IFERROR((SUMIFS(d_rs_sched!$J:$J,d_rs_sched!$D:$D,$A30,d_rs_sched!$I:$I,$A30,d_rs_sched!$K:$K,G$1)+SUMIFS(d_rs_sched!$L:$L,d_rs_sched!$D:$D,$A30,d_rs_sched!$K:$K,$A30,d_rs_sched!$I:$I,G$1))-(SUMIFS(d_rs_sched!$L:$L,d_rs_sched!$D:$D,$A30,d_rs_sched!$I:$I,$A30,d_rs_sched!$K:$K,G$1)+SUMIFS(d_rs_sched!$J:$J,d_rs_sched!$D:$D,$A30,d_rs_sched!$K:$K,$A30,d_rs_sched!$I:$I,G$1)),0)/IFERROR(IF((COUNTIFS(d_rs_sched!$D:$D,$A30,d_rs_sched!$I:$I,$A30,d_rs_sched!$K:$K,G$1)+COUNTIFS(d_rs_sched!$D:$D,$A30,d_rs_sched!$I:$I,G$1,d_rs_sched!$K:$K,$A30))&gt;0,(COUNTIFS(d_rs_sched!$D:$D,$A30,d_rs_sched!$I:$I,$A30,d_rs_sched!$K:$K,G$1)+COUNTIFS(d_rs_sched!$D:$D,$A30,d_rs_sched!$I:$I,G$1,d_rs_sched!$K:$K,$A30)),1),1)</f>
        <v>-6</v>
      </c>
      <c r="H30">
        <f>IFERROR((SUMIFS(d_rs_sched!$J:$J,d_rs_sched!$D:$D,$A30,d_rs_sched!$I:$I,$A30,d_rs_sched!$K:$K,H$1)+SUMIFS(d_rs_sched!$L:$L,d_rs_sched!$D:$D,$A30,d_rs_sched!$K:$K,$A30,d_rs_sched!$I:$I,H$1))-(SUMIFS(d_rs_sched!$L:$L,d_rs_sched!$D:$D,$A30,d_rs_sched!$I:$I,$A30,d_rs_sched!$K:$K,H$1)+SUMIFS(d_rs_sched!$J:$J,d_rs_sched!$D:$D,$A30,d_rs_sched!$K:$K,$A30,d_rs_sched!$I:$I,H$1)),0)/IFERROR(IF((COUNTIFS(d_rs_sched!$D:$D,$A30,d_rs_sched!$I:$I,$A30,d_rs_sched!$K:$K,H$1)+COUNTIFS(d_rs_sched!$D:$D,$A30,d_rs_sched!$I:$I,H$1,d_rs_sched!$K:$K,$A30))&gt;0,(COUNTIFS(d_rs_sched!$D:$D,$A30,d_rs_sched!$I:$I,$A30,d_rs_sched!$K:$K,H$1)+COUNTIFS(d_rs_sched!$D:$D,$A30,d_rs_sched!$I:$I,H$1,d_rs_sched!$K:$K,$A30)),1),1)</f>
        <v>-7.25</v>
      </c>
      <c r="I30">
        <f>IFERROR((SUMIFS(d_rs_sched!$J:$J,d_rs_sched!$D:$D,$A30,d_rs_sched!$I:$I,$A30,d_rs_sched!$K:$K,I$1)+SUMIFS(d_rs_sched!$L:$L,d_rs_sched!$D:$D,$A30,d_rs_sched!$K:$K,$A30,d_rs_sched!$I:$I,I$1))-(SUMIFS(d_rs_sched!$L:$L,d_rs_sched!$D:$D,$A30,d_rs_sched!$I:$I,$A30,d_rs_sched!$K:$K,I$1)+SUMIFS(d_rs_sched!$J:$J,d_rs_sched!$D:$D,$A30,d_rs_sched!$K:$K,$A30,d_rs_sched!$I:$I,I$1)),0)/IFERROR(IF((COUNTIFS(d_rs_sched!$D:$D,$A30,d_rs_sched!$I:$I,$A30,d_rs_sched!$K:$K,I$1)+COUNTIFS(d_rs_sched!$D:$D,$A30,d_rs_sched!$I:$I,I$1,d_rs_sched!$K:$K,$A30))&gt;0,(COUNTIFS(d_rs_sched!$D:$D,$A30,d_rs_sched!$I:$I,$A30,d_rs_sched!$K:$K,I$1)+COUNTIFS(d_rs_sched!$D:$D,$A30,d_rs_sched!$I:$I,I$1,d_rs_sched!$K:$K,$A30)),1),1)</f>
        <v>4.5</v>
      </c>
      <c r="J30">
        <f>IFERROR((SUMIFS(d_rs_sched!$J:$J,d_rs_sched!$D:$D,$A30,d_rs_sched!$I:$I,$A30,d_rs_sched!$K:$K,J$1)+SUMIFS(d_rs_sched!$L:$L,d_rs_sched!$D:$D,$A30,d_rs_sched!$K:$K,$A30,d_rs_sched!$I:$I,J$1))-(SUMIFS(d_rs_sched!$L:$L,d_rs_sched!$D:$D,$A30,d_rs_sched!$I:$I,$A30,d_rs_sched!$K:$K,J$1)+SUMIFS(d_rs_sched!$J:$J,d_rs_sched!$D:$D,$A30,d_rs_sched!$K:$K,$A30,d_rs_sched!$I:$I,J$1)),0)/IFERROR(IF((COUNTIFS(d_rs_sched!$D:$D,$A30,d_rs_sched!$I:$I,$A30,d_rs_sched!$K:$K,J$1)+COUNTIFS(d_rs_sched!$D:$D,$A30,d_rs_sched!$I:$I,J$1,d_rs_sched!$K:$K,$A30))&gt;0,(COUNTIFS(d_rs_sched!$D:$D,$A30,d_rs_sched!$I:$I,$A30,d_rs_sched!$K:$K,J$1)+COUNTIFS(d_rs_sched!$D:$D,$A30,d_rs_sched!$I:$I,J$1,d_rs_sched!$K:$K,$A30)),1),1)</f>
        <v>2</v>
      </c>
      <c r="K30">
        <f>IFERROR((SUMIFS(d_rs_sched!$J:$J,d_rs_sched!$D:$D,$A30,d_rs_sched!$I:$I,$A30,d_rs_sched!$K:$K,K$1)+SUMIFS(d_rs_sched!$L:$L,d_rs_sched!$D:$D,$A30,d_rs_sched!$K:$K,$A30,d_rs_sched!$I:$I,K$1))-(SUMIFS(d_rs_sched!$L:$L,d_rs_sched!$D:$D,$A30,d_rs_sched!$I:$I,$A30,d_rs_sched!$K:$K,K$1)+SUMIFS(d_rs_sched!$J:$J,d_rs_sched!$D:$D,$A30,d_rs_sched!$K:$K,$A30,d_rs_sched!$I:$I,K$1)),0)/IFERROR(IF((COUNTIFS(d_rs_sched!$D:$D,$A30,d_rs_sched!$I:$I,$A30,d_rs_sched!$K:$K,K$1)+COUNTIFS(d_rs_sched!$D:$D,$A30,d_rs_sched!$I:$I,K$1,d_rs_sched!$K:$K,$A30))&gt;0,(COUNTIFS(d_rs_sched!$D:$D,$A30,d_rs_sched!$I:$I,$A30,d_rs_sched!$K:$K,K$1)+COUNTIFS(d_rs_sched!$D:$D,$A30,d_rs_sched!$I:$I,K$1,d_rs_sched!$K:$K,$A30)),1),1)</f>
        <v>-7.25</v>
      </c>
      <c r="L30">
        <f>IFERROR((SUMIFS(d_rs_sched!$J:$J,d_rs_sched!$D:$D,$A30,d_rs_sched!$I:$I,$A30,d_rs_sched!$K:$K,L$1)+SUMIFS(d_rs_sched!$L:$L,d_rs_sched!$D:$D,$A30,d_rs_sched!$K:$K,$A30,d_rs_sched!$I:$I,L$1))-(SUMIFS(d_rs_sched!$L:$L,d_rs_sched!$D:$D,$A30,d_rs_sched!$I:$I,$A30,d_rs_sched!$K:$K,L$1)+SUMIFS(d_rs_sched!$J:$J,d_rs_sched!$D:$D,$A30,d_rs_sched!$K:$K,$A30,d_rs_sched!$I:$I,L$1)),0)/IFERROR(IF((COUNTIFS(d_rs_sched!$D:$D,$A30,d_rs_sched!$I:$I,$A30,d_rs_sched!$K:$K,L$1)+COUNTIFS(d_rs_sched!$D:$D,$A30,d_rs_sched!$I:$I,L$1,d_rs_sched!$K:$K,$A30))&gt;0,(COUNTIFS(d_rs_sched!$D:$D,$A30,d_rs_sched!$I:$I,$A30,d_rs_sched!$K:$K,L$1)+COUNTIFS(d_rs_sched!$D:$D,$A30,d_rs_sched!$I:$I,L$1,d_rs_sched!$K:$K,$A30)),1),1)</f>
        <v>-8.5</v>
      </c>
      <c r="M30">
        <f>IFERROR((SUMIFS(d_rs_sched!$J:$J,d_rs_sched!$D:$D,$A30,d_rs_sched!$I:$I,$A30,d_rs_sched!$K:$K,M$1)+SUMIFS(d_rs_sched!$L:$L,d_rs_sched!$D:$D,$A30,d_rs_sched!$K:$K,$A30,d_rs_sched!$I:$I,M$1))-(SUMIFS(d_rs_sched!$L:$L,d_rs_sched!$D:$D,$A30,d_rs_sched!$I:$I,$A30,d_rs_sched!$K:$K,M$1)+SUMIFS(d_rs_sched!$J:$J,d_rs_sched!$D:$D,$A30,d_rs_sched!$K:$K,$A30,d_rs_sched!$I:$I,M$1)),0)/IFERROR(IF((COUNTIFS(d_rs_sched!$D:$D,$A30,d_rs_sched!$I:$I,$A30,d_rs_sched!$K:$K,M$1)+COUNTIFS(d_rs_sched!$D:$D,$A30,d_rs_sched!$I:$I,M$1,d_rs_sched!$K:$K,$A30))&gt;0,(COUNTIFS(d_rs_sched!$D:$D,$A30,d_rs_sched!$I:$I,$A30,d_rs_sched!$K:$K,M$1)+COUNTIFS(d_rs_sched!$D:$D,$A30,d_rs_sched!$I:$I,M$1,d_rs_sched!$K:$K,$A30)),1),1)</f>
        <v>-7.5</v>
      </c>
      <c r="N30">
        <f>IFERROR((SUMIFS(d_rs_sched!$J:$J,d_rs_sched!$D:$D,$A30,d_rs_sched!$I:$I,$A30,d_rs_sched!$K:$K,N$1)+SUMIFS(d_rs_sched!$L:$L,d_rs_sched!$D:$D,$A30,d_rs_sched!$K:$K,$A30,d_rs_sched!$I:$I,N$1))-(SUMIFS(d_rs_sched!$L:$L,d_rs_sched!$D:$D,$A30,d_rs_sched!$I:$I,$A30,d_rs_sched!$K:$K,N$1)+SUMIFS(d_rs_sched!$J:$J,d_rs_sched!$D:$D,$A30,d_rs_sched!$K:$K,$A30,d_rs_sched!$I:$I,N$1)),0)/IFERROR(IF((COUNTIFS(d_rs_sched!$D:$D,$A30,d_rs_sched!$I:$I,$A30,d_rs_sched!$K:$K,N$1)+COUNTIFS(d_rs_sched!$D:$D,$A30,d_rs_sched!$I:$I,N$1,d_rs_sched!$K:$K,$A30))&gt;0,(COUNTIFS(d_rs_sched!$D:$D,$A30,d_rs_sched!$I:$I,$A30,d_rs_sched!$K:$K,N$1)+COUNTIFS(d_rs_sched!$D:$D,$A30,d_rs_sched!$I:$I,N$1,d_rs_sched!$K:$K,$A30)),1),1)</f>
        <v>-7.75</v>
      </c>
      <c r="O30">
        <f>IFERROR((SUMIFS(d_rs_sched!$J:$J,d_rs_sched!$D:$D,$A30,d_rs_sched!$I:$I,$A30,d_rs_sched!$K:$K,O$1)+SUMIFS(d_rs_sched!$L:$L,d_rs_sched!$D:$D,$A30,d_rs_sched!$K:$K,$A30,d_rs_sched!$I:$I,O$1))-(SUMIFS(d_rs_sched!$L:$L,d_rs_sched!$D:$D,$A30,d_rs_sched!$I:$I,$A30,d_rs_sched!$K:$K,O$1)+SUMIFS(d_rs_sched!$J:$J,d_rs_sched!$D:$D,$A30,d_rs_sched!$K:$K,$A30,d_rs_sched!$I:$I,O$1)),0)/IFERROR(IF((COUNTIFS(d_rs_sched!$D:$D,$A30,d_rs_sched!$I:$I,$A30,d_rs_sched!$K:$K,O$1)+COUNTIFS(d_rs_sched!$D:$D,$A30,d_rs_sched!$I:$I,O$1,d_rs_sched!$K:$K,$A30))&gt;0,(COUNTIFS(d_rs_sched!$D:$D,$A30,d_rs_sched!$I:$I,$A30,d_rs_sched!$K:$K,O$1)+COUNTIFS(d_rs_sched!$D:$D,$A30,d_rs_sched!$I:$I,O$1,d_rs_sched!$K:$K,$A30)),1),1)</f>
        <v>4.333333333333333</v>
      </c>
      <c r="P30">
        <f>IFERROR((SUMIFS(d_rs_sched!$J:$J,d_rs_sched!$D:$D,$A30,d_rs_sched!$I:$I,$A30,d_rs_sched!$K:$K,P$1)+SUMIFS(d_rs_sched!$L:$L,d_rs_sched!$D:$D,$A30,d_rs_sched!$K:$K,$A30,d_rs_sched!$I:$I,P$1))-(SUMIFS(d_rs_sched!$L:$L,d_rs_sched!$D:$D,$A30,d_rs_sched!$I:$I,$A30,d_rs_sched!$K:$K,P$1)+SUMIFS(d_rs_sched!$J:$J,d_rs_sched!$D:$D,$A30,d_rs_sched!$K:$K,$A30,d_rs_sched!$I:$I,P$1)),0)/IFERROR(IF((COUNTIFS(d_rs_sched!$D:$D,$A30,d_rs_sched!$I:$I,$A30,d_rs_sched!$K:$K,P$1)+COUNTIFS(d_rs_sched!$D:$D,$A30,d_rs_sched!$I:$I,P$1,d_rs_sched!$K:$K,$A30))&gt;0,(COUNTIFS(d_rs_sched!$D:$D,$A30,d_rs_sched!$I:$I,$A30,d_rs_sched!$K:$K,P$1)+COUNTIFS(d_rs_sched!$D:$D,$A30,d_rs_sched!$I:$I,P$1,d_rs_sched!$K:$K,$A30)),1),1)</f>
        <v>1.5</v>
      </c>
      <c r="Q30">
        <f>IFERROR((SUMIFS(d_rs_sched!$J:$J,d_rs_sched!$D:$D,$A30,d_rs_sched!$I:$I,$A30,d_rs_sched!$K:$K,Q$1)+SUMIFS(d_rs_sched!$L:$L,d_rs_sched!$D:$D,$A30,d_rs_sched!$K:$K,$A30,d_rs_sched!$I:$I,Q$1))-(SUMIFS(d_rs_sched!$L:$L,d_rs_sched!$D:$D,$A30,d_rs_sched!$I:$I,$A30,d_rs_sched!$K:$K,Q$1)+SUMIFS(d_rs_sched!$J:$J,d_rs_sched!$D:$D,$A30,d_rs_sched!$K:$K,$A30,d_rs_sched!$I:$I,Q$1)),0)/IFERROR(IF((COUNTIFS(d_rs_sched!$D:$D,$A30,d_rs_sched!$I:$I,$A30,d_rs_sched!$K:$K,Q$1)+COUNTIFS(d_rs_sched!$D:$D,$A30,d_rs_sched!$I:$I,Q$1,d_rs_sched!$K:$K,$A30))&gt;0,(COUNTIFS(d_rs_sched!$D:$D,$A30,d_rs_sched!$I:$I,$A30,d_rs_sched!$K:$K,Q$1)+COUNTIFS(d_rs_sched!$D:$D,$A30,d_rs_sched!$I:$I,Q$1,d_rs_sched!$K:$K,$A30)),1),1)</f>
        <v>6.5</v>
      </c>
      <c r="R30">
        <f>IFERROR((SUMIFS(d_rs_sched!$J:$J,d_rs_sched!$D:$D,$A30,d_rs_sched!$I:$I,$A30,d_rs_sched!$K:$K,R$1)+SUMIFS(d_rs_sched!$L:$L,d_rs_sched!$D:$D,$A30,d_rs_sched!$K:$K,$A30,d_rs_sched!$I:$I,R$1))-(SUMIFS(d_rs_sched!$L:$L,d_rs_sched!$D:$D,$A30,d_rs_sched!$I:$I,$A30,d_rs_sched!$K:$K,R$1)+SUMIFS(d_rs_sched!$J:$J,d_rs_sched!$D:$D,$A30,d_rs_sched!$K:$K,$A30,d_rs_sched!$I:$I,R$1)),0)/IFERROR(IF((COUNTIFS(d_rs_sched!$D:$D,$A30,d_rs_sched!$I:$I,$A30,d_rs_sched!$K:$K,R$1)+COUNTIFS(d_rs_sched!$D:$D,$A30,d_rs_sched!$I:$I,R$1,d_rs_sched!$K:$K,$A30))&gt;0,(COUNTIFS(d_rs_sched!$D:$D,$A30,d_rs_sched!$I:$I,$A30,d_rs_sched!$K:$K,R$1)+COUNTIFS(d_rs_sched!$D:$D,$A30,d_rs_sched!$I:$I,R$1,d_rs_sched!$K:$K,$A30)),1),1)</f>
        <v>4.5</v>
      </c>
      <c r="S30">
        <f>IFERROR((SUMIFS(d_rs_sched!$J:$J,d_rs_sched!$D:$D,$A30,d_rs_sched!$I:$I,$A30,d_rs_sched!$K:$K,S$1)+SUMIFS(d_rs_sched!$L:$L,d_rs_sched!$D:$D,$A30,d_rs_sched!$K:$K,$A30,d_rs_sched!$I:$I,S$1))-(SUMIFS(d_rs_sched!$L:$L,d_rs_sched!$D:$D,$A30,d_rs_sched!$I:$I,$A30,d_rs_sched!$K:$K,S$1)+SUMIFS(d_rs_sched!$J:$J,d_rs_sched!$D:$D,$A30,d_rs_sched!$K:$K,$A30,d_rs_sched!$I:$I,S$1)),0)/IFERROR(IF((COUNTIFS(d_rs_sched!$D:$D,$A30,d_rs_sched!$I:$I,$A30,d_rs_sched!$K:$K,S$1)+COUNTIFS(d_rs_sched!$D:$D,$A30,d_rs_sched!$I:$I,S$1,d_rs_sched!$K:$K,$A30))&gt;0,(COUNTIFS(d_rs_sched!$D:$D,$A30,d_rs_sched!$I:$I,$A30,d_rs_sched!$K:$K,S$1)+COUNTIFS(d_rs_sched!$D:$D,$A30,d_rs_sched!$I:$I,S$1,d_rs_sched!$K:$K,$A30)),1),1)</f>
        <v>9</v>
      </c>
      <c r="T30">
        <f>IFERROR((SUMIFS(d_rs_sched!$J:$J,d_rs_sched!$D:$D,$A30,d_rs_sched!$I:$I,$A30,d_rs_sched!$K:$K,T$1)+SUMIFS(d_rs_sched!$L:$L,d_rs_sched!$D:$D,$A30,d_rs_sched!$K:$K,$A30,d_rs_sched!$I:$I,T$1))-(SUMIFS(d_rs_sched!$L:$L,d_rs_sched!$D:$D,$A30,d_rs_sched!$I:$I,$A30,d_rs_sched!$K:$K,T$1)+SUMIFS(d_rs_sched!$J:$J,d_rs_sched!$D:$D,$A30,d_rs_sched!$K:$K,$A30,d_rs_sched!$I:$I,T$1)),0)/IFERROR(IF((COUNTIFS(d_rs_sched!$D:$D,$A30,d_rs_sched!$I:$I,$A30,d_rs_sched!$K:$K,T$1)+COUNTIFS(d_rs_sched!$D:$D,$A30,d_rs_sched!$I:$I,T$1,d_rs_sched!$K:$K,$A30))&gt;0,(COUNTIFS(d_rs_sched!$D:$D,$A30,d_rs_sched!$I:$I,$A30,d_rs_sched!$K:$K,T$1)+COUNTIFS(d_rs_sched!$D:$D,$A30,d_rs_sched!$I:$I,T$1,d_rs_sched!$K:$K,$A30)),1),1)</f>
        <v>-5.333333333333333</v>
      </c>
      <c r="U30">
        <f>IFERROR((SUMIFS(d_rs_sched!$J:$J,d_rs_sched!$D:$D,$A30,d_rs_sched!$I:$I,$A30,d_rs_sched!$K:$K,U$1)+SUMIFS(d_rs_sched!$L:$L,d_rs_sched!$D:$D,$A30,d_rs_sched!$K:$K,$A30,d_rs_sched!$I:$I,U$1))-(SUMIFS(d_rs_sched!$L:$L,d_rs_sched!$D:$D,$A30,d_rs_sched!$I:$I,$A30,d_rs_sched!$K:$K,U$1)+SUMIFS(d_rs_sched!$J:$J,d_rs_sched!$D:$D,$A30,d_rs_sched!$K:$K,$A30,d_rs_sched!$I:$I,U$1)),0)/IFERROR(IF((COUNTIFS(d_rs_sched!$D:$D,$A30,d_rs_sched!$I:$I,$A30,d_rs_sched!$K:$K,U$1)+COUNTIFS(d_rs_sched!$D:$D,$A30,d_rs_sched!$I:$I,U$1,d_rs_sched!$K:$K,$A30))&gt;0,(COUNTIFS(d_rs_sched!$D:$D,$A30,d_rs_sched!$I:$I,$A30,d_rs_sched!$K:$K,U$1)+COUNTIFS(d_rs_sched!$D:$D,$A30,d_rs_sched!$I:$I,U$1,d_rs_sched!$K:$K,$A30)),1),1)</f>
        <v>3.5</v>
      </c>
      <c r="V30">
        <f>IFERROR((SUMIFS(d_rs_sched!$J:$J,d_rs_sched!$D:$D,$A30,d_rs_sched!$I:$I,$A30,d_rs_sched!$K:$K,V$1)+SUMIFS(d_rs_sched!$L:$L,d_rs_sched!$D:$D,$A30,d_rs_sched!$K:$K,$A30,d_rs_sched!$I:$I,V$1))-(SUMIFS(d_rs_sched!$L:$L,d_rs_sched!$D:$D,$A30,d_rs_sched!$I:$I,$A30,d_rs_sched!$K:$K,V$1)+SUMIFS(d_rs_sched!$J:$J,d_rs_sched!$D:$D,$A30,d_rs_sched!$K:$K,$A30,d_rs_sched!$I:$I,V$1)),0)/IFERROR(IF((COUNTIFS(d_rs_sched!$D:$D,$A30,d_rs_sched!$I:$I,$A30,d_rs_sched!$K:$K,V$1)+COUNTIFS(d_rs_sched!$D:$D,$A30,d_rs_sched!$I:$I,V$1,d_rs_sched!$K:$K,$A30))&gt;0,(COUNTIFS(d_rs_sched!$D:$D,$A30,d_rs_sched!$I:$I,$A30,d_rs_sched!$K:$K,V$1)+COUNTIFS(d_rs_sched!$D:$D,$A30,d_rs_sched!$I:$I,V$1,d_rs_sched!$K:$K,$A30)),1),1)</f>
        <v>0.5</v>
      </c>
      <c r="W30">
        <f>IFERROR((SUMIFS(d_rs_sched!$J:$J,d_rs_sched!$D:$D,$A30,d_rs_sched!$I:$I,$A30,d_rs_sched!$K:$K,W$1)+SUMIFS(d_rs_sched!$L:$L,d_rs_sched!$D:$D,$A30,d_rs_sched!$K:$K,$A30,d_rs_sched!$I:$I,W$1))-(SUMIFS(d_rs_sched!$L:$L,d_rs_sched!$D:$D,$A30,d_rs_sched!$I:$I,$A30,d_rs_sched!$K:$K,W$1)+SUMIFS(d_rs_sched!$J:$J,d_rs_sched!$D:$D,$A30,d_rs_sched!$K:$K,$A30,d_rs_sched!$I:$I,W$1)),0)/IFERROR(IF((COUNTIFS(d_rs_sched!$D:$D,$A30,d_rs_sched!$I:$I,$A30,d_rs_sched!$K:$K,W$1)+COUNTIFS(d_rs_sched!$D:$D,$A30,d_rs_sched!$I:$I,W$1,d_rs_sched!$K:$K,$A30))&gt;0,(COUNTIFS(d_rs_sched!$D:$D,$A30,d_rs_sched!$I:$I,$A30,d_rs_sched!$K:$K,W$1)+COUNTIFS(d_rs_sched!$D:$D,$A30,d_rs_sched!$I:$I,W$1,d_rs_sched!$K:$K,$A30)),1),1)</f>
        <v>1</v>
      </c>
      <c r="X30">
        <f>IFERROR((SUMIFS(d_rs_sched!$J:$J,d_rs_sched!$D:$D,$A30,d_rs_sched!$I:$I,$A30,d_rs_sched!$K:$K,X$1)+SUMIFS(d_rs_sched!$L:$L,d_rs_sched!$D:$D,$A30,d_rs_sched!$K:$K,$A30,d_rs_sched!$I:$I,X$1))-(SUMIFS(d_rs_sched!$L:$L,d_rs_sched!$D:$D,$A30,d_rs_sched!$I:$I,$A30,d_rs_sched!$K:$K,X$1)+SUMIFS(d_rs_sched!$J:$J,d_rs_sched!$D:$D,$A30,d_rs_sched!$K:$K,$A30,d_rs_sched!$I:$I,X$1)),0)/IFERROR(IF((COUNTIFS(d_rs_sched!$D:$D,$A30,d_rs_sched!$I:$I,$A30,d_rs_sched!$K:$K,X$1)+COUNTIFS(d_rs_sched!$D:$D,$A30,d_rs_sched!$I:$I,X$1,d_rs_sched!$K:$K,$A30))&gt;0,(COUNTIFS(d_rs_sched!$D:$D,$A30,d_rs_sched!$I:$I,$A30,d_rs_sched!$K:$K,X$1)+COUNTIFS(d_rs_sched!$D:$D,$A30,d_rs_sched!$I:$I,X$1,d_rs_sched!$K:$K,$A30)),1),1)</f>
        <v>11.5</v>
      </c>
      <c r="Y30">
        <f>IFERROR((SUMIFS(d_rs_sched!$J:$J,d_rs_sched!$D:$D,$A30,d_rs_sched!$I:$I,$A30,d_rs_sched!$K:$K,Y$1)+SUMIFS(d_rs_sched!$L:$L,d_rs_sched!$D:$D,$A30,d_rs_sched!$K:$K,$A30,d_rs_sched!$I:$I,Y$1))-(SUMIFS(d_rs_sched!$L:$L,d_rs_sched!$D:$D,$A30,d_rs_sched!$I:$I,$A30,d_rs_sched!$K:$K,Y$1)+SUMIFS(d_rs_sched!$J:$J,d_rs_sched!$D:$D,$A30,d_rs_sched!$K:$K,$A30,d_rs_sched!$I:$I,Y$1)),0)/IFERROR(IF((COUNTIFS(d_rs_sched!$D:$D,$A30,d_rs_sched!$I:$I,$A30,d_rs_sched!$K:$K,Y$1)+COUNTIFS(d_rs_sched!$D:$D,$A30,d_rs_sched!$I:$I,Y$1,d_rs_sched!$K:$K,$A30))&gt;0,(COUNTIFS(d_rs_sched!$D:$D,$A30,d_rs_sched!$I:$I,$A30,d_rs_sched!$K:$K,Y$1)+COUNTIFS(d_rs_sched!$D:$D,$A30,d_rs_sched!$I:$I,Y$1,d_rs_sched!$K:$K,$A30)),1),1)</f>
        <v>6</v>
      </c>
      <c r="Z30">
        <f>IFERROR((SUMIFS(d_rs_sched!$J:$J,d_rs_sched!$D:$D,$A30,d_rs_sched!$I:$I,$A30,d_rs_sched!$K:$K,Z$1)+SUMIFS(d_rs_sched!$L:$L,d_rs_sched!$D:$D,$A30,d_rs_sched!$K:$K,$A30,d_rs_sched!$I:$I,Z$1))-(SUMIFS(d_rs_sched!$L:$L,d_rs_sched!$D:$D,$A30,d_rs_sched!$I:$I,$A30,d_rs_sched!$K:$K,Z$1)+SUMIFS(d_rs_sched!$J:$J,d_rs_sched!$D:$D,$A30,d_rs_sched!$K:$K,$A30,d_rs_sched!$I:$I,Z$1)),0)/IFERROR(IF((COUNTIFS(d_rs_sched!$D:$D,$A30,d_rs_sched!$I:$I,$A30,d_rs_sched!$K:$K,Z$1)+COUNTIFS(d_rs_sched!$D:$D,$A30,d_rs_sched!$I:$I,Z$1,d_rs_sched!$K:$K,$A30))&gt;0,(COUNTIFS(d_rs_sched!$D:$D,$A30,d_rs_sched!$I:$I,$A30,d_rs_sched!$K:$K,Z$1)+COUNTIFS(d_rs_sched!$D:$D,$A30,d_rs_sched!$I:$I,Z$1,d_rs_sched!$K:$K,$A30)),1),1)</f>
        <v>4.5</v>
      </c>
      <c r="AA30">
        <f>IFERROR((SUMIFS(d_rs_sched!$J:$J,d_rs_sched!$D:$D,$A30,d_rs_sched!$I:$I,$A30,d_rs_sched!$K:$K,AA$1)+SUMIFS(d_rs_sched!$L:$L,d_rs_sched!$D:$D,$A30,d_rs_sched!$K:$K,$A30,d_rs_sched!$I:$I,AA$1))-(SUMIFS(d_rs_sched!$L:$L,d_rs_sched!$D:$D,$A30,d_rs_sched!$I:$I,$A30,d_rs_sched!$K:$K,AA$1)+SUMIFS(d_rs_sched!$J:$J,d_rs_sched!$D:$D,$A30,d_rs_sched!$K:$K,$A30,d_rs_sched!$I:$I,AA$1)),0)/IFERROR(IF((COUNTIFS(d_rs_sched!$D:$D,$A30,d_rs_sched!$I:$I,$A30,d_rs_sched!$K:$K,AA$1)+COUNTIFS(d_rs_sched!$D:$D,$A30,d_rs_sched!$I:$I,AA$1,d_rs_sched!$K:$K,$A30))&gt;0,(COUNTIFS(d_rs_sched!$D:$D,$A30,d_rs_sched!$I:$I,$A30,d_rs_sched!$K:$K,AA$1)+COUNTIFS(d_rs_sched!$D:$D,$A30,d_rs_sched!$I:$I,AA$1,d_rs_sched!$K:$K,$A30)),1),1)</f>
        <v>-2.3333333333333335</v>
      </c>
      <c r="AB30">
        <f>IFERROR((SUMIFS(d_rs_sched!$J:$J,d_rs_sched!$D:$D,$A30,d_rs_sched!$I:$I,$A30,d_rs_sched!$K:$K,AB$1)+SUMIFS(d_rs_sched!$L:$L,d_rs_sched!$D:$D,$A30,d_rs_sched!$K:$K,$A30,d_rs_sched!$I:$I,AB$1))-(SUMIFS(d_rs_sched!$L:$L,d_rs_sched!$D:$D,$A30,d_rs_sched!$I:$I,$A30,d_rs_sched!$K:$K,AB$1)+SUMIFS(d_rs_sched!$J:$J,d_rs_sched!$D:$D,$A30,d_rs_sched!$K:$K,$A30,d_rs_sched!$I:$I,AB$1)),0)/IFERROR(IF((COUNTIFS(d_rs_sched!$D:$D,$A30,d_rs_sched!$I:$I,$A30,d_rs_sched!$K:$K,AB$1)+COUNTIFS(d_rs_sched!$D:$D,$A30,d_rs_sched!$I:$I,AB$1,d_rs_sched!$K:$K,$A30))&gt;0,(COUNTIFS(d_rs_sched!$D:$D,$A30,d_rs_sched!$I:$I,$A30,d_rs_sched!$K:$K,AB$1)+COUNTIFS(d_rs_sched!$D:$D,$A30,d_rs_sched!$I:$I,AB$1,d_rs_sched!$K:$K,$A30)),1),1)</f>
        <v>5.25</v>
      </c>
      <c r="AC30">
        <f>IFERROR((SUMIFS(d_rs_sched!$J:$J,d_rs_sched!$D:$D,$A30,d_rs_sched!$I:$I,$A30,d_rs_sched!$K:$K,AC$1)+SUMIFS(d_rs_sched!$L:$L,d_rs_sched!$D:$D,$A30,d_rs_sched!$K:$K,$A30,d_rs_sched!$I:$I,AC$1))-(SUMIFS(d_rs_sched!$L:$L,d_rs_sched!$D:$D,$A30,d_rs_sched!$I:$I,$A30,d_rs_sched!$K:$K,AC$1)+SUMIFS(d_rs_sched!$J:$J,d_rs_sched!$D:$D,$A30,d_rs_sched!$K:$K,$A30,d_rs_sched!$I:$I,AC$1)),0)/IFERROR(IF((COUNTIFS(d_rs_sched!$D:$D,$A30,d_rs_sched!$I:$I,$A30,d_rs_sched!$K:$K,AC$1)+COUNTIFS(d_rs_sched!$D:$D,$A30,d_rs_sched!$I:$I,AC$1,d_rs_sched!$K:$K,$A30))&gt;0,(COUNTIFS(d_rs_sched!$D:$D,$A30,d_rs_sched!$I:$I,$A30,d_rs_sched!$K:$K,AC$1)+COUNTIFS(d_rs_sched!$D:$D,$A30,d_rs_sched!$I:$I,AC$1,d_rs_sched!$K:$K,$A30)),1),1)</f>
        <v>-18.5</v>
      </c>
      <c r="AD30">
        <f>IFERROR((SUMIFS(d_rs_sched!$J:$J,d_rs_sched!$D:$D,$A30,d_rs_sched!$I:$I,$A30,d_rs_sched!$K:$K,AD$1)+SUMIFS(d_rs_sched!$L:$L,d_rs_sched!$D:$D,$A30,d_rs_sched!$K:$K,$A30,d_rs_sched!$I:$I,AD$1))-(SUMIFS(d_rs_sched!$L:$L,d_rs_sched!$D:$D,$A30,d_rs_sched!$I:$I,$A30,d_rs_sched!$K:$K,AD$1)+SUMIFS(d_rs_sched!$J:$J,d_rs_sched!$D:$D,$A30,d_rs_sched!$K:$K,$A30,d_rs_sched!$I:$I,AD$1)),0)/IFERROR(IF((COUNTIFS(d_rs_sched!$D:$D,$A30,d_rs_sched!$I:$I,$A30,d_rs_sched!$K:$K,AD$1)+COUNTIFS(d_rs_sched!$D:$D,$A30,d_rs_sched!$I:$I,AD$1,d_rs_sched!$K:$K,$A30))&gt;0,(COUNTIFS(d_rs_sched!$D:$D,$A30,d_rs_sched!$I:$I,$A30,d_rs_sched!$K:$K,AD$1)+COUNTIFS(d_rs_sched!$D:$D,$A30,d_rs_sched!$I:$I,AD$1,d_rs_sched!$K:$K,$A30)),1),1)</f>
        <v>0</v>
      </c>
      <c r="AE30">
        <f>IFERROR((SUMIFS(d_rs_sched!$J:$J,d_rs_sched!$D:$D,$A30,d_rs_sched!$I:$I,$A30,d_rs_sched!$K:$K,AE$1)+SUMIFS(d_rs_sched!$L:$L,d_rs_sched!$D:$D,$A30,d_rs_sched!$K:$K,$A30,d_rs_sched!$I:$I,AE$1))-(SUMIFS(d_rs_sched!$L:$L,d_rs_sched!$D:$D,$A30,d_rs_sched!$I:$I,$A30,d_rs_sched!$K:$K,AE$1)+SUMIFS(d_rs_sched!$J:$J,d_rs_sched!$D:$D,$A30,d_rs_sched!$K:$K,$A30,d_rs_sched!$I:$I,AE$1)),0)/IFERROR(IF((COUNTIFS(d_rs_sched!$D:$D,$A30,d_rs_sched!$I:$I,$A30,d_rs_sched!$K:$K,AE$1)+COUNTIFS(d_rs_sched!$D:$D,$A30,d_rs_sched!$I:$I,AE$1,d_rs_sched!$K:$K,$A30))&gt;0,(COUNTIFS(d_rs_sched!$D:$D,$A30,d_rs_sched!$I:$I,$A30,d_rs_sched!$K:$K,AE$1)+COUNTIFS(d_rs_sched!$D:$D,$A30,d_rs_sched!$I:$I,AE$1,d_rs_sched!$K:$K,$A30)),1),1)</f>
        <v>-6.5</v>
      </c>
      <c r="AG30" t="s">
        <v>34</v>
      </c>
      <c r="AH30">
        <v>0.93463811467829216</v>
      </c>
      <c r="AI30">
        <f t="shared" si="0"/>
        <v>29</v>
      </c>
    </row>
    <row r="31" spans="1:35" x14ac:dyDescent="0.25">
      <c r="A31" t="s">
        <v>25</v>
      </c>
      <c r="B31">
        <f>IFERROR((SUMIFS(d_rs_sched!$J:$J,d_rs_sched!$D:$D,$A31,d_rs_sched!$I:$I,$A31,d_rs_sched!$K:$K,B$1)+SUMIFS(d_rs_sched!$L:$L,d_rs_sched!$D:$D,$A31,d_rs_sched!$K:$K,$A31,d_rs_sched!$I:$I,B$1))-(SUMIFS(d_rs_sched!$L:$L,d_rs_sched!$D:$D,$A31,d_rs_sched!$I:$I,$A31,d_rs_sched!$K:$K,B$1)+SUMIFS(d_rs_sched!$J:$J,d_rs_sched!$D:$D,$A31,d_rs_sched!$K:$K,$A31,d_rs_sched!$I:$I,B$1)),0)/IFERROR(IF((COUNTIFS(d_rs_sched!$D:$D,$A31,d_rs_sched!$I:$I,$A31,d_rs_sched!$K:$K,B$1)+COUNTIFS(d_rs_sched!$D:$D,$A31,d_rs_sched!$I:$I,B$1,d_rs_sched!$K:$K,$A31))&gt;0,(COUNTIFS(d_rs_sched!$D:$D,$A31,d_rs_sched!$I:$I,$A31,d_rs_sched!$K:$K,B$1)+COUNTIFS(d_rs_sched!$D:$D,$A31,d_rs_sched!$I:$I,B$1,d_rs_sched!$K:$K,$A31)),1),1)</f>
        <v>-8.75</v>
      </c>
      <c r="C31">
        <f>IFERROR((SUMIFS(d_rs_sched!$J:$J,d_rs_sched!$D:$D,$A31,d_rs_sched!$I:$I,$A31,d_rs_sched!$K:$K,C$1)+SUMIFS(d_rs_sched!$L:$L,d_rs_sched!$D:$D,$A31,d_rs_sched!$K:$K,$A31,d_rs_sched!$I:$I,C$1))-(SUMIFS(d_rs_sched!$L:$L,d_rs_sched!$D:$D,$A31,d_rs_sched!$I:$I,$A31,d_rs_sched!$K:$K,C$1)+SUMIFS(d_rs_sched!$J:$J,d_rs_sched!$D:$D,$A31,d_rs_sched!$K:$K,$A31,d_rs_sched!$I:$I,C$1)),0)/IFERROR(IF((COUNTIFS(d_rs_sched!$D:$D,$A31,d_rs_sched!$I:$I,$A31,d_rs_sched!$K:$K,C$1)+COUNTIFS(d_rs_sched!$D:$D,$A31,d_rs_sched!$I:$I,C$1,d_rs_sched!$K:$K,$A31))&gt;0,(COUNTIFS(d_rs_sched!$D:$D,$A31,d_rs_sched!$I:$I,$A31,d_rs_sched!$K:$K,C$1)+COUNTIFS(d_rs_sched!$D:$D,$A31,d_rs_sched!$I:$I,C$1,d_rs_sched!$K:$K,$A31)),1),1)</f>
        <v>-3.25</v>
      </c>
      <c r="D31">
        <f>IFERROR((SUMIFS(d_rs_sched!$J:$J,d_rs_sched!$D:$D,$A31,d_rs_sched!$I:$I,$A31,d_rs_sched!$K:$K,D$1)+SUMIFS(d_rs_sched!$L:$L,d_rs_sched!$D:$D,$A31,d_rs_sched!$K:$K,$A31,d_rs_sched!$I:$I,D$1))-(SUMIFS(d_rs_sched!$L:$L,d_rs_sched!$D:$D,$A31,d_rs_sched!$I:$I,$A31,d_rs_sched!$K:$K,D$1)+SUMIFS(d_rs_sched!$J:$J,d_rs_sched!$D:$D,$A31,d_rs_sched!$K:$K,$A31,d_rs_sched!$I:$I,D$1)),0)/IFERROR(IF((COUNTIFS(d_rs_sched!$D:$D,$A31,d_rs_sched!$I:$I,$A31,d_rs_sched!$K:$K,D$1)+COUNTIFS(d_rs_sched!$D:$D,$A31,d_rs_sched!$I:$I,D$1,d_rs_sched!$K:$K,$A31))&gt;0,(COUNTIFS(d_rs_sched!$D:$D,$A31,d_rs_sched!$I:$I,$A31,d_rs_sched!$K:$K,D$1)+COUNTIFS(d_rs_sched!$D:$D,$A31,d_rs_sched!$I:$I,D$1,d_rs_sched!$K:$K,$A31)),1),1)</f>
        <v>2</v>
      </c>
      <c r="E31">
        <f>IFERROR((SUMIFS(d_rs_sched!$J:$J,d_rs_sched!$D:$D,$A31,d_rs_sched!$I:$I,$A31,d_rs_sched!$K:$K,E$1)+SUMIFS(d_rs_sched!$L:$L,d_rs_sched!$D:$D,$A31,d_rs_sched!$K:$K,$A31,d_rs_sched!$I:$I,E$1))-(SUMIFS(d_rs_sched!$L:$L,d_rs_sched!$D:$D,$A31,d_rs_sched!$I:$I,$A31,d_rs_sched!$K:$K,E$1)+SUMIFS(d_rs_sched!$J:$J,d_rs_sched!$D:$D,$A31,d_rs_sched!$K:$K,$A31,d_rs_sched!$I:$I,E$1)),0)/IFERROR(IF((COUNTIFS(d_rs_sched!$D:$D,$A31,d_rs_sched!$I:$I,$A31,d_rs_sched!$K:$K,E$1)+COUNTIFS(d_rs_sched!$D:$D,$A31,d_rs_sched!$I:$I,E$1,d_rs_sched!$K:$K,$A31))&gt;0,(COUNTIFS(d_rs_sched!$D:$D,$A31,d_rs_sched!$I:$I,$A31,d_rs_sched!$K:$K,E$1)+COUNTIFS(d_rs_sched!$D:$D,$A31,d_rs_sched!$I:$I,E$1,d_rs_sched!$K:$K,$A31)),1),1)</f>
        <v>4.5</v>
      </c>
      <c r="F31">
        <f>IFERROR((SUMIFS(d_rs_sched!$J:$J,d_rs_sched!$D:$D,$A31,d_rs_sched!$I:$I,$A31,d_rs_sched!$K:$K,F$1)+SUMIFS(d_rs_sched!$L:$L,d_rs_sched!$D:$D,$A31,d_rs_sched!$K:$K,$A31,d_rs_sched!$I:$I,F$1))-(SUMIFS(d_rs_sched!$L:$L,d_rs_sched!$D:$D,$A31,d_rs_sched!$I:$I,$A31,d_rs_sched!$K:$K,F$1)+SUMIFS(d_rs_sched!$J:$J,d_rs_sched!$D:$D,$A31,d_rs_sched!$K:$K,$A31,d_rs_sched!$I:$I,F$1)),0)/IFERROR(IF((COUNTIFS(d_rs_sched!$D:$D,$A31,d_rs_sched!$I:$I,$A31,d_rs_sched!$K:$K,F$1)+COUNTIFS(d_rs_sched!$D:$D,$A31,d_rs_sched!$I:$I,F$1,d_rs_sched!$K:$K,$A31))&gt;0,(COUNTIFS(d_rs_sched!$D:$D,$A31,d_rs_sched!$I:$I,$A31,d_rs_sched!$K:$K,F$1)+COUNTIFS(d_rs_sched!$D:$D,$A31,d_rs_sched!$I:$I,F$1,d_rs_sched!$K:$K,$A31)),1),1)</f>
        <v>2.25</v>
      </c>
      <c r="G31">
        <f>IFERROR((SUMIFS(d_rs_sched!$J:$J,d_rs_sched!$D:$D,$A31,d_rs_sched!$I:$I,$A31,d_rs_sched!$K:$K,G$1)+SUMIFS(d_rs_sched!$L:$L,d_rs_sched!$D:$D,$A31,d_rs_sched!$K:$K,$A31,d_rs_sched!$I:$I,G$1))-(SUMIFS(d_rs_sched!$L:$L,d_rs_sched!$D:$D,$A31,d_rs_sched!$I:$I,$A31,d_rs_sched!$K:$K,G$1)+SUMIFS(d_rs_sched!$J:$J,d_rs_sched!$D:$D,$A31,d_rs_sched!$K:$K,$A31,d_rs_sched!$I:$I,G$1)),0)/IFERROR(IF((COUNTIFS(d_rs_sched!$D:$D,$A31,d_rs_sched!$I:$I,$A31,d_rs_sched!$K:$K,G$1)+COUNTIFS(d_rs_sched!$D:$D,$A31,d_rs_sched!$I:$I,G$1,d_rs_sched!$K:$K,$A31))&gt;0,(COUNTIFS(d_rs_sched!$D:$D,$A31,d_rs_sched!$I:$I,$A31,d_rs_sched!$K:$K,G$1)+COUNTIFS(d_rs_sched!$D:$D,$A31,d_rs_sched!$I:$I,G$1,d_rs_sched!$K:$K,$A31)),1),1)</f>
        <v>-14</v>
      </c>
      <c r="H31">
        <f>IFERROR((SUMIFS(d_rs_sched!$J:$J,d_rs_sched!$D:$D,$A31,d_rs_sched!$I:$I,$A31,d_rs_sched!$K:$K,H$1)+SUMIFS(d_rs_sched!$L:$L,d_rs_sched!$D:$D,$A31,d_rs_sched!$K:$K,$A31,d_rs_sched!$I:$I,H$1))-(SUMIFS(d_rs_sched!$L:$L,d_rs_sched!$D:$D,$A31,d_rs_sched!$I:$I,$A31,d_rs_sched!$K:$K,H$1)+SUMIFS(d_rs_sched!$J:$J,d_rs_sched!$D:$D,$A31,d_rs_sched!$K:$K,$A31,d_rs_sched!$I:$I,H$1)),0)/IFERROR(IF((COUNTIFS(d_rs_sched!$D:$D,$A31,d_rs_sched!$I:$I,$A31,d_rs_sched!$K:$K,H$1)+COUNTIFS(d_rs_sched!$D:$D,$A31,d_rs_sched!$I:$I,H$1,d_rs_sched!$K:$K,$A31))&gt;0,(COUNTIFS(d_rs_sched!$D:$D,$A31,d_rs_sched!$I:$I,$A31,d_rs_sched!$K:$K,H$1)+COUNTIFS(d_rs_sched!$D:$D,$A31,d_rs_sched!$I:$I,H$1,d_rs_sched!$K:$K,$A31)),1),1)</f>
        <v>-15</v>
      </c>
      <c r="I31">
        <f>IFERROR((SUMIFS(d_rs_sched!$J:$J,d_rs_sched!$D:$D,$A31,d_rs_sched!$I:$I,$A31,d_rs_sched!$K:$K,I$1)+SUMIFS(d_rs_sched!$L:$L,d_rs_sched!$D:$D,$A31,d_rs_sched!$K:$K,$A31,d_rs_sched!$I:$I,I$1))-(SUMIFS(d_rs_sched!$L:$L,d_rs_sched!$D:$D,$A31,d_rs_sched!$I:$I,$A31,d_rs_sched!$K:$K,I$1)+SUMIFS(d_rs_sched!$J:$J,d_rs_sched!$D:$D,$A31,d_rs_sched!$K:$K,$A31,d_rs_sched!$I:$I,I$1)),0)/IFERROR(IF((COUNTIFS(d_rs_sched!$D:$D,$A31,d_rs_sched!$I:$I,$A31,d_rs_sched!$K:$K,I$1)+COUNTIFS(d_rs_sched!$D:$D,$A31,d_rs_sched!$I:$I,I$1,d_rs_sched!$K:$K,$A31))&gt;0,(COUNTIFS(d_rs_sched!$D:$D,$A31,d_rs_sched!$I:$I,$A31,d_rs_sched!$K:$K,I$1)+COUNTIFS(d_rs_sched!$D:$D,$A31,d_rs_sched!$I:$I,I$1,d_rs_sched!$K:$K,$A31)),1),1)</f>
        <v>16</v>
      </c>
      <c r="J31">
        <f>IFERROR((SUMIFS(d_rs_sched!$J:$J,d_rs_sched!$D:$D,$A31,d_rs_sched!$I:$I,$A31,d_rs_sched!$K:$K,J$1)+SUMIFS(d_rs_sched!$L:$L,d_rs_sched!$D:$D,$A31,d_rs_sched!$K:$K,$A31,d_rs_sched!$I:$I,J$1))-(SUMIFS(d_rs_sched!$L:$L,d_rs_sched!$D:$D,$A31,d_rs_sched!$I:$I,$A31,d_rs_sched!$K:$K,J$1)+SUMIFS(d_rs_sched!$J:$J,d_rs_sched!$D:$D,$A31,d_rs_sched!$K:$K,$A31,d_rs_sched!$I:$I,J$1)),0)/IFERROR(IF((COUNTIFS(d_rs_sched!$D:$D,$A31,d_rs_sched!$I:$I,$A31,d_rs_sched!$K:$K,J$1)+COUNTIFS(d_rs_sched!$D:$D,$A31,d_rs_sched!$I:$I,J$1,d_rs_sched!$K:$K,$A31))&gt;0,(COUNTIFS(d_rs_sched!$D:$D,$A31,d_rs_sched!$I:$I,$A31,d_rs_sched!$K:$K,J$1)+COUNTIFS(d_rs_sched!$D:$D,$A31,d_rs_sched!$I:$I,J$1,d_rs_sched!$K:$K,$A31)),1),1)</f>
        <v>-3</v>
      </c>
      <c r="K31">
        <f>IFERROR((SUMIFS(d_rs_sched!$J:$J,d_rs_sched!$D:$D,$A31,d_rs_sched!$I:$I,$A31,d_rs_sched!$K:$K,K$1)+SUMIFS(d_rs_sched!$L:$L,d_rs_sched!$D:$D,$A31,d_rs_sched!$K:$K,$A31,d_rs_sched!$I:$I,K$1))-(SUMIFS(d_rs_sched!$L:$L,d_rs_sched!$D:$D,$A31,d_rs_sched!$I:$I,$A31,d_rs_sched!$K:$K,K$1)+SUMIFS(d_rs_sched!$J:$J,d_rs_sched!$D:$D,$A31,d_rs_sched!$K:$K,$A31,d_rs_sched!$I:$I,K$1)),0)/IFERROR(IF((COUNTIFS(d_rs_sched!$D:$D,$A31,d_rs_sched!$I:$I,$A31,d_rs_sched!$K:$K,K$1)+COUNTIFS(d_rs_sched!$D:$D,$A31,d_rs_sched!$I:$I,K$1,d_rs_sched!$K:$K,$A31))&gt;0,(COUNTIFS(d_rs_sched!$D:$D,$A31,d_rs_sched!$I:$I,$A31,d_rs_sched!$K:$K,K$1)+COUNTIFS(d_rs_sched!$D:$D,$A31,d_rs_sched!$I:$I,K$1,d_rs_sched!$K:$K,$A31)),1),1)</f>
        <v>-19</v>
      </c>
      <c r="L31">
        <f>IFERROR((SUMIFS(d_rs_sched!$J:$J,d_rs_sched!$D:$D,$A31,d_rs_sched!$I:$I,$A31,d_rs_sched!$K:$K,L$1)+SUMIFS(d_rs_sched!$L:$L,d_rs_sched!$D:$D,$A31,d_rs_sched!$K:$K,$A31,d_rs_sched!$I:$I,L$1))-(SUMIFS(d_rs_sched!$L:$L,d_rs_sched!$D:$D,$A31,d_rs_sched!$I:$I,$A31,d_rs_sched!$K:$K,L$1)+SUMIFS(d_rs_sched!$J:$J,d_rs_sched!$D:$D,$A31,d_rs_sched!$K:$K,$A31,d_rs_sched!$I:$I,L$1)),0)/IFERROR(IF((COUNTIFS(d_rs_sched!$D:$D,$A31,d_rs_sched!$I:$I,$A31,d_rs_sched!$K:$K,L$1)+COUNTIFS(d_rs_sched!$D:$D,$A31,d_rs_sched!$I:$I,L$1,d_rs_sched!$K:$K,$A31))&gt;0,(COUNTIFS(d_rs_sched!$D:$D,$A31,d_rs_sched!$I:$I,$A31,d_rs_sched!$K:$K,L$1)+COUNTIFS(d_rs_sched!$D:$D,$A31,d_rs_sched!$I:$I,L$1,d_rs_sched!$K:$K,$A31)),1),1)</f>
        <v>-3.5</v>
      </c>
      <c r="M31">
        <f>IFERROR((SUMIFS(d_rs_sched!$J:$J,d_rs_sched!$D:$D,$A31,d_rs_sched!$I:$I,$A31,d_rs_sched!$K:$K,M$1)+SUMIFS(d_rs_sched!$L:$L,d_rs_sched!$D:$D,$A31,d_rs_sched!$K:$K,$A31,d_rs_sched!$I:$I,M$1))-(SUMIFS(d_rs_sched!$L:$L,d_rs_sched!$D:$D,$A31,d_rs_sched!$I:$I,$A31,d_rs_sched!$K:$K,M$1)+SUMIFS(d_rs_sched!$J:$J,d_rs_sched!$D:$D,$A31,d_rs_sched!$K:$K,$A31,d_rs_sched!$I:$I,M$1)),0)/IFERROR(IF((COUNTIFS(d_rs_sched!$D:$D,$A31,d_rs_sched!$I:$I,$A31,d_rs_sched!$K:$K,M$1)+COUNTIFS(d_rs_sched!$D:$D,$A31,d_rs_sched!$I:$I,M$1,d_rs_sched!$K:$K,$A31))&gt;0,(COUNTIFS(d_rs_sched!$D:$D,$A31,d_rs_sched!$I:$I,$A31,d_rs_sched!$K:$K,M$1)+COUNTIFS(d_rs_sched!$D:$D,$A31,d_rs_sched!$I:$I,M$1,d_rs_sched!$K:$K,$A31)),1),1)</f>
        <v>0.75</v>
      </c>
      <c r="N31">
        <f>IFERROR((SUMIFS(d_rs_sched!$J:$J,d_rs_sched!$D:$D,$A31,d_rs_sched!$I:$I,$A31,d_rs_sched!$K:$K,N$1)+SUMIFS(d_rs_sched!$L:$L,d_rs_sched!$D:$D,$A31,d_rs_sched!$K:$K,$A31,d_rs_sched!$I:$I,N$1))-(SUMIFS(d_rs_sched!$L:$L,d_rs_sched!$D:$D,$A31,d_rs_sched!$I:$I,$A31,d_rs_sched!$K:$K,N$1)+SUMIFS(d_rs_sched!$J:$J,d_rs_sched!$D:$D,$A31,d_rs_sched!$K:$K,$A31,d_rs_sched!$I:$I,N$1)),0)/IFERROR(IF((COUNTIFS(d_rs_sched!$D:$D,$A31,d_rs_sched!$I:$I,$A31,d_rs_sched!$K:$K,N$1)+COUNTIFS(d_rs_sched!$D:$D,$A31,d_rs_sched!$I:$I,N$1,d_rs_sched!$K:$K,$A31))&gt;0,(COUNTIFS(d_rs_sched!$D:$D,$A31,d_rs_sched!$I:$I,$A31,d_rs_sched!$K:$K,N$1)+COUNTIFS(d_rs_sched!$D:$D,$A31,d_rs_sched!$I:$I,N$1,d_rs_sched!$K:$K,$A31)),1),1)</f>
        <v>-3</v>
      </c>
      <c r="O31">
        <f>IFERROR((SUMIFS(d_rs_sched!$J:$J,d_rs_sched!$D:$D,$A31,d_rs_sched!$I:$I,$A31,d_rs_sched!$K:$K,O$1)+SUMIFS(d_rs_sched!$L:$L,d_rs_sched!$D:$D,$A31,d_rs_sched!$K:$K,$A31,d_rs_sched!$I:$I,O$1))-(SUMIFS(d_rs_sched!$L:$L,d_rs_sched!$D:$D,$A31,d_rs_sched!$I:$I,$A31,d_rs_sched!$K:$K,O$1)+SUMIFS(d_rs_sched!$J:$J,d_rs_sched!$D:$D,$A31,d_rs_sched!$K:$K,$A31,d_rs_sched!$I:$I,O$1)),0)/IFERROR(IF((COUNTIFS(d_rs_sched!$D:$D,$A31,d_rs_sched!$I:$I,$A31,d_rs_sched!$K:$K,O$1)+COUNTIFS(d_rs_sched!$D:$D,$A31,d_rs_sched!$I:$I,O$1,d_rs_sched!$K:$K,$A31))&gt;0,(COUNTIFS(d_rs_sched!$D:$D,$A31,d_rs_sched!$I:$I,$A31,d_rs_sched!$K:$K,O$1)+COUNTIFS(d_rs_sched!$D:$D,$A31,d_rs_sched!$I:$I,O$1,d_rs_sched!$K:$K,$A31)),1),1)</f>
        <v>11</v>
      </c>
      <c r="P31">
        <f>IFERROR((SUMIFS(d_rs_sched!$J:$J,d_rs_sched!$D:$D,$A31,d_rs_sched!$I:$I,$A31,d_rs_sched!$K:$K,P$1)+SUMIFS(d_rs_sched!$L:$L,d_rs_sched!$D:$D,$A31,d_rs_sched!$K:$K,$A31,d_rs_sched!$I:$I,P$1))-(SUMIFS(d_rs_sched!$L:$L,d_rs_sched!$D:$D,$A31,d_rs_sched!$I:$I,$A31,d_rs_sched!$K:$K,P$1)+SUMIFS(d_rs_sched!$J:$J,d_rs_sched!$D:$D,$A31,d_rs_sched!$K:$K,$A31,d_rs_sched!$I:$I,P$1)),0)/IFERROR(IF((COUNTIFS(d_rs_sched!$D:$D,$A31,d_rs_sched!$I:$I,$A31,d_rs_sched!$K:$K,P$1)+COUNTIFS(d_rs_sched!$D:$D,$A31,d_rs_sched!$I:$I,P$1,d_rs_sched!$K:$K,$A31))&gt;0,(COUNTIFS(d_rs_sched!$D:$D,$A31,d_rs_sched!$I:$I,$A31,d_rs_sched!$K:$K,P$1)+COUNTIFS(d_rs_sched!$D:$D,$A31,d_rs_sched!$I:$I,P$1,d_rs_sched!$K:$K,$A31)),1),1)</f>
        <v>14.5</v>
      </c>
      <c r="Q31">
        <f>IFERROR((SUMIFS(d_rs_sched!$J:$J,d_rs_sched!$D:$D,$A31,d_rs_sched!$I:$I,$A31,d_rs_sched!$K:$K,Q$1)+SUMIFS(d_rs_sched!$L:$L,d_rs_sched!$D:$D,$A31,d_rs_sched!$K:$K,$A31,d_rs_sched!$I:$I,Q$1))-(SUMIFS(d_rs_sched!$L:$L,d_rs_sched!$D:$D,$A31,d_rs_sched!$I:$I,$A31,d_rs_sched!$K:$K,Q$1)+SUMIFS(d_rs_sched!$J:$J,d_rs_sched!$D:$D,$A31,d_rs_sched!$K:$K,$A31,d_rs_sched!$I:$I,Q$1)),0)/IFERROR(IF((COUNTIFS(d_rs_sched!$D:$D,$A31,d_rs_sched!$I:$I,$A31,d_rs_sched!$K:$K,Q$1)+COUNTIFS(d_rs_sched!$D:$D,$A31,d_rs_sched!$I:$I,Q$1,d_rs_sched!$K:$K,$A31))&gt;0,(COUNTIFS(d_rs_sched!$D:$D,$A31,d_rs_sched!$I:$I,$A31,d_rs_sched!$K:$K,Q$1)+COUNTIFS(d_rs_sched!$D:$D,$A31,d_rs_sched!$I:$I,Q$1,d_rs_sched!$K:$K,$A31)),1),1)</f>
        <v>3.25</v>
      </c>
      <c r="R31">
        <f>IFERROR((SUMIFS(d_rs_sched!$J:$J,d_rs_sched!$D:$D,$A31,d_rs_sched!$I:$I,$A31,d_rs_sched!$K:$K,R$1)+SUMIFS(d_rs_sched!$L:$L,d_rs_sched!$D:$D,$A31,d_rs_sched!$K:$K,$A31,d_rs_sched!$I:$I,R$1))-(SUMIFS(d_rs_sched!$L:$L,d_rs_sched!$D:$D,$A31,d_rs_sched!$I:$I,$A31,d_rs_sched!$K:$K,R$1)+SUMIFS(d_rs_sched!$J:$J,d_rs_sched!$D:$D,$A31,d_rs_sched!$K:$K,$A31,d_rs_sched!$I:$I,R$1)),0)/IFERROR(IF((COUNTIFS(d_rs_sched!$D:$D,$A31,d_rs_sched!$I:$I,$A31,d_rs_sched!$K:$K,R$1)+COUNTIFS(d_rs_sched!$D:$D,$A31,d_rs_sched!$I:$I,R$1,d_rs_sched!$K:$K,$A31))&gt;0,(COUNTIFS(d_rs_sched!$D:$D,$A31,d_rs_sched!$I:$I,$A31,d_rs_sched!$K:$K,R$1)+COUNTIFS(d_rs_sched!$D:$D,$A31,d_rs_sched!$I:$I,R$1,d_rs_sched!$K:$K,$A31)),1),1)</f>
        <v>5.333333333333333</v>
      </c>
      <c r="S31">
        <f>IFERROR((SUMIFS(d_rs_sched!$J:$J,d_rs_sched!$D:$D,$A31,d_rs_sched!$I:$I,$A31,d_rs_sched!$K:$K,S$1)+SUMIFS(d_rs_sched!$L:$L,d_rs_sched!$D:$D,$A31,d_rs_sched!$K:$K,$A31,d_rs_sched!$I:$I,S$1))-(SUMIFS(d_rs_sched!$L:$L,d_rs_sched!$D:$D,$A31,d_rs_sched!$I:$I,$A31,d_rs_sched!$K:$K,S$1)+SUMIFS(d_rs_sched!$J:$J,d_rs_sched!$D:$D,$A31,d_rs_sched!$K:$K,$A31,d_rs_sched!$I:$I,S$1)),0)/IFERROR(IF((COUNTIFS(d_rs_sched!$D:$D,$A31,d_rs_sched!$I:$I,$A31,d_rs_sched!$K:$K,S$1)+COUNTIFS(d_rs_sched!$D:$D,$A31,d_rs_sched!$I:$I,S$1,d_rs_sched!$K:$K,$A31))&gt;0,(COUNTIFS(d_rs_sched!$D:$D,$A31,d_rs_sched!$I:$I,$A31,d_rs_sched!$K:$K,S$1)+COUNTIFS(d_rs_sched!$D:$D,$A31,d_rs_sched!$I:$I,S$1,d_rs_sched!$K:$K,$A31)),1),1)</f>
        <v>-3</v>
      </c>
      <c r="T31">
        <f>IFERROR((SUMIFS(d_rs_sched!$J:$J,d_rs_sched!$D:$D,$A31,d_rs_sched!$I:$I,$A31,d_rs_sched!$K:$K,T$1)+SUMIFS(d_rs_sched!$L:$L,d_rs_sched!$D:$D,$A31,d_rs_sched!$K:$K,$A31,d_rs_sched!$I:$I,T$1))-(SUMIFS(d_rs_sched!$L:$L,d_rs_sched!$D:$D,$A31,d_rs_sched!$I:$I,$A31,d_rs_sched!$K:$K,T$1)+SUMIFS(d_rs_sched!$J:$J,d_rs_sched!$D:$D,$A31,d_rs_sched!$K:$K,$A31,d_rs_sched!$I:$I,T$1)),0)/IFERROR(IF((COUNTIFS(d_rs_sched!$D:$D,$A31,d_rs_sched!$I:$I,$A31,d_rs_sched!$K:$K,T$1)+COUNTIFS(d_rs_sched!$D:$D,$A31,d_rs_sched!$I:$I,T$1,d_rs_sched!$K:$K,$A31))&gt;0,(COUNTIFS(d_rs_sched!$D:$D,$A31,d_rs_sched!$I:$I,$A31,d_rs_sched!$K:$K,T$1)+COUNTIFS(d_rs_sched!$D:$D,$A31,d_rs_sched!$I:$I,T$1,d_rs_sched!$K:$K,$A31)),1),1)</f>
        <v>5</v>
      </c>
      <c r="U31">
        <f>IFERROR((SUMIFS(d_rs_sched!$J:$J,d_rs_sched!$D:$D,$A31,d_rs_sched!$I:$I,$A31,d_rs_sched!$K:$K,U$1)+SUMIFS(d_rs_sched!$L:$L,d_rs_sched!$D:$D,$A31,d_rs_sched!$K:$K,$A31,d_rs_sched!$I:$I,U$1))-(SUMIFS(d_rs_sched!$L:$L,d_rs_sched!$D:$D,$A31,d_rs_sched!$I:$I,$A31,d_rs_sched!$K:$K,U$1)+SUMIFS(d_rs_sched!$J:$J,d_rs_sched!$D:$D,$A31,d_rs_sched!$K:$K,$A31,d_rs_sched!$I:$I,U$1)),0)/IFERROR(IF((COUNTIFS(d_rs_sched!$D:$D,$A31,d_rs_sched!$I:$I,$A31,d_rs_sched!$K:$K,U$1)+COUNTIFS(d_rs_sched!$D:$D,$A31,d_rs_sched!$I:$I,U$1,d_rs_sched!$K:$K,$A31))&gt;0,(COUNTIFS(d_rs_sched!$D:$D,$A31,d_rs_sched!$I:$I,$A31,d_rs_sched!$K:$K,U$1)+COUNTIFS(d_rs_sched!$D:$D,$A31,d_rs_sched!$I:$I,U$1,d_rs_sched!$K:$K,$A31)),1),1)</f>
        <v>12.5</v>
      </c>
      <c r="V31">
        <f>IFERROR((SUMIFS(d_rs_sched!$J:$J,d_rs_sched!$D:$D,$A31,d_rs_sched!$I:$I,$A31,d_rs_sched!$K:$K,V$1)+SUMIFS(d_rs_sched!$L:$L,d_rs_sched!$D:$D,$A31,d_rs_sched!$K:$K,$A31,d_rs_sched!$I:$I,V$1))-(SUMIFS(d_rs_sched!$L:$L,d_rs_sched!$D:$D,$A31,d_rs_sched!$I:$I,$A31,d_rs_sched!$K:$K,V$1)+SUMIFS(d_rs_sched!$J:$J,d_rs_sched!$D:$D,$A31,d_rs_sched!$K:$K,$A31,d_rs_sched!$I:$I,V$1)),0)/IFERROR(IF((COUNTIFS(d_rs_sched!$D:$D,$A31,d_rs_sched!$I:$I,$A31,d_rs_sched!$K:$K,V$1)+COUNTIFS(d_rs_sched!$D:$D,$A31,d_rs_sched!$I:$I,V$1,d_rs_sched!$K:$K,$A31))&gt;0,(COUNTIFS(d_rs_sched!$D:$D,$A31,d_rs_sched!$I:$I,$A31,d_rs_sched!$K:$K,V$1)+COUNTIFS(d_rs_sched!$D:$D,$A31,d_rs_sched!$I:$I,V$1,d_rs_sched!$K:$K,$A31)),1),1)</f>
        <v>-4.5</v>
      </c>
      <c r="W31">
        <f>IFERROR((SUMIFS(d_rs_sched!$J:$J,d_rs_sched!$D:$D,$A31,d_rs_sched!$I:$I,$A31,d_rs_sched!$K:$K,W$1)+SUMIFS(d_rs_sched!$L:$L,d_rs_sched!$D:$D,$A31,d_rs_sched!$K:$K,$A31,d_rs_sched!$I:$I,W$1))-(SUMIFS(d_rs_sched!$L:$L,d_rs_sched!$D:$D,$A31,d_rs_sched!$I:$I,$A31,d_rs_sched!$K:$K,W$1)+SUMIFS(d_rs_sched!$J:$J,d_rs_sched!$D:$D,$A31,d_rs_sched!$K:$K,$A31,d_rs_sched!$I:$I,W$1)),0)/IFERROR(IF((COUNTIFS(d_rs_sched!$D:$D,$A31,d_rs_sched!$I:$I,$A31,d_rs_sched!$K:$K,W$1)+COUNTIFS(d_rs_sched!$D:$D,$A31,d_rs_sched!$I:$I,W$1,d_rs_sched!$K:$K,$A31))&gt;0,(COUNTIFS(d_rs_sched!$D:$D,$A31,d_rs_sched!$I:$I,$A31,d_rs_sched!$K:$K,W$1)+COUNTIFS(d_rs_sched!$D:$D,$A31,d_rs_sched!$I:$I,W$1,d_rs_sched!$K:$K,$A31)),1),1)</f>
        <v>7.5</v>
      </c>
      <c r="X31">
        <f>IFERROR((SUMIFS(d_rs_sched!$J:$J,d_rs_sched!$D:$D,$A31,d_rs_sched!$I:$I,$A31,d_rs_sched!$K:$K,X$1)+SUMIFS(d_rs_sched!$L:$L,d_rs_sched!$D:$D,$A31,d_rs_sched!$K:$K,$A31,d_rs_sched!$I:$I,X$1))-(SUMIFS(d_rs_sched!$L:$L,d_rs_sched!$D:$D,$A31,d_rs_sched!$I:$I,$A31,d_rs_sched!$K:$K,X$1)+SUMIFS(d_rs_sched!$J:$J,d_rs_sched!$D:$D,$A31,d_rs_sched!$K:$K,$A31,d_rs_sched!$I:$I,X$1)),0)/IFERROR(IF((COUNTIFS(d_rs_sched!$D:$D,$A31,d_rs_sched!$I:$I,$A31,d_rs_sched!$K:$K,X$1)+COUNTIFS(d_rs_sched!$D:$D,$A31,d_rs_sched!$I:$I,X$1,d_rs_sched!$K:$K,$A31))&gt;0,(COUNTIFS(d_rs_sched!$D:$D,$A31,d_rs_sched!$I:$I,$A31,d_rs_sched!$K:$K,X$1)+COUNTIFS(d_rs_sched!$D:$D,$A31,d_rs_sched!$I:$I,X$1,d_rs_sched!$K:$K,$A31)),1),1)</f>
        <v>17.25</v>
      </c>
      <c r="Y31">
        <f>IFERROR((SUMIFS(d_rs_sched!$J:$J,d_rs_sched!$D:$D,$A31,d_rs_sched!$I:$I,$A31,d_rs_sched!$K:$K,Y$1)+SUMIFS(d_rs_sched!$L:$L,d_rs_sched!$D:$D,$A31,d_rs_sched!$K:$K,$A31,d_rs_sched!$I:$I,Y$1))-(SUMIFS(d_rs_sched!$L:$L,d_rs_sched!$D:$D,$A31,d_rs_sched!$I:$I,$A31,d_rs_sched!$K:$K,Y$1)+SUMIFS(d_rs_sched!$J:$J,d_rs_sched!$D:$D,$A31,d_rs_sched!$K:$K,$A31,d_rs_sched!$I:$I,Y$1)),0)/IFERROR(IF((COUNTIFS(d_rs_sched!$D:$D,$A31,d_rs_sched!$I:$I,$A31,d_rs_sched!$K:$K,Y$1)+COUNTIFS(d_rs_sched!$D:$D,$A31,d_rs_sched!$I:$I,Y$1,d_rs_sched!$K:$K,$A31))&gt;0,(COUNTIFS(d_rs_sched!$D:$D,$A31,d_rs_sched!$I:$I,$A31,d_rs_sched!$K:$K,Y$1)+COUNTIFS(d_rs_sched!$D:$D,$A31,d_rs_sched!$I:$I,Y$1,d_rs_sched!$K:$K,$A31)),1),1)</f>
        <v>-10</v>
      </c>
      <c r="Z31">
        <f>IFERROR((SUMIFS(d_rs_sched!$J:$J,d_rs_sched!$D:$D,$A31,d_rs_sched!$I:$I,$A31,d_rs_sched!$K:$K,Z$1)+SUMIFS(d_rs_sched!$L:$L,d_rs_sched!$D:$D,$A31,d_rs_sched!$K:$K,$A31,d_rs_sched!$I:$I,Z$1))-(SUMIFS(d_rs_sched!$L:$L,d_rs_sched!$D:$D,$A31,d_rs_sched!$I:$I,$A31,d_rs_sched!$K:$K,Z$1)+SUMIFS(d_rs_sched!$J:$J,d_rs_sched!$D:$D,$A31,d_rs_sched!$K:$K,$A31,d_rs_sched!$I:$I,Z$1)),0)/IFERROR(IF((COUNTIFS(d_rs_sched!$D:$D,$A31,d_rs_sched!$I:$I,$A31,d_rs_sched!$K:$K,Z$1)+COUNTIFS(d_rs_sched!$D:$D,$A31,d_rs_sched!$I:$I,Z$1,d_rs_sched!$K:$K,$A31))&gt;0,(COUNTIFS(d_rs_sched!$D:$D,$A31,d_rs_sched!$I:$I,$A31,d_rs_sched!$K:$K,Z$1)+COUNTIFS(d_rs_sched!$D:$D,$A31,d_rs_sched!$I:$I,Z$1,d_rs_sched!$K:$K,$A31)),1),1)</f>
        <v>0.5</v>
      </c>
      <c r="AA31">
        <f>IFERROR((SUMIFS(d_rs_sched!$J:$J,d_rs_sched!$D:$D,$A31,d_rs_sched!$I:$I,$A31,d_rs_sched!$K:$K,AA$1)+SUMIFS(d_rs_sched!$L:$L,d_rs_sched!$D:$D,$A31,d_rs_sched!$K:$K,$A31,d_rs_sched!$I:$I,AA$1))-(SUMIFS(d_rs_sched!$L:$L,d_rs_sched!$D:$D,$A31,d_rs_sched!$I:$I,$A31,d_rs_sched!$K:$K,AA$1)+SUMIFS(d_rs_sched!$J:$J,d_rs_sched!$D:$D,$A31,d_rs_sched!$K:$K,$A31,d_rs_sched!$I:$I,AA$1)),0)/IFERROR(IF((COUNTIFS(d_rs_sched!$D:$D,$A31,d_rs_sched!$I:$I,$A31,d_rs_sched!$K:$K,AA$1)+COUNTIFS(d_rs_sched!$D:$D,$A31,d_rs_sched!$I:$I,AA$1,d_rs_sched!$K:$K,$A31))&gt;0,(COUNTIFS(d_rs_sched!$D:$D,$A31,d_rs_sched!$I:$I,$A31,d_rs_sched!$K:$K,AA$1)+COUNTIFS(d_rs_sched!$D:$D,$A31,d_rs_sched!$I:$I,AA$1,d_rs_sched!$K:$K,$A31)),1),1)</f>
        <v>-0.5</v>
      </c>
      <c r="AB31">
        <f>IFERROR((SUMIFS(d_rs_sched!$J:$J,d_rs_sched!$D:$D,$A31,d_rs_sched!$I:$I,$A31,d_rs_sched!$K:$K,AB$1)+SUMIFS(d_rs_sched!$L:$L,d_rs_sched!$D:$D,$A31,d_rs_sched!$K:$K,$A31,d_rs_sched!$I:$I,AB$1))-(SUMIFS(d_rs_sched!$L:$L,d_rs_sched!$D:$D,$A31,d_rs_sched!$I:$I,$A31,d_rs_sched!$K:$K,AB$1)+SUMIFS(d_rs_sched!$J:$J,d_rs_sched!$D:$D,$A31,d_rs_sched!$K:$K,$A31,d_rs_sched!$I:$I,AB$1)),0)/IFERROR(IF((COUNTIFS(d_rs_sched!$D:$D,$A31,d_rs_sched!$I:$I,$A31,d_rs_sched!$K:$K,AB$1)+COUNTIFS(d_rs_sched!$D:$D,$A31,d_rs_sched!$I:$I,AB$1,d_rs_sched!$K:$K,$A31))&gt;0,(COUNTIFS(d_rs_sched!$D:$D,$A31,d_rs_sched!$I:$I,$A31,d_rs_sched!$K:$K,AB$1)+COUNTIFS(d_rs_sched!$D:$D,$A31,d_rs_sched!$I:$I,AB$1,d_rs_sched!$K:$K,$A31)),1),1)</f>
        <v>-3.5</v>
      </c>
      <c r="AC31">
        <f>IFERROR((SUMIFS(d_rs_sched!$J:$J,d_rs_sched!$D:$D,$A31,d_rs_sched!$I:$I,$A31,d_rs_sched!$K:$K,AC$1)+SUMIFS(d_rs_sched!$L:$L,d_rs_sched!$D:$D,$A31,d_rs_sched!$K:$K,$A31,d_rs_sched!$I:$I,AC$1))-(SUMIFS(d_rs_sched!$L:$L,d_rs_sched!$D:$D,$A31,d_rs_sched!$I:$I,$A31,d_rs_sched!$K:$K,AC$1)+SUMIFS(d_rs_sched!$J:$J,d_rs_sched!$D:$D,$A31,d_rs_sched!$K:$K,$A31,d_rs_sched!$I:$I,AC$1)),0)/IFERROR(IF((COUNTIFS(d_rs_sched!$D:$D,$A31,d_rs_sched!$I:$I,$A31,d_rs_sched!$K:$K,AC$1)+COUNTIFS(d_rs_sched!$D:$D,$A31,d_rs_sched!$I:$I,AC$1,d_rs_sched!$K:$K,$A31))&gt;0,(COUNTIFS(d_rs_sched!$D:$D,$A31,d_rs_sched!$I:$I,$A31,d_rs_sched!$K:$K,AC$1)+COUNTIFS(d_rs_sched!$D:$D,$A31,d_rs_sched!$I:$I,AC$1,d_rs_sched!$K:$K,$A31)),1),1)</f>
        <v>-8.3333333333333339</v>
      </c>
      <c r="AD31">
        <f>IFERROR((SUMIFS(d_rs_sched!$J:$J,d_rs_sched!$D:$D,$A31,d_rs_sched!$I:$I,$A31,d_rs_sched!$K:$K,AD$1)+SUMIFS(d_rs_sched!$L:$L,d_rs_sched!$D:$D,$A31,d_rs_sched!$K:$K,$A31,d_rs_sched!$I:$I,AD$1))-(SUMIFS(d_rs_sched!$L:$L,d_rs_sched!$D:$D,$A31,d_rs_sched!$I:$I,$A31,d_rs_sched!$K:$K,AD$1)+SUMIFS(d_rs_sched!$J:$J,d_rs_sched!$D:$D,$A31,d_rs_sched!$K:$K,$A31,d_rs_sched!$I:$I,AD$1)),0)/IFERROR(IF((COUNTIFS(d_rs_sched!$D:$D,$A31,d_rs_sched!$I:$I,$A31,d_rs_sched!$K:$K,AD$1)+COUNTIFS(d_rs_sched!$D:$D,$A31,d_rs_sched!$I:$I,AD$1,d_rs_sched!$K:$K,$A31))&gt;0,(COUNTIFS(d_rs_sched!$D:$D,$A31,d_rs_sched!$I:$I,$A31,d_rs_sched!$K:$K,AD$1)+COUNTIFS(d_rs_sched!$D:$D,$A31,d_rs_sched!$I:$I,AD$1,d_rs_sched!$K:$K,$A31)),1),1)</f>
        <v>6.5</v>
      </c>
      <c r="AE31">
        <f>IFERROR((SUMIFS(d_rs_sched!$J:$J,d_rs_sched!$D:$D,$A31,d_rs_sched!$I:$I,$A31,d_rs_sched!$K:$K,AE$1)+SUMIFS(d_rs_sched!$L:$L,d_rs_sched!$D:$D,$A31,d_rs_sched!$K:$K,$A31,d_rs_sched!$I:$I,AE$1))-(SUMIFS(d_rs_sched!$L:$L,d_rs_sched!$D:$D,$A31,d_rs_sched!$I:$I,$A31,d_rs_sched!$K:$K,AE$1)+SUMIFS(d_rs_sched!$J:$J,d_rs_sched!$D:$D,$A31,d_rs_sched!$K:$K,$A31,d_rs_sched!$I:$I,AE$1)),0)/IFERROR(IF((COUNTIFS(d_rs_sched!$D:$D,$A31,d_rs_sched!$I:$I,$A31,d_rs_sched!$K:$K,AE$1)+COUNTIFS(d_rs_sched!$D:$D,$A31,d_rs_sched!$I:$I,AE$1,d_rs_sched!$K:$K,$A31))&gt;0,(COUNTIFS(d_rs_sched!$D:$D,$A31,d_rs_sched!$I:$I,$A31,d_rs_sched!$K:$K,AE$1)+COUNTIFS(d_rs_sched!$D:$D,$A31,d_rs_sched!$I:$I,AE$1,d_rs_sched!$K:$K,$A31)),1),1)</f>
        <v>0</v>
      </c>
      <c r="AG31" t="s">
        <v>25</v>
      </c>
      <c r="AH31">
        <v>0.95986841647014942</v>
      </c>
      <c r="AI31">
        <f t="shared" si="0"/>
        <v>24</v>
      </c>
    </row>
    <row r="33" spans="1:31" x14ac:dyDescent="0.25">
      <c r="A33" t="s">
        <v>3</v>
      </c>
      <c r="B33" t="s">
        <v>26</v>
      </c>
      <c r="C33" t="s">
        <v>23</v>
      </c>
      <c r="D33" t="s">
        <v>22</v>
      </c>
      <c r="E33" t="s">
        <v>18</v>
      </c>
      <c r="F33" t="s">
        <v>30</v>
      </c>
      <c r="G33" t="s">
        <v>40</v>
      </c>
      <c r="H33" t="s">
        <v>14</v>
      </c>
      <c r="I33" t="s">
        <v>32</v>
      </c>
      <c r="J33" t="s">
        <v>33</v>
      </c>
      <c r="K33" t="s">
        <v>36</v>
      </c>
      <c r="L33" t="s">
        <v>16</v>
      </c>
      <c r="M33" t="s">
        <v>20</v>
      </c>
      <c r="N33" t="s">
        <v>41</v>
      </c>
      <c r="O33" t="s">
        <v>17</v>
      </c>
      <c r="P33" t="s">
        <v>28</v>
      </c>
      <c r="Q33" t="s">
        <v>24</v>
      </c>
      <c r="R33" t="s">
        <v>19</v>
      </c>
      <c r="S33" t="s">
        <v>29</v>
      </c>
      <c r="T33" t="s">
        <v>12</v>
      </c>
      <c r="U33" t="s">
        <v>31</v>
      </c>
      <c r="V33" t="s">
        <v>38</v>
      </c>
      <c r="W33" t="s">
        <v>13</v>
      </c>
      <c r="X33" t="s">
        <v>21</v>
      </c>
      <c r="Y33" t="s">
        <v>35</v>
      </c>
      <c r="Z33" t="s">
        <v>39</v>
      </c>
      <c r="AA33" t="s">
        <v>15</v>
      </c>
      <c r="AB33" t="s">
        <v>37</v>
      </c>
      <c r="AC33" t="s">
        <v>27</v>
      </c>
      <c r="AD33" t="s">
        <v>34</v>
      </c>
      <c r="AE33" t="s">
        <v>25</v>
      </c>
    </row>
    <row r="34" spans="1:31" x14ac:dyDescent="0.25">
      <c r="A34" t="s">
        <v>26</v>
      </c>
      <c r="B34">
        <f t="shared" ref="B34:AE34" si="1">IFERROR(VLOOKUP($A34,power_rankings,2,0)/(VLOOKUP($A34,power_rankings,2,0)+VLOOKUP(B$33,power_rankings,2,0))*(B2),0)</f>
        <v>0</v>
      </c>
      <c r="C34">
        <f t="shared" si="1"/>
        <v>8.65837540573993</v>
      </c>
      <c r="D34">
        <f t="shared" si="1"/>
        <v>2.8796940704975915</v>
      </c>
      <c r="E34">
        <f t="shared" si="1"/>
        <v>4.5191536164048793</v>
      </c>
      <c r="F34">
        <f t="shared" si="1"/>
        <v>1.5212471067414568</v>
      </c>
      <c r="G34">
        <f t="shared" si="1"/>
        <v>1.6316193362438094</v>
      </c>
      <c r="H34">
        <f t="shared" si="1"/>
        <v>5.0827164805277336</v>
      </c>
      <c r="I34">
        <f t="shared" si="1"/>
        <v>-0.25276336869044214</v>
      </c>
      <c r="J34">
        <f t="shared" si="1"/>
        <v>1.7435433900519588</v>
      </c>
      <c r="K34">
        <f t="shared" si="1"/>
        <v>-2.7986898903430886</v>
      </c>
      <c r="L34">
        <f t="shared" si="1"/>
        <v>3.8035391912243526</v>
      </c>
      <c r="M34">
        <f t="shared" si="1"/>
        <v>7.5584586092079578</v>
      </c>
      <c r="N34">
        <f t="shared" si="1"/>
        <v>3.0355256931254431</v>
      </c>
      <c r="O34">
        <f t="shared" si="1"/>
        <v>0</v>
      </c>
      <c r="P34">
        <f t="shared" si="1"/>
        <v>1.0205315807127902</v>
      </c>
      <c r="Q34">
        <f t="shared" si="1"/>
        <v>4.5938503108569151</v>
      </c>
      <c r="R34">
        <f t="shared" si="1"/>
        <v>-0.12693142041984348</v>
      </c>
      <c r="S34">
        <f t="shared" si="1"/>
        <v>5.8173101829528919</v>
      </c>
      <c r="T34">
        <f t="shared" si="1"/>
        <v>-1.5042598369278388</v>
      </c>
      <c r="U34">
        <f t="shared" si="1"/>
        <v>1.5658680089178509</v>
      </c>
      <c r="V34">
        <f t="shared" si="1"/>
        <v>0.50348773475181963</v>
      </c>
      <c r="W34">
        <f t="shared" si="1"/>
        <v>2.9578014781216666</v>
      </c>
      <c r="X34">
        <f t="shared" si="1"/>
        <v>4.0767160225814125</v>
      </c>
      <c r="Y34">
        <f t="shared" si="1"/>
        <v>9.0109404843338829</v>
      </c>
      <c r="Z34">
        <f t="shared" si="1"/>
        <v>3.5522250326941402</v>
      </c>
      <c r="AA34">
        <f t="shared" si="1"/>
        <v>-5.2808793882199048</v>
      </c>
      <c r="AB34">
        <f t="shared" si="1"/>
        <v>8.1835427745775888</v>
      </c>
      <c r="AC34">
        <f t="shared" si="1"/>
        <v>-2.7989040030206822</v>
      </c>
      <c r="AD34">
        <f t="shared" si="1"/>
        <v>2.3260164088870425</v>
      </c>
      <c r="AE34">
        <f t="shared" si="1"/>
        <v>4.4645854417917095</v>
      </c>
    </row>
    <row r="35" spans="1:31" x14ac:dyDescent="0.25">
      <c r="A35" t="s">
        <v>23</v>
      </c>
      <c r="B35">
        <f t="shared" ref="B35:AE35" si="2">IFERROR(VLOOKUP($A35,power_rankings,2,0)/(VLOOKUP($A35,power_rankings,2,0)+VLOOKUP(B$33,power_rankings,2,0))*(B3),0)</f>
        <v>-8.59162459426007</v>
      </c>
      <c r="C35">
        <f t="shared" si="2"/>
        <v>0</v>
      </c>
      <c r="D35">
        <f t="shared" si="2"/>
        <v>-5.1890306836213771</v>
      </c>
      <c r="E35">
        <f t="shared" si="2"/>
        <v>1.000386753311387</v>
      </c>
      <c r="F35">
        <f t="shared" si="2"/>
        <v>-7.0720698292701449</v>
      </c>
      <c r="G35">
        <f t="shared" si="2"/>
        <v>-5.3760955789489779</v>
      </c>
      <c r="H35">
        <f t="shared" si="2"/>
        <v>0.50633724760906151</v>
      </c>
      <c r="I35">
        <f t="shared" si="2"/>
        <v>8.5610654431990945</v>
      </c>
      <c r="J35">
        <f t="shared" si="2"/>
        <v>1.9848820085209045</v>
      </c>
      <c r="K35">
        <f t="shared" si="2"/>
        <v>-1.5207551256135503</v>
      </c>
      <c r="L35">
        <f t="shared" si="2"/>
        <v>-4.54683636186481</v>
      </c>
      <c r="M35">
        <f t="shared" si="2"/>
        <v>-1.3385666498026709</v>
      </c>
      <c r="N35">
        <f t="shared" si="2"/>
        <v>-9.3237470197516412</v>
      </c>
      <c r="O35">
        <f t="shared" si="2"/>
        <v>4.3736188259649813</v>
      </c>
      <c r="P35">
        <f t="shared" si="2"/>
        <v>-5.0833164616963709</v>
      </c>
      <c r="Q35">
        <f t="shared" si="2"/>
        <v>-3.3052089957608608</v>
      </c>
      <c r="R35">
        <f t="shared" si="2"/>
        <v>-3.9198819690369673</v>
      </c>
      <c r="S35">
        <f t="shared" si="2"/>
        <v>2.1727937877002819</v>
      </c>
      <c r="T35">
        <f t="shared" si="2"/>
        <v>-6.4933067401118105</v>
      </c>
      <c r="U35">
        <f t="shared" si="2"/>
        <v>2.8601352970932461</v>
      </c>
      <c r="V35">
        <f t="shared" si="2"/>
        <v>8.2756240139151505</v>
      </c>
      <c r="W35">
        <f t="shared" si="2"/>
        <v>3.7645832282721026</v>
      </c>
      <c r="X35">
        <f t="shared" si="2"/>
        <v>3.9343283024380749</v>
      </c>
      <c r="Y35">
        <f t="shared" si="2"/>
        <v>-3.9893839385056338</v>
      </c>
      <c r="Z35">
        <f t="shared" si="2"/>
        <v>0</v>
      </c>
      <c r="AA35">
        <f t="shared" si="2"/>
        <v>-2.5050305544282776</v>
      </c>
      <c r="AB35">
        <f t="shared" si="2"/>
        <v>2.8024560520910438</v>
      </c>
      <c r="AC35">
        <f t="shared" si="2"/>
        <v>0</v>
      </c>
      <c r="AD35">
        <f t="shared" si="2"/>
        <v>-10.814153383627385</v>
      </c>
      <c r="AE35">
        <f t="shared" si="2"/>
        <v>1.6519886112341973</v>
      </c>
    </row>
    <row r="36" spans="1:31" x14ac:dyDescent="0.25">
      <c r="A36" t="s">
        <v>22</v>
      </c>
      <c r="B36">
        <f t="shared" ref="B36:AE36" si="3">IFERROR(VLOOKUP($A36,power_rankings,2,0)/(VLOOKUP($A36,power_rankings,2,0)+VLOOKUP(B$33,power_rankings,2,0))*(B4),0)</f>
        <v>-2.7869725961690754</v>
      </c>
      <c r="C36">
        <f t="shared" si="3"/>
        <v>5.0609693163786229</v>
      </c>
      <c r="D36">
        <f t="shared" si="3"/>
        <v>0</v>
      </c>
      <c r="E36">
        <f t="shared" si="3"/>
        <v>0.24697322572089625</v>
      </c>
      <c r="F36">
        <f t="shared" si="3"/>
        <v>-2.8686796436612494</v>
      </c>
      <c r="G36">
        <f t="shared" si="3"/>
        <v>1.9754200108358766</v>
      </c>
      <c r="H36">
        <f t="shared" si="3"/>
        <v>-5.7510392084902717</v>
      </c>
      <c r="I36">
        <f t="shared" si="3"/>
        <v>1.2433623765508717</v>
      </c>
      <c r="J36">
        <f t="shared" si="3"/>
        <v>1.4699236589267834</v>
      </c>
      <c r="K36">
        <f t="shared" si="3"/>
        <v>-2.0026863813699198</v>
      </c>
      <c r="L36">
        <f t="shared" si="3"/>
        <v>-4.9895700861730461</v>
      </c>
      <c r="M36">
        <f t="shared" si="3"/>
        <v>1.9828615504168943</v>
      </c>
      <c r="N36">
        <f t="shared" si="3"/>
        <v>-5.4751312465754065</v>
      </c>
      <c r="O36">
        <f t="shared" si="3"/>
        <v>2.5414975570215832</v>
      </c>
      <c r="P36">
        <f t="shared" si="3"/>
        <v>-3.514596290214226</v>
      </c>
      <c r="Q36">
        <f t="shared" si="3"/>
        <v>-2.6367981813940413</v>
      </c>
      <c r="R36">
        <f t="shared" si="3"/>
        <v>-1.1656032730968029</v>
      </c>
      <c r="S36">
        <f t="shared" si="3"/>
        <v>0.95321239427283511</v>
      </c>
      <c r="T36">
        <f t="shared" si="3"/>
        <v>3.4526682741768591</v>
      </c>
      <c r="U36">
        <f t="shared" si="3"/>
        <v>3.8533845064422896</v>
      </c>
      <c r="V36">
        <f t="shared" si="3"/>
        <v>-4.7054059780136805</v>
      </c>
      <c r="W36">
        <f t="shared" si="3"/>
        <v>1.6967618758692897</v>
      </c>
      <c r="X36">
        <f t="shared" si="3"/>
        <v>7.3957774152384888</v>
      </c>
      <c r="Y36">
        <f t="shared" si="3"/>
        <v>0.24621317374136739</v>
      </c>
      <c r="Z36">
        <f t="shared" si="3"/>
        <v>-1.248198091052003</v>
      </c>
      <c r="AA36">
        <f t="shared" si="3"/>
        <v>-8.4109044137961089</v>
      </c>
      <c r="AB36">
        <f t="shared" si="3"/>
        <v>3.5230394670983558</v>
      </c>
      <c r="AC36">
        <f t="shared" si="3"/>
        <v>-1.6273092455981717</v>
      </c>
      <c r="AD36">
        <f t="shared" si="3"/>
        <v>2.5435802354280006</v>
      </c>
      <c r="AE36">
        <f t="shared" si="3"/>
        <v>-1.0041154381779882</v>
      </c>
    </row>
    <row r="37" spans="1:31" x14ac:dyDescent="0.25">
      <c r="A37" t="s">
        <v>18</v>
      </c>
      <c r="B37">
        <f t="shared" ref="B37:AE37" si="4">IFERROR(VLOOKUP($A37,power_rankings,2,0)/(VLOOKUP($A37,power_rankings,2,0)+VLOOKUP(B$33,power_rankings,2,0))*(B5),0)</f>
        <v>-4.4808463835951207</v>
      </c>
      <c r="C37">
        <f t="shared" si="4"/>
        <v>-0.99961324668861284</v>
      </c>
      <c r="D37">
        <f t="shared" si="4"/>
        <v>-0.25302677427910375</v>
      </c>
      <c r="E37">
        <f t="shared" si="4"/>
        <v>0</v>
      </c>
      <c r="F37">
        <f t="shared" si="4"/>
        <v>0.37871586601530816</v>
      </c>
      <c r="G37">
        <f t="shared" si="4"/>
        <v>-8.6650813194041465</v>
      </c>
      <c r="H37">
        <f t="shared" si="4"/>
        <v>-9.6167341203333265</v>
      </c>
      <c r="I37">
        <f t="shared" si="4"/>
        <v>11.578170506679395</v>
      </c>
      <c r="J37">
        <f t="shared" si="4"/>
        <v>-4.4642442338015824</v>
      </c>
      <c r="K37">
        <f t="shared" si="4"/>
        <v>-7.6008755180585075</v>
      </c>
      <c r="L37">
        <f t="shared" si="4"/>
        <v>-7.3226549139590125</v>
      </c>
      <c r="M37">
        <f t="shared" si="4"/>
        <v>-1.630749639043964</v>
      </c>
      <c r="N37">
        <f t="shared" si="4"/>
        <v>-7.0531014460436241</v>
      </c>
      <c r="O37">
        <f t="shared" si="4"/>
        <v>-3.6004512324571767</v>
      </c>
      <c r="P37">
        <f t="shared" si="4"/>
        <v>-2.0325532878481556</v>
      </c>
      <c r="Q37">
        <f t="shared" si="4"/>
        <v>0.38122527714948251</v>
      </c>
      <c r="R37">
        <f t="shared" si="4"/>
        <v>-0.16853262341048625</v>
      </c>
      <c r="S37">
        <f t="shared" si="4"/>
        <v>8.6876985155527908</v>
      </c>
      <c r="T37">
        <f t="shared" si="4"/>
        <v>-1.2482293937028008</v>
      </c>
      <c r="U37">
        <f t="shared" si="4"/>
        <v>4.0286943574190355</v>
      </c>
      <c r="V37">
        <f t="shared" si="4"/>
        <v>-7.520393932767143</v>
      </c>
      <c r="W37">
        <f t="shared" si="4"/>
        <v>1.2270982046956023</v>
      </c>
      <c r="X37">
        <f t="shared" si="4"/>
        <v>1.8606937519870237</v>
      </c>
      <c r="Y37">
        <f t="shared" si="4"/>
        <v>0.74771942582715956</v>
      </c>
      <c r="Z37">
        <f t="shared" si="4"/>
        <v>-2.5266643902608958</v>
      </c>
      <c r="AA37">
        <f t="shared" si="4"/>
        <v>-3.5056891440372153</v>
      </c>
      <c r="AB37">
        <f t="shared" si="4"/>
        <v>-4.3294253285111166</v>
      </c>
      <c r="AC37">
        <f t="shared" si="4"/>
        <v>-0.76014595393602102</v>
      </c>
      <c r="AD37">
        <f t="shared" si="4"/>
        <v>-2.5738323957400384</v>
      </c>
      <c r="AE37">
        <f t="shared" si="4"/>
        <v>-2.2864988858185682</v>
      </c>
    </row>
    <row r="38" spans="1:31" x14ac:dyDescent="0.25">
      <c r="A38" t="s">
        <v>30</v>
      </c>
      <c r="B38">
        <f t="shared" ref="B38:AE38" si="5">IFERROR(VLOOKUP($A38,power_rankings,2,0)/(VLOOKUP($A38,power_rankings,2,0)+VLOOKUP(B$33,power_rankings,2,0))*(B6),0)</f>
        <v>-1.4787528932585428</v>
      </c>
      <c r="C38">
        <f t="shared" si="5"/>
        <v>6.9279301707298551</v>
      </c>
      <c r="D38">
        <f t="shared" si="5"/>
        <v>2.8813203563387511</v>
      </c>
      <c r="E38">
        <f t="shared" si="5"/>
        <v>-0.37128413398469179</v>
      </c>
      <c r="F38">
        <f t="shared" si="5"/>
        <v>0</v>
      </c>
      <c r="G38">
        <f t="shared" si="5"/>
        <v>-1.2373851469594375</v>
      </c>
      <c r="H38">
        <f t="shared" si="5"/>
        <v>0.25059477894489102</v>
      </c>
      <c r="I38">
        <f t="shared" si="5"/>
        <v>0</v>
      </c>
      <c r="J38">
        <f t="shared" si="5"/>
        <v>-0.98214670379885205</v>
      </c>
      <c r="K38">
        <f t="shared" si="5"/>
        <v>-2.0070831300814564</v>
      </c>
      <c r="L38">
        <f t="shared" si="5"/>
        <v>-0.50005620128177131</v>
      </c>
      <c r="M38">
        <f t="shared" si="5"/>
        <v>-0.49681452000144555</v>
      </c>
      <c r="N38">
        <f t="shared" si="5"/>
        <v>1.4965151552825544</v>
      </c>
      <c r="O38">
        <f t="shared" si="5"/>
        <v>3.8204877064132288</v>
      </c>
      <c r="P38">
        <f t="shared" si="5"/>
        <v>-1.0063686950574402</v>
      </c>
      <c r="Q38">
        <f t="shared" si="5"/>
        <v>2.8522964479319914</v>
      </c>
      <c r="R38">
        <f t="shared" si="5"/>
        <v>3.6296650385616562</v>
      </c>
      <c r="S38">
        <f t="shared" si="5"/>
        <v>1.9108123845876304</v>
      </c>
      <c r="T38">
        <f t="shared" si="5"/>
        <v>10.38108432776532</v>
      </c>
      <c r="U38">
        <f t="shared" si="5"/>
        <v>10.469285455369683</v>
      </c>
      <c r="V38">
        <f t="shared" si="5"/>
        <v>-1.489215031897714</v>
      </c>
      <c r="W38">
        <f t="shared" si="5"/>
        <v>0</v>
      </c>
      <c r="X38">
        <f t="shared" si="5"/>
        <v>3.1825494962409802</v>
      </c>
      <c r="Y38">
        <f t="shared" si="5"/>
        <v>-0.24676266214266396</v>
      </c>
      <c r="Z38">
        <f t="shared" si="5"/>
        <v>0.25018921501339858</v>
      </c>
      <c r="AA38">
        <f t="shared" si="5"/>
        <v>2.9751490807849823</v>
      </c>
      <c r="AB38">
        <f t="shared" si="5"/>
        <v>0.75658572196996232</v>
      </c>
      <c r="AC38">
        <f t="shared" si="5"/>
        <v>5.6453593934268973</v>
      </c>
      <c r="AD38">
        <f t="shared" si="5"/>
        <v>-4.5883337702644642</v>
      </c>
      <c r="AE38">
        <f t="shared" si="5"/>
        <v>-1.1321029866024301</v>
      </c>
    </row>
    <row r="39" spans="1:31" x14ac:dyDescent="0.25">
      <c r="A39" t="s">
        <v>40</v>
      </c>
      <c r="B39">
        <f t="shared" ref="B39:AE39" si="6">IFERROR(VLOOKUP($A39,power_rankings,2,0)/(VLOOKUP($A39,power_rankings,2,0)+VLOOKUP(B$33,power_rankings,2,0))*(B7),0)</f>
        <v>-1.6183806637561906</v>
      </c>
      <c r="C39">
        <f t="shared" si="6"/>
        <v>5.3739044210510212</v>
      </c>
      <c r="D39">
        <f t="shared" si="6"/>
        <v>-2.0245799891641236</v>
      </c>
      <c r="E39">
        <f t="shared" si="6"/>
        <v>8.6682520139291857</v>
      </c>
      <c r="F39">
        <f t="shared" si="6"/>
        <v>1.2626148530405623</v>
      </c>
      <c r="G39">
        <f t="shared" si="6"/>
        <v>0</v>
      </c>
      <c r="H39">
        <f t="shared" si="6"/>
        <v>3.5436474457774931</v>
      </c>
      <c r="I39">
        <f t="shared" si="6"/>
        <v>0</v>
      </c>
      <c r="J39">
        <f t="shared" si="6"/>
        <v>0.74417789068444207</v>
      </c>
      <c r="K39">
        <f t="shared" si="6"/>
        <v>-1.7738576803793229</v>
      </c>
      <c r="L39">
        <f t="shared" si="6"/>
        <v>-3.5357149569725888</v>
      </c>
      <c r="M39">
        <f t="shared" si="6"/>
        <v>0.50186058084367735</v>
      </c>
      <c r="N39">
        <f t="shared" si="6"/>
        <v>4.031075339068285</v>
      </c>
      <c r="O39">
        <f t="shared" si="6"/>
        <v>5.6588571884804812</v>
      </c>
      <c r="P39">
        <f t="shared" si="6"/>
        <v>9.1481356764147783</v>
      </c>
      <c r="Q39">
        <f t="shared" si="6"/>
        <v>2.7961549351529182</v>
      </c>
      <c r="R39">
        <f t="shared" si="6"/>
        <v>1.2642233023048179</v>
      </c>
      <c r="S39">
        <f t="shared" si="6"/>
        <v>8.9307135009700236</v>
      </c>
      <c r="T39">
        <f t="shared" si="6"/>
        <v>0.49938321966337484</v>
      </c>
      <c r="U39">
        <f t="shared" si="6"/>
        <v>2.7729218548497787</v>
      </c>
      <c r="V39">
        <f t="shared" si="6"/>
        <v>0.25072552856905589</v>
      </c>
      <c r="W39">
        <f t="shared" si="6"/>
        <v>9.1640399914021344</v>
      </c>
      <c r="X39">
        <f t="shared" si="6"/>
        <v>1.861029038300239</v>
      </c>
      <c r="Y39">
        <f t="shared" si="6"/>
        <v>0.7478566181480466</v>
      </c>
      <c r="Z39">
        <f t="shared" si="6"/>
        <v>-3.5379703086785188</v>
      </c>
      <c r="AA39">
        <f t="shared" si="6"/>
        <v>0.25045209846783761</v>
      </c>
      <c r="AB39">
        <f t="shared" si="6"/>
        <v>-2.0377423455257415</v>
      </c>
      <c r="AC39">
        <f t="shared" si="6"/>
        <v>1.1404246830038594</v>
      </c>
      <c r="AD39">
        <f t="shared" si="6"/>
        <v>3.0891471673400845</v>
      </c>
      <c r="AE39">
        <f t="shared" si="6"/>
        <v>7.1148322212543977</v>
      </c>
    </row>
    <row r="40" spans="1:31" x14ac:dyDescent="0.25">
      <c r="A40" t="s">
        <v>14</v>
      </c>
      <c r="B40">
        <f t="shared" ref="B40:AE40" si="7">IFERROR(VLOOKUP($A40,power_rankings,2,0)/(VLOOKUP($A40,power_rankings,2,0)+VLOOKUP(B$33,power_rankings,2,0))*(B8),0)</f>
        <v>-4.9172835194722673</v>
      </c>
      <c r="C40">
        <f t="shared" si="7"/>
        <v>-0.49366275239093854</v>
      </c>
      <c r="D40">
        <f t="shared" si="7"/>
        <v>5.7489607915097274</v>
      </c>
      <c r="E40">
        <f t="shared" si="7"/>
        <v>9.3832658796666752</v>
      </c>
      <c r="F40">
        <f t="shared" si="7"/>
        <v>-0.24940522105510901</v>
      </c>
      <c r="G40">
        <f t="shared" si="7"/>
        <v>-3.4563525542225073</v>
      </c>
      <c r="H40">
        <f t="shared" si="7"/>
        <v>0</v>
      </c>
      <c r="I40">
        <f t="shared" si="7"/>
        <v>0.33150305819963816</v>
      </c>
      <c r="J40">
        <f t="shared" si="7"/>
        <v>-0.48988422367783718</v>
      </c>
      <c r="K40">
        <f t="shared" si="7"/>
        <v>-6.1321200617167975</v>
      </c>
      <c r="L40">
        <f t="shared" si="7"/>
        <v>-0.49886664308890855</v>
      </c>
      <c r="M40">
        <f t="shared" si="7"/>
        <v>-3.9650002273936633</v>
      </c>
      <c r="N40">
        <f t="shared" si="7"/>
        <v>-1.1611806271328904</v>
      </c>
      <c r="O40">
        <f t="shared" si="7"/>
        <v>7.4960852586199715</v>
      </c>
      <c r="P40">
        <f t="shared" si="7"/>
        <v>-3.8904598539473585</v>
      </c>
      <c r="Q40">
        <f t="shared" si="7"/>
        <v>3.0129414506572907</v>
      </c>
      <c r="R40">
        <f t="shared" si="7"/>
        <v>6.2431736754114491</v>
      </c>
      <c r="S40">
        <f t="shared" si="7"/>
        <v>6.8300630932482953</v>
      </c>
      <c r="T40">
        <f t="shared" si="7"/>
        <v>1.9725919026950869</v>
      </c>
      <c r="U40">
        <f t="shared" si="7"/>
        <v>6.9348730923495481</v>
      </c>
      <c r="V40">
        <f t="shared" si="7"/>
        <v>-0.24760776729242945</v>
      </c>
      <c r="W40">
        <f t="shared" si="7"/>
        <v>4.8469882556427413</v>
      </c>
      <c r="X40">
        <f t="shared" si="7"/>
        <v>15.039548191104153</v>
      </c>
      <c r="Y40">
        <f t="shared" si="7"/>
        <v>-2.9540160150481749</v>
      </c>
      <c r="Z40">
        <f t="shared" si="7"/>
        <v>-1.7471610473675709</v>
      </c>
      <c r="AA40">
        <f t="shared" si="7"/>
        <v>-0.7420030909625609</v>
      </c>
      <c r="AB40">
        <f t="shared" si="7"/>
        <v>5.8706782201104328</v>
      </c>
      <c r="AC40">
        <f t="shared" si="7"/>
        <v>2.7534109422090407</v>
      </c>
      <c r="AD40">
        <f t="shared" si="7"/>
        <v>3.6875363852150653</v>
      </c>
      <c r="AE40">
        <f t="shared" si="7"/>
        <v>7.5295103189492831</v>
      </c>
    </row>
    <row r="41" spans="1:31" x14ac:dyDescent="0.25">
      <c r="A41" t="s">
        <v>32</v>
      </c>
      <c r="B41">
        <f t="shared" ref="B41:AE41" si="8">IFERROR(VLOOKUP($A41,power_rankings,2,0)/(VLOOKUP($A41,power_rankings,2,0)+VLOOKUP(B$33,power_rankings,2,0))*(B9),0)</f>
        <v>0.24723663130955789</v>
      </c>
      <c r="C41">
        <f t="shared" si="8"/>
        <v>-8.4389345568009073</v>
      </c>
      <c r="D41">
        <f t="shared" si="8"/>
        <v>-1.2566376234491281</v>
      </c>
      <c r="E41">
        <f t="shared" si="8"/>
        <v>-11.421829493320606</v>
      </c>
      <c r="F41">
        <f t="shared" si="8"/>
        <v>0</v>
      </c>
      <c r="G41">
        <f t="shared" si="8"/>
        <v>0</v>
      </c>
      <c r="H41">
        <f t="shared" si="8"/>
        <v>-0.33516360846702847</v>
      </c>
      <c r="I41">
        <f t="shared" si="8"/>
        <v>0</v>
      </c>
      <c r="J41">
        <f t="shared" si="8"/>
        <v>0</v>
      </c>
      <c r="K41">
        <f t="shared" si="8"/>
        <v>-6.5432460729361637</v>
      </c>
      <c r="L41">
        <f t="shared" si="8"/>
        <v>-5.0161207585355658</v>
      </c>
      <c r="M41">
        <f t="shared" si="8"/>
        <v>5.9804443539575285</v>
      </c>
      <c r="N41">
        <f t="shared" si="8"/>
        <v>-2.8772670127104263</v>
      </c>
      <c r="O41">
        <f t="shared" si="8"/>
        <v>3.4489367683238465</v>
      </c>
      <c r="P41">
        <f t="shared" si="8"/>
        <v>-2.0189605149019609</v>
      </c>
      <c r="Q41">
        <f t="shared" si="8"/>
        <v>0.75735330754164032</v>
      </c>
      <c r="R41">
        <f t="shared" si="8"/>
        <v>0.75329897988464878</v>
      </c>
      <c r="S41">
        <f t="shared" si="8"/>
        <v>2.3962804637927375</v>
      </c>
      <c r="T41">
        <f t="shared" si="8"/>
        <v>3.4712515553992596</v>
      </c>
      <c r="U41">
        <f t="shared" si="8"/>
        <v>3.0986234634316796</v>
      </c>
      <c r="V41">
        <f t="shared" si="8"/>
        <v>-4.8551181914160306</v>
      </c>
      <c r="W41">
        <f t="shared" si="8"/>
        <v>5.3618634095240703</v>
      </c>
      <c r="X41">
        <f t="shared" si="8"/>
        <v>-5.2926680825442514</v>
      </c>
      <c r="Y41">
        <f t="shared" si="8"/>
        <v>0.49508100120918352</v>
      </c>
      <c r="Z41">
        <f t="shared" si="8"/>
        <v>-5.1448265812202099</v>
      </c>
      <c r="AA41">
        <f t="shared" si="8"/>
        <v>-7.0881493376617346</v>
      </c>
      <c r="AB41">
        <f t="shared" si="8"/>
        <v>-0.75891929096126209</v>
      </c>
      <c r="AC41">
        <f t="shared" si="8"/>
        <v>-4.7819728303560218</v>
      </c>
      <c r="AD41">
        <f t="shared" si="8"/>
        <v>-2.3011651979286736</v>
      </c>
      <c r="AE41">
        <f t="shared" si="8"/>
        <v>-8.0754026476953733</v>
      </c>
    </row>
    <row r="42" spans="1:31" x14ac:dyDescent="0.25">
      <c r="A42" t="s">
        <v>33</v>
      </c>
      <c r="B42">
        <f t="shared" ref="B42:AE42" si="9">IFERROR(VLOOKUP($A42,power_rankings,2,0)/(VLOOKUP($A42,power_rankings,2,0)+VLOOKUP(B$33,power_rankings,2,0))*(B10),0)</f>
        <v>-1.7564566099480414</v>
      </c>
      <c r="C42">
        <f t="shared" si="9"/>
        <v>-2.0151179914790953</v>
      </c>
      <c r="D42">
        <f t="shared" si="9"/>
        <v>-1.5300763410732163</v>
      </c>
      <c r="E42">
        <f t="shared" si="9"/>
        <v>4.5357557661984167</v>
      </c>
      <c r="F42">
        <f t="shared" si="9"/>
        <v>1.017853296201148</v>
      </c>
      <c r="G42">
        <f t="shared" si="9"/>
        <v>-0.75582210931555793</v>
      </c>
      <c r="H42">
        <f t="shared" si="9"/>
        <v>0.51011577632216276</v>
      </c>
      <c r="I42">
        <f t="shared" si="9"/>
        <v>0</v>
      </c>
      <c r="J42">
        <f t="shared" si="9"/>
        <v>0</v>
      </c>
      <c r="K42">
        <f t="shared" si="9"/>
        <v>-4.5962707885203313</v>
      </c>
      <c r="L42">
        <f t="shared" si="9"/>
        <v>0.76347424703398836</v>
      </c>
      <c r="M42">
        <f t="shared" si="9"/>
        <v>0.37930636589392264</v>
      </c>
      <c r="N42">
        <f t="shared" si="9"/>
        <v>-7.1087149739312956</v>
      </c>
      <c r="O42">
        <f t="shared" si="9"/>
        <v>-4.6648697530421126</v>
      </c>
      <c r="P42">
        <f t="shared" si="9"/>
        <v>0.76816442810851659</v>
      </c>
      <c r="Q42">
        <f t="shared" si="9"/>
        <v>1.8783292504435607</v>
      </c>
      <c r="R42">
        <f t="shared" si="9"/>
        <v>-5.0956988182212815</v>
      </c>
      <c r="S42">
        <f t="shared" si="9"/>
        <v>-4.1362622742161017</v>
      </c>
      <c r="T42">
        <f t="shared" si="9"/>
        <v>-3.5228525999504416</v>
      </c>
      <c r="U42">
        <f t="shared" si="9"/>
        <v>4.5832228160840138</v>
      </c>
      <c r="V42">
        <f t="shared" si="9"/>
        <v>1.2633308580460572</v>
      </c>
      <c r="W42">
        <f t="shared" si="9"/>
        <v>4.0821939629315773</v>
      </c>
      <c r="X42">
        <f t="shared" si="9"/>
        <v>-2.5571671974153127</v>
      </c>
      <c r="Y42">
        <f t="shared" si="9"/>
        <v>0</v>
      </c>
      <c r="Z42">
        <f t="shared" si="9"/>
        <v>-7.894226762117813</v>
      </c>
      <c r="AA42">
        <f t="shared" si="9"/>
        <v>-4.0382842877250322</v>
      </c>
      <c r="AB42">
        <f t="shared" si="9"/>
        <v>6.1597805043164602</v>
      </c>
      <c r="AC42">
        <f t="shared" si="9"/>
        <v>-0.89378743690455709</v>
      </c>
      <c r="AD42">
        <f t="shared" si="9"/>
        <v>-1.0374698914035931</v>
      </c>
      <c r="AE42">
        <f t="shared" si="9"/>
        <v>1.5362465073431173</v>
      </c>
    </row>
    <row r="43" spans="1:31" x14ac:dyDescent="0.25">
      <c r="A43" t="s">
        <v>36</v>
      </c>
      <c r="B43">
        <f t="shared" ref="B43:AE43" si="10">IFERROR(VLOOKUP($A43,power_rankings,2,0)/(VLOOKUP($A43,power_rankings,2,0)+VLOOKUP(B$33,power_rankings,2,0))*(B11),0)</f>
        <v>2.701310109656911</v>
      </c>
      <c r="C43">
        <f t="shared" si="10"/>
        <v>1.4792448743864495</v>
      </c>
      <c r="D43">
        <f t="shared" si="10"/>
        <v>1.9973136186300802</v>
      </c>
      <c r="E43">
        <f t="shared" si="10"/>
        <v>7.3991244819414916</v>
      </c>
      <c r="F43">
        <f t="shared" si="10"/>
        <v>1.9929168699185438</v>
      </c>
      <c r="G43">
        <f t="shared" si="10"/>
        <v>1.7261423196206771</v>
      </c>
      <c r="H43">
        <f t="shared" si="10"/>
        <v>6.1178799382832008</v>
      </c>
      <c r="I43">
        <f t="shared" si="10"/>
        <v>6.4567539270638354</v>
      </c>
      <c r="J43">
        <f t="shared" si="10"/>
        <v>4.4037292114796696</v>
      </c>
      <c r="K43">
        <f t="shared" si="10"/>
        <v>0</v>
      </c>
      <c r="L43">
        <f t="shared" si="10"/>
        <v>7.5988526257026878</v>
      </c>
      <c r="M43">
        <f t="shared" si="10"/>
        <v>2.2276973218839666</v>
      </c>
      <c r="N43">
        <f t="shared" si="10"/>
        <v>1.8640036001287705</v>
      </c>
      <c r="O43">
        <f t="shared" si="10"/>
        <v>4.6955597967487197</v>
      </c>
      <c r="P43">
        <f t="shared" si="10"/>
        <v>3.3427573126149523</v>
      </c>
      <c r="Q43">
        <f t="shared" si="10"/>
        <v>8.0252109890635968</v>
      </c>
      <c r="R43">
        <f t="shared" si="10"/>
        <v>5.4875993252996915</v>
      </c>
      <c r="S43">
        <f t="shared" si="10"/>
        <v>4.8783451693308226</v>
      </c>
      <c r="T43">
        <f t="shared" si="10"/>
        <v>5.6645189424245537</v>
      </c>
      <c r="U43">
        <f t="shared" si="10"/>
        <v>11.545053550159073</v>
      </c>
      <c r="V43">
        <f t="shared" si="10"/>
        <v>2.9678061884492921</v>
      </c>
      <c r="W43">
        <f t="shared" si="10"/>
        <v>3.8729452881324482</v>
      </c>
      <c r="X43">
        <f t="shared" si="10"/>
        <v>11.266583529776799</v>
      </c>
      <c r="Y43">
        <f t="shared" si="10"/>
        <v>3.196406979300197</v>
      </c>
      <c r="Z43">
        <f t="shared" si="10"/>
        <v>4.9860764377426516</v>
      </c>
      <c r="AA43">
        <f t="shared" si="10"/>
        <v>-2.7998295693608717</v>
      </c>
      <c r="AB43">
        <f t="shared" si="10"/>
        <v>11.057635165803344</v>
      </c>
      <c r="AC43">
        <f t="shared" si="10"/>
        <v>11.250876191377071</v>
      </c>
      <c r="AD43">
        <f t="shared" si="10"/>
        <v>3.6833236407638865</v>
      </c>
      <c r="AE43">
        <f t="shared" si="10"/>
        <v>9.5263364967671365</v>
      </c>
    </row>
    <row r="44" spans="1:31" x14ac:dyDescent="0.25">
      <c r="A44" t="s">
        <v>16</v>
      </c>
      <c r="B44">
        <f t="shared" ref="B44:AE44" si="11">IFERROR(VLOOKUP($A44,power_rankings,2,0)/(VLOOKUP($A44,power_rankings,2,0)+VLOOKUP(B$33,power_rankings,2,0))*(B12),0)</f>
        <v>-3.6964608087756474</v>
      </c>
      <c r="C44">
        <f t="shared" si="11"/>
        <v>4.4531636381351891</v>
      </c>
      <c r="D44">
        <f t="shared" si="11"/>
        <v>5.0104299138269539</v>
      </c>
      <c r="E44">
        <f t="shared" si="11"/>
        <v>7.1773450860409866</v>
      </c>
      <c r="F44">
        <f t="shared" si="11"/>
        <v>0.49994379871822864</v>
      </c>
      <c r="G44">
        <f t="shared" si="11"/>
        <v>3.4642850430274112</v>
      </c>
      <c r="H44">
        <f t="shared" si="11"/>
        <v>0.50113335691109151</v>
      </c>
      <c r="I44">
        <f t="shared" si="11"/>
        <v>4.9838792414644342</v>
      </c>
      <c r="J44">
        <f t="shared" si="11"/>
        <v>-0.73652575296601164</v>
      </c>
      <c r="K44">
        <f t="shared" si="11"/>
        <v>-7.6511473742973113</v>
      </c>
      <c r="L44">
        <f t="shared" si="11"/>
        <v>0</v>
      </c>
      <c r="M44">
        <f t="shared" si="11"/>
        <v>5.4643415314518826</v>
      </c>
      <c r="N44">
        <f t="shared" si="11"/>
        <v>-3.1173886508151885</v>
      </c>
      <c r="O44">
        <f t="shared" si="11"/>
        <v>4.0747374344918352</v>
      </c>
      <c r="P44">
        <f t="shared" si="11"/>
        <v>-1.6351664825803378</v>
      </c>
      <c r="Q44">
        <f t="shared" si="11"/>
        <v>13.337191179308515</v>
      </c>
      <c r="R44">
        <f t="shared" si="11"/>
        <v>5.0058725239788693</v>
      </c>
      <c r="S44">
        <f t="shared" si="11"/>
        <v>4.1794113104500941</v>
      </c>
      <c r="T44">
        <f t="shared" si="11"/>
        <v>-3.4599680845763885</v>
      </c>
      <c r="U44">
        <f t="shared" si="11"/>
        <v>7.4649877238010429</v>
      </c>
      <c r="V44">
        <f t="shared" si="11"/>
        <v>2.9780928738095271</v>
      </c>
      <c r="W44">
        <f t="shared" si="11"/>
        <v>1.4574935988944677</v>
      </c>
      <c r="X44">
        <f t="shared" si="11"/>
        <v>3.0147096917779157</v>
      </c>
      <c r="Y44">
        <f t="shared" si="11"/>
        <v>0.12336728312737436</v>
      </c>
      <c r="Z44">
        <f t="shared" si="11"/>
        <v>-0.16677407625747959</v>
      </c>
      <c r="AA44">
        <f t="shared" si="11"/>
        <v>0</v>
      </c>
      <c r="AB44">
        <f t="shared" si="11"/>
        <v>3.5303399901664108</v>
      </c>
      <c r="AC44">
        <f t="shared" si="11"/>
        <v>4.7666584712720272</v>
      </c>
      <c r="AD44">
        <f t="shared" si="11"/>
        <v>4.3329488107089249</v>
      </c>
      <c r="AE44">
        <f t="shared" si="11"/>
        <v>1.7608523934860114</v>
      </c>
    </row>
    <row r="45" spans="1:31" x14ac:dyDescent="0.25">
      <c r="A45" t="s">
        <v>20</v>
      </c>
      <c r="B45">
        <f t="shared" ref="B45:AE45" si="12">IFERROR(VLOOKUP($A45,power_rankings,2,0)/(VLOOKUP($A45,power_rankings,2,0)+VLOOKUP(B$33,power_rankings,2,0))*(B13),0)</f>
        <v>-7.4415413907920431</v>
      </c>
      <c r="C45">
        <f t="shared" si="12"/>
        <v>1.3281000168639956</v>
      </c>
      <c r="D45">
        <f t="shared" si="12"/>
        <v>-2.0171384495831055</v>
      </c>
      <c r="E45">
        <f t="shared" si="12"/>
        <v>1.619250360956036</v>
      </c>
      <c r="F45">
        <f t="shared" si="12"/>
        <v>0.50318547999855445</v>
      </c>
      <c r="G45">
        <f t="shared" si="12"/>
        <v>-0.49813941915632276</v>
      </c>
      <c r="H45">
        <f t="shared" si="12"/>
        <v>4.0349997726063371</v>
      </c>
      <c r="I45">
        <f t="shared" si="12"/>
        <v>-6.0195556460424715</v>
      </c>
      <c r="J45">
        <f t="shared" si="12"/>
        <v>-0.37069363410607731</v>
      </c>
      <c r="K45">
        <f t="shared" si="12"/>
        <v>-2.2723026781160334</v>
      </c>
      <c r="L45">
        <f t="shared" si="12"/>
        <v>-5.5356584685481174</v>
      </c>
      <c r="M45">
        <f t="shared" si="12"/>
        <v>0</v>
      </c>
      <c r="N45">
        <f t="shared" si="12"/>
        <v>-2.2591075277197037</v>
      </c>
      <c r="O45">
        <f t="shared" si="12"/>
        <v>4.6132410067142313</v>
      </c>
      <c r="P45">
        <f t="shared" si="12"/>
        <v>-5.063695690839106</v>
      </c>
      <c r="Q45">
        <f t="shared" si="12"/>
        <v>4.8120505180401087</v>
      </c>
      <c r="R45">
        <f t="shared" si="12"/>
        <v>-0.12595722555018279</v>
      </c>
      <c r="S45">
        <f t="shared" si="12"/>
        <v>-1.2022078623609462</v>
      </c>
      <c r="T45">
        <f t="shared" si="12"/>
        <v>6.2190331273927955</v>
      </c>
      <c r="U45">
        <f t="shared" si="12"/>
        <v>8.5480716002753372</v>
      </c>
      <c r="V45">
        <f t="shared" si="12"/>
        <v>-0.24979523593592168</v>
      </c>
      <c r="W45">
        <f t="shared" si="12"/>
        <v>8.8032756718813765</v>
      </c>
      <c r="X45">
        <f t="shared" si="12"/>
        <v>5.3097776893831981</v>
      </c>
      <c r="Y45">
        <f t="shared" si="12"/>
        <v>-8.4440790593595842</v>
      </c>
      <c r="Z45">
        <f t="shared" si="12"/>
        <v>-4.0285111427242173</v>
      </c>
      <c r="AA45">
        <f t="shared" si="12"/>
        <v>-1.9961744386245421</v>
      </c>
      <c r="AB45">
        <f t="shared" si="12"/>
        <v>-1.5227266125370291</v>
      </c>
      <c r="AC45">
        <f t="shared" si="12"/>
        <v>-7.4065946339028148</v>
      </c>
      <c r="AD45">
        <f t="shared" si="12"/>
        <v>3.8474903830423797</v>
      </c>
      <c r="AE45">
        <f t="shared" si="12"/>
        <v>-0.37975658086745062</v>
      </c>
    </row>
    <row r="46" spans="1:31" x14ac:dyDescent="0.25">
      <c r="A46" t="s">
        <v>41</v>
      </c>
      <c r="B46">
        <f t="shared" ref="B46:AE46" si="13">IFERROR(VLOOKUP($A46,power_rankings,2,0)/(VLOOKUP($A46,power_rankings,2,0)+VLOOKUP(B$33,power_rankings,2,0))*(B14),0)</f>
        <v>-2.9644743068745569</v>
      </c>
      <c r="C46">
        <f t="shared" si="13"/>
        <v>9.1762529802483588</v>
      </c>
      <c r="D46">
        <f t="shared" si="13"/>
        <v>5.5248687534245935</v>
      </c>
      <c r="E46">
        <f t="shared" si="13"/>
        <v>6.946898553956375</v>
      </c>
      <c r="F46">
        <f t="shared" si="13"/>
        <v>-1.5034848447174456</v>
      </c>
      <c r="G46">
        <f t="shared" si="13"/>
        <v>-3.9689246609317146</v>
      </c>
      <c r="H46">
        <f t="shared" si="13"/>
        <v>1.1721527062004431</v>
      </c>
      <c r="I46">
        <f t="shared" si="13"/>
        <v>2.8727329872895737</v>
      </c>
      <c r="J46">
        <f t="shared" si="13"/>
        <v>6.8912850260687044</v>
      </c>
      <c r="K46">
        <f t="shared" si="13"/>
        <v>-1.8859963998712295</v>
      </c>
      <c r="L46">
        <f t="shared" si="13"/>
        <v>3.1326113491848115</v>
      </c>
      <c r="M46">
        <f t="shared" si="13"/>
        <v>2.2408924722802963</v>
      </c>
      <c r="N46">
        <f t="shared" si="13"/>
        <v>0</v>
      </c>
      <c r="O46">
        <f t="shared" si="13"/>
        <v>8.2965921128409637</v>
      </c>
      <c r="P46">
        <f t="shared" si="13"/>
        <v>0.88260532173253592</v>
      </c>
      <c r="Q46">
        <f t="shared" si="13"/>
        <v>0.75676196519851047</v>
      </c>
      <c r="R46">
        <f t="shared" si="13"/>
        <v>-0.25090253155189141</v>
      </c>
      <c r="S46">
        <f t="shared" si="13"/>
        <v>7.0233169772297357</v>
      </c>
      <c r="T46">
        <f t="shared" si="13"/>
        <v>3.633658199716487</v>
      </c>
      <c r="U46">
        <f t="shared" si="13"/>
        <v>13.417128314419715</v>
      </c>
      <c r="V46">
        <f t="shared" si="13"/>
        <v>-1.3268442263751636</v>
      </c>
      <c r="W46">
        <f t="shared" si="13"/>
        <v>12.663251160636193</v>
      </c>
      <c r="X46">
        <f t="shared" si="13"/>
        <v>14.354577539314338</v>
      </c>
      <c r="Y46">
        <f t="shared" si="13"/>
        <v>5.5652262676483115</v>
      </c>
      <c r="Z46">
        <f t="shared" si="13"/>
        <v>1.128465095005494</v>
      </c>
      <c r="AA46">
        <f t="shared" si="13"/>
        <v>1.6153141474668151</v>
      </c>
      <c r="AB46">
        <f t="shared" si="13"/>
        <v>5.1819078253153297</v>
      </c>
      <c r="AC46">
        <f t="shared" si="13"/>
        <v>-7.0415983929308403</v>
      </c>
      <c r="AD46">
        <f t="shared" si="13"/>
        <v>3.9600638272991926</v>
      </c>
      <c r="AE46">
        <f t="shared" si="13"/>
        <v>1.5129553034880305</v>
      </c>
    </row>
    <row r="47" spans="1:31" x14ac:dyDescent="0.25">
      <c r="A47" t="s">
        <v>17</v>
      </c>
      <c r="B47">
        <f t="shared" ref="B47:AE47" si="14">IFERROR(VLOOKUP($A47,power_rankings,2,0)/(VLOOKUP($A47,power_rankings,2,0)+VLOOKUP(B$33,power_rankings,2,0))*(B15),0)</f>
        <v>0</v>
      </c>
      <c r="C47">
        <f t="shared" si="14"/>
        <v>-4.1263811740350178</v>
      </c>
      <c r="D47">
        <f t="shared" si="14"/>
        <v>-2.4585024429784177</v>
      </c>
      <c r="E47">
        <f t="shared" si="14"/>
        <v>3.3995487675428233</v>
      </c>
      <c r="F47">
        <f t="shared" si="14"/>
        <v>-3.6795122935867717</v>
      </c>
      <c r="G47">
        <f t="shared" si="14"/>
        <v>-5.3411428115195179</v>
      </c>
      <c r="H47">
        <f t="shared" si="14"/>
        <v>-7.2539147413800276</v>
      </c>
      <c r="I47">
        <f t="shared" si="14"/>
        <v>-3.3010632316761535</v>
      </c>
      <c r="J47">
        <f t="shared" si="14"/>
        <v>4.3351302469578883</v>
      </c>
      <c r="K47">
        <f t="shared" si="14"/>
        <v>-4.5544402032512812</v>
      </c>
      <c r="L47">
        <f t="shared" si="14"/>
        <v>-3.9252625655081639</v>
      </c>
      <c r="M47">
        <f t="shared" si="14"/>
        <v>-4.3867589932857687</v>
      </c>
      <c r="N47">
        <f t="shared" si="14"/>
        <v>-7.9534078871590363</v>
      </c>
      <c r="O47">
        <f t="shared" si="14"/>
        <v>0</v>
      </c>
      <c r="P47">
        <f t="shared" si="14"/>
        <v>-2.592372524182184</v>
      </c>
      <c r="Q47">
        <f t="shared" si="14"/>
        <v>-2.2227628935637984</v>
      </c>
      <c r="R47">
        <f t="shared" si="14"/>
        <v>0</v>
      </c>
      <c r="S47">
        <f t="shared" si="14"/>
        <v>1.7562423021122651</v>
      </c>
      <c r="T47">
        <f t="shared" si="14"/>
        <v>-7.3953684519446439</v>
      </c>
      <c r="U47">
        <f t="shared" si="14"/>
        <v>-4.802132206653897</v>
      </c>
      <c r="V47">
        <f t="shared" si="14"/>
        <v>-2.9220504333951629</v>
      </c>
      <c r="W47">
        <f t="shared" si="14"/>
        <v>2.620758041486217</v>
      </c>
      <c r="X47">
        <f t="shared" si="14"/>
        <v>3.9448704372544601</v>
      </c>
      <c r="Y47">
        <f t="shared" si="14"/>
        <v>-6.0516353259018318</v>
      </c>
      <c r="Z47">
        <f t="shared" si="14"/>
        <v>-7.6101890831430463</v>
      </c>
      <c r="AA47">
        <f t="shared" si="14"/>
        <v>-4.0538493935418529</v>
      </c>
      <c r="AB47">
        <f t="shared" si="14"/>
        <v>-4.5786694672306263</v>
      </c>
      <c r="AC47">
        <f t="shared" si="14"/>
        <v>-0.98482169337300129</v>
      </c>
      <c r="AD47">
        <f t="shared" si="14"/>
        <v>-2.168472177053669</v>
      </c>
      <c r="AE47">
        <f t="shared" si="14"/>
        <v>-5.4313355939112284</v>
      </c>
    </row>
    <row r="48" spans="1:31" x14ac:dyDescent="0.25">
      <c r="A48" t="s">
        <v>28</v>
      </c>
      <c r="B48">
        <f t="shared" ref="B48:AE48" si="15">IFERROR(VLOOKUP($A48,power_rankings,2,0)/(VLOOKUP($A48,power_rankings,2,0)+VLOOKUP(B$33,power_rankings,2,0))*(B16),0)</f>
        <v>-0.97946841928720985</v>
      </c>
      <c r="C48">
        <f t="shared" si="15"/>
        <v>4.9166835383036291</v>
      </c>
      <c r="D48">
        <f t="shared" si="15"/>
        <v>3.485403709785774</v>
      </c>
      <c r="E48">
        <f t="shared" si="15"/>
        <v>1.9674467121518442</v>
      </c>
      <c r="F48">
        <f t="shared" si="15"/>
        <v>0.9936313049425598</v>
      </c>
      <c r="G48">
        <f t="shared" si="15"/>
        <v>-8.8518643235852217</v>
      </c>
      <c r="H48">
        <f t="shared" si="15"/>
        <v>3.8595401460526424</v>
      </c>
      <c r="I48">
        <f t="shared" si="15"/>
        <v>1.9810394850980395</v>
      </c>
      <c r="J48">
        <f t="shared" si="15"/>
        <v>-0.73183557189148341</v>
      </c>
      <c r="K48">
        <f t="shared" si="15"/>
        <v>-3.3239093540517146</v>
      </c>
      <c r="L48">
        <f t="shared" si="15"/>
        <v>1.6148335174196622</v>
      </c>
      <c r="M48">
        <f t="shared" si="15"/>
        <v>4.936304309160894</v>
      </c>
      <c r="N48">
        <f t="shared" si="15"/>
        <v>-0.86739467826746408</v>
      </c>
      <c r="O48">
        <f t="shared" si="15"/>
        <v>2.6576274758178156</v>
      </c>
      <c r="P48">
        <f t="shared" si="15"/>
        <v>0</v>
      </c>
      <c r="Q48">
        <f t="shared" si="15"/>
        <v>6.0019450964207062</v>
      </c>
      <c r="R48">
        <f t="shared" si="15"/>
        <v>2.9847545114451508</v>
      </c>
      <c r="S48">
        <f t="shared" si="15"/>
        <v>1.1072272944834558</v>
      </c>
      <c r="T48">
        <f t="shared" si="15"/>
        <v>3.8064407059500893</v>
      </c>
      <c r="U48">
        <f t="shared" si="15"/>
        <v>11.00156637919304</v>
      </c>
      <c r="V48">
        <f t="shared" si="15"/>
        <v>0.61652621690096898</v>
      </c>
      <c r="W48">
        <f t="shared" si="15"/>
        <v>4.5857081129329984</v>
      </c>
      <c r="X48">
        <f t="shared" si="15"/>
        <v>5.7422196296445485</v>
      </c>
      <c r="Y48">
        <f t="shared" si="15"/>
        <v>3.9227341862008762</v>
      </c>
      <c r="Z48">
        <f t="shared" si="15"/>
        <v>4.2261495862696314</v>
      </c>
      <c r="AA48">
        <f t="shared" si="15"/>
        <v>-1.3548541024722787</v>
      </c>
      <c r="AB48">
        <f t="shared" si="15"/>
        <v>1.8795232546474114</v>
      </c>
      <c r="AC48">
        <f t="shared" si="15"/>
        <v>0.49862534464404973</v>
      </c>
      <c r="AD48">
        <f t="shared" si="15"/>
        <v>-0.75994701728475933</v>
      </c>
      <c r="AE48">
        <f t="shared" si="15"/>
        <v>-7.2496017473686356</v>
      </c>
    </row>
    <row r="49" spans="1:31" x14ac:dyDescent="0.25">
      <c r="A49" t="s">
        <v>24</v>
      </c>
      <c r="B49">
        <f t="shared" ref="B49:AE49" si="16">IFERROR(VLOOKUP($A49,power_rankings,2,0)/(VLOOKUP($A49,power_rankings,2,0)+VLOOKUP(B$33,power_rankings,2,0))*(B17),0)</f>
        <v>-4.4061496891430849</v>
      </c>
      <c r="C49">
        <f t="shared" si="16"/>
        <v>3.1947910042391388</v>
      </c>
      <c r="D49">
        <f t="shared" si="16"/>
        <v>2.6132018186059587</v>
      </c>
      <c r="E49">
        <f t="shared" si="16"/>
        <v>-0.36877472285051749</v>
      </c>
      <c r="F49">
        <f t="shared" si="16"/>
        <v>-2.8143702187346751</v>
      </c>
      <c r="G49">
        <f t="shared" si="16"/>
        <v>-2.7038450648470822</v>
      </c>
      <c r="H49">
        <f t="shared" si="16"/>
        <v>-2.9870585493427102</v>
      </c>
      <c r="I49">
        <f t="shared" si="16"/>
        <v>-0.7426466924583599</v>
      </c>
      <c r="J49">
        <f t="shared" si="16"/>
        <v>-1.7883374162231058</v>
      </c>
      <c r="K49">
        <f t="shared" si="16"/>
        <v>-7.9747890109364032</v>
      </c>
      <c r="L49">
        <f t="shared" si="16"/>
        <v>-13.162808820691485</v>
      </c>
      <c r="M49">
        <f t="shared" si="16"/>
        <v>-4.6879494819598913</v>
      </c>
      <c r="N49">
        <f t="shared" si="16"/>
        <v>-0.74323803480148953</v>
      </c>
      <c r="O49">
        <f t="shared" si="16"/>
        <v>2.2772371064362016</v>
      </c>
      <c r="P49">
        <f t="shared" si="16"/>
        <v>-5.9980549035792938</v>
      </c>
      <c r="Q49">
        <f t="shared" si="16"/>
        <v>0</v>
      </c>
      <c r="R49">
        <f t="shared" si="16"/>
        <v>-4.8486457336736555</v>
      </c>
      <c r="S49">
        <f t="shared" si="16"/>
        <v>2.1346394192673728</v>
      </c>
      <c r="T49">
        <f t="shared" si="16"/>
        <v>-3.9279327982263377</v>
      </c>
      <c r="U49">
        <f t="shared" si="16"/>
        <v>7.6730813698774085</v>
      </c>
      <c r="V49">
        <f t="shared" si="16"/>
        <v>-6.4097658645858751</v>
      </c>
      <c r="W49">
        <f t="shared" si="16"/>
        <v>1.9301768860393771</v>
      </c>
      <c r="X49">
        <f t="shared" si="16"/>
        <v>3.6189198241525968</v>
      </c>
      <c r="Y49">
        <f t="shared" si="16"/>
        <v>5.6370670491202475</v>
      </c>
      <c r="Z49">
        <f t="shared" si="16"/>
        <v>-2.9821918980247579</v>
      </c>
      <c r="AA49">
        <f t="shared" si="16"/>
        <v>-6.6489142042535292</v>
      </c>
      <c r="AB49">
        <f t="shared" si="16"/>
        <v>4.258874940843528</v>
      </c>
      <c r="AC49">
        <f t="shared" si="16"/>
        <v>-1.2461581366133163</v>
      </c>
      <c r="AD49">
        <f t="shared" si="16"/>
        <v>-3.2920503284696023</v>
      </c>
      <c r="AE49">
        <f t="shared" si="16"/>
        <v>-1.6243839395428732</v>
      </c>
    </row>
    <row r="50" spans="1:31" x14ac:dyDescent="0.25">
      <c r="A50" t="s">
        <v>19</v>
      </c>
      <c r="B50">
        <f t="shared" ref="B50:AE50" si="17">IFERROR(VLOOKUP($A50,power_rankings,2,0)/(VLOOKUP($A50,power_rankings,2,0)+VLOOKUP(B$33,power_rankings,2,0))*(B18),0)</f>
        <v>0.12306857958015655</v>
      </c>
      <c r="C50">
        <f t="shared" si="17"/>
        <v>3.8301180309630336</v>
      </c>
      <c r="D50">
        <f t="shared" si="17"/>
        <v>1.1677300602365306</v>
      </c>
      <c r="E50">
        <f t="shared" si="17"/>
        <v>0.16480070992284707</v>
      </c>
      <c r="F50">
        <f t="shared" si="17"/>
        <v>-3.6203349614383438</v>
      </c>
      <c r="G50">
        <f t="shared" si="17"/>
        <v>-1.2357766976951821</v>
      </c>
      <c r="H50">
        <f t="shared" si="17"/>
        <v>-6.2568263245885509</v>
      </c>
      <c r="I50">
        <f t="shared" si="17"/>
        <v>-0.74670102011535111</v>
      </c>
      <c r="J50">
        <f t="shared" si="17"/>
        <v>4.9043011817787177</v>
      </c>
      <c r="K50">
        <f t="shared" si="17"/>
        <v>-5.5124006747003085</v>
      </c>
      <c r="L50">
        <f t="shared" si="17"/>
        <v>-4.9941274760211316</v>
      </c>
      <c r="M50">
        <f t="shared" si="17"/>
        <v>0.12404277444981719</v>
      </c>
      <c r="N50">
        <f t="shared" si="17"/>
        <v>0.24909746844810862</v>
      </c>
      <c r="O50">
        <f t="shared" si="17"/>
        <v>0</v>
      </c>
      <c r="P50">
        <f t="shared" si="17"/>
        <v>-3.0152454885548501</v>
      </c>
      <c r="Q50">
        <f t="shared" si="17"/>
        <v>4.9013542663263445</v>
      </c>
      <c r="R50">
        <f t="shared" si="17"/>
        <v>0</v>
      </c>
      <c r="S50">
        <f t="shared" si="17"/>
        <v>7.3944448641897962</v>
      </c>
      <c r="T50">
        <f t="shared" si="17"/>
        <v>-2.9621639235251283</v>
      </c>
      <c r="U50">
        <f t="shared" si="17"/>
        <v>5.2709598270508948</v>
      </c>
      <c r="V50">
        <f t="shared" si="17"/>
        <v>-1.487284788765336</v>
      </c>
      <c r="W50">
        <f t="shared" si="17"/>
        <v>-0.24262221916888335</v>
      </c>
      <c r="X50">
        <f t="shared" si="17"/>
        <v>7.2770334177091502</v>
      </c>
      <c r="Y50">
        <f t="shared" si="17"/>
        <v>-0.98576397861902687</v>
      </c>
      <c r="Z50">
        <f t="shared" si="17"/>
        <v>0</v>
      </c>
      <c r="AA50">
        <f t="shared" si="17"/>
        <v>-4.2093256091572266</v>
      </c>
      <c r="AB50">
        <f t="shared" si="17"/>
        <v>2.2668618152769868</v>
      </c>
      <c r="AC50">
        <f t="shared" si="17"/>
        <v>-6.3481061588393723</v>
      </c>
      <c r="AD50">
        <f t="shared" si="17"/>
        <v>-2.2912723865640561</v>
      </c>
      <c r="AE50">
        <f t="shared" si="17"/>
        <v>-2.6800717320643264</v>
      </c>
    </row>
    <row r="51" spans="1:31" x14ac:dyDescent="0.25">
      <c r="A51" t="s">
        <v>29</v>
      </c>
      <c r="B51">
        <f t="shared" ref="B51:AE51" si="18">IFERROR(VLOOKUP($A51,power_rankings,2,0)/(VLOOKUP($A51,power_rankings,2,0)+VLOOKUP(B$33,power_rankings,2,0))*(B19),0)</f>
        <v>-6.1826898170471072</v>
      </c>
      <c r="C51">
        <f t="shared" si="18"/>
        <v>-2.3272062122997177</v>
      </c>
      <c r="D51">
        <f t="shared" si="18"/>
        <v>-1.0467876057271648</v>
      </c>
      <c r="E51">
        <f t="shared" si="18"/>
        <v>-9.3123014844472092</v>
      </c>
      <c r="F51">
        <f t="shared" si="18"/>
        <v>-2.0891876154123699</v>
      </c>
      <c r="G51">
        <f t="shared" si="18"/>
        <v>-9.5692864990299746</v>
      </c>
      <c r="H51">
        <f t="shared" si="18"/>
        <v>-7.5032702400850368</v>
      </c>
      <c r="I51">
        <f t="shared" si="18"/>
        <v>-2.6037195362072625</v>
      </c>
      <c r="J51">
        <f t="shared" si="18"/>
        <v>4.3637377257838983</v>
      </c>
      <c r="K51">
        <f t="shared" si="18"/>
        <v>-5.3716548306691765</v>
      </c>
      <c r="L51">
        <f t="shared" si="18"/>
        <v>-4.5705886895499068</v>
      </c>
      <c r="M51">
        <f t="shared" si="18"/>
        <v>1.2977921376390535</v>
      </c>
      <c r="N51">
        <f t="shared" si="18"/>
        <v>-7.6433496894369295</v>
      </c>
      <c r="O51">
        <f t="shared" si="18"/>
        <v>-1.9937576978877349</v>
      </c>
      <c r="P51">
        <f t="shared" si="18"/>
        <v>-1.2261060388498779</v>
      </c>
      <c r="Q51">
        <f t="shared" si="18"/>
        <v>-2.3653605807326272</v>
      </c>
      <c r="R51">
        <f t="shared" si="18"/>
        <v>-8.1055551358102029</v>
      </c>
      <c r="S51">
        <f t="shared" si="18"/>
        <v>0</v>
      </c>
      <c r="T51">
        <f t="shared" si="18"/>
        <v>-11.624459804431549</v>
      </c>
      <c r="U51">
        <f t="shared" si="18"/>
        <v>5.1027398373274133</v>
      </c>
      <c r="V51">
        <f t="shared" si="18"/>
        <v>-8.5586805608076304</v>
      </c>
      <c r="W51">
        <f t="shared" si="18"/>
        <v>-5.5901403151465097</v>
      </c>
      <c r="X51">
        <f t="shared" si="18"/>
        <v>-4.4607929646855107</v>
      </c>
      <c r="Y51">
        <f t="shared" si="18"/>
        <v>-2.5791568506773506</v>
      </c>
      <c r="Z51">
        <f t="shared" si="18"/>
        <v>-3.0053787693600977</v>
      </c>
      <c r="AA51">
        <f t="shared" si="18"/>
        <v>-11.917721237453325</v>
      </c>
      <c r="AB51">
        <f t="shared" si="18"/>
        <v>-3.5111795940159092</v>
      </c>
      <c r="AC51">
        <f t="shared" si="18"/>
        <v>-4.9789760054139833</v>
      </c>
      <c r="AD51">
        <f t="shared" si="18"/>
        <v>-4.7887531407632205</v>
      </c>
      <c r="AE51">
        <f t="shared" si="18"/>
        <v>1.5763398665020112</v>
      </c>
    </row>
    <row r="52" spans="1:31" x14ac:dyDescent="0.25">
      <c r="A52" t="s">
        <v>12</v>
      </c>
      <c r="B52">
        <f t="shared" ref="B52:AE52" si="19">IFERROR(VLOOKUP($A52,power_rankings,2,0)/(VLOOKUP($A52,power_rankings,2,0)+VLOOKUP(B$33,power_rankings,2,0))*(B20),0)</f>
        <v>1.4957401630721614</v>
      </c>
      <c r="C52">
        <f t="shared" si="19"/>
        <v>6.5066932598881904</v>
      </c>
      <c r="D52">
        <f t="shared" si="19"/>
        <v>-3.5473317258231405</v>
      </c>
      <c r="E52">
        <f t="shared" si="19"/>
        <v>1.2517706062971992</v>
      </c>
      <c r="F52">
        <f t="shared" si="19"/>
        <v>-10.61891567223468</v>
      </c>
      <c r="G52">
        <f t="shared" si="19"/>
        <v>-0.50061678033662527</v>
      </c>
      <c r="H52">
        <f t="shared" si="19"/>
        <v>-2.0274080973049133</v>
      </c>
      <c r="I52">
        <f t="shared" si="19"/>
        <v>-3.5287484446007404</v>
      </c>
      <c r="J52">
        <f t="shared" si="19"/>
        <v>3.4771474000495584</v>
      </c>
      <c r="K52">
        <f t="shared" si="19"/>
        <v>-5.8354810575754463</v>
      </c>
      <c r="L52">
        <f t="shared" si="19"/>
        <v>3.5400319154236115</v>
      </c>
      <c r="M52">
        <f t="shared" si="19"/>
        <v>-6.2809668726072045</v>
      </c>
      <c r="N52">
        <f t="shared" si="19"/>
        <v>-3.6996751336168461</v>
      </c>
      <c r="O52">
        <f t="shared" si="19"/>
        <v>7.8546315480553561</v>
      </c>
      <c r="P52">
        <f t="shared" si="19"/>
        <v>-3.9435592940499111</v>
      </c>
      <c r="Q52">
        <f t="shared" si="19"/>
        <v>4.0720672017736623</v>
      </c>
      <c r="R52">
        <f t="shared" si="19"/>
        <v>3.0378360764748713</v>
      </c>
      <c r="S52">
        <f t="shared" si="19"/>
        <v>10.875540195568449</v>
      </c>
      <c r="T52">
        <f t="shared" si="19"/>
        <v>0</v>
      </c>
      <c r="U52">
        <f t="shared" si="19"/>
        <v>1.0410772372101424</v>
      </c>
      <c r="V52">
        <f t="shared" si="19"/>
        <v>0.25103391503602085</v>
      </c>
      <c r="W52">
        <f t="shared" si="19"/>
        <v>1.47464191509732</v>
      </c>
      <c r="X52">
        <f t="shared" si="19"/>
        <v>2.5408500108488963</v>
      </c>
      <c r="Y52">
        <f t="shared" si="19"/>
        <v>2.8287311853538877</v>
      </c>
      <c r="Z52">
        <f t="shared" si="19"/>
        <v>-7.421935096457041</v>
      </c>
      <c r="AA52">
        <f t="shared" si="19"/>
        <v>1.3791826781682601</v>
      </c>
      <c r="AB52">
        <f t="shared" si="19"/>
        <v>2.0402085308684441</v>
      </c>
      <c r="AC52">
        <f t="shared" si="19"/>
        <v>1.2686801715721632</v>
      </c>
      <c r="AD52">
        <f t="shared" si="19"/>
        <v>2.7491950631468551</v>
      </c>
      <c r="AE52">
        <f t="shared" si="19"/>
        <v>-2.54409451697411</v>
      </c>
    </row>
    <row r="53" spans="1:31" x14ac:dyDescent="0.25">
      <c r="A53" t="s">
        <v>31</v>
      </c>
      <c r="B53">
        <f t="shared" ref="B53:AE53" si="20">IFERROR(VLOOKUP($A53,power_rankings,2,0)/(VLOOKUP($A53,power_rankings,2,0)+VLOOKUP(B$33,power_rankings,2,0))*(B21),0)</f>
        <v>-1.4341319910821488</v>
      </c>
      <c r="C53">
        <f t="shared" si="20"/>
        <v>-2.6398647029067539</v>
      </c>
      <c r="D53">
        <f t="shared" si="20"/>
        <v>-3.6466154935577109</v>
      </c>
      <c r="E53">
        <f t="shared" si="20"/>
        <v>-3.721305642580965</v>
      </c>
      <c r="F53">
        <f t="shared" si="20"/>
        <v>-9.8640478779636513</v>
      </c>
      <c r="G53">
        <f t="shared" si="20"/>
        <v>-2.5604114784835543</v>
      </c>
      <c r="H53">
        <f t="shared" si="20"/>
        <v>-6.565126907650451</v>
      </c>
      <c r="I53">
        <f t="shared" si="20"/>
        <v>-2.9013765365683204</v>
      </c>
      <c r="J53">
        <f t="shared" si="20"/>
        <v>-4.1667771839159871</v>
      </c>
      <c r="K53">
        <f t="shared" si="20"/>
        <v>-10.954946449840925</v>
      </c>
      <c r="L53">
        <f t="shared" si="20"/>
        <v>-7.0350122761989562</v>
      </c>
      <c r="M53">
        <f t="shared" si="20"/>
        <v>-7.9519283997246601</v>
      </c>
      <c r="N53">
        <f t="shared" si="20"/>
        <v>-12.582871685580287</v>
      </c>
      <c r="O53">
        <f t="shared" si="20"/>
        <v>4.6978677933461039</v>
      </c>
      <c r="P53">
        <f t="shared" si="20"/>
        <v>-10.498433620806958</v>
      </c>
      <c r="Q53">
        <f t="shared" si="20"/>
        <v>-7.3269186301225915</v>
      </c>
      <c r="R53">
        <f t="shared" si="20"/>
        <v>-4.9790401729491052</v>
      </c>
      <c r="S53">
        <f t="shared" si="20"/>
        <v>-4.3972601626725867</v>
      </c>
      <c r="T53">
        <f t="shared" si="20"/>
        <v>-0.95892276278985733</v>
      </c>
      <c r="U53">
        <f t="shared" si="20"/>
        <v>0</v>
      </c>
      <c r="V53">
        <f t="shared" si="20"/>
        <v>-4.5744976943425506</v>
      </c>
      <c r="W53">
        <f t="shared" si="20"/>
        <v>0</v>
      </c>
      <c r="X53">
        <f t="shared" si="20"/>
        <v>1.0971519213279681</v>
      </c>
      <c r="Y53">
        <f t="shared" si="20"/>
        <v>-5.2651572829705389</v>
      </c>
      <c r="Z53">
        <f t="shared" si="20"/>
        <v>-6.3114377560979058</v>
      </c>
      <c r="AA53">
        <f t="shared" si="20"/>
        <v>-2.4048998931557306</v>
      </c>
      <c r="AB53">
        <f t="shared" si="20"/>
        <v>-10.769106632330685</v>
      </c>
      <c r="AC53">
        <f t="shared" si="20"/>
        <v>-3.286746612094277</v>
      </c>
      <c r="AD53">
        <f t="shared" si="20"/>
        <v>-1.7322515320761576</v>
      </c>
      <c r="AE53">
        <f t="shared" si="20"/>
        <v>-6.1033973444339598</v>
      </c>
    </row>
    <row r="54" spans="1:31" x14ac:dyDescent="0.25">
      <c r="A54" t="s">
        <v>38</v>
      </c>
      <c r="B54">
        <f t="shared" ref="B54:AE54" si="21">IFERROR(VLOOKUP($A54,power_rankings,2,0)/(VLOOKUP($A54,power_rankings,2,0)+VLOOKUP(B$33,power_rankings,2,0))*(B22),0)</f>
        <v>-0.49651226524818043</v>
      </c>
      <c r="C54">
        <f t="shared" si="21"/>
        <v>-8.2243759860848513</v>
      </c>
      <c r="D54">
        <f t="shared" si="21"/>
        <v>4.7945940219863195</v>
      </c>
      <c r="E54">
        <f t="shared" si="21"/>
        <v>7.4796060672328579</v>
      </c>
      <c r="F54">
        <f t="shared" si="21"/>
        <v>1.5107849681022862</v>
      </c>
      <c r="G54">
        <f t="shared" si="21"/>
        <v>-0.24927447143094414</v>
      </c>
      <c r="H54">
        <f t="shared" si="21"/>
        <v>0.25239223270757055</v>
      </c>
      <c r="I54">
        <f t="shared" si="21"/>
        <v>4.8948818085839694</v>
      </c>
      <c r="J54">
        <f t="shared" si="21"/>
        <v>-1.2366691419539428</v>
      </c>
      <c r="K54">
        <f t="shared" si="21"/>
        <v>-3.0321938115507074</v>
      </c>
      <c r="L54">
        <f t="shared" si="21"/>
        <v>-3.0219071261904733</v>
      </c>
      <c r="M54">
        <f t="shared" si="21"/>
        <v>0.25020476406407832</v>
      </c>
      <c r="N54">
        <f t="shared" si="21"/>
        <v>1.3398224402915029</v>
      </c>
      <c r="O54">
        <f t="shared" si="21"/>
        <v>3.0779495666048371</v>
      </c>
      <c r="P54">
        <f t="shared" si="21"/>
        <v>-0.63347378309903113</v>
      </c>
      <c r="Q54">
        <f t="shared" si="21"/>
        <v>6.5902341354141258</v>
      </c>
      <c r="R54">
        <f t="shared" si="21"/>
        <v>1.512715211234664</v>
      </c>
      <c r="S54">
        <f t="shared" si="21"/>
        <v>7.9413194391923705</v>
      </c>
      <c r="T54">
        <f t="shared" si="21"/>
        <v>-0.24896608496397915</v>
      </c>
      <c r="U54">
        <f t="shared" si="21"/>
        <v>4.9255023056574494</v>
      </c>
      <c r="V54">
        <f t="shared" si="21"/>
        <v>0</v>
      </c>
      <c r="W54">
        <f t="shared" si="21"/>
        <v>8.5659036828912924</v>
      </c>
      <c r="X54">
        <f t="shared" si="21"/>
        <v>4.3018719681674442</v>
      </c>
      <c r="Y54">
        <f t="shared" si="21"/>
        <v>4.3498003982385516</v>
      </c>
      <c r="Z54">
        <f t="shared" si="21"/>
        <v>-1.6379135427582177</v>
      </c>
      <c r="AA54">
        <f t="shared" si="21"/>
        <v>-9.3231252226473309</v>
      </c>
      <c r="AB54">
        <f t="shared" si="21"/>
        <v>1.5239548996511889</v>
      </c>
      <c r="AC54">
        <f t="shared" si="21"/>
        <v>-2.0216182903213604</v>
      </c>
      <c r="AD54">
        <f t="shared" si="21"/>
        <v>-0.25670398018329227</v>
      </c>
      <c r="AE54">
        <f t="shared" si="21"/>
        <v>2.2803820461397128</v>
      </c>
    </row>
    <row r="55" spans="1:31" x14ac:dyDescent="0.25">
      <c r="A55" t="s">
        <v>13</v>
      </c>
      <c r="B55">
        <f t="shared" ref="B55:AE55" si="22">IFERROR(VLOOKUP($A55,power_rankings,2,0)/(VLOOKUP($A55,power_rankings,2,0)+VLOOKUP(B$33,power_rankings,2,0))*(B23),0)</f>
        <v>-3.0421985218783343</v>
      </c>
      <c r="C55">
        <f t="shared" si="22"/>
        <v>-3.9020834383945653</v>
      </c>
      <c r="D55">
        <f t="shared" si="22"/>
        <v>-1.8032381241307105</v>
      </c>
      <c r="E55">
        <f t="shared" si="22"/>
        <v>-1.272901795304398</v>
      </c>
      <c r="F55">
        <f t="shared" si="22"/>
        <v>0</v>
      </c>
      <c r="G55">
        <f t="shared" si="22"/>
        <v>-9.502626675264537</v>
      </c>
      <c r="H55">
        <f t="shared" si="22"/>
        <v>-5.1530117443572587</v>
      </c>
      <c r="I55">
        <f t="shared" si="22"/>
        <v>-5.6381365904759289</v>
      </c>
      <c r="J55">
        <f t="shared" si="22"/>
        <v>-4.1678060370684236</v>
      </c>
      <c r="K55">
        <f t="shared" si="22"/>
        <v>-4.1270547118675518</v>
      </c>
      <c r="L55">
        <f t="shared" si="22"/>
        <v>-1.5425064011055318</v>
      </c>
      <c r="M55">
        <f t="shared" si="22"/>
        <v>-9.1967243281186217</v>
      </c>
      <c r="N55">
        <f t="shared" si="22"/>
        <v>-13.336748839363809</v>
      </c>
      <c r="O55">
        <f t="shared" si="22"/>
        <v>-2.8792419585137834</v>
      </c>
      <c r="P55">
        <f t="shared" si="22"/>
        <v>-4.9142918870670007</v>
      </c>
      <c r="Q55">
        <f t="shared" si="22"/>
        <v>-2.0698231139606231</v>
      </c>
      <c r="R55">
        <f t="shared" si="22"/>
        <v>0.25737778083111662</v>
      </c>
      <c r="S55">
        <f t="shared" si="22"/>
        <v>5.4098596848534903</v>
      </c>
      <c r="T55">
        <f t="shared" si="22"/>
        <v>-1.5253580849026798</v>
      </c>
      <c r="U55">
        <f t="shared" si="22"/>
        <v>0</v>
      </c>
      <c r="V55">
        <f t="shared" si="22"/>
        <v>-8.9340963171087076</v>
      </c>
      <c r="W55">
        <f t="shared" si="22"/>
        <v>0</v>
      </c>
      <c r="X55">
        <f t="shared" si="22"/>
        <v>-0.17220603554961972</v>
      </c>
      <c r="Y55">
        <f t="shared" si="22"/>
        <v>-0.5076407610157726</v>
      </c>
      <c r="Z55">
        <f t="shared" si="22"/>
        <v>-1.0289815290101858</v>
      </c>
      <c r="AA55">
        <f t="shared" si="22"/>
        <v>-4.8447449817554658</v>
      </c>
      <c r="AB55">
        <f t="shared" si="22"/>
        <v>3.6294897840419749</v>
      </c>
      <c r="AC55">
        <f t="shared" si="22"/>
        <v>-4.1273659314923785</v>
      </c>
      <c r="AD55">
        <f t="shared" si="22"/>
        <v>-0.52391425759470012</v>
      </c>
      <c r="AE55">
        <f t="shared" si="22"/>
        <v>-3.879498374669319</v>
      </c>
    </row>
    <row r="56" spans="1:31" x14ac:dyDescent="0.25">
      <c r="A56" t="s">
        <v>21</v>
      </c>
      <c r="B56">
        <f t="shared" ref="B56:AE56" si="23">IFERROR(VLOOKUP($A56,power_rankings,2,0)/(VLOOKUP($A56,power_rankings,2,0)+VLOOKUP(B$33,power_rankings,2,0))*(B24),0)</f>
        <v>-3.9232839774185875</v>
      </c>
      <c r="C56">
        <f t="shared" si="23"/>
        <v>-3.8156716975619256</v>
      </c>
      <c r="D56">
        <f t="shared" si="23"/>
        <v>-7.3542225847615104</v>
      </c>
      <c r="E56">
        <f t="shared" si="23"/>
        <v>-1.8059729146796428</v>
      </c>
      <c r="F56">
        <f t="shared" si="23"/>
        <v>-3.1507838370923533</v>
      </c>
      <c r="G56">
        <f t="shared" si="23"/>
        <v>-1.8056376283664277</v>
      </c>
      <c r="H56">
        <f t="shared" si="23"/>
        <v>-14.960451808895845</v>
      </c>
      <c r="I56">
        <f t="shared" si="23"/>
        <v>5.2073319174557477</v>
      </c>
      <c r="J56">
        <f t="shared" si="23"/>
        <v>2.4428328025846873</v>
      </c>
      <c r="K56">
        <f t="shared" si="23"/>
        <v>-11.233416470223201</v>
      </c>
      <c r="L56">
        <f t="shared" si="23"/>
        <v>-2.9852903082220839</v>
      </c>
      <c r="M56">
        <f t="shared" si="23"/>
        <v>-5.1902223106168011</v>
      </c>
      <c r="N56">
        <f t="shared" si="23"/>
        <v>-14.145422460685664</v>
      </c>
      <c r="O56">
        <f t="shared" si="23"/>
        <v>-4.0551295627455408</v>
      </c>
      <c r="P56">
        <f t="shared" si="23"/>
        <v>-5.7577803703554524</v>
      </c>
      <c r="Q56">
        <f t="shared" si="23"/>
        <v>-3.6310801758474032</v>
      </c>
      <c r="R56">
        <f t="shared" si="23"/>
        <v>-7.2229665822908498</v>
      </c>
      <c r="S56">
        <f t="shared" si="23"/>
        <v>4.0392070353144893</v>
      </c>
      <c r="T56">
        <f t="shared" si="23"/>
        <v>-2.4591499891511037</v>
      </c>
      <c r="U56">
        <f t="shared" si="23"/>
        <v>-1.1528480786720319</v>
      </c>
      <c r="V56">
        <f t="shared" si="23"/>
        <v>-4.1981280318325549</v>
      </c>
      <c r="W56">
        <f t="shared" si="23"/>
        <v>0.1611272977837136</v>
      </c>
      <c r="X56">
        <f t="shared" si="23"/>
        <v>0</v>
      </c>
      <c r="Y56">
        <f t="shared" si="23"/>
        <v>-10.31137994159152</v>
      </c>
      <c r="Z56">
        <f t="shared" si="23"/>
        <v>-7.7169944045846792</v>
      </c>
      <c r="AA56">
        <f t="shared" si="23"/>
        <v>-7.6469349386044341</v>
      </c>
      <c r="AB56">
        <f t="shared" si="23"/>
        <v>1.5056482471125472</v>
      </c>
      <c r="AC56">
        <f t="shared" si="23"/>
        <v>-7.9888303358556083</v>
      </c>
      <c r="AD56">
        <f t="shared" si="23"/>
        <v>-5.8340393280480924</v>
      </c>
      <c r="AE56">
        <f t="shared" si="23"/>
        <v>-8.6361967730625828</v>
      </c>
    </row>
    <row r="57" spans="1:31" x14ac:dyDescent="0.25">
      <c r="A57" t="s">
        <v>35</v>
      </c>
      <c r="B57">
        <f t="shared" ref="B57:AE57" si="24">IFERROR(VLOOKUP($A57,power_rankings,2,0)/(VLOOKUP($A57,power_rankings,2,0)+VLOOKUP(B$33,power_rankings,2,0))*(B25),0)</f>
        <v>-8.9890595156661171</v>
      </c>
      <c r="C57">
        <f t="shared" si="24"/>
        <v>4.0106160614943658</v>
      </c>
      <c r="D57">
        <f t="shared" si="24"/>
        <v>-0.25378682625863264</v>
      </c>
      <c r="E57">
        <f t="shared" si="24"/>
        <v>-0.75228057417284044</v>
      </c>
      <c r="F57">
        <f t="shared" si="24"/>
        <v>0.25323733785733604</v>
      </c>
      <c r="G57">
        <f t="shared" si="24"/>
        <v>-0.7521433818519534</v>
      </c>
      <c r="H57">
        <f t="shared" si="24"/>
        <v>3.0459839849518255</v>
      </c>
      <c r="I57">
        <f t="shared" si="24"/>
        <v>-0.50491899879081659</v>
      </c>
      <c r="J57">
        <f t="shared" si="24"/>
        <v>0</v>
      </c>
      <c r="K57">
        <f t="shared" si="24"/>
        <v>-3.303593020699803</v>
      </c>
      <c r="L57">
        <f t="shared" si="24"/>
        <v>-0.12663271687262564</v>
      </c>
      <c r="M57">
        <f t="shared" si="24"/>
        <v>8.5559209406404158</v>
      </c>
      <c r="N57">
        <f t="shared" si="24"/>
        <v>-5.6847737323516885</v>
      </c>
      <c r="O57">
        <f t="shared" si="24"/>
        <v>6.4483646740981673</v>
      </c>
      <c r="P57">
        <f t="shared" si="24"/>
        <v>-4.0772658137991238</v>
      </c>
      <c r="Q57">
        <f t="shared" si="24"/>
        <v>-5.8629329508797516</v>
      </c>
      <c r="R57">
        <f t="shared" si="24"/>
        <v>1.0142360213809731</v>
      </c>
      <c r="S57">
        <f t="shared" si="24"/>
        <v>2.4208431493226499</v>
      </c>
      <c r="T57">
        <f t="shared" si="24"/>
        <v>-2.8379354813127797</v>
      </c>
      <c r="U57">
        <f t="shared" si="24"/>
        <v>5.7348427170294611</v>
      </c>
      <c r="V57">
        <f t="shared" si="24"/>
        <v>-4.4001996017614484</v>
      </c>
      <c r="W57">
        <f t="shared" si="24"/>
        <v>0.49235923898422729</v>
      </c>
      <c r="X57">
        <f t="shared" si="24"/>
        <v>10.688620058408478</v>
      </c>
      <c r="Y57">
        <f t="shared" si="24"/>
        <v>0</v>
      </c>
      <c r="Z57">
        <f t="shared" si="24"/>
        <v>-5.7020966839787395</v>
      </c>
      <c r="AA57">
        <f t="shared" si="24"/>
        <v>-5.4000808907101687</v>
      </c>
      <c r="AB57">
        <f t="shared" si="24"/>
        <v>-0.51086392171565831</v>
      </c>
      <c r="AC57">
        <f t="shared" si="24"/>
        <v>3.0497040678442113</v>
      </c>
      <c r="AD57">
        <f t="shared" si="24"/>
        <v>-3.0977123967323337</v>
      </c>
      <c r="AE57">
        <f t="shared" si="24"/>
        <v>5.0963077124519227</v>
      </c>
    </row>
    <row r="58" spans="1:31" x14ac:dyDescent="0.25">
      <c r="A58" t="s">
        <v>39</v>
      </c>
      <c r="B58">
        <f t="shared" ref="B58:AE58" si="25">IFERROR(VLOOKUP($A58,power_rankings,2,0)/(VLOOKUP($A58,power_rankings,2,0)+VLOOKUP(B$33,power_rankings,2,0))*(B26),0)</f>
        <v>-3.4477749673058606</v>
      </c>
      <c r="C58">
        <f t="shared" si="25"/>
        <v>0</v>
      </c>
      <c r="D58">
        <f t="shared" si="25"/>
        <v>1.2518019089479968</v>
      </c>
      <c r="E58">
        <f t="shared" si="25"/>
        <v>2.4733356097391046</v>
      </c>
      <c r="F58">
        <f t="shared" si="25"/>
        <v>-0.24981078498660145</v>
      </c>
      <c r="G58">
        <f t="shared" si="25"/>
        <v>3.4620296913214812</v>
      </c>
      <c r="H58">
        <f t="shared" si="25"/>
        <v>1.7528389526324288</v>
      </c>
      <c r="I58">
        <f t="shared" si="25"/>
        <v>5.105173418779791</v>
      </c>
      <c r="J58">
        <f t="shared" si="25"/>
        <v>7.6057732378821861</v>
      </c>
      <c r="K58">
        <f t="shared" si="25"/>
        <v>-5.0139235622573475</v>
      </c>
      <c r="L58">
        <f t="shared" si="25"/>
        <v>0.16655925707585376</v>
      </c>
      <c r="M58">
        <f t="shared" si="25"/>
        <v>3.9714888572757832</v>
      </c>
      <c r="N58">
        <f t="shared" si="25"/>
        <v>-1.1215349049945063</v>
      </c>
      <c r="O58">
        <f t="shared" si="25"/>
        <v>7.8898109168569537</v>
      </c>
      <c r="P58">
        <f t="shared" si="25"/>
        <v>-4.2738504137303694</v>
      </c>
      <c r="Q58">
        <f t="shared" si="25"/>
        <v>3.0178081019752421</v>
      </c>
      <c r="R58">
        <f t="shared" si="25"/>
        <v>0</v>
      </c>
      <c r="S58">
        <f t="shared" si="25"/>
        <v>2.7446212306399023</v>
      </c>
      <c r="T58">
        <f t="shared" si="25"/>
        <v>7.2447315702096251</v>
      </c>
      <c r="U58">
        <f t="shared" si="25"/>
        <v>6.6885622439020942</v>
      </c>
      <c r="V58">
        <f t="shared" si="25"/>
        <v>1.6120864572417823</v>
      </c>
      <c r="W58">
        <f t="shared" si="25"/>
        <v>0.97101847098981409</v>
      </c>
      <c r="X58">
        <f t="shared" si="25"/>
        <v>7.7830055954153199</v>
      </c>
      <c r="Y58">
        <f t="shared" si="25"/>
        <v>5.5479033160212614</v>
      </c>
      <c r="Z58">
        <f t="shared" si="25"/>
        <v>0</v>
      </c>
      <c r="AA58">
        <f t="shared" si="25"/>
        <v>3.0967486152738468</v>
      </c>
      <c r="AB58">
        <f t="shared" si="25"/>
        <v>1.0080241559012399</v>
      </c>
      <c r="AC58">
        <f t="shared" si="25"/>
        <v>5.2650286264200519</v>
      </c>
      <c r="AD58">
        <f t="shared" si="25"/>
        <v>-2.292464580906056</v>
      </c>
      <c r="AE58">
        <f t="shared" si="25"/>
        <v>-0.25138923309244898</v>
      </c>
    </row>
    <row r="59" spans="1:31" x14ac:dyDescent="0.25">
      <c r="A59" t="s">
        <v>15</v>
      </c>
      <c r="B59">
        <f t="shared" ref="B59:AE59" si="26">IFERROR(VLOOKUP($A59,power_rankings,2,0)/(VLOOKUP($A59,power_rankings,2,0)+VLOOKUP(B$33,power_rankings,2,0))*(B27),0)</f>
        <v>5.2191206117800943</v>
      </c>
      <c r="C59">
        <f t="shared" si="26"/>
        <v>2.4949694455717224</v>
      </c>
      <c r="D59">
        <f t="shared" si="26"/>
        <v>8.5890955862038929</v>
      </c>
      <c r="E59">
        <f t="shared" si="26"/>
        <v>3.4943108559627842</v>
      </c>
      <c r="F59">
        <f t="shared" si="26"/>
        <v>-3.0248509192150177</v>
      </c>
      <c r="G59">
        <f t="shared" si="26"/>
        <v>-0.24954790153216236</v>
      </c>
      <c r="H59">
        <f t="shared" si="26"/>
        <v>0.75799690903743921</v>
      </c>
      <c r="I59">
        <f t="shared" si="26"/>
        <v>7.1618506623382654</v>
      </c>
      <c r="J59">
        <f t="shared" si="26"/>
        <v>3.9617157122749687</v>
      </c>
      <c r="K59">
        <f t="shared" si="26"/>
        <v>2.8668370973057957</v>
      </c>
      <c r="L59">
        <f t="shared" si="26"/>
        <v>0</v>
      </c>
      <c r="M59">
        <f t="shared" si="26"/>
        <v>2.0038255613754576</v>
      </c>
      <c r="N59">
        <f t="shared" si="26"/>
        <v>-1.6346858525331849</v>
      </c>
      <c r="O59">
        <f t="shared" si="26"/>
        <v>4.279483939791481</v>
      </c>
      <c r="P59">
        <f t="shared" si="26"/>
        <v>1.3951458975277209</v>
      </c>
      <c r="Q59">
        <f t="shared" si="26"/>
        <v>6.8510857957464699</v>
      </c>
      <c r="R59">
        <f t="shared" si="26"/>
        <v>4.2906743908427734</v>
      </c>
      <c r="S59">
        <f t="shared" si="26"/>
        <v>11.082278762546675</v>
      </c>
      <c r="T59">
        <f t="shared" si="26"/>
        <v>-1.3708173218317399</v>
      </c>
      <c r="U59">
        <f t="shared" si="26"/>
        <v>2.5951001068442698</v>
      </c>
      <c r="V59">
        <f t="shared" si="26"/>
        <v>9.3435414440193387</v>
      </c>
      <c r="W59">
        <f t="shared" si="26"/>
        <v>4.6552550182445342</v>
      </c>
      <c r="X59">
        <f t="shared" si="26"/>
        <v>7.8530650613955659</v>
      </c>
      <c r="Y59">
        <f t="shared" si="26"/>
        <v>5.3499191092898313</v>
      </c>
      <c r="Z59">
        <f t="shared" si="26"/>
        <v>-3.1532513847261532</v>
      </c>
      <c r="AA59">
        <f t="shared" si="26"/>
        <v>0</v>
      </c>
      <c r="AB59">
        <f t="shared" si="26"/>
        <v>5.4667155664744094</v>
      </c>
      <c r="AC59">
        <f t="shared" si="26"/>
        <v>1.2648784132357702</v>
      </c>
      <c r="AD59">
        <f t="shared" si="26"/>
        <v>1.1992269663878419</v>
      </c>
      <c r="AE59">
        <f t="shared" si="26"/>
        <v>0.25364916054718495</v>
      </c>
    </row>
    <row r="60" spans="1:31" x14ac:dyDescent="0.25">
      <c r="A60" t="s">
        <v>37</v>
      </c>
      <c r="B60">
        <f t="shared" ref="B60:AE60" si="27">IFERROR(VLOOKUP($A60,power_rankings,2,0)/(VLOOKUP($A60,power_rankings,2,0)+VLOOKUP(B$33,power_rankings,2,0))*(B28),0)</f>
        <v>-7.8164572254224112</v>
      </c>
      <c r="C60">
        <f t="shared" si="27"/>
        <v>-2.6975439479089558</v>
      </c>
      <c r="D60">
        <f t="shared" si="27"/>
        <v>-3.4769605329016446</v>
      </c>
      <c r="E60">
        <f t="shared" si="27"/>
        <v>4.1705746714888834</v>
      </c>
      <c r="F60">
        <f t="shared" si="27"/>
        <v>-0.74341427803003768</v>
      </c>
      <c r="G60">
        <f t="shared" si="27"/>
        <v>1.9622576544742585</v>
      </c>
      <c r="H60">
        <f t="shared" si="27"/>
        <v>-5.7959884465562324</v>
      </c>
      <c r="I60">
        <f t="shared" si="27"/>
        <v>0.74108070903873768</v>
      </c>
      <c r="J60">
        <f t="shared" si="27"/>
        <v>-5.8402194956835389</v>
      </c>
      <c r="K60">
        <f t="shared" si="27"/>
        <v>-10.942364834196656</v>
      </c>
      <c r="L60">
        <f t="shared" si="27"/>
        <v>-3.4696600098335892</v>
      </c>
      <c r="M60">
        <f t="shared" si="27"/>
        <v>1.4772733874629704</v>
      </c>
      <c r="N60">
        <f t="shared" si="27"/>
        <v>-5.0680921746846703</v>
      </c>
      <c r="O60">
        <f t="shared" si="27"/>
        <v>4.6713305327693746</v>
      </c>
      <c r="P60">
        <f t="shared" si="27"/>
        <v>-1.8704767453525886</v>
      </c>
      <c r="Q60">
        <f t="shared" si="27"/>
        <v>-4.241125059156472</v>
      </c>
      <c r="R60">
        <f t="shared" si="27"/>
        <v>-2.2331381847230132</v>
      </c>
      <c r="S60">
        <f t="shared" si="27"/>
        <v>3.1554870726507573</v>
      </c>
      <c r="T60">
        <f t="shared" si="27"/>
        <v>-1.9597914691315559</v>
      </c>
      <c r="U60">
        <f t="shared" si="27"/>
        <v>11.230893367669315</v>
      </c>
      <c r="V60">
        <f t="shared" si="27"/>
        <v>-1.4760451003488109</v>
      </c>
      <c r="W60">
        <f t="shared" si="27"/>
        <v>-3.3705102159580251</v>
      </c>
      <c r="X60">
        <f t="shared" si="27"/>
        <v>-1.4943517528874528</v>
      </c>
      <c r="Y60">
        <f t="shared" si="27"/>
        <v>0.48913607828434164</v>
      </c>
      <c r="Z60">
        <f t="shared" si="27"/>
        <v>-0.99197584409875983</v>
      </c>
      <c r="AA60">
        <f t="shared" si="27"/>
        <v>-5.2832844335255915</v>
      </c>
      <c r="AB60">
        <f t="shared" si="27"/>
        <v>0</v>
      </c>
      <c r="AC60">
        <f t="shared" si="27"/>
        <v>-6.2177395065251657</v>
      </c>
      <c r="AD60">
        <f t="shared" si="27"/>
        <v>-2.6534829152996058</v>
      </c>
      <c r="AE60">
        <f t="shared" si="27"/>
        <v>1.7456821662890991</v>
      </c>
    </row>
    <row r="61" spans="1:31" x14ac:dyDescent="0.25">
      <c r="A61" t="s">
        <v>27</v>
      </c>
      <c r="B61">
        <f t="shared" ref="B61:AE61" si="28">IFERROR(VLOOKUP($A61,power_rankings,2,0)/(VLOOKUP($A61,power_rankings,2,0)+VLOOKUP(B$33,power_rankings,2,0))*(B29),0)</f>
        <v>2.7010959969793178</v>
      </c>
      <c r="C61">
        <f t="shared" si="28"/>
        <v>0</v>
      </c>
      <c r="D61">
        <f t="shared" si="28"/>
        <v>1.6226907544018281</v>
      </c>
      <c r="E61">
        <f t="shared" si="28"/>
        <v>0.73985404606397898</v>
      </c>
      <c r="F61">
        <f t="shared" si="28"/>
        <v>-5.6046406065731018</v>
      </c>
      <c r="G61">
        <f t="shared" si="28"/>
        <v>-1.1095753169961409</v>
      </c>
      <c r="H61">
        <f t="shared" si="28"/>
        <v>-2.7465890577909593</v>
      </c>
      <c r="I61">
        <f t="shared" si="28"/>
        <v>4.7180271696439782</v>
      </c>
      <c r="J61">
        <f t="shared" si="28"/>
        <v>0.85621256309544269</v>
      </c>
      <c r="K61">
        <f t="shared" si="28"/>
        <v>-11.249123808622928</v>
      </c>
      <c r="L61">
        <f t="shared" si="28"/>
        <v>-4.7333415287279728</v>
      </c>
      <c r="M61">
        <f t="shared" si="28"/>
        <v>7.2600720327638522</v>
      </c>
      <c r="N61">
        <f t="shared" si="28"/>
        <v>6.9584016070691597</v>
      </c>
      <c r="O61">
        <f t="shared" si="28"/>
        <v>1.0151783066269988</v>
      </c>
      <c r="P61">
        <f t="shared" si="28"/>
        <v>-0.50137465535595038</v>
      </c>
      <c r="Q61">
        <f t="shared" si="28"/>
        <v>1.2538418633866839</v>
      </c>
      <c r="R61">
        <f t="shared" si="28"/>
        <v>6.3185605078272937</v>
      </c>
      <c r="S61">
        <f t="shared" si="28"/>
        <v>4.5210239945860167</v>
      </c>
      <c r="T61">
        <f t="shared" si="28"/>
        <v>-1.2313198284278368</v>
      </c>
      <c r="U61">
        <f t="shared" si="28"/>
        <v>3.4632533879057221</v>
      </c>
      <c r="V61">
        <f t="shared" si="28"/>
        <v>1.9783817096786396</v>
      </c>
      <c r="W61">
        <f t="shared" si="28"/>
        <v>3.8726340685076206</v>
      </c>
      <c r="X61">
        <f t="shared" si="28"/>
        <v>8.0111696641443917</v>
      </c>
      <c r="Y61">
        <f t="shared" si="28"/>
        <v>-2.9502959321557891</v>
      </c>
      <c r="Z61">
        <f t="shared" si="28"/>
        <v>-5.2349713735799481</v>
      </c>
      <c r="AA61">
        <f t="shared" si="28"/>
        <v>-1.23512158676423</v>
      </c>
      <c r="AB61">
        <f t="shared" si="28"/>
        <v>6.2822604934748334</v>
      </c>
      <c r="AC61">
        <f t="shared" si="28"/>
        <v>0</v>
      </c>
      <c r="AD61">
        <f t="shared" si="28"/>
        <v>9.3981056035180721</v>
      </c>
      <c r="AE61">
        <f t="shared" si="28"/>
        <v>4.1778932488391067</v>
      </c>
    </row>
    <row r="62" spans="1:31" x14ac:dyDescent="0.25">
      <c r="A62" t="s">
        <v>34</v>
      </c>
      <c r="B62">
        <f t="shared" ref="B62:AE62" si="29">IFERROR(VLOOKUP($A62,power_rankings,2,0)/(VLOOKUP($A62,power_rankings,2,0)+VLOOKUP(B$33,power_rankings,2,0))*(B30),0)</f>
        <v>-2.173983591112957</v>
      </c>
      <c r="C62">
        <f t="shared" si="29"/>
        <v>10.185846616372613</v>
      </c>
      <c r="D62">
        <f t="shared" si="29"/>
        <v>-2.4564197645719994</v>
      </c>
      <c r="E62">
        <f t="shared" si="29"/>
        <v>2.4261676042599616</v>
      </c>
      <c r="F62">
        <f t="shared" si="29"/>
        <v>4.4116662297355367</v>
      </c>
      <c r="G62">
        <f t="shared" si="29"/>
        <v>-2.910852832659915</v>
      </c>
      <c r="H62">
        <f t="shared" si="29"/>
        <v>-3.5624636147849347</v>
      </c>
      <c r="I62">
        <f t="shared" si="29"/>
        <v>2.1988348020713264</v>
      </c>
      <c r="J62">
        <f t="shared" si="29"/>
        <v>0.96253010859640686</v>
      </c>
      <c r="K62">
        <f t="shared" si="29"/>
        <v>-3.5666763592361139</v>
      </c>
      <c r="L62">
        <f t="shared" si="29"/>
        <v>-4.1670511892910742</v>
      </c>
      <c r="M62">
        <f t="shared" si="29"/>
        <v>-3.6525096169576199</v>
      </c>
      <c r="N62">
        <f t="shared" si="29"/>
        <v>-3.789936172700807</v>
      </c>
      <c r="O62">
        <f t="shared" si="29"/>
        <v>2.164861156279664</v>
      </c>
      <c r="P62">
        <f t="shared" si="29"/>
        <v>0.74005298271524067</v>
      </c>
      <c r="Q62">
        <f t="shared" si="29"/>
        <v>3.2079496715303977</v>
      </c>
      <c r="R62">
        <f t="shared" si="29"/>
        <v>2.2087276134359439</v>
      </c>
      <c r="S62">
        <f t="shared" si="29"/>
        <v>4.2112468592367795</v>
      </c>
      <c r="T62">
        <f t="shared" si="29"/>
        <v>-2.5841382701864779</v>
      </c>
      <c r="U62">
        <f t="shared" si="29"/>
        <v>1.7677484679238429</v>
      </c>
      <c r="V62">
        <f t="shared" si="29"/>
        <v>0.24329601981670773</v>
      </c>
      <c r="W62">
        <f t="shared" si="29"/>
        <v>0.47608574240529994</v>
      </c>
      <c r="X62">
        <f t="shared" si="29"/>
        <v>5.6659606719519076</v>
      </c>
      <c r="Y62">
        <f t="shared" si="29"/>
        <v>2.9022876032676659</v>
      </c>
      <c r="Z62">
        <f t="shared" si="29"/>
        <v>2.2075354190939445</v>
      </c>
      <c r="AA62">
        <f t="shared" si="29"/>
        <v>-1.1341063669454916</v>
      </c>
      <c r="AB62">
        <f t="shared" si="29"/>
        <v>2.5965170847003947</v>
      </c>
      <c r="AC62">
        <f t="shared" si="29"/>
        <v>-9.1018943964819261</v>
      </c>
      <c r="AD62">
        <f t="shared" si="29"/>
        <v>0</v>
      </c>
      <c r="AE62">
        <f t="shared" si="29"/>
        <v>-3.2067177629238213</v>
      </c>
    </row>
    <row r="63" spans="1:31" x14ac:dyDescent="0.25">
      <c r="A63" t="s">
        <v>25</v>
      </c>
      <c r="B63">
        <f t="shared" ref="B63:AE63" si="30">IFERROR(VLOOKUP($A63,power_rankings,2,0)/(VLOOKUP($A63,power_rankings,2,0)+VLOOKUP(B$33,power_rankings,2,0))*(B31),0)</f>
        <v>-4.2854145582082905</v>
      </c>
      <c r="C63">
        <f t="shared" si="30"/>
        <v>-1.5980113887658027</v>
      </c>
      <c r="D63">
        <f t="shared" si="30"/>
        <v>0.99588456182201179</v>
      </c>
      <c r="E63">
        <f t="shared" si="30"/>
        <v>2.2135011141814314</v>
      </c>
      <c r="F63">
        <f t="shared" si="30"/>
        <v>1.1178970133975699</v>
      </c>
      <c r="G63">
        <f t="shared" si="30"/>
        <v>-6.8851677787456023</v>
      </c>
      <c r="H63">
        <f t="shared" si="30"/>
        <v>-7.470489681050716</v>
      </c>
      <c r="I63">
        <f t="shared" si="30"/>
        <v>7.9245973523046249</v>
      </c>
      <c r="J63">
        <f t="shared" si="30"/>
        <v>-1.4637534926568825</v>
      </c>
      <c r="K63">
        <f t="shared" si="30"/>
        <v>-9.4736635032328653</v>
      </c>
      <c r="L63">
        <f t="shared" si="30"/>
        <v>-1.7391476065139886</v>
      </c>
      <c r="M63">
        <f t="shared" si="30"/>
        <v>0.37024341913254932</v>
      </c>
      <c r="N63">
        <f t="shared" si="30"/>
        <v>-1.4870446965119692</v>
      </c>
      <c r="O63">
        <f t="shared" si="30"/>
        <v>5.5686644060887724</v>
      </c>
      <c r="P63">
        <f t="shared" si="30"/>
        <v>7.2503982526313644</v>
      </c>
      <c r="Q63">
        <f t="shared" si="30"/>
        <v>1.6256160604571268</v>
      </c>
      <c r="R63">
        <f t="shared" si="30"/>
        <v>2.6532616012690062</v>
      </c>
      <c r="S63">
        <f t="shared" si="30"/>
        <v>-1.4236601334979886</v>
      </c>
      <c r="T63">
        <f t="shared" si="30"/>
        <v>2.4559054830258891</v>
      </c>
      <c r="U63">
        <f t="shared" si="30"/>
        <v>6.3966026555660402</v>
      </c>
      <c r="V63">
        <f t="shared" si="30"/>
        <v>-2.2196179538602867</v>
      </c>
      <c r="W63">
        <f t="shared" si="30"/>
        <v>3.6205016253306814</v>
      </c>
      <c r="X63">
        <f t="shared" si="30"/>
        <v>8.6138032269374172</v>
      </c>
      <c r="Y63">
        <f t="shared" si="30"/>
        <v>-4.9036922875480764</v>
      </c>
      <c r="Z63">
        <f t="shared" si="30"/>
        <v>0.24861076690755096</v>
      </c>
      <c r="AA63">
        <f t="shared" si="30"/>
        <v>-0.24635083945281508</v>
      </c>
      <c r="AB63">
        <f t="shared" si="30"/>
        <v>-1.7543178337109007</v>
      </c>
      <c r="AC63">
        <f t="shared" si="30"/>
        <v>-4.1554400844942272</v>
      </c>
      <c r="AD63">
        <f t="shared" si="30"/>
        <v>3.2932822370761792</v>
      </c>
      <c r="AE63">
        <f t="shared" si="30"/>
        <v>0</v>
      </c>
    </row>
    <row r="65" spans="1:31" x14ac:dyDescent="0.25">
      <c r="A65" t="s">
        <v>3</v>
      </c>
      <c r="B65" t="s">
        <v>26</v>
      </c>
      <c r="C65" t="s">
        <v>23</v>
      </c>
      <c r="D65" t="s">
        <v>22</v>
      </c>
      <c r="E65" t="s">
        <v>18</v>
      </c>
      <c r="F65" t="s">
        <v>30</v>
      </c>
      <c r="G65" t="s">
        <v>40</v>
      </c>
      <c r="H65" t="s">
        <v>14</v>
      </c>
      <c r="I65" t="s">
        <v>32</v>
      </c>
      <c r="J65" t="s">
        <v>33</v>
      </c>
      <c r="K65" t="s">
        <v>36</v>
      </c>
      <c r="L65" t="s">
        <v>16</v>
      </c>
      <c r="M65" t="s">
        <v>20</v>
      </c>
      <c r="N65" t="s">
        <v>41</v>
      </c>
      <c r="O65" t="s">
        <v>17</v>
      </c>
      <c r="P65" t="s">
        <v>28</v>
      </c>
      <c r="Q65" t="s">
        <v>24</v>
      </c>
      <c r="R65" t="s">
        <v>19</v>
      </c>
      <c r="S65" t="s">
        <v>29</v>
      </c>
      <c r="T65" t="s">
        <v>12</v>
      </c>
      <c r="U65" t="s">
        <v>31</v>
      </c>
      <c r="V65" t="s">
        <v>38</v>
      </c>
      <c r="W65" t="s">
        <v>13</v>
      </c>
      <c r="X65" t="s">
        <v>21</v>
      </c>
      <c r="Y65" t="s">
        <v>35</v>
      </c>
      <c r="Z65" t="s">
        <v>39</v>
      </c>
      <c r="AA65" t="s">
        <v>15</v>
      </c>
      <c r="AB65" t="s">
        <v>37</v>
      </c>
      <c r="AC65" t="s">
        <v>27</v>
      </c>
      <c r="AD65" t="s">
        <v>34</v>
      </c>
      <c r="AE65" t="s">
        <v>25</v>
      </c>
    </row>
    <row r="66" spans="1:31" x14ac:dyDescent="0.25">
      <c r="A66" t="s">
        <v>26</v>
      </c>
      <c r="B66">
        <f>(B2-B34)^2</f>
        <v>0</v>
      </c>
      <c r="C66">
        <f>(C2-C34)^2</f>
        <v>73.816013168694511</v>
      </c>
      <c r="D66">
        <f t="shared" ref="D66:AE66" si="31">(D2-D34)^2</f>
        <v>7.7672162517973966</v>
      </c>
      <c r="E66">
        <f t="shared" si="31"/>
        <v>20.07798431337747</v>
      </c>
      <c r="F66">
        <f t="shared" si="31"/>
        <v>2.1867101193205123</v>
      </c>
      <c r="G66">
        <f t="shared" si="31"/>
        <v>2.6191559728199283</v>
      </c>
      <c r="H66">
        <f t="shared" si="31"/>
        <v>24.17967721087356</v>
      </c>
      <c r="I66">
        <f t="shared" si="31"/>
        <v>6.1125951861298246E-2</v>
      </c>
      <c r="J66">
        <f t="shared" si="31"/>
        <v>3.0851398226301652</v>
      </c>
      <c r="K66">
        <f t="shared" si="31"/>
        <v>7.2970763085346348</v>
      </c>
      <c r="L66">
        <f t="shared" si="31"/>
        <v>13.663822510814313</v>
      </c>
      <c r="M66">
        <f t="shared" si="31"/>
        <v>55.376538270871166</v>
      </c>
      <c r="N66">
        <f t="shared" si="31"/>
        <v>8.7881079161193849</v>
      </c>
      <c r="O66">
        <f t="shared" si="31"/>
        <v>0</v>
      </c>
      <c r="P66">
        <f t="shared" si="31"/>
        <v>0.95935838438098553</v>
      </c>
      <c r="Q66">
        <f t="shared" si="31"/>
        <v>19.414155083135704</v>
      </c>
      <c r="R66">
        <f t="shared" si="31"/>
        <v>1.5145875279877317E-2</v>
      </c>
      <c r="S66">
        <f t="shared" si="31"/>
        <v>38.225653373818005</v>
      </c>
      <c r="T66">
        <f t="shared" si="31"/>
        <v>2.2372386354271354</v>
      </c>
      <c r="U66">
        <f t="shared" si="31"/>
        <v>2.0567345678452491</v>
      </c>
      <c r="V66">
        <f t="shared" si="31"/>
        <v>0.24652442954187942</v>
      </c>
      <c r="W66">
        <f t="shared" si="31"/>
        <v>9.2549718465187159</v>
      </c>
      <c r="X66">
        <f t="shared" si="31"/>
        <v>15.392157167469412</v>
      </c>
      <c r="Y66">
        <f t="shared" si="31"/>
        <v>80.803190976187565</v>
      </c>
      <c r="Z66">
        <f t="shared" si="31"/>
        <v>11.887152225180921</v>
      </c>
      <c r="AA66">
        <f t="shared" si="31"/>
        <v>27.239219960307835</v>
      </c>
      <c r="AB66">
        <f t="shared" si="31"/>
        <v>61.097003556858219</v>
      </c>
      <c r="AC66">
        <f t="shared" si="31"/>
        <v>7.2959195848976943</v>
      </c>
      <c r="AD66">
        <f t="shared" si="31"/>
        <v>4.7262046544283907</v>
      </c>
      <c r="AE66">
        <f t="shared" si="31"/>
        <v>18.364777935703557</v>
      </c>
    </row>
    <row r="67" spans="1:31" x14ac:dyDescent="0.25">
      <c r="A67" t="s">
        <v>23</v>
      </c>
      <c r="B67">
        <f t="shared" ref="B67:Q95" si="32">(B3-B35)^2</f>
        <v>74.967464666722094</v>
      </c>
      <c r="C67">
        <f t="shared" si="32"/>
        <v>0</v>
      </c>
      <c r="D67">
        <f t="shared" si="32"/>
        <v>25.613410421325906</v>
      </c>
      <c r="E67">
        <f t="shared" si="32"/>
        <v>0.9992266429553498</v>
      </c>
      <c r="F67">
        <f t="shared" si="32"/>
        <v>47.996216450508996</v>
      </c>
      <c r="G67">
        <f t="shared" si="32"/>
        <v>28.87884872659172</v>
      </c>
      <c r="H67">
        <f t="shared" si="32"/>
        <v>0.24370291309819705</v>
      </c>
      <c r="I67">
        <f t="shared" si="32"/>
        <v>71.215616453968494</v>
      </c>
      <c r="J67">
        <f t="shared" si="32"/>
        <v>4.0607005195827437</v>
      </c>
      <c r="K67">
        <f t="shared" si="32"/>
        <v>2.1881653983985832</v>
      </c>
      <c r="L67">
        <f t="shared" si="32"/>
        <v>19.83066638800944</v>
      </c>
      <c r="M67">
        <f t="shared" si="32"/>
        <v>1.7638496547941453</v>
      </c>
      <c r="N67">
        <f t="shared" si="32"/>
        <v>84.203618757516892</v>
      </c>
      <c r="O67">
        <f t="shared" si="32"/>
        <v>17.027021593430618</v>
      </c>
      <c r="P67">
        <f t="shared" si="32"/>
        <v>24.173777015825895</v>
      </c>
      <c r="Q67">
        <f t="shared" si="32"/>
        <v>10.206689560767327</v>
      </c>
      <c r="R67">
        <f t="shared" ref="R67:AE67" si="33">(R3-R35)^2</f>
        <v>14.669804131108139</v>
      </c>
      <c r="S67">
        <f t="shared" si="33"/>
        <v>5.4158887545664012</v>
      </c>
      <c r="T67">
        <f t="shared" si="33"/>
        <v>42.337057178274392</v>
      </c>
      <c r="U67">
        <f t="shared" si="33"/>
        <v>6.9688856496529636</v>
      </c>
      <c r="V67">
        <f t="shared" si="33"/>
        <v>67.64036036048914</v>
      </c>
      <c r="W67">
        <f t="shared" si="33"/>
        <v>15.226255160193146</v>
      </c>
      <c r="X67">
        <f t="shared" si="33"/>
        <v>14.559350503575104</v>
      </c>
      <c r="Y67">
        <f t="shared" si="33"/>
        <v>16.085041192716577</v>
      </c>
      <c r="Z67">
        <f t="shared" si="33"/>
        <v>0</v>
      </c>
      <c r="AA67">
        <f t="shared" si="33"/>
        <v>6.2248725343364679</v>
      </c>
      <c r="AB67">
        <f t="shared" si="33"/>
        <v>7.2767433509002375</v>
      </c>
      <c r="AC67">
        <f t="shared" si="33"/>
        <v>0</v>
      </c>
      <c r="AD67">
        <f t="shared" si="33"/>
        <v>103.75147129226944</v>
      </c>
      <c r="AE67">
        <f t="shared" si="33"/>
        <v>2.5536403986252094</v>
      </c>
    </row>
    <row r="68" spans="1:31" x14ac:dyDescent="0.25">
      <c r="A68" t="s">
        <v>22</v>
      </c>
      <c r="B68">
        <f t="shared" si="32"/>
        <v>8.292637939658988</v>
      </c>
      <c r="C68">
        <f t="shared" si="32"/>
        <v>26.926039435564135</v>
      </c>
      <c r="D68">
        <f t="shared" si="32"/>
        <v>0</v>
      </c>
      <c r="E68">
        <f t="shared" si="32"/>
        <v>6.4022548502088522E-2</v>
      </c>
      <c r="F68">
        <f t="shared" si="32"/>
        <v>8.3020069958520644</v>
      </c>
      <c r="G68">
        <f t="shared" si="32"/>
        <v>4.0989241325238011</v>
      </c>
      <c r="H68">
        <f t="shared" si="32"/>
        <v>33.050550182316158</v>
      </c>
      <c r="I68">
        <f t="shared" si="32"/>
        <v>1.5791381166678733</v>
      </c>
      <c r="J68">
        <f t="shared" si="32"/>
        <v>2.3411336095120019</v>
      </c>
      <c r="K68">
        <f t="shared" si="32"/>
        <v>3.9892616911651855</v>
      </c>
      <c r="L68">
        <f t="shared" si="32"/>
        <v>25.104407921371976</v>
      </c>
      <c r="M68">
        <f t="shared" si="32"/>
        <v>4.0688475247865368</v>
      </c>
      <c r="N68">
        <f t="shared" si="32"/>
        <v>30.524174742567421</v>
      </c>
      <c r="O68">
        <f t="shared" si="32"/>
        <v>6.0442342621308436</v>
      </c>
      <c r="P68">
        <f t="shared" si="32"/>
        <v>12.148039020188437</v>
      </c>
      <c r="Q68">
        <f t="shared" si="32"/>
        <v>6.82882374476549</v>
      </c>
      <c r="R68">
        <f t="shared" ref="R68:AE68" si="34">(R4-R36)^2</f>
        <v>1.3635934935800114</v>
      </c>
      <c r="S68">
        <f t="shared" si="34"/>
        <v>1.0957642915040107</v>
      </c>
      <c r="T68">
        <f t="shared" si="34"/>
        <v>12.583562373031384</v>
      </c>
      <c r="U68">
        <f t="shared" si="34"/>
        <v>13.297804557855144</v>
      </c>
      <c r="V68">
        <f t="shared" si="34"/>
        <v>22.988131835666952</v>
      </c>
      <c r="W68">
        <f t="shared" si="34"/>
        <v>3.2516677323184431</v>
      </c>
      <c r="X68">
        <f t="shared" si="34"/>
        <v>54.084589826216281</v>
      </c>
      <c r="Y68">
        <f t="shared" si="34"/>
        <v>6.4407753182429361E-2</v>
      </c>
      <c r="Z68">
        <f t="shared" si="34"/>
        <v>1.5670080192458495</v>
      </c>
      <c r="AA68">
        <f t="shared" si="34"/>
        <v>73.772562988947158</v>
      </c>
      <c r="AB68">
        <f t="shared" si="34"/>
        <v>12.089254547355685</v>
      </c>
      <c r="AC68">
        <f t="shared" si="34"/>
        <v>2.6331252844211748</v>
      </c>
      <c r="AD68">
        <f t="shared" si="34"/>
        <v>6.0339980597799565</v>
      </c>
      <c r="AE68">
        <f t="shared" si="34"/>
        <v>0.99178606047542039</v>
      </c>
    </row>
    <row r="69" spans="1:31" x14ac:dyDescent="0.25">
      <c r="A69" t="s">
        <v>18</v>
      </c>
      <c r="B69">
        <f t="shared" si="32"/>
        <v>20.4227494086653</v>
      </c>
      <c r="C69">
        <f t="shared" si="32"/>
        <v>1.0007736562008984</v>
      </c>
      <c r="D69">
        <f t="shared" si="32"/>
        <v>6.0995774222984772E-2</v>
      </c>
      <c r="E69">
        <f t="shared" si="32"/>
        <v>0</v>
      </c>
      <c r="F69">
        <f t="shared" si="32"/>
        <v>0.13785190814876261</v>
      </c>
      <c r="G69">
        <f t="shared" si="32"/>
        <v>75.138592976987383</v>
      </c>
      <c r="H69">
        <f t="shared" si="32"/>
        <v>88.045678568516792</v>
      </c>
      <c r="I69">
        <f t="shared" si="32"/>
        <v>130.45818897448842</v>
      </c>
      <c r="J69">
        <f t="shared" si="32"/>
        <v>20.573080370602195</v>
      </c>
      <c r="K69">
        <f t="shared" si="32"/>
        <v>54.747043099265959</v>
      </c>
      <c r="L69">
        <f t="shared" si="32"/>
        <v>51.514282484116713</v>
      </c>
      <c r="M69">
        <f t="shared" si="32"/>
        <v>2.6219717314562532</v>
      </c>
      <c r="N69">
        <f t="shared" si="32"/>
        <v>48.259399518961189</v>
      </c>
      <c r="O69">
        <f t="shared" si="32"/>
        <v>11.556931822901928</v>
      </c>
      <c r="P69">
        <f t="shared" si="32"/>
        <v>3.8708465651571027</v>
      </c>
      <c r="Q69">
        <f t="shared" si="32"/>
        <v>0.13599479621347599</v>
      </c>
      <c r="R69">
        <f t="shared" ref="R69:AE69" si="35">(R5-R37)^2</f>
        <v>2.7159273991074383E-2</v>
      </c>
      <c r="S69">
        <f t="shared" si="35"/>
        <v>86.718958937237701</v>
      </c>
      <c r="T69">
        <f t="shared" si="35"/>
        <v>1.5669296507896575</v>
      </c>
      <c r="U69">
        <f t="shared" si="35"/>
        <v>13.848115685504926</v>
      </c>
      <c r="V69">
        <f t="shared" si="35"/>
        <v>55.944506920986569</v>
      </c>
      <c r="W69">
        <f t="shared" si="35"/>
        <v>1.6202789804891589</v>
      </c>
      <c r="X69">
        <f t="shared" si="35"/>
        <v>3.2615381685564846</v>
      </c>
      <c r="Y69">
        <f t="shared" si="35"/>
        <v>0.5659260622778185</v>
      </c>
      <c r="Z69">
        <f t="shared" si="35"/>
        <v>6.1173890384035063</v>
      </c>
      <c r="AA69">
        <f t="shared" si="35"/>
        <v>12.210208358099369</v>
      </c>
      <c r="AB69">
        <f t="shared" si="35"/>
        <v>17.393693090464609</v>
      </c>
      <c r="AC69">
        <f t="shared" si="35"/>
        <v>0.54738400947724031</v>
      </c>
      <c r="AD69">
        <f t="shared" si="35"/>
        <v>5.8862892439605217</v>
      </c>
      <c r="AE69">
        <f t="shared" si="35"/>
        <v>4.8995871824824402</v>
      </c>
    </row>
    <row r="70" spans="1:31" x14ac:dyDescent="0.25">
      <c r="A70" t="s">
        <v>30</v>
      </c>
      <c r="B70">
        <f t="shared" si="32"/>
        <v>2.3141927597692544</v>
      </c>
      <c r="C70">
        <f t="shared" si="32"/>
        <v>50.014171670073054</v>
      </c>
      <c r="D70">
        <f t="shared" si="32"/>
        <v>8.2293228979564308</v>
      </c>
      <c r="E70">
        <f t="shared" si="32"/>
        <v>0.14342570717172487</v>
      </c>
      <c r="F70">
        <f t="shared" si="32"/>
        <v>0</v>
      </c>
      <c r="G70">
        <f t="shared" si="32"/>
        <v>1.5941962671186414</v>
      </c>
      <c r="H70">
        <f t="shared" si="32"/>
        <v>6.2202964289547774E-2</v>
      </c>
      <c r="I70">
        <f t="shared" si="32"/>
        <v>0</v>
      </c>
      <c r="J70">
        <f t="shared" si="32"/>
        <v>1.0360253325875419</v>
      </c>
      <c r="K70">
        <f t="shared" si="32"/>
        <v>3.9717176504059251</v>
      </c>
      <c r="L70">
        <f t="shared" si="32"/>
        <v>0.24994380187681275</v>
      </c>
      <c r="M70">
        <f t="shared" si="32"/>
        <v>0.25319562728137562</v>
      </c>
      <c r="N70">
        <f t="shared" si="32"/>
        <v>2.2604666782950416</v>
      </c>
      <c r="O70">
        <f t="shared" si="32"/>
        <v>13.538810718656181</v>
      </c>
      <c r="P70">
        <f t="shared" si="32"/>
        <v>0.98730317016185432</v>
      </c>
      <c r="Q70">
        <f t="shared" si="32"/>
        <v>7.9206797281006658</v>
      </c>
      <c r="R70">
        <f t="shared" ref="R70:AE70" si="36">(R6-R38)^2</f>
        <v>13.106825233012774</v>
      </c>
      <c r="S70">
        <f t="shared" si="36"/>
        <v>4.3647048923924245</v>
      </c>
      <c r="T70">
        <f t="shared" si="36"/>
        <v>112.7613700540313</v>
      </c>
      <c r="U70">
        <f t="shared" si="36"/>
        <v>97.299440538759171</v>
      </c>
      <c r="V70">
        <f t="shared" si="36"/>
        <v>2.2824712198438255</v>
      </c>
      <c r="W70">
        <f t="shared" si="36"/>
        <v>0</v>
      </c>
      <c r="X70">
        <f t="shared" si="36"/>
        <v>9.9274387880824104</v>
      </c>
      <c r="Y70">
        <f t="shared" si="36"/>
        <v>6.4129149285070561E-2</v>
      </c>
      <c r="Z70">
        <f t="shared" si="36"/>
        <v>6.2405428295622005E-2</v>
      </c>
      <c r="AA70">
        <f t="shared" si="36"/>
        <v>9.1497230834759371</v>
      </c>
      <c r="AB70">
        <f t="shared" si="36"/>
        <v>0.55266478877892211</v>
      </c>
      <c r="AC70">
        <f t="shared" si="36"/>
        <v>31.411996328848115</v>
      </c>
      <c r="AD70">
        <f t="shared" si="36"/>
        <v>19.462798922588956</v>
      </c>
      <c r="AE70">
        <f t="shared" si="36"/>
        <v>1.2496937325632065</v>
      </c>
    </row>
    <row r="71" spans="1:31" x14ac:dyDescent="0.25">
      <c r="A71" t="s">
        <v>40</v>
      </c>
      <c r="B71">
        <f t="shared" si="32"/>
        <v>2.6621816584046893</v>
      </c>
      <c r="C71">
        <f t="shared" si="32"/>
        <v>28.902403673994755</v>
      </c>
      <c r="D71">
        <f t="shared" si="32"/>
        <v>3.9022842192108138</v>
      </c>
      <c r="E71">
        <f t="shared" si="32"/>
        <v>75.083634271886709</v>
      </c>
      <c r="F71">
        <f t="shared" si="32"/>
        <v>1.5311220019158291</v>
      </c>
      <c r="G71">
        <f t="shared" si="32"/>
        <v>0</v>
      </c>
      <c r="H71">
        <f t="shared" si="32"/>
        <v>11.946372979080447</v>
      </c>
      <c r="I71">
        <f t="shared" si="32"/>
        <v>0</v>
      </c>
      <c r="J71">
        <f t="shared" si="32"/>
        <v>0.57126706093021917</v>
      </c>
      <c r="K71">
        <f t="shared" si="32"/>
        <v>2.9795673075854516</v>
      </c>
      <c r="L71">
        <f t="shared" si="32"/>
        <v>12.001270859343432</v>
      </c>
      <c r="M71">
        <f t="shared" si="32"/>
        <v>0.2481428809173985</v>
      </c>
      <c r="N71">
        <f t="shared" si="32"/>
        <v>15.75236296415193</v>
      </c>
      <c r="O71">
        <f t="shared" si="32"/>
        <v>28.527806533046629</v>
      </c>
      <c r="P71">
        <f t="shared" si="32"/>
        <v>78.355502003160851</v>
      </c>
      <c r="Q71">
        <f t="shared" si="32"/>
        <v>7.3107781346979195</v>
      </c>
      <c r="R71">
        <f t="shared" ref="R71:AE71" si="37">(R7-R39)^2</f>
        <v>1.5271440465664095</v>
      </c>
      <c r="S71">
        <f t="shared" si="37"/>
        <v>91.571244100517376</v>
      </c>
      <c r="T71">
        <f t="shared" si="37"/>
        <v>0.25061716075460883</v>
      </c>
      <c r="U71">
        <f t="shared" si="37"/>
        <v>6.5557069391503404</v>
      </c>
      <c r="V71">
        <f t="shared" si="37"/>
        <v>6.2137762107176572E-2</v>
      </c>
      <c r="W71">
        <f t="shared" si="37"/>
        <v>90.299913729449074</v>
      </c>
      <c r="X71">
        <f t="shared" si="37"/>
        <v>3.260327244972737</v>
      </c>
      <c r="Y71">
        <f t="shared" si="37"/>
        <v>0.56571966686369335</v>
      </c>
      <c r="Z71">
        <f t="shared" si="37"/>
        <v>11.98564958359151</v>
      </c>
      <c r="AA71">
        <f t="shared" si="37"/>
        <v>6.2274155159105817E-2</v>
      </c>
      <c r="AB71">
        <f t="shared" si="37"/>
        <v>3.8504551025428184</v>
      </c>
      <c r="AC71">
        <f t="shared" si="37"/>
        <v>1.231157384087086</v>
      </c>
      <c r="AD71">
        <f t="shared" si="37"/>
        <v>8.4730642134042533</v>
      </c>
      <c r="AE71">
        <f t="shared" si="37"/>
        <v>47.40553534147665</v>
      </c>
    </row>
    <row r="72" spans="1:31" x14ac:dyDescent="0.25">
      <c r="A72" t="s">
        <v>14</v>
      </c>
      <c r="B72">
        <f t="shared" si="32"/>
        <v>25.834006821428222</v>
      </c>
      <c r="C72">
        <f t="shared" si="32"/>
        <v>0.25637740831632005</v>
      </c>
      <c r="D72">
        <f t="shared" si="32"/>
        <v>33.074451977592425</v>
      </c>
      <c r="E72">
        <f t="shared" si="32"/>
        <v>92.481575141183171</v>
      </c>
      <c r="F72">
        <f t="shared" si="32"/>
        <v>6.2797743234438791E-2</v>
      </c>
      <c r="G72">
        <f t="shared" si="32"/>
        <v>12.557437219965347</v>
      </c>
      <c r="H72">
        <f t="shared" si="32"/>
        <v>0</v>
      </c>
      <c r="I72">
        <f t="shared" si="32"/>
        <v>0.11233464444063956</v>
      </c>
      <c r="J72">
        <f t="shared" si="32"/>
        <v>0.2602181052527629</v>
      </c>
      <c r="K72">
        <f t="shared" si="32"/>
        <v>37.428454939248084</v>
      </c>
      <c r="L72">
        <f t="shared" si="32"/>
        <v>0.25113464140897934</v>
      </c>
      <c r="M72">
        <f t="shared" si="32"/>
        <v>16.281223164933191</v>
      </c>
      <c r="N72">
        <f t="shared" si="32"/>
        <v>1.3739419666530224</v>
      </c>
      <c r="O72">
        <f t="shared" si="32"/>
        <v>52.619279075210486</v>
      </c>
      <c r="P72">
        <f t="shared" si="32"/>
        <v>14.896050138992045</v>
      </c>
      <c r="Q72">
        <f t="shared" si="32"/>
        <v>8.9225187772013701</v>
      </c>
      <c r="R72">
        <f t="shared" ref="R72:AE72" si="38">(R8-R40)^2</f>
        <v>39.147875656064272</v>
      </c>
      <c r="S72">
        <f t="shared" si="38"/>
        <v>56.299064295745794</v>
      </c>
      <c r="T72">
        <f t="shared" si="38"/>
        <v>4.1103835930175272</v>
      </c>
      <c r="U72">
        <f t="shared" si="38"/>
        <v>43.100891313555984</v>
      </c>
      <c r="V72">
        <f t="shared" si="38"/>
        <v>6.370183913111245E-2</v>
      </c>
      <c r="W72">
        <f t="shared" si="38"/>
        <v>26.553530037483839</v>
      </c>
      <c r="X72">
        <f t="shared" si="38"/>
        <v>223.81511832629502</v>
      </c>
      <c r="Y72">
        <f t="shared" si="38"/>
        <v>9.2780184365830003</v>
      </c>
      <c r="Z72">
        <f t="shared" si="38"/>
        <v>3.0724443938655508</v>
      </c>
      <c r="AA72">
        <f t="shared" si="38"/>
        <v>0.57455931411031169</v>
      </c>
      <c r="AB72">
        <f t="shared" si="38"/>
        <v>33.593482072613341</v>
      </c>
      <c r="AC72">
        <f t="shared" si="38"/>
        <v>7.5437514523770295</v>
      </c>
      <c r="AD72">
        <f t="shared" si="38"/>
        <v>12.691147006666544</v>
      </c>
      <c r="AE72">
        <f t="shared" si="38"/>
        <v>55.808216074685241</v>
      </c>
    </row>
    <row r="73" spans="1:31" x14ac:dyDescent="0.25">
      <c r="A73" t="s">
        <v>32</v>
      </c>
      <c r="B73">
        <f t="shared" si="32"/>
        <v>6.3889320551740389E-2</v>
      </c>
      <c r="C73">
        <f t="shared" si="32"/>
        <v>73.291841522737684</v>
      </c>
      <c r="D73">
        <f t="shared" si="32"/>
        <v>1.5459499994222321</v>
      </c>
      <c r="E73">
        <f t="shared" si="32"/>
        <v>134.05403228174058</v>
      </c>
      <c r="F73">
        <f t="shared" si="32"/>
        <v>0</v>
      </c>
      <c r="G73">
        <f t="shared" si="32"/>
        <v>0</v>
      </c>
      <c r="H73">
        <f t="shared" si="32"/>
        <v>0.10989427759571269</v>
      </c>
      <c r="I73">
        <f t="shared" si="32"/>
        <v>0</v>
      </c>
      <c r="J73">
        <f t="shared" si="32"/>
        <v>0</v>
      </c>
      <c r="K73">
        <f t="shared" si="32"/>
        <v>41.689671274654273</v>
      </c>
      <c r="L73">
        <f t="shared" si="32"/>
        <v>24.839052293500103</v>
      </c>
      <c r="M73">
        <f t="shared" si="32"/>
        <v>36.235050175801796</v>
      </c>
      <c r="N73">
        <f t="shared" si="32"/>
        <v>8.2525948162616789</v>
      </c>
      <c r="O73">
        <f t="shared" si="32"/>
        <v>10.89701845952421</v>
      </c>
      <c r="P73">
        <f t="shared" si="32"/>
        <v>3.9245174415175037</v>
      </c>
      <c r="Q73">
        <f t="shared" si="32"/>
        <v>0.55152410981934141</v>
      </c>
      <c r="R73">
        <f t="shared" ref="R73:AE73" si="39">(R9-R41)^2</f>
        <v>0.55756241344130619</v>
      </c>
      <c r="S73">
        <f t="shared" si="39"/>
        <v>6.7793554232273623</v>
      </c>
      <c r="T73">
        <f t="shared" si="39"/>
        <v>12.452065585272145</v>
      </c>
      <c r="U73">
        <f t="shared" si="39"/>
        <v>8.4179858069491829</v>
      </c>
      <c r="V73">
        <f t="shared" si="39"/>
        <v>23.959867920006271</v>
      </c>
      <c r="W73">
        <f t="shared" si="39"/>
        <v>31.78858421286354</v>
      </c>
      <c r="X73">
        <f t="shared" si="39"/>
        <v>27.116305698553365</v>
      </c>
      <c r="Y73">
        <f t="shared" si="39"/>
        <v>0.25494319533992055</v>
      </c>
      <c r="Z73">
        <f t="shared" si="39"/>
        <v>26.062795635815732</v>
      </c>
      <c r="AA73">
        <f t="shared" si="39"/>
        <v>51.29210490963505</v>
      </c>
      <c r="AB73">
        <f t="shared" si="39"/>
        <v>0.54920061730935854</v>
      </c>
      <c r="AC73">
        <f t="shared" si="39"/>
        <v>22.259780373498767</v>
      </c>
      <c r="AD73">
        <f t="shared" si="39"/>
        <v>4.8348744868000493</v>
      </c>
      <c r="AE73">
        <f t="shared" si="39"/>
        <v>62.799243196153498</v>
      </c>
    </row>
    <row r="74" spans="1:31" x14ac:dyDescent="0.25">
      <c r="A74" t="s">
        <v>33</v>
      </c>
      <c r="B74">
        <f t="shared" si="32"/>
        <v>3.0399435529938761</v>
      </c>
      <c r="C74">
        <f t="shared" si="32"/>
        <v>3.9397565877499807</v>
      </c>
      <c r="D74">
        <f t="shared" si="32"/>
        <v>2.1606755630727035</v>
      </c>
      <c r="E74">
        <f t="shared" si="32"/>
        <v>19.929476579030684</v>
      </c>
      <c r="F74">
        <f t="shared" si="32"/>
        <v>0.96461214778295001</v>
      </c>
      <c r="G74">
        <f t="shared" si="32"/>
        <v>0.55380073298354537</v>
      </c>
      <c r="H74">
        <f t="shared" si="32"/>
        <v>0.23998655260843726</v>
      </c>
      <c r="I74">
        <f t="shared" si="32"/>
        <v>0</v>
      </c>
      <c r="J74">
        <f t="shared" si="32"/>
        <v>0</v>
      </c>
      <c r="K74">
        <f t="shared" si="32"/>
        <v>19.392830968039345</v>
      </c>
      <c r="L74">
        <f t="shared" si="32"/>
        <v>0.54247018478215037</v>
      </c>
      <c r="M74">
        <f t="shared" si="32"/>
        <v>0.13741377036677035</v>
      </c>
      <c r="N74">
        <f t="shared" si="32"/>
        <v>47.489809310518744</v>
      </c>
      <c r="O74">
        <f t="shared" si="32"/>
        <v>18.793354258089153</v>
      </c>
      <c r="P74">
        <f t="shared" si="32"/>
        <v>0.53558330428573453</v>
      </c>
      <c r="Q74">
        <f t="shared" si="32"/>
        <v>3.1981507142635341</v>
      </c>
      <c r="R74">
        <f t="shared" ref="R74:AE74" si="40">(R10-R42)^2</f>
        <v>24.052170081596135</v>
      </c>
      <c r="S74">
        <f t="shared" si="40"/>
        <v>19.042206939429629</v>
      </c>
      <c r="T74">
        <f t="shared" si="40"/>
        <v>12.090554041671403</v>
      </c>
      <c r="U74">
        <f t="shared" si="40"/>
        <v>17.362032100402836</v>
      </c>
      <c r="V74">
        <f t="shared" si="40"/>
        <v>1.5293505666611011</v>
      </c>
      <c r="W74">
        <f t="shared" si="40"/>
        <v>17.37060716262399</v>
      </c>
      <c r="X74">
        <f t="shared" si="40"/>
        <v>5.9674321013837579</v>
      </c>
      <c r="Y74">
        <f t="shared" si="40"/>
        <v>0</v>
      </c>
      <c r="Z74">
        <f t="shared" si="40"/>
        <v>57.847786546084883</v>
      </c>
      <c r="AA74">
        <f t="shared" si="40"/>
        <v>15.695191384886355</v>
      </c>
      <c r="AB74">
        <f t="shared" si="40"/>
        <v>34.1081637577621</v>
      </c>
      <c r="AC74">
        <f t="shared" si="40"/>
        <v>0.73309995320246779</v>
      </c>
      <c r="AD74">
        <f t="shared" si="40"/>
        <v>0.92646420995461076</v>
      </c>
      <c r="AE74">
        <f t="shared" si="40"/>
        <v>2.1425742872652229</v>
      </c>
    </row>
    <row r="75" spans="1:31" x14ac:dyDescent="0.25">
      <c r="A75" t="s">
        <v>36</v>
      </c>
      <c r="B75">
        <f t="shared" si="32"/>
        <v>7.8326651023086118</v>
      </c>
      <c r="C75">
        <f t="shared" si="32"/>
        <v>2.3126961520798859</v>
      </c>
      <c r="D75">
        <f t="shared" si="32"/>
        <v>4.0107527421245441</v>
      </c>
      <c r="E75">
        <f t="shared" si="32"/>
        <v>57.773308641021195</v>
      </c>
      <c r="F75">
        <f t="shared" si="32"/>
        <v>4.0283826910575762</v>
      </c>
      <c r="G75">
        <f t="shared" si="32"/>
        <v>3.1465710702407121</v>
      </c>
      <c r="H75">
        <f t="shared" si="32"/>
        <v>37.60289645130964</v>
      </c>
      <c r="I75">
        <f t="shared" si="32"/>
        <v>42.814069170994536</v>
      </c>
      <c r="J75">
        <f t="shared" si="32"/>
        <v>21.1257051614053</v>
      </c>
      <c r="K75">
        <f t="shared" si="32"/>
        <v>0</v>
      </c>
      <c r="L75">
        <f t="shared" si="32"/>
        <v>58.540056143216653</v>
      </c>
      <c r="M75">
        <f t="shared" si="32"/>
        <v>5.1633594609732976</v>
      </c>
      <c r="N75">
        <f t="shared" si="32"/>
        <v>3.5569824203272384</v>
      </c>
      <c r="O75">
        <f t="shared" si="32"/>
        <v>20.742925564991562</v>
      </c>
      <c r="P75">
        <f t="shared" si="32"/>
        <v>11.048373393952486</v>
      </c>
      <c r="Q75">
        <f t="shared" si="32"/>
        <v>63.597259768952014</v>
      </c>
      <c r="R75">
        <f t="shared" ref="R75:AE75" si="41">(R11-R43)^2</f>
        <v>30.386561198436418</v>
      </c>
      <c r="S75">
        <f t="shared" si="41"/>
        <v>28.854675619851509</v>
      </c>
      <c r="T75">
        <f t="shared" si="41"/>
        <v>34.05283917332185</v>
      </c>
      <c r="U75">
        <f t="shared" si="41"/>
        <v>120.01085171888232</v>
      </c>
      <c r="V75">
        <f t="shared" si="41"/>
        <v>9.1941993108064093</v>
      </c>
      <c r="W75">
        <f t="shared" si="41"/>
        <v>17.032580594748161</v>
      </c>
      <c r="X75">
        <f t="shared" si="41"/>
        <v>126.18964559348188</v>
      </c>
      <c r="Y75">
        <f t="shared" si="41"/>
        <v>10.913726846416449</v>
      </c>
      <c r="Z75">
        <f t="shared" si="41"/>
        <v>25.139429488159418</v>
      </c>
      <c r="AA75">
        <f t="shared" si="41"/>
        <v>8.2187549424887187</v>
      </c>
      <c r="AB75">
        <f t="shared" si="41"/>
        <v>119.73534816466362</v>
      </c>
      <c r="AC75">
        <f t="shared" si="41"/>
        <v>126.54278646172725</v>
      </c>
      <c r="AD75">
        <f t="shared" si="41"/>
        <v>12.721180251533777</v>
      </c>
      <c r="AE75">
        <f t="shared" si="41"/>
        <v>89.750300172486376</v>
      </c>
    </row>
    <row r="76" spans="1:31" x14ac:dyDescent="0.25">
      <c r="A76" t="s">
        <v>16</v>
      </c>
      <c r="B76">
        <f t="shared" si="32"/>
        <v>14.466910379179602</v>
      </c>
      <c r="C76">
        <f t="shared" si="32"/>
        <v>20.673720901576029</v>
      </c>
      <c r="D76">
        <f t="shared" si="32"/>
        <v>24.895809644832898</v>
      </c>
      <c r="E76">
        <f t="shared" si="32"/>
        <v>53.621274988928086</v>
      </c>
      <c r="F76">
        <f t="shared" si="32"/>
        <v>0.25005620444035537</v>
      </c>
      <c r="G76">
        <f t="shared" si="32"/>
        <v>12.501280256959674</v>
      </c>
      <c r="H76">
        <f t="shared" si="32"/>
        <v>0.24886792758679641</v>
      </c>
      <c r="I76">
        <f t="shared" si="32"/>
        <v>25.16146746421142</v>
      </c>
      <c r="J76">
        <f t="shared" si="32"/>
        <v>0.58289292588411545</v>
      </c>
      <c r="K76">
        <f t="shared" si="32"/>
        <v>57.742561227148649</v>
      </c>
      <c r="L76">
        <f t="shared" si="32"/>
        <v>0</v>
      </c>
      <c r="M76">
        <f t="shared" si="32"/>
        <v>30.643514680408487</v>
      </c>
      <c r="N76">
        <f t="shared" si="32"/>
        <v>9.8132538650414851</v>
      </c>
      <c r="O76">
        <f t="shared" si="32"/>
        <v>15.40768620817974</v>
      </c>
      <c r="P76">
        <f t="shared" si="32"/>
        <v>2.6076872889819582</v>
      </c>
      <c r="Q76">
        <f t="shared" si="32"/>
        <v>173.25953605007356</v>
      </c>
      <c r="R76">
        <f t="shared" ref="R76:AE76" si="42">(R12-R44)^2</f>
        <v>24.941309246749189</v>
      </c>
      <c r="S76">
        <f t="shared" si="42"/>
        <v>20.890280969041527</v>
      </c>
      <c r="T76">
        <f t="shared" si="42"/>
        <v>12.531825962217765</v>
      </c>
      <c r="U76">
        <f t="shared" si="42"/>
        <v>49.49139772627003</v>
      </c>
      <c r="V76">
        <f t="shared" si="42"/>
        <v>9.1319226793207626</v>
      </c>
      <c r="W76">
        <f t="shared" si="42"/>
        <v>2.3793259974515411</v>
      </c>
      <c r="X76">
        <f t="shared" si="42"/>
        <v>8.9119582243647066</v>
      </c>
      <c r="Y76">
        <f t="shared" si="42"/>
        <v>1.6035844982542569E-2</v>
      </c>
      <c r="Z76">
        <f t="shared" si="42"/>
        <v>2.7741986117660329E-2</v>
      </c>
      <c r="AA76">
        <f t="shared" si="42"/>
        <v>0</v>
      </c>
      <c r="AB76">
        <f t="shared" si="42"/>
        <v>12.038540583838422</v>
      </c>
      <c r="AC76">
        <f t="shared" si="42"/>
        <v>22.404522027580864</v>
      </c>
      <c r="AD76">
        <f t="shared" si="42"/>
        <v>17.364315614172163</v>
      </c>
      <c r="AE76">
        <f t="shared" si="42"/>
        <v>3.0246343972433354</v>
      </c>
    </row>
    <row r="77" spans="1:31" x14ac:dyDescent="0.25">
      <c r="A77" t="s">
        <v>20</v>
      </c>
      <c r="B77">
        <f t="shared" si="32"/>
        <v>57.130296547109879</v>
      </c>
      <c r="C77">
        <f t="shared" si="32"/>
        <v>1.7917606759639462</v>
      </c>
      <c r="D77">
        <f t="shared" si="32"/>
        <v>3.9317399281216905</v>
      </c>
      <c r="E77">
        <f t="shared" si="32"/>
        <v>2.6593443852420187</v>
      </c>
      <c r="F77">
        <f t="shared" si="32"/>
        <v>0.24682466728426675</v>
      </c>
      <c r="G77">
        <f t="shared" si="32"/>
        <v>0.25186404260475309</v>
      </c>
      <c r="H77">
        <f t="shared" si="32"/>
        <v>15.721226803231799</v>
      </c>
      <c r="I77">
        <f t="shared" si="32"/>
        <v>35.765714670782479</v>
      </c>
      <c r="J77">
        <f t="shared" si="32"/>
        <v>0.14387331920765437</v>
      </c>
      <c r="K77">
        <f t="shared" si="32"/>
        <v>4.9626353579289972</v>
      </c>
      <c r="L77">
        <f t="shared" si="32"/>
        <v>29.859028372349904</v>
      </c>
      <c r="M77">
        <f t="shared" si="32"/>
        <v>0</v>
      </c>
      <c r="N77">
        <f t="shared" si="32"/>
        <v>5.0215990723224984</v>
      </c>
      <c r="O77">
        <f t="shared" si="32"/>
        <v>19.24365446517357</v>
      </c>
      <c r="P77">
        <f t="shared" si="32"/>
        <v>24.367100232640411</v>
      </c>
      <c r="Q77">
        <f t="shared" si="32"/>
        <v>21.976870345408013</v>
      </c>
      <c r="R77">
        <f t="shared" ref="R77:AE77" si="43">(R13-R45)^2</f>
        <v>1.5386609893208223E-2</v>
      </c>
      <c r="S77">
        <f t="shared" si="43"/>
        <v>1.6842644325177447</v>
      </c>
      <c r="T77">
        <f t="shared" si="43"/>
        <v>39.450544854789129</v>
      </c>
      <c r="U77">
        <f t="shared" si="43"/>
        <v>63.233165274347634</v>
      </c>
      <c r="V77">
        <f t="shared" si="43"/>
        <v>6.26024239603611E-2</v>
      </c>
      <c r="W77">
        <f t="shared" si="43"/>
        <v>84.57973836740895</v>
      </c>
      <c r="X77">
        <f t="shared" si="43"/>
        <v>26.938407633624415</v>
      </c>
      <c r="Y77">
        <f t="shared" si="43"/>
        <v>73.203783142489172</v>
      </c>
      <c r="Z77">
        <f t="shared" si="43"/>
        <v>15.772723743465702</v>
      </c>
      <c r="AA77">
        <f t="shared" si="43"/>
        <v>4.0153168804216701</v>
      </c>
      <c r="AB77">
        <f t="shared" si="43"/>
        <v>2.1823366613063211</v>
      </c>
      <c r="AC77">
        <f t="shared" si="43"/>
        <v>52.708645920919842</v>
      </c>
      <c r="AD77">
        <f t="shared" si="43"/>
        <v>13.340826501967902</v>
      </c>
      <c r="AE77">
        <f t="shared" si="43"/>
        <v>0.13708018941096062</v>
      </c>
    </row>
    <row r="78" spans="1:31" x14ac:dyDescent="0.25">
      <c r="A78" t="s">
        <v>41</v>
      </c>
      <c r="B78">
        <f t="shared" si="32"/>
        <v>9.2144162336247017</v>
      </c>
      <c r="C78">
        <f t="shared" si="32"/>
        <v>86.932258488327605</v>
      </c>
      <c r="D78">
        <f t="shared" si="32"/>
        <v>29.977062167226364</v>
      </c>
      <c r="E78">
        <f t="shared" si="32"/>
        <v>49.746240008182674</v>
      </c>
      <c r="F78">
        <f t="shared" si="32"/>
        <v>2.239557609990368</v>
      </c>
      <c r="G78">
        <f t="shared" si="32"/>
        <v>16.249568389244494</v>
      </c>
      <c r="H78">
        <f t="shared" si="32"/>
        <v>1.3483404488287327</v>
      </c>
      <c r="I78">
        <f t="shared" si="32"/>
        <v>8.2786654624315812</v>
      </c>
      <c r="J78">
        <f t="shared" si="32"/>
        <v>50.533828580595021</v>
      </c>
      <c r="K78">
        <f t="shared" si="32"/>
        <v>3.4745094212930177</v>
      </c>
      <c r="L78">
        <f t="shared" si="32"/>
        <v>9.7181120002313417</v>
      </c>
      <c r="M78">
        <f t="shared" si="32"/>
        <v>5.1035668217998316</v>
      </c>
      <c r="N78">
        <f t="shared" si="32"/>
        <v>0</v>
      </c>
      <c r="O78">
        <f t="shared" si="32"/>
        <v>63.256697019523564</v>
      </c>
      <c r="P78">
        <f t="shared" si="32"/>
        <v>0.75237352788671752</v>
      </c>
      <c r="Q78">
        <f t="shared" si="32"/>
        <v>0.55240277637558022</v>
      </c>
      <c r="R78">
        <f t="shared" ref="R78:AE78" si="44">(R14-R46)^2</f>
        <v>6.2049548787256457E-2</v>
      </c>
      <c r="S78">
        <f t="shared" si="44"/>
        <v>58.420794475015619</v>
      </c>
      <c r="T78">
        <f t="shared" si="44"/>
        <v>13.687596094302828</v>
      </c>
      <c r="U78">
        <f t="shared" si="44"/>
        <v>158.32865985577803</v>
      </c>
      <c r="V78">
        <f t="shared" si="44"/>
        <v>1.7951241715086779</v>
      </c>
      <c r="W78">
        <f t="shared" si="44"/>
        <v>177.86886960427185</v>
      </c>
      <c r="X78">
        <f t="shared" si="44"/>
        <v>200.0929765912704</v>
      </c>
      <c r="Y78">
        <f t="shared" si="44"/>
        <v>32.316652388035749</v>
      </c>
      <c r="Z78">
        <f t="shared" si="44"/>
        <v>1.2578405431210358</v>
      </c>
      <c r="AA78">
        <f t="shared" si="44"/>
        <v>2.6721978364721455</v>
      </c>
      <c r="AB78">
        <f t="shared" si="44"/>
        <v>25.685558291099991</v>
      </c>
      <c r="AC78">
        <f t="shared" si="44"/>
        <v>48.419352925262665</v>
      </c>
      <c r="AD78">
        <f t="shared" si="44"/>
        <v>14.363616193146044</v>
      </c>
      <c r="AE78">
        <f t="shared" si="44"/>
        <v>2.2113019294243754</v>
      </c>
    </row>
    <row r="79" spans="1:31" x14ac:dyDescent="0.25">
      <c r="A79" t="s">
        <v>17</v>
      </c>
      <c r="B79">
        <f t="shared" si="32"/>
        <v>0</v>
      </c>
      <c r="C79">
        <f t="shared" si="32"/>
        <v>19.128541634835308</v>
      </c>
      <c r="D79">
        <f t="shared" si="32"/>
        <v>6.4592098323466711</v>
      </c>
      <c r="E79">
        <f t="shared" si="32"/>
        <v>12.963249077302402</v>
      </c>
      <c r="F79">
        <f t="shared" si="32"/>
        <v>14.59612631485461</v>
      </c>
      <c r="G79">
        <f t="shared" si="32"/>
        <v>32.022664679617229</v>
      </c>
      <c r="H79">
        <f t="shared" si="32"/>
        <v>56.191294204499656</v>
      </c>
      <c r="I79">
        <f t="shared" si="32"/>
        <v>11.895164831896139</v>
      </c>
      <c r="J79">
        <f t="shared" si="32"/>
        <v>21.761009812847174</v>
      </c>
      <c r="K79">
        <f t="shared" si="32"/>
        <v>22.048281804842869</v>
      </c>
      <c r="L79">
        <f t="shared" si="32"/>
        <v>16.603485160049111</v>
      </c>
      <c r="M79">
        <f t="shared" si="32"/>
        <v>21.281992586029734</v>
      </c>
      <c r="N79">
        <f t="shared" si="32"/>
        <v>68.833440686854885</v>
      </c>
      <c r="O79">
        <f t="shared" si="32"/>
        <v>0</v>
      </c>
      <c r="P79">
        <f t="shared" si="32"/>
        <v>7.062983800221776</v>
      </c>
      <c r="Q79">
        <f t="shared" si="32"/>
        <v>5.1858088389299244</v>
      </c>
      <c r="R79">
        <f t="shared" ref="R79:AE79" si="45">(R15-R47)^2</f>
        <v>0</v>
      </c>
      <c r="S79">
        <f t="shared" si="45"/>
        <v>3.9750697578866006</v>
      </c>
      <c r="T79">
        <f t="shared" si="45"/>
        <v>61.695236755706482</v>
      </c>
      <c r="U79">
        <f t="shared" si="45"/>
        <v>22.069961803758584</v>
      </c>
      <c r="V79">
        <f t="shared" si="45"/>
        <v>9.4737735345629037</v>
      </c>
      <c r="W79">
        <f t="shared" si="45"/>
        <v>8.2900342556662849</v>
      </c>
      <c r="X79">
        <f t="shared" si="45"/>
        <v>16.444075770652834</v>
      </c>
      <c r="Y79">
        <f t="shared" si="45"/>
        <v>41.581406970157175</v>
      </c>
      <c r="Z79">
        <f t="shared" si="45"/>
        <v>62.249116303755166</v>
      </c>
      <c r="AA79">
        <f t="shared" si="45"/>
        <v>18.313982790933217</v>
      </c>
      <c r="AB79">
        <f t="shared" si="45"/>
        <v>21.821328946383399</v>
      </c>
      <c r="AC79">
        <f t="shared" si="45"/>
        <v>1.0305869942460604</v>
      </c>
      <c r="AD79">
        <f t="shared" si="45"/>
        <v>4.6866238259685238</v>
      </c>
      <c r="AE79">
        <f t="shared" si="45"/>
        <v>31.010023267640012</v>
      </c>
    </row>
    <row r="80" spans="1:31" x14ac:dyDescent="0.25">
      <c r="A80" t="s">
        <v>28</v>
      </c>
      <c r="B80">
        <f t="shared" si="32"/>
        <v>1.041484707232146</v>
      </c>
      <c r="C80">
        <f t="shared" si="32"/>
        <v>25.840106249753312</v>
      </c>
      <c r="D80">
        <f t="shared" si="32"/>
        <v>12.352387083187601</v>
      </c>
      <c r="E80">
        <f t="shared" si="32"/>
        <v>4.1312728679423492</v>
      </c>
      <c r="F80">
        <f t="shared" si="32"/>
        <v>1.012777950391615</v>
      </c>
      <c r="G80">
        <f t="shared" si="32"/>
        <v>83.68838635409287</v>
      </c>
      <c r="H80">
        <f t="shared" si="32"/>
        <v>15.135677875176095</v>
      </c>
      <c r="I80">
        <f t="shared" si="32"/>
        <v>4.0762015607331898</v>
      </c>
      <c r="J80">
        <f t="shared" si="32"/>
        <v>0.59007658861128431</v>
      </c>
      <c r="K80">
        <f t="shared" si="32"/>
        <v>11.174026451040739</v>
      </c>
      <c r="L80">
        <f t="shared" si="32"/>
        <v>2.6737694257541542</v>
      </c>
      <c r="M80">
        <f t="shared" si="32"/>
        <v>25.64101404942253</v>
      </c>
      <c r="N80">
        <f t="shared" si="32"/>
        <v>0.77899215395059329</v>
      </c>
      <c r="O80">
        <f t="shared" si="32"/>
        <v>6.7203953041347102</v>
      </c>
      <c r="P80">
        <f t="shared" si="32"/>
        <v>0</v>
      </c>
      <c r="Q80">
        <f t="shared" si="32"/>
        <v>35.976662626351612</v>
      </c>
      <c r="R80">
        <f t="shared" ref="R80:AE80" si="46">(R16-R48)^2</f>
        <v>9.0917053562503707</v>
      </c>
      <c r="S80">
        <f t="shared" si="46"/>
        <v>1.5033360185041378</v>
      </c>
      <c r="T80">
        <f t="shared" si="46"/>
        <v>15.55165990568743</v>
      </c>
      <c r="U80">
        <f t="shared" si="46"/>
        <v>110.21710849048993</v>
      </c>
      <c r="V80">
        <f t="shared" si="46"/>
        <v>0.40128903387379822</v>
      </c>
      <c r="W80">
        <f t="shared" si="46"/>
        <v>24.15026475129255</v>
      </c>
      <c r="X80">
        <f t="shared" si="46"/>
        <v>33.152034793250557</v>
      </c>
      <c r="Y80">
        <f t="shared" si="46"/>
        <v>16.62409651637503</v>
      </c>
      <c r="Z80">
        <f t="shared" si="46"/>
        <v>18.265797358943242</v>
      </c>
      <c r="AA80">
        <f t="shared" si="46"/>
        <v>1.9464320753884312</v>
      </c>
      <c r="AB80">
        <f t="shared" si="46"/>
        <v>3.4986832549048126</v>
      </c>
      <c r="AC80">
        <f t="shared" si="46"/>
        <v>0.25137654503329793</v>
      </c>
      <c r="AD80">
        <f t="shared" si="46"/>
        <v>0.5476784172257243</v>
      </c>
      <c r="AE80">
        <f t="shared" si="46"/>
        <v>52.568274821759942</v>
      </c>
    </row>
    <row r="81" spans="1:31" x14ac:dyDescent="0.25">
      <c r="A81" t="s">
        <v>24</v>
      </c>
      <c r="B81">
        <f t="shared" si="32"/>
        <v>21.103460678560175</v>
      </c>
      <c r="C81">
        <f t="shared" si="32"/>
        <v>10.924406505658521</v>
      </c>
      <c r="D81">
        <f t="shared" si="32"/>
        <v>6.9527046494029232</v>
      </c>
      <c r="E81">
        <f t="shared" si="32"/>
        <v>0.14533271193769975</v>
      </c>
      <c r="F81">
        <f t="shared" si="32"/>
        <v>8.1355950268854578</v>
      </c>
      <c r="G81">
        <f t="shared" si="32"/>
        <v>7.8184824213800184</v>
      </c>
      <c r="H81">
        <f t="shared" si="32"/>
        <v>9.077816185088853</v>
      </c>
      <c r="I81">
        <f t="shared" si="32"/>
        <v>0.57358403244426204</v>
      </c>
      <c r="J81">
        <f t="shared" si="32"/>
        <v>3.5281207730718687</v>
      </c>
      <c r="K81">
        <f t="shared" si="32"/>
        <v>64.40401141898711</v>
      </c>
      <c r="L81">
        <f t="shared" si="32"/>
        <v>177.88066855342487</v>
      </c>
      <c r="M81">
        <f t="shared" si="32"/>
        <v>23.155830188170079</v>
      </c>
      <c r="N81">
        <f t="shared" si="32"/>
        <v>0.57268867197111162</v>
      </c>
      <c r="O81">
        <f t="shared" si="32"/>
        <v>4.9406748810041101</v>
      </c>
      <c r="P81">
        <f t="shared" si="32"/>
        <v>36.02334494044856</v>
      </c>
      <c r="Q81">
        <f t="shared" si="32"/>
        <v>0</v>
      </c>
      <c r="R81">
        <f t="shared" ref="R81:AE81" si="47">(R17-R49)^2</f>
        <v>24.023273644035459</v>
      </c>
      <c r="S81">
        <f t="shared" si="47"/>
        <v>5.5949306768837914</v>
      </c>
      <c r="T81">
        <f t="shared" si="47"/>
        <v>16.581731295760786</v>
      </c>
      <c r="U81">
        <f t="shared" si="47"/>
        <v>53.683736612437514</v>
      </c>
      <c r="V81">
        <f t="shared" si="47"/>
        <v>43.431185959577562</v>
      </c>
      <c r="W81">
        <f t="shared" si="47"/>
        <v>4.2841677230856492</v>
      </c>
      <c r="X81">
        <f t="shared" si="47"/>
        <v>13.184743243432008</v>
      </c>
      <c r="Y81">
        <f t="shared" si="47"/>
        <v>34.373982786511561</v>
      </c>
      <c r="Z81">
        <f t="shared" si="47"/>
        <v>9.1071657403474138</v>
      </c>
      <c r="AA81">
        <f t="shared" si="47"/>
        <v>46.93737658067905</v>
      </c>
      <c r="AB81">
        <f t="shared" si="47"/>
        <v>17.987141767404989</v>
      </c>
      <c r="AC81">
        <f t="shared" si="47"/>
        <v>1.5721194183809912</v>
      </c>
      <c r="AD81">
        <f t="shared" si="47"/>
        <v>10.290941095071986</v>
      </c>
      <c r="AE81">
        <f t="shared" si="47"/>
        <v>2.6426275760161491</v>
      </c>
    </row>
    <row r="82" spans="1:31" x14ac:dyDescent="0.25">
      <c r="A82" t="s">
        <v>19</v>
      </c>
      <c r="B82">
        <f t="shared" si="32"/>
        <v>1.6111585489799053E-2</v>
      </c>
      <c r="C82">
        <f t="shared" si="32"/>
        <v>15.365474651181124</v>
      </c>
      <c r="D82">
        <f t="shared" ref="D82:AE82" si="48">(D18-D50)^2</f>
        <v>1.3586309902539802</v>
      </c>
      <c r="E82">
        <f t="shared" si="48"/>
        <v>2.8403245153620776E-2</v>
      </c>
      <c r="F82">
        <f t="shared" si="48"/>
        <v>13.174468292156789</v>
      </c>
      <c r="G82">
        <f t="shared" si="48"/>
        <v>1.5982605580904992</v>
      </c>
      <c r="H82">
        <f t="shared" si="48"/>
        <v>38.977217541350498</v>
      </c>
      <c r="I82">
        <f t="shared" si="48"/>
        <v>0.56745935309525264</v>
      </c>
      <c r="J82">
        <f t="shared" si="48"/>
        <v>25.966146446021774</v>
      </c>
      <c r="K82">
        <f t="shared" si="48"/>
        <v>30.11374635502963</v>
      </c>
      <c r="L82">
        <f t="shared" si="48"/>
        <v>25.058759726326567</v>
      </c>
      <c r="M82">
        <f t="shared" si="48"/>
        <v>1.5865222668299622E-2</v>
      </c>
      <c r="N82">
        <f t="shared" si="48"/>
        <v>6.2952080339147828E-2</v>
      </c>
      <c r="O82">
        <f t="shared" si="48"/>
        <v>0</v>
      </c>
      <c r="P82">
        <f t="shared" si="48"/>
        <v>8.908759493592175</v>
      </c>
      <c r="Q82">
        <f t="shared" si="48"/>
        <v>23.509365450671741</v>
      </c>
      <c r="R82">
        <f t="shared" si="48"/>
        <v>0</v>
      </c>
      <c r="S82">
        <f t="shared" si="48"/>
        <v>65.700024059659157</v>
      </c>
      <c r="T82">
        <f t="shared" si="48"/>
        <v>9.2284480275322434</v>
      </c>
      <c r="U82">
        <f t="shared" si="48"/>
        <v>24.790841043841056</v>
      </c>
      <c r="V82">
        <f t="shared" si="48"/>
        <v>2.2883073103007341</v>
      </c>
      <c r="W82">
        <f t="shared" si="48"/>
        <v>6.6243322065550309E-2</v>
      </c>
      <c r="X82">
        <f t="shared" si="48"/>
        <v>52.171246248890355</v>
      </c>
      <c r="Y82">
        <f t="shared" si="48"/>
        <v>1.0286747070667057</v>
      </c>
      <c r="Z82">
        <f t="shared" si="48"/>
        <v>0</v>
      </c>
      <c r="AA82">
        <f t="shared" si="48"/>
        <v>18.409886728234003</v>
      </c>
      <c r="AB82">
        <f t="shared" si="48"/>
        <v>4.9869061520679949</v>
      </c>
      <c r="AC82">
        <f t="shared" si="48"/>
        <v>39.924206891074711</v>
      </c>
      <c r="AD82">
        <f t="shared" si="48"/>
        <v>4.8784776703544406</v>
      </c>
      <c r="AE82">
        <f t="shared" si="48"/>
        <v>7.0397971247685733</v>
      </c>
    </row>
    <row r="83" spans="1:31" x14ac:dyDescent="0.25">
      <c r="A83" t="s">
        <v>29</v>
      </c>
      <c r="B83">
        <f t="shared" si="32"/>
        <v>33.841097764687419</v>
      </c>
      <c r="C83">
        <f t="shared" ref="C83:AE83" si="49">(C19-C51)^2</f>
        <v>4.7210328438689393</v>
      </c>
      <c r="D83">
        <f t="shared" si="49"/>
        <v>0.90861386859535109</v>
      </c>
      <c r="E83">
        <f t="shared" si="49"/>
        <v>75.476105497138164</v>
      </c>
      <c r="F83">
        <f t="shared" si="49"/>
        <v>3.6512039690934652</v>
      </c>
      <c r="G83">
        <f t="shared" si="49"/>
        <v>79.757643636408289</v>
      </c>
      <c r="H83">
        <f t="shared" si="49"/>
        <v>46.649761857752495</v>
      </c>
      <c r="I83">
        <f t="shared" si="49"/>
        <v>5.7421600611547374</v>
      </c>
      <c r="J83">
        <f t="shared" si="49"/>
        <v>17.108665601103358</v>
      </c>
      <c r="K83">
        <f t="shared" si="49"/>
        <v>23.798251591133383</v>
      </c>
      <c r="L83">
        <f t="shared" si="49"/>
        <v>17.467478901918167</v>
      </c>
      <c r="M83">
        <f t="shared" si="49"/>
        <v>1.4453037443224763</v>
      </c>
      <c r="N83">
        <f t="shared" si="49"/>
        <v>49.326981362643444</v>
      </c>
      <c r="O83">
        <f t="shared" si="49"/>
        <v>3.0843870237285884</v>
      </c>
      <c r="P83">
        <f t="shared" si="49"/>
        <v>1.2259522816491528</v>
      </c>
      <c r="Q83">
        <f t="shared" si="49"/>
        <v>4.5566854502901464</v>
      </c>
      <c r="R83">
        <f t="shared" si="49"/>
        <v>54.67781484954287</v>
      </c>
      <c r="S83">
        <f t="shared" si="49"/>
        <v>0</v>
      </c>
      <c r="T83">
        <f t="shared" si="49"/>
        <v>118.27737454542506</v>
      </c>
      <c r="U83">
        <f t="shared" si="49"/>
        <v>19.335896938227343</v>
      </c>
      <c r="V83">
        <f t="shared" si="49"/>
        <v>63.06455443529461</v>
      </c>
      <c r="W83">
        <f t="shared" si="49"/>
        <v>29.266581809803107</v>
      </c>
      <c r="X83">
        <f t="shared" si="49"/>
        <v>16.315193474134066</v>
      </c>
      <c r="Y83">
        <f t="shared" si="49"/>
        <v>5.860481553622404</v>
      </c>
      <c r="Z83">
        <f t="shared" si="49"/>
        <v>7.5329456996792912</v>
      </c>
      <c r="AA83">
        <f t="shared" si="49"/>
        <v>122.81690257079306</v>
      </c>
      <c r="AB83">
        <f t="shared" si="49"/>
        <v>9.9570986656660487</v>
      </c>
      <c r="AC83">
        <f t="shared" si="49"/>
        <v>20.439657959622505</v>
      </c>
      <c r="AD83">
        <f t="shared" si="49"/>
        <v>17.734600109431639</v>
      </c>
      <c r="AE83">
        <f t="shared" si="49"/>
        <v>2.0268081757115115</v>
      </c>
    </row>
    <row r="84" spans="1:31" x14ac:dyDescent="0.25">
      <c r="A84" t="s">
        <v>12</v>
      </c>
      <c r="B84">
        <f t="shared" si="32"/>
        <v>2.2627976569941675</v>
      </c>
      <c r="C84">
        <f t="shared" ref="C84:AE84" si="50">(C20-C52)^2</f>
        <v>42.163032421181455</v>
      </c>
      <c r="D84">
        <f t="shared" si="50"/>
        <v>11.920918211507413</v>
      </c>
      <c r="E84">
        <f t="shared" si="50"/>
        <v>1.5580766193036617</v>
      </c>
      <c r="F84">
        <f t="shared" si="50"/>
        <v>107.76691182017476</v>
      </c>
      <c r="G84">
        <f t="shared" si="50"/>
        <v>0.24938360008135838</v>
      </c>
      <c r="H84">
        <f t="shared" si="50"/>
        <v>3.8911188145782223</v>
      </c>
      <c r="I84">
        <f t="shared" si="50"/>
        <v>12.049587360861779</v>
      </c>
      <c r="J84">
        <f t="shared" si="50"/>
        <v>12.410490440977586</v>
      </c>
      <c r="K84">
        <f t="shared" si="50"/>
        <v>32.086774849086581</v>
      </c>
      <c r="L84">
        <f t="shared" si="50"/>
        <v>11.971379146287203</v>
      </c>
      <c r="M84">
        <f t="shared" si="50"/>
        <v>38.676373039609011</v>
      </c>
      <c r="N84">
        <f t="shared" si="50"/>
        <v>13.203471912366862</v>
      </c>
      <c r="O84">
        <f t="shared" si="50"/>
        <v>54.69147454001812</v>
      </c>
      <c r="P84">
        <f t="shared" si="50"/>
        <v>14.488990847913811</v>
      </c>
      <c r="Q84">
        <f t="shared" si="50"/>
        <v>15.428656067382187</v>
      </c>
      <c r="R84">
        <f t="shared" si="50"/>
        <v>8.7744151098337841</v>
      </c>
      <c r="S84">
        <f t="shared" si="50"/>
        <v>135.1280657448448</v>
      </c>
      <c r="T84">
        <f t="shared" si="50"/>
        <v>0</v>
      </c>
      <c r="U84">
        <f t="shared" si="50"/>
        <v>0.91953286499653342</v>
      </c>
      <c r="V84">
        <f t="shared" si="50"/>
        <v>6.1984111462291283E-2</v>
      </c>
      <c r="W84">
        <f t="shared" si="50"/>
        <v>2.3267172871779715</v>
      </c>
      <c r="X84">
        <f t="shared" si="50"/>
        <v>6.0474186691418739</v>
      </c>
      <c r="Y84">
        <f t="shared" si="50"/>
        <v>8.053877796093996</v>
      </c>
      <c r="Z84">
        <f t="shared" si="50"/>
        <v>52.486135524392019</v>
      </c>
      <c r="AA84">
        <f t="shared" si="50"/>
        <v>1.8791401298339439</v>
      </c>
      <c r="AB84">
        <f t="shared" si="50"/>
        <v>3.840782602480822</v>
      </c>
      <c r="AC84">
        <f t="shared" si="50"/>
        <v>1.5161485198795575</v>
      </c>
      <c r="AD84">
        <f t="shared" si="50"/>
        <v>6.6777705994423622</v>
      </c>
      <c r="AE84">
        <f t="shared" si="50"/>
        <v>6.0314717415566301</v>
      </c>
    </row>
    <row r="85" spans="1:31" x14ac:dyDescent="0.25">
      <c r="A85" t="s">
        <v>31</v>
      </c>
      <c r="B85">
        <f t="shared" si="32"/>
        <v>2.4519426213523556</v>
      </c>
      <c r="C85">
        <f t="shared" ref="C85:AE85" si="51">(C21-C53)^2</f>
        <v>8.1803739176786703</v>
      </c>
      <c r="D85">
        <f t="shared" si="51"/>
        <v>14.848572154489485</v>
      </c>
      <c r="E85">
        <f t="shared" si="51"/>
        <v>16.230378225499969</v>
      </c>
      <c r="F85">
        <f t="shared" si="51"/>
        <v>109.60593794601515</v>
      </c>
      <c r="G85">
        <f t="shared" si="51"/>
        <v>7.6890956131035368</v>
      </c>
      <c r="H85">
        <f t="shared" si="51"/>
        <v>48.092464806993796</v>
      </c>
      <c r="I85">
        <f t="shared" si="51"/>
        <v>9.6014673681293381</v>
      </c>
      <c r="J85">
        <f t="shared" si="51"/>
        <v>21.005931381873069</v>
      </c>
      <c r="K85">
        <f t="shared" si="51"/>
        <v>133.28826147604067</v>
      </c>
      <c r="L85">
        <f t="shared" si="51"/>
        <v>55.726041716500291</v>
      </c>
      <c r="M85">
        <f t="shared" si="51"/>
        <v>73.069528083433795</v>
      </c>
      <c r="N85">
        <f t="shared" si="51"/>
        <v>180.01933220560318</v>
      </c>
      <c r="O85">
        <f t="shared" si="51"/>
        <v>23.060473730182618</v>
      </c>
      <c r="P85">
        <f t="shared" si="51"/>
        <v>121.0344627957907</v>
      </c>
      <c r="Q85">
        <f t="shared" si="51"/>
        <v>58.876177708759769</v>
      </c>
      <c r="R85">
        <f t="shared" si="51"/>
        <v>27.7830174983844</v>
      </c>
      <c r="S85">
        <f t="shared" si="51"/>
        <v>26.037953847448197</v>
      </c>
      <c r="T85">
        <f t="shared" si="51"/>
        <v>1.0838418138371038</v>
      </c>
      <c r="U85">
        <f t="shared" si="51"/>
        <v>0</v>
      </c>
      <c r="V85">
        <f t="shared" si="51"/>
        <v>24.26057296303685</v>
      </c>
      <c r="W85">
        <f t="shared" si="51"/>
        <v>0</v>
      </c>
      <c r="X85">
        <f t="shared" si="51"/>
        <v>1.3290586924977954</v>
      </c>
      <c r="Y85">
        <f t="shared" si="51"/>
        <v>32.88842098906585</v>
      </c>
      <c r="Z85">
        <f t="shared" si="51"/>
        <v>44.736864890552617</v>
      </c>
      <c r="AA85">
        <f t="shared" si="51"/>
        <v>6.7345445645431381</v>
      </c>
      <c r="AB85">
        <f t="shared" si="51"/>
        <v>126.13296583595861</v>
      </c>
      <c r="AC85">
        <f t="shared" si="51"/>
        <v>11.994124028840469</v>
      </c>
      <c r="AD85">
        <f t="shared" si="51"/>
        <v>3.1249346458470924</v>
      </c>
      <c r="AE85">
        <f t="shared" si="51"/>
        <v>40.916525533194516</v>
      </c>
    </row>
    <row r="86" spans="1:31" x14ac:dyDescent="0.25">
      <c r="A86" t="s">
        <v>38</v>
      </c>
      <c r="B86">
        <f t="shared" si="32"/>
        <v>0.25349989904551867</v>
      </c>
      <c r="C86">
        <f t="shared" ref="C86:AE86" si="52">(C22-C54)^2</f>
        <v>68.485952819689075</v>
      </c>
      <c r="D86">
        <f t="shared" si="52"/>
        <v>22.140845417926883</v>
      </c>
      <c r="E86">
        <f t="shared" si="52"/>
        <v>56.556324904000839</v>
      </c>
      <c r="F86">
        <f t="shared" si="52"/>
        <v>2.2177614112301085</v>
      </c>
      <c r="G86">
        <f t="shared" si="52"/>
        <v>6.2863290676232433E-2</v>
      </c>
      <c r="H86">
        <f t="shared" si="52"/>
        <v>6.1309606423541892E-2</v>
      </c>
      <c r="I86">
        <f t="shared" si="52"/>
        <v>23.572172652618868</v>
      </c>
      <c r="J86">
        <f t="shared" si="52"/>
        <v>1.5960048568913869</v>
      </c>
      <c r="K86">
        <f t="shared" si="52"/>
        <v>8.8078735721979182</v>
      </c>
      <c r="L86">
        <f t="shared" si="52"/>
        <v>8.8690371650350848</v>
      </c>
      <c r="M86">
        <f t="shared" si="52"/>
        <v>6.2397659896282778E-2</v>
      </c>
      <c r="N86">
        <f t="shared" si="52"/>
        <v>1.7605156010651064</v>
      </c>
      <c r="O86">
        <f t="shared" si="52"/>
        <v>8.5383787353048586</v>
      </c>
      <c r="P86">
        <f t="shared" si="52"/>
        <v>0.38010457612622051</v>
      </c>
      <c r="Q86">
        <f t="shared" si="52"/>
        <v>41.085098438810299</v>
      </c>
      <c r="R86">
        <f t="shared" si="52"/>
        <v>2.21201604289275</v>
      </c>
      <c r="S86">
        <f t="shared" si="52"/>
        <v>73.251012941946414</v>
      </c>
      <c r="T86">
        <f t="shared" si="52"/>
        <v>6.3018026498312132E-2</v>
      </c>
      <c r="U86">
        <f t="shared" si="52"/>
        <v>20.926029155545312</v>
      </c>
      <c r="V86">
        <f t="shared" si="52"/>
        <v>0</v>
      </c>
      <c r="W86">
        <f t="shared" si="52"/>
        <v>79.818077003375379</v>
      </c>
      <c r="X86">
        <f t="shared" si="52"/>
        <v>17.624278971658288</v>
      </c>
      <c r="Y86">
        <f t="shared" si="52"/>
        <v>19.361756535341609</v>
      </c>
      <c r="Z86">
        <f t="shared" si="52"/>
        <v>2.5988227456223609</v>
      </c>
      <c r="AA86">
        <f t="shared" si="52"/>
        <v>87.301766716106954</v>
      </c>
      <c r="AB86">
        <f t="shared" si="52"/>
        <v>2.1787091382637316</v>
      </c>
      <c r="AC86">
        <f t="shared" si="52"/>
        <v>3.9139941891909769</v>
      </c>
      <c r="AD86">
        <f t="shared" si="52"/>
        <v>5.9192953258651843E-2</v>
      </c>
      <c r="AE86">
        <f t="shared" si="52"/>
        <v>4.926703861098928</v>
      </c>
    </row>
    <row r="87" spans="1:31" x14ac:dyDescent="0.25">
      <c r="A87" t="s">
        <v>13</v>
      </c>
      <c r="B87">
        <f t="shared" si="32"/>
        <v>8.7485895839787098</v>
      </c>
      <c r="C87">
        <f t="shared" ref="C87:AE87" si="53">(C23-C55)^2</f>
        <v>14.1720868825876</v>
      </c>
      <c r="D87">
        <f t="shared" si="53"/>
        <v>2.8790008634034701</v>
      </c>
      <c r="E87">
        <f t="shared" si="53"/>
        <v>1.5057700039671698</v>
      </c>
      <c r="F87">
        <f t="shared" si="53"/>
        <v>0</v>
      </c>
      <c r="G87">
        <f t="shared" si="53"/>
        <v>83.979628964017564</v>
      </c>
      <c r="H87">
        <f t="shared" si="53"/>
        <v>23.493295150338664</v>
      </c>
      <c r="I87">
        <f t="shared" si="53"/>
        <v>28.749579222393098</v>
      </c>
      <c r="J87">
        <f t="shared" si="53"/>
        <v>16.664307550995009</v>
      </c>
      <c r="K87">
        <f t="shared" si="53"/>
        <v>14.999705204867332</v>
      </c>
      <c r="L87">
        <f t="shared" si="53"/>
        <v>2.1242875908183487</v>
      </c>
      <c r="M87">
        <f t="shared" si="53"/>
        <v>77.497662555138533</v>
      </c>
      <c r="N87">
        <f t="shared" si="53"/>
        <v>160.35792995735383</v>
      </c>
      <c r="O87">
        <f t="shared" si="53"/>
        <v>6.8683727120146703</v>
      </c>
      <c r="P87">
        <f t="shared" si="53"/>
        <v>21.02871889701953</v>
      </c>
      <c r="Q87">
        <f t="shared" si="53"/>
        <v>3.7255828114006655</v>
      </c>
      <c r="R87">
        <f t="shared" si="53"/>
        <v>5.8865541234433681E-2</v>
      </c>
      <c r="S87">
        <f t="shared" si="53"/>
        <v>31.249668743026319</v>
      </c>
      <c r="T87">
        <f t="shared" si="53"/>
        <v>2.1745687777618921</v>
      </c>
      <c r="U87">
        <f t="shared" si="53"/>
        <v>0</v>
      </c>
      <c r="V87">
        <f t="shared" si="53"/>
        <v>73.374705904570604</v>
      </c>
      <c r="W87">
        <f t="shared" si="53"/>
        <v>0</v>
      </c>
      <c r="X87">
        <f t="shared" si="53"/>
        <v>2.5962006091081517E-2</v>
      </c>
      <c r="Y87">
        <f t="shared" si="53"/>
        <v>0.24241762021312754</v>
      </c>
      <c r="Z87">
        <f t="shared" si="53"/>
        <v>0.94287687100339668</v>
      </c>
      <c r="AA87">
        <f t="shared" si="53"/>
        <v>21.671399284890917</v>
      </c>
      <c r="AB87">
        <f t="shared" si="53"/>
        <v>11.360339115877414</v>
      </c>
      <c r="AC87">
        <f t="shared" si="53"/>
        <v>14.997294628565893</v>
      </c>
      <c r="AD87">
        <f t="shared" si="53"/>
        <v>0.22665763412160556</v>
      </c>
      <c r="AE87">
        <f t="shared" si="53"/>
        <v>13.108032019022103</v>
      </c>
    </row>
    <row r="88" spans="1:31" x14ac:dyDescent="0.25">
      <c r="A88" t="s">
        <v>21</v>
      </c>
      <c r="B88">
        <f t="shared" si="32"/>
        <v>16.61961352877201</v>
      </c>
      <c r="C88">
        <f t="shared" ref="C88:AE88" si="54">(C24-C56)^2</f>
        <v>15.47893919136526</v>
      </c>
      <c r="D88">
        <f t="shared" si="54"/>
        <v>54.697523575751717</v>
      </c>
      <c r="E88">
        <f t="shared" si="54"/>
        <v>3.4621812386835478</v>
      </c>
      <c r="F88">
        <f t="shared" si="54"/>
        <v>10.128621296023713</v>
      </c>
      <c r="G88">
        <f t="shared" si="54"/>
        <v>3.4634290813967117</v>
      </c>
      <c r="H88">
        <f t="shared" si="54"/>
        <v>226.18800979254425</v>
      </c>
      <c r="I88">
        <f t="shared" si="54"/>
        <v>28.012335431982653</v>
      </c>
      <c r="J88">
        <f t="shared" si="54"/>
        <v>6.5391040755368852</v>
      </c>
      <c r="K88">
        <f t="shared" si="54"/>
        <v>126.93590443343784</v>
      </c>
      <c r="L88">
        <f t="shared" si="54"/>
        <v>9.0884745256996986</v>
      </c>
      <c r="M88">
        <f t="shared" si="54"/>
        <v>28.193739110671583</v>
      </c>
      <c r="N88">
        <f t="shared" si="54"/>
        <v>206.05389633218763</v>
      </c>
      <c r="O88">
        <f t="shared" si="54"/>
        <v>15.562002766724188</v>
      </c>
      <c r="P88">
        <f t="shared" si="54"/>
        <v>32.973086275075168</v>
      </c>
      <c r="Q88">
        <f t="shared" si="54"/>
        <v>13.096580693644663</v>
      </c>
      <c r="R88">
        <f t="shared" si="54"/>
        <v>52.955215362455718</v>
      </c>
      <c r="S88">
        <f t="shared" si="54"/>
        <v>19.898673873787747</v>
      </c>
      <c r="T88">
        <f t="shared" si="54"/>
        <v>6.4559187776308367</v>
      </c>
      <c r="U88">
        <f t="shared" si="54"/>
        <v>1.2037423384736519</v>
      </c>
      <c r="V88">
        <f t="shared" si="54"/>
        <v>18.506102430504846</v>
      </c>
      <c r="W88">
        <f t="shared" si="54"/>
        <v>2.9654918679716889E-2</v>
      </c>
      <c r="X88">
        <f t="shared" si="54"/>
        <v>0</v>
      </c>
      <c r="Y88">
        <f t="shared" si="54"/>
        <v>114.24659875301209</v>
      </c>
      <c r="Z88">
        <f t="shared" si="54"/>
        <v>60.575176098266191</v>
      </c>
      <c r="AA88">
        <f t="shared" si="54"/>
        <v>61.670630858511743</v>
      </c>
      <c r="AB88">
        <f t="shared" si="54"/>
        <v>2.2330871613578029</v>
      </c>
      <c r="AC88">
        <f t="shared" si="54"/>
        <v>64.17883938770737</v>
      </c>
      <c r="AD88">
        <f t="shared" si="54"/>
        <v>32.103110336105715</v>
      </c>
      <c r="AE88">
        <f t="shared" si="54"/>
        <v>74.197606032397459</v>
      </c>
    </row>
    <row r="89" spans="1:31" x14ac:dyDescent="0.25">
      <c r="A89" t="s">
        <v>35</v>
      </c>
      <c r="B89">
        <f t="shared" si="32"/>
        <v>81.197048412207351</v>
      </c>
      <c r="C89">
        <f t="shared" ref="C89:AE89" si="55">(C25-C57)^2</f>
        <v>15.915184208806727</v>
      </c>
      <c r="D89">
        <f t="shared" si="55"/>
        <v>6.0620926923796753E-2</v>
      </c>
      <c r="E89">
        <f t="shared" si="55"/>
        <v>0.55908433975929717</v>
      </c>
      <c r="F89">
        <f t="shared" si="55"/>
        <v>6.0891811427734518E-2</v>
      </c>
      <c r="G89">
        <f t="shared" si="55"/>
        <v>0.55928952130783316</v>
      </c>
      <c r="H89">
        <f t="shared" si="55"/>
        <v>8.7262106171610974</v>
      </c>
      <c r="I89">
        <f t="shared" si="55"/>
        <v>0.24510519775828746</v>
      </c>
      <c r="J89">
        <f t="shared" si="55"/>
        <v>0</v>
      </c>
      <c r="K89">
        <f t="shared" si="55"/>
        <v>10.217017577319011</v>
      </c>
      <c r="L89">
        <f t="shared" si="55"/>
        <v>1.5219486546229745E-2</v>
      </c>
      <c r="M89">
        <f t="shared" si="55"/>
        <v>71.302471160715044</v>
      </c>
      <c r="N89">
        <f t="shared" si="55"/>
        <v>30.971743410122755</v>
      </c>
      <c r="O89">
        <f t="shared" si="55"/>
        <v>36.622290117702981</v>
      </c>
      <c r="P89">
        <f t="shared" si="55"/>
        <v>15.387843495589051</v>
      </c>
      <c r="Q89">
        <f t="shared" si="55"/>
        <v>31.776524916277264</v>
      </c>
      <c r="R89">
        <f t="shared" si="55"/>
        <v>0.97173062154281331</v>
      </c>
      <c r="S89">
        <f t="shared" si="55"/>
        <v>6.652050060395907</v>
      </c>
      <c r="T89">
        <f t="shared" si="55"/>
        <v>8.0017201189936085</v>
      </c>
      <c r="U89">
        <f t="shared" si="55"/>
        <v>27.721881214417706</v>
      </c>
      <c r="V89">
        <f t="shared" si="55"/>
        <v>18.920763504516263</v>
      </c>
      <c r="W89">
        <f t="shared" si="55"/>
        <v>0.25769914224467289</v>
      </c>
      <c r="X89">
        <f t="shared" si="55"/>
        <v>106.32455629985597</v>
      </c>
      <c r="Y89">
        <f t="shared" si="55"/>
        <v>0</v>
      </c>
      <c r="Z89">
        <f t="shared" si="55"/>
        <v>30.7792312039197</v>
      </c>
      <c r="AA89">
        <f t="shared" si="55"/>
        <v>28.6216344759445</v>
      </c>
      <c r="AB89">
        <f t="shared" si="55"/>
        <v>0.23925410307938563</v>
      </c>
      <c r="AC89">
        <f t="shared" si="55"/>
        <v>8.7042460872949938</v>
      </c>
      <c r="AD89">
        <f t="shared" si="55"/>
        <v>8.423273332081175</v>
      </c>
      <c r="AE89">
        <f t="shared" si="55"/>
        <v>24.046198050958495</v>
      </c>
    </row>
    <row r="90" spans="1:31" x14ac:dyDescent="0.25">
      <c r="A90" t="s">
        <v>39</v>
      </c>
      <c r="B90">
        <f t="shared" si="32"/>
        <v>12.618302682898879</v>
      </c>
      <c r="C90">
        <f t="shared" ref="C90:AE90" si="56">(C26-C58)^2</f>
        <v>0</v>
      </c>
      <c r="D90">
        <f t="shared" si="56"/>
        <v>1.5579984745058648</v>
      </c>
      <c r="E90">
        <f t="shared" si="56"/>
        <v>6.3840329410124621</v>
      </c>
      <c r="F90">
        <f t="shared" si="56"/>
        <v>6.2594643309020565E-2</v>
      </c>
      <c r="G90">
        <f t="shared" si="56"/>
        <v>12.517233905090773</v>
      </c>
      <c r="H90">
        <f t="shared" si="56"/>
        <v>3.0525717254385483</v>
      </c>
      <c r="I90">
        <f t="shared" si="56"/>
        <v>26.469240550830023</v>
      </c>
      <c r="J90">
        <f t="shared" si="56"/>
        <v>62.318816171737105</v>
      </c>
      <c r="K90">
        <f t="shared" si="56"/>
        <v>24.860958243012458</v>
      </c>
      <c r="L90">
        <f t="shared" si="56"/>
        <v>2.7813592511535607E-2</v>
      </c>
      <c r="M90">
        <f t="shared" si="56"/>
        <v>16.22890202705317</v>
      </c>
      <c r="N90">
        <f t="shared" si="56"/>
        <v>1.273433470645758</v>
      </c>
      <c r="O90">
        <f t="shared" si="56"/>
        <v>57.9149778811896</v>
      </c>
      <c r="P90">
        <f t="shared" si="56"/>
        <v>17.86034032552697</v>
      </c>
      <c r="Q90">
        <f t="shared" si="56"/>
        <v>8.8934685166445089</v>
      </c>
      <c r="R90">
        <f t="shared" si="56"/>
        <v>0</v>
      </c>
      <c r="S90">
        <f t="shared" si="56"/>
        <v>9.0323015473204151</v>
      </c>
      <c r="T90">
        <f t="shared" si="56"/>
        <v>55.085120576020785</v>
      </c>
      <c r="U90">
        <f t="shared" si="56"/>
        <v>39.834246549098168</v>
      </c>
      <c r="V90">
        <f t="shared" si="56"/>
        <v>2.6827607735507759</v>
      </c>
      <c r="W90">
        <f t="shared" si="56"/>
        <v>1.0588029870441398</v>
      </c>
      <c r="X90">
        <f t="shared" si="56"/>
        <v>59.552002640391258</v>
      </c>
      <c r="Y90">
        <f t="shared" si="56"/>
        <v>32.513906593441327</v>
      </c>
      <c r="Z90">
        <f t="shared" si="56"/>
        <v>0</v>
      </c>
      <c r="AA90">
        <f t="shared" si="56"/>
        <v>9.9429942952774031</v>
      </c>
      <c r="AB90">
        <f t="shared" si="56"/>
        <v>0.98401607527544754</v>
      </c>
      <c r="AC90">
        <f t="shared" si="56"/>
        <v>27.404925282201528</v>
      </c>
      <c r="AD90">
        <f t="shared" si="56"/>
        <v>4.8732126265542748</v>
      </c>
      <c r="AE90">
        <f t="shared" si="56"/>
        <v>6.1807313422360663E-2</v>
      </c>
    </row>
    <row r="91" spans="1:31" x14ac:dyDescent="0.25">
      <c r="A91" t="s">
        <v>15</v>
      </c>
      <c r="B91">
        <f t="shared" si="32"/>
        <v>27.887687112925846</v>
      </c>
      <c r="C91">
        <f t="shared" ref="C91:AE91" si="57">(C27-C59)^2</f>
        <v>6.2751780786192439</v>
      </c>
      <c r="D91">
        <f t="shared" si="57"/>
        <v>70.743313058014834</v>
      </c>
      <c r="E91">
        <f t="shared" si="57"/>
        <v>12.289856374620387</v>
      </c>
      <c r="F91">
        <f t="shared" si="57"/>
        <v>8.8515120528957247</v>
      </c>
      <c r="G91">
        <f t="shared" si="57"/>
        <v>6.2726253626943451E-2</v>
      </c>
      <c r="H91">
        <f t="shared" si="57"/>
        <v>0.55056858699799427</v>
      </c>
      <c r="I91">
        <f t="shared" si="57"/>
        <v>50.241861032994485</v>
      </c>
      <c r="J91">
        <f t="shared" si="57"/>
        <v>16.307739988486865</v>
      </c>
      <c r="K91">
        <f t="shared" si="57"/>
        <v>7.8390456174674821</v>
      </c>
      <c r="L91">
        <f t="shared" si="57"/>
        <v>0</v>
      </c>
      <c r="M91">
        <f t="shared" si="57"/>
        <v>3.9847123894180068</v>
      </c>
      <c r="N91">
        <f t="shared" si="57"/>
        <v>2.6092397950064439</v>
      </c>
      <c r="O91">
        <f t="shared" si="57"/>
        <v>16.433694905519648</v>
      </c>
      <c r="P91">
        <f t="shared" si="57"/>
        <v>1.835629638985965</v>
      </c>
      <c r="Q91">
        <f t="shared" si="57"/>
        <v>44.208060095524353</v>
      </c>
      <c r="R91">
        <f t="shared" si="57"/>
        <v>17.718422083906859</v>
      </c>
      <c r="S91">
        <f t="shared" si="57"/>
        <v>142.03207949364599</v>
      </c>
      <c r="T91">
        <f t="shared" si="57"/>
        <v>1.9021448597593746</v>
      </c>
      <c r="U91">
        <f t="shared" si="57"/>
        <v>5.7835434961004424</v>
      </c>
      <c r="V91">
        <f t="shared" si="57"/>
        <v>86.920663917162813</v>
      </c>
      <c r="W91">
        <f t="shared" si="57"/>
        <v>23.471553938244767</v>
      </c>
      <c r="X91">
        <f t="shared" si="57"/>
        <v>58.475613955249202</v>
      </c>
      <c r="Y91">
        <f t="shared" si="57"/>
        <v>29.160873626213128</v>
      </c>
      <c r="Z91">
        <f t="shared" si="57"/>
        <v>9.5898519862004878</v>
      </c>
      <c r="AA91">
        <f t="shared" si="57"/>
        <v>0</v>
      </c>
      <c r="AB91">
        <f t="shared" si="57"/>
        <v>27.913094405533823</v>
      </c>
      <c r="AC91">
        <f t="shared" si="57"/>
        <v>1.5255253340909889</v>
      </c>
      <c r="AD91">
        <f t="shared" si="57"/>
        <v>1.286197251546302</v>
      </c>
      <c r="AE91">
        <f t="shared" si="57"/>
        <v>6.0688736099106654E-2</v>
      </c>
    </row>
    <row r="92" spans="1:31" x14ac:dyDescent="0.25">
      <c r="A92" t="s">
        <v>37</v>
      </c>
      <c r="B92">
        <f t="shared" si="32"/>
        <v>66.970372343341054</v>
      </c>
      <c r="C92">
        <f t="shared" ref="C92:AE92" si="58">(C28-C60)^2</f>
        <v>7.8537599239017215</v>
      </c>
      <c r="D92">
        <f t="shared" si="58"/>
        <v>12.411807086732663</v>
      </c>
      <c r="E92">
        <f t="shared" si="58"/>
        <v>18.743923675153589</v>
      </c>
      <c r="F92">
        <f t="shared" si="58"/>
        <v>0.57242195468880908</v>
      </c>
      <c r="G92">
        <f t="shared" si="58"/>
        <v>4.1523938667487501</v>
      </c>
      <c r="H92">
        <f t="shared" si="58"/>
        <v>34.464862764079008</v>
      </c>
      <c r="I92">
        <f t="shared" si="58"/>
        <v>0.57595849019314516</v>
      </c>
      <c r="J92">
        <f t="shared" si="58"/>
        <v>37.942895861357158</v>
      </c>
      <c r="K92">
        <f t="shared" si="58"/>
        <v>122.27129546001075</v>
      </c>
      <c r="L92">
        <f t="shared" si="58"/>
        <v>12.463300446168173</v>
      </c>
      <c r="M92">
        <f t="shared" si="58"/>
        <v>2.3186963365284972</v>
      </c>
      <c r="N92">
        <f t="shared" si="58"/>
        <v>26.852168710064248</v>
      </c>
      <c r="O92">
        <f t="shared" si="58"/>
        <v>20.96421409014998</v>
      </c>
      <c r="P92">
        <f t="shared" si="58"/>
        <v>3.5326076647603983</v>
      </c>
      <c r="Q92">
        <f t="shared" si="58"/>
        <v>18.138015761744963</v>
      </c>
      <c r="R92">
        <f t="shared" si="58"/>
        <v>5.1386624895608763</v>
      </c>
      <c r="S92">
        <f t="shared" si="58"/>
        <v>12.328382141433728</v>
      </c>
      <c r="T92">
        <f t="shared" si="58"/>
        <v>4.1624508494283754</v>
      </c>
      <c r="U92">
        <f t="shared" si="58"/>
        <v>115.97365765850874</v>
      </c>
      <c r="V92">
        <f t="shared" si="58"/>
        <v>2.3224385361708659</v>
      </c>
      <c r="W92">
        <f t="shared" si="58"/>
        <v>13.173196092465062</v>
      </c>
      <c r="X92">
        <f t="shared" si="58"/>
        <v>2.2669766440330861</v>
      </c>
      <c r="Y92">
        <f t="shared" si="58"/>
        <v>0.26098194651070228</v>
      </c>
      <c r="Z92">
        <f t="shared" si="58"/>
        <v>1.0161126988804077</v>
      </c>
      <c r="AA92">
        <f t="shared" si="58"/>
        <v>29.884979084733612</v>
      </c>
      <c r="AB92">
        <f t="shared" si="58"/>
        <v>0</v>
      </c>
      <c r="AC92">
        <f t="shared" si="58"/>
        <v>39.466796907874667</v>
      </c>
      <c r="AD92">
        <f t="shared" si="58"/>
        <v>6.7419009711410345</v>
      </c>
      <c r="AE92">
        <f t="shared" si="58"/>
        <v>3.077631061676108</v>
      </c>
    </row>
    <row r="93" spans="1:31" x14ac:dyDescent="0.25">
      <c r="A93" t="s">
        <v>27</v>
      </c>
      <c r="B93">
        <f t="shared" si="32"/>
        <v>7.833863618125199</v>
      </c>
      <c r="C93">
        <f t="shared" ref="C93:AE93" si="59">(C29-C61)^2</f>
        <v>0</v>
      </c>
      <c r="D93">
        <f t="shared" si="59"/>
        <v>2.6481353808092916</v>
      </c>
      <c r="E93">
        <f t="shared" si="59"/>
        <v>0.57782187128530338</v>
      </c>
      <c r="F93">
        <f t="shared" si="59"/>
        <v>31.870082680953317</v>
      </c>
      <c r="G93">
        <f t="shared" si="59"/>
        <v>1.3005684576044525</v>
      </c>
      <c r="H93">
        <f t="shared" si="59"/>
        <v>7.5812718166764776</v>
      </c>
      <c r="I93">
        <f t="shared" si="59"/>
        <v>22.867264150263182</v>
      </c>
      <c r="J93">
        <f t="shared" si="59"/>
        <v>0.79885598236841804</v>
      </c>
      <c r="K93">
        <f t="shared" si="59"/>
        <v>126.58221507369545</v>
      </c>
      <c r="L93">
        <f t="shared" si="59"/>
        <v>22.721032981749381</v>
      </c>
      <c r="M93">
        <f t="shared" si="59"/>
        <v>54.85764407095796</v>
      </c>
      <c r="N93">
        <f t="shared" si="59"/>
        <v>49.584107927326194</v>
      </c>
      <c r="O93">
        <f t="shared" si="59"/>
        <v>0.96987376773806555</v>
      </c>
      <c r="P93">
        <f t="shared" si="59"/>
        <v>0.24862723432139727</v>
      </c>
      <c r="Q93">
        <f t="shared" si="59"/>
        <v>1.5529101014475721</v>
      </c>
      <c r="R93">
        <f t="shared" si="59"/>
        <v>40.298451803894373</v>
      </c>
      <c r="S93">
        <f t="shared" si="59"/>
        <v>24.790202062488188</v>
      </c>
      <c r="T93">
        <f t="shared" si="59"/>
        <v>1.6095493777403733</v>
      </c>
      <c r="U93">
        <f t="shared" si="59"/>
        <v>10.802703292113213</v>
      </c>
      <c r="V93">
        <f t="shared" si="59"/>
        <v>4.0869405117618607</v>
      </c>
      <c r="W93">
        <f t="shared" si="59"/>
        <v>17.035149532443956</v>
      </c>
      <c r="X93">
        <f t="shared" si="59"/>
        <v>63.821410135086829</v>
      </c>
      <c r="Y93">
        <f t="shared" si="59"/>
        <v>9.300694901425528</v>
      </c>
      <c r="Z93">
        <f t="shared" si="59"/>
        <v>27.720526437022617</v>
      </c>
      <c r="AA93">
        <f t="shared" si="59"/>
        <v>1.5999174002698393</v>
      </c>
      <c r="AB93">
        <f t="shared" si="59"/>
        <v>38.660284571003821</v>
      </c>
      <c r="AC93">
        <f t="shared" si="59"/>
        <v>0</v>
      </c>
      <c r="AD93">
        <f t="shared" si="59"/>
        <v>82.844481604709117</v>
      </c>
      <c r="AE93">
        <f t="shared" si="59"/>
        <v>17.267682295821391</v>
      </c>
    </row>
    <row r="94" spans="1:31" x14ac:dyDescent="0.25">
      <c r="A94" t="s">
        <v>34</v>
      </c>
      <c r="B94">
        <f t="shared" si="32"/>
        <v>5.4103523344117752</v>
      </c>
      <c r="C94">
        <f t="shared" ref="C94:AE94" si="60">(C30-C62)^2</f>
        <v>116.94591340461966</v>
      </c>
      <c r="D94">
        <f t="shared" si="60"/>
        <v>6.4698004140599625</v>
      </c>
      <c r="E94">
        <f t="shared" si="60"/>
        <v>6.6246132013609058</v>
      </c>
      <c r="F94">
        <f t="shared" si="60"/>
        <v>21.052806787349304</v>
      </c>
      <c r="G94">
        <f t="shared" si="60"/>
        <v>9.5428302214852714</v>
      </c>
      <c r="H94">
        <f t="shared" si="60"/>
        <v>13.59792459228499</v>
      </c>
      <c r="I94">
        <f t="shared" si="60"/>
        <v>5.2953612681581115</v>
      </c>
      <c r="J94">
        <f t="shared" si="60"/>
        <v>1.0763437755689833</v>
      </c>
      <c r="K94">
        <f t="shared" si="60"/>
        <v>13.566873042610128</v>
      </c>
      <c r="L94">
        <f t="shared" si="60"/>
        <v>18.774445396223893</v>
      </c>
      <c r="M94">
        <f t="shared" si="60"/>
        <v>14.803182247603601</v>
      </c>
      <c r="N94">
        <f t="shared" si="60"/>
        <v>15.682105516283533</v>
      </c>
      <c r="O94">
        <f t="shared" si="60"/>
        <v>4.7022715826558787</v>
      </c>
      <c r="P94">
        <f t="shared" si="60"/>
        <v>0.57751946908000229</v>
      </c>
      <c r="Q94">
        <f t="shared" si="60"/>
        <v>10.837595365176817</v>
      </c>
      <c r="R94">
        <f t="shared" si="60"/>
        <v>5.2499291494309448</v>
      </c>
      <c r="S94">
        <f t="shared" si="60"/>
        <v>22.932156643169609</v>
      </c>
      <c r="T94">
        <f t="shared" si="60"/>
        <v>7.5580734952310404</v>
      </c>
      <c r="U94">
        <f t="shared" si="60"/>
        <v>3.0006953703801935</v>
      </c>
      <c r="V94">
        <f t="shared" si="60"/>
        <v>6.5896933441944111E-2</v>
      </c>
      <c r="W94">
        <f t="shared" si="60"/>
        <v>0.27448614931100568</v>
      </c>
      <c r="X94">
        <f t="shared" si="60"/>
        <v>34.036014881211841</v>
      </c>
      <c r="Y94">
        <f t="shared" si="60"/>
        <v>9.5958220928691826</v>
      </c>
      <c r="Z94">
        <f t="shared" si="60"/>
        <v>5.2553938547087773</v>
      </c>
      <c r="AA94">
        <f t="shared" si="60"/>
        <v>1.4381453169117859</v>
      </c>
      <c r="AB94">
        <f t="shared" si="60"/>
        <v>7.0409715817868923</v>
      </c>
      <c r="AC94">
        <f t="shared" si="60"/>
        <v>88.324388934877817</v>
      </c>
      <c r="AD94">
        <f t="shared" si="60"/>
        <v>0</v>
      </c>
      <c r="AE94">
        <f t="shared" si="60"/>
        <v>10.84570789304148</v>
      </c>
    </row>
    <row r="95" spans="1:31" x14ac:dyDescent="0.25">
      <c r="A95" t="s">
        <v>25</v>
      </c>
      <c r="B95">
        <f t="shared" si="32"/>
        <v>19.932523167058473</v>
      </c>
      <c r="C95">
        <f t="shared" ref="C95:AE95" si="61">(C31-C63)^2</f>
        <v>2.7290663716474919</v>
      </c>
      <c r="D95">
        <f t="shared" si="61"/>
        <v>1.0082478131873733</v>
      </c>
      <c r="E95">
        <f t="shared" si="61"/>
        <v>5.2280771548495562</v>
      </c>
      <c r="F95">
        <f t="shared" si="61"/>
        <v>1.2816571722741421</v>
      </c>
      <c r="G95">
        <f t="shared" si="61"/>
        <v>50.620837536599787</v>
      </c>
      <c r="H95">
        <f t="shared" si="61"/>
        <v>56.693525643163746</v>
      </c>
      <c r="I95">
        <f t="shared" si="61"/>
        <v>65.212127922405472</v>
      </c>
      <c r="J95">
        <f t="shared" si="61"/>
        <v>2.3600533313239271</v>
      </c>
      <c r="K95">
        <f t="shared" si="61"/>
        <v>90.751087049637519</v>
      </c>
      <c r="L95">
        <f t="shared" si="61"/>
        <v>3.1006011516454151</v>
      </c>
      <c r="M95">
        <f t="shared" si="61"/>
        <v>0.14421506071213661</v>
      </c>
      <c r="N95">
        <f t="shared" si="61"/>
        <v>2.2890337503525591</v>
      </c>
      <c r="O95">
        <f t="shared" si="61"/>
        <v>29.499406333687027</v>
      </c>
      <c r="P95">
        <f t="shared" si="61"/>
        <v>52.556725495450372</v>
      </c>
      <c r="Q95">
        <f t="shared" si="61"/>
        <v>2.6386231830448246</v>
      </c>
      <c r="R95">
        <f t="shared" si="61"/>
        <v>7.182784489010281</v>
      </c>
      <c r="S95">
        <f t="shared" si="61"/>
        <v>2.4848473747235791</v>
      </c>
      <c r="T95">
        <f t="shared" si="61"/>
        <v>6.472416911297735</v>
      </c>
      <c r="U95">
        <f t="shared" si="61"/>
        <v>37.251459144043515</v>
      </c>
      <c r="V95">
        <f t="shared" si="61"/>
        <v>5.2001422763563454</v>
      </c>
      <c r="W95">
        <f t="shared" si="61"/>
        <v>15.050507639061884</v>
      </c>
      <c r="X95">
        <f t="shared" si="61"/>
        <v>74.583894703056572</v>
      </c>
      <c r="Y95">
        <f t="shared" si="61"/>
        <v>25.97235229999696</v>
      </c>
      <c r="Z95">
        <f t="shared" si="61"/>
        <v>6.3196546514809673E-2</v>
      </c>
      <c r="AA95">
        <f t="shared" si="61"/>
        <v>6.4337896646291581E-2</v>
      </c>
      <c r="AB95">
        <f t="shared" si="61"/>
        <v>3.0474062256998025</v>
      </c>
      <c r="AC95">
        <f t="shared" si="61"/>
        <v>17.454791998695388</v>
      </c>
      <c r="AD95">
        <f t="shared" si="61"/>
        <v>10.283038811051155</v>
      </c>
      <c r="AE95">
        <f t="shared" si="61"/>
        <v>0</v>
      </c>
    </row>
    <row r="97" spans="1:1" x14ac:dyDescent="0.25">
      <c r="A97" t="s">
        <v>49</v>
      </c>
    </row>
    <row r="98" spans="1:1" x14ac:dyDescent="0.25">
      <c r="A98">
        <f>SUM(B65:AE95)</f>
        <v>19921.604447554062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instructions</vt:lpstr>
      <vt:lpstr>d_rs_sched</vt:lpstr>
      <vt:lpstr>d_win_totals</vt:lpstr>
      <vt:lpstr>p_rs_win_totals</vt:lpstr>
      <vt:lpstr>a_h2h_wins</vt:lpstr>
      <vt:lpstr>a_h2h_apm</vt:lpstr>
      <vt:lpstr>d_rs_sched!Criteria</vt:lpstr>
      <vt:lpstr>a_h2h_apm!power_rankings</vt:lpstr>
      <vt:lpstr>power_rankings</vt:lpstr>
      <vt:lpstr>table_pm_h2h</vt:lpstr>
      <vt:lpstr>a_h2h_apm!table_wins_h2h</vt:lpstr>
      <vt:lpstr>table_wins_h2h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aelhabr</dc:creator>
  <cp:lastModifiedBy>aelhabr</cp:lastModifiedBy>
  <dcterms:created xsi:type="dcterms:W3CDTF">2017-05-13T11:09:01Z</dcterms:created>
  <dcterms:modified xsi:type="dcterms:W3CDTF">2017-05-20T12:25:24Z</dcterms:modified>
</cp:coreProperties>
</file>