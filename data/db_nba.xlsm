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_other\projects\nba\data\"/>
    </mc:Choice>
  </mc:AlternateContent>
  <bookViews>
    <workbookView xWindow="0" yWindow="0" windowWidth="26880" windowHeight="9510" tabRatio="969" activeTab="5"/>
  </bookViews>
  <sheets>
    <sheet name="persons" sheetId="17" r:id="rId1"/>
    <sheet name="nba_time_periods" sheetId="18" r:id="rId2"/>
    <sheet name="nba_plyff_rounds" sheetId="19" r:id="rId3"/>
    <sheet name="nba_confs" sheetId="21" r:id="rId4"/>
    <sheet name="nba_divs" sheetId="22" r:id="rId5"/>
    <sheet name="nba_tms" sheetId="3" r:id="rId6"/>
    <sheet name="nba_tms_extra" sheetId="29" r:id="rId7"/>
    <sheet name="nba_win_total_sources" sheetId="31" r:id="rId8"/>
    <sheet name="nba_win_totals_results_old" sheetId="15" state="hidden" r:id="rId9"/>
    <sheet name="nba_win_total_results" sheetId="30" r:id="rId10"/>
    <sheet name="nba_win_total_picks" sheetId="16" r:id="rId11"/>
    <sheet name="nba_game_results_old" sheetId="1" state="hidden" r:id="rId12"/>
    <sheet name="nba_plyff_results" sheetId="13" r:id="rId13"/>
    <sheet name="nba_plyff_picks_post_rs" sheetId="14" r:id="rId14"/>
    <sheet name="nba_plyffs_picks_pre_rs" sheetId="27" r:id="rId15"/>
    <sheet name="nba_awards" sheetId="23" r:id="rId16"/>
    <sheet name="nba_award_results" sheetId="24" r:id="rId17"/>
    <sheet name="nba_award_picks" sheetId="11" r:id="rId18"/>
  </sheets>
  <functionGroups builtInGroupCount="18"/>
  <definedNames>
    <definedName name="_xlnm._FilterDatabase" localSheetId="17" hidden="1">nba_award_picks!#REF!</definedName>
    <definedName name="_xlnm._FilterDatabase" localSheetId="16" hidden="1">nba_award_results!#REF!</definedName>
    <definedName name="_xlnm._FilterDatabase" localSheetId="4" hidden="1">nba_divs!$B$2:$B$31</definedName>
    <definedName name="_xlnm._FilterDatabase" localSheetId="11" hidden="1">nba_game_results_old!$A$1:$R$793</definedName>
    <definedName name="_xlnm._FilterDatabase" localSheetId="13" hidden="1">nba_plyff_picks_post_rs!$A$1:$J$209</definedName>
    <definedName name="_xlnm._FilterDatabase" localSheetId="12" hidden="1">nba_plyff_results!$B$1:$N$75</definedName>
    <definedName name="_xlnm._FilterDatabase" localSheetId="14" hidden="1">nba_plyffs_picks_pre_rs!$A$1:$O$119</definedName>
    <definedName name="_xlnm._FilterDatabase" localSheetId="10" hidden="1">nba_win_total_picks!$A$1:$L$361</definedName>
    <definedName name="_xlnm._FilterDatabase" localSheetId="9" hidden="1">nba_win_total_results!$A$1:$N$391</definedName>
    <definedName name="_xlnm._FilterDatabase" localSheetId="8" hidden="1">nba_win_totals_results_old!$A$1:$G$151</definedName>
    <definedName name="nba_award_results">OFFSET(nba_award_results!$A$1,1,0,COUNTA(nba_award_results!$A:$A)-1,COUNTA(nba_award_results!$1:$1))</definedName>
    <definedName name="nba_award_results_header">OFFSET(nba_award_results!$A$1,0,0,1,COUNTA(nba_award_results!$1:$1))</definedName>
    <definedName name="nba_plyff_results">OFFSET(nba_plyff_results!$A$1,1,0,COUNTA(nba_plyff_results!$A:$A)-1,COUNTA(nba_plyff_results!$1:$1))</definedName>
    <definedName name="nba_plyff_results_header">OFFSET(nba_plyff_results!$A$1,0,0,1,COUNTA(nba_plyff_results!$1:$1))</definedName>
    <definedName name="nba_win_total_results">OFFSET(nba_win_total_results!$A$1,1,0,COUNTA(nba_win_total_results!$A:$A)-1,COUNTA(nba_win_total_results!$1:$1))</definedName>
    <definedName name="nba_win_total_results_header">OFFSET(nba_win_total_results!$A$1,0,0,1,COUNTA(nba_win_total_results!$1:$1))</definedName>
  </definedNames>
  <calcPr calcId="152511"/>
</workbook>
</file>

<file path=xl/calcChain.xml><?xml version="1.0" encoding="utf-8"?>
<calcChain xmlns="http://schemas.openxmlformats.org/spreadsheetml/2006/main">
  <c r="T3" i="3" l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2" i="3"/>
  <c r="E123" i="27" l="1"/>
  <c r="E124" i="27"/>
  <c r="E125" i="27"/>
  <c r="E126" i="27"/>
  <c r="E127" i="27"/>
  <c r="E128" i="27"/>
  <c r="E129" i="27"/>
  <c r="E130" i="27"/>
  <c r="E131" i="27"/>
  <c r="E132" i="27"/>
  <c r="E133" i="27"/>
  <c r="C123" i="27"/>
  <c r="D123" i="27" s="1"/>
  <c r="C124" i="27"/>
  <c r="D124" i="27" s="1"/>
  <c r="C125" i="27"/>
  <c r="D125" i="27" s="1"/>
  <c r="C126" i="27"/>
  <c r="D126" i="27" s="1"/>
  <c r="C127" i="27"/>
  <c r="D127" i="27" s="1"/>
  <c r="C128" i="27"/>
  <c r="D128" i="27" s="1"/>
  <c r="C129" i="27"/>
  <c r="D129" i="27" s="1"/>
  <c r="C130" i="27"/>
  <c r="D130" i="27" s="1"/>
  <c r="C131" i="27"/>
  <c r="D131" i="27" s="1"/>
  <c r="C132" i="27"/>
  <c r="D132" i="27" s="1"/>
  <c r="C133" i="27"/>
  <c r="D133" i="27" s="1"/>
  <c r="C90" i="11"/>
  <c r="C91" i="11"/>
  <c r="C92" i="11"/>
  <c r="C93" i="11"/>
  <c r="C94" i="11"/>
  <c r="C95" i="11"/>
  <c r="C96" i="11"/>
  <c r="C97" i="11"/>
  <c r="C85" i="11" l="1"/>
  <c r="C86" i="11"/>
  <c r="C87" i="11"/>
  <c r="C88" i="11"/>
  <c r="C89" i="11"/>
  <c r="C84" i="11"/>
  <c r="C83" i="11"/>
  <c r="C79" i="11"/>
  <c r="C80" i="11"/>
  <c r="C81" i="11"/>
  <c r="C82" i="11"/>
  <c r="C78" i="11"/>
  <c r="C75" i="11"/>
  <c r="C76" i="11"/>
  <c r="C77" i="11"/>
  <c r="C74" i="11"/>
  <c r="H361" i="16" l="1"/>
  <c r="H360" i="16"/>
  <c r="H359" i="16"/>
  <c r="C359" i="16"/>
  <c r="H358" i="16"/>
  <c r="H357" i="16"/>
  <c r="C357" i="16"/>
  <c r="H356" i="16"/>
  <c r="C356" i="16"/>
  <c r="H355" i="16"/>
  <c r="H354" i="16"/>
  <c r="C354" i="16"/>
  <c r="H353" i="16"/>
  <c r="C353" i="16"/>
  <c r="H352" i="16"/>
  <c r="C352" i="16"/>
  <c r="H351" i="16"/>
  <c r="H350" i="16"/>
  <c r="H349" i="16"/>
  <c r="C349" i="16"/>
  <c r="H348" i="16"/>
  <c r="C348" i="16"/>
  <c r="H347" i="16"/>
  <c r="C347" i="16"/>
  <c r="H346" i="16"/>
  <c r="C346" i="16"/>
  <c r="H345" i="16"/>
  <c r="C345" i="16"/>
  <c r="H344" i="16"/>
  <c r="C344" i="16"/>
  <c r="H343" i="16"/>
  <c r="C343" i="16"/>
  <c r="H342" i="16"/>
  <c r="C342" i="16"/>
  <c r="H341" i="16"/>
  <c r="H340" i="16"/>
  <c r="C340" i="16"/>
  <c r="H339" i="16"/>
  <c r="C339" i="16"/>
  <c r="H338" i="16"/>
  <c r="C338" i="16"/>
  <c r="H337" i="16"/>
  <c r="C337" i="16"/>
  <c r="H336" i="16"/>
  <c r="C336" i="16"/>
  <c r="H335" i="16"/>
  <c r="H334" i="16"/>
  <c r="H333" i="16"/>
  <c r="C333" i="16"/>
  <c r="H332" i="16"/>
  <c r="C332" i="16"/>
  <c r="L331" i="16"/>
  <c r="H331" i="16"/>
  <c r="L330" i="16"/>
  <c r="H330" i="16"/>
  <c r="L329" i="16"/>
  <c r="H329" i="16"/>
  <c r="C329" i="16"/>
  <c r="L328" i="16"/>
  <c r="H328" i="16"/>
  <c r="L327" i="16"/>
  <c r="H327" i="16"/>
  <c r="C327" i="16"/>
  <c r="L326" i="16"/>
  <c r="H326" i="16"/>
  <c r="C326" i="16"/>
  <c r="L325" i="16"/>
  <c r="H325" i="16"/>
  <c r="L324" i="16"/>
  <c r="H324" i="16"/>
  <c r="C324" i="16"/>
  <c r="L323" i="16"/>
  <c r="H323" i="16"/>
  <c r="C323" i="16"/>
  <c r="L322" i="16"/>
  <c r="H322" i="16"/>
  <c r="C322" i="16"/>
  <c r="L321" i="16"/>
  <c r="H321" i="16"/>
  <c r="L320" i="16"/>
  <c r="H320" i="16"/>
  <c r="L319" i="16"/>
  <c r="H319" i="16"/>
  <c r="C319" i="16"/>
  <c r="L318" i="16"/>
  <c r="H318" i="16"/>
  <c r="C318" i="16"/>
  <c r="L317" i="16"/>
  <c r="H317" i="16"/>
  <c r="C317" i="16"/>
  <c r="L316" i="16"/>
  <c r="H316" i="16"/>
  <c r="C316" i="16"/>
  <c r="L315" i="16"/>
  <c r="H315" i="16"/>
  <c r="C315" i="16"/>
  <c r="L314" i="16"/>
  <c r="H314" i="16"/>
  <c r="C314" i="16"/>
  <c r="L313" i="16"/>
  <c r="H313" i="16"/>
  <c r="C313" i="16"/>
  <c r="L312" i="16"/>
  <c r="H312" i="16"/>
  <c r="C312" i="16"/>
  <c r="L311" i="16"/>
  <c r="H311" i="16"/>
  <c r="L310" i="16"/>
  <c r="H310" i="16"/>
  <c r="C310" i="16"/>
  <c r="L309" i="16"/>
  <c r="H309" i="16"/>
  <c r="C309" i="16"/>
  <c r="L308" i="16"/>
  <c r="H308" i="16"/>
  <c r="C308" i="16"/>
  <c r="L307" i="16"/>
  <c r="H307" i="16"/>
  <c r="C307" i="16"/>
  <c r="L306" i="16"/>
  <c r="H306" i="16"/>
  <c r="C306" i="16"/>
  <c r="L305" i="16"/>
  <c r="H305" i="16"/>
  <c r="L304" i="16"/>
  <c r="H304" i="16"/>
  <c r="L303" i="16"/>
  <c r="H303" i="16"/>
  <c r="C303" i="16"/>
  <c r="L302" i="16"/>
  <c r="H302" i="16"/>
  <c r="C302" i="16"/>
  <c r="K301" i="16"/>
  <c r="L301" i="16" s="1"/>
  <c r="H301" i="16"/>
  <c r="K300" i="16"/>
  <c r="L300" i="16" s="1"/>
  <c r="H300" i="16"/>
  <c r="K299" i="16"/>
  <c r="L299" i="16" s="1"/>
  <c r="H299" i="16"/>
  <c r="C299" i="16"/>
  <c r="K298" i="16"/>
  <c r="L298" i="16" s="1"/>
  <c r="H298" i="16"/>
  <c r="K297" i="16"/>
  <c r="L297" i="16" s="1"/>
  <c r="H297" i="16"/>
  <c r="C297" i="16"/>
  <c r="K296" i="16"/>
  <c r="L296" i="16" s="1"/>
  <c r="H296" i="16"/>
  <c r="C296" i="16"/>
  <c r="K295" i="16"/>
  <c r="L295" i="16" s="1"/>
  <c r="H295" i="16"/>
  <c r="K294" i="16"/>
  <c r="L294" i="16" s="1"/>
  <c r="H294" i="16"/>
  <c r="C294" i="16"/>
  <c r="K293" i="16"/>
  <c r="L293" i="16" s="1"/>
  <c r="H293" i="16"/>
  <c r="C293" i="16"/>
  <c r="K292" i="16"/>
  <c r="L292" i="16" s="1"/>
  <c r="H292" i="16"/>
  <c r="C292" i="16"/>
  <c r="K291" i="16"/>
  <c r="L291" i="16" s="1"/>
  <c r="H291" i="16"/>
  <c r="K290" i="16"/>
  <c r="L290" i="16" s="1"/>
  <c r="H290" i="16"/>
  <c r="K289" i="16"/>
  <c r="L289" i="16" s="1"/>
  <c r="H289" i="16"/>
  <c r="C289" i="16"/>
  <c r="K288" i="16"/>
  <c r="L288" i="16" s="1"/>
  <c r="H288" i="16"/>
  <c r="C288" i="16"/>
  <c r="K287" i="16"/>
  <c r="L287" i="16" s="1"/>
  <c r="H287" i="16"/>
  <c r="C287" i="16"/>
  <c r="K286" i="16"/>
  <c r="L286" i="16" s="1"/>
  <c r="H286" i="16"/>
  <c r="C286" i="16"/>
  <c r="K285" i="16"/>
  <c r="L285" i="16" s="1"/>
  <c r="H285" i="16"/>
  <c r="C285" i="16"/>
  <c r="K284" i="16"/>
  <c r="L284" i="16" s="1"/>
  <c r="H284" i="16"/>
  <c r="C284" i="16"/>
  <c r="K283" i="16"/>
  <c r="L283" i="16" s="1"/>
  <c r="H283" i="16"/>
  <c r="C283" i="16"/>
  <c r="K282" i="16"/>
  <c r="L282" i="16" s="1"/>
  <c r="H282" i="16"/>
  <c r="C282" i="16"/>
  <c r="K281" i="16"/>
  <c r="L281" i="16" s="1"/>
  <c r="H281" i="16"/>
  <c r="K280" i="16"/>
  <c r="L280" i="16" s="1"/>
  <c r="H280" i="16"/>
  <c r="C280" i="16"/>
  <c r="K279" i="16"/>
  <c r="L279" i="16" s="1"/>
  <c r="H279" i="16"/>
  <c r="C279" i="16"/>
  <c r="K278" i="16"/>
  <c r="L278" i="16" s="1"/>
  <c r="H278" i="16"/>
  <c r="C278" i="16"/>
  <c r="K277" i="16"/>
  <c r="L277" i="16" s="1"/>
  <c r="H277" i="16"/>
  <c r="C277" i="16"/>
  <c r="K276" i="16"/>
  <c r="L276" i="16" s="1"/>
  <c r="H276" i="16"/>
  <c r="C276" i="16"/>
  <c r="K275" i="16"/>
  <c r="L275" i="16" s="1"/>
  <c r="H275" i="16"/>
  <c r="K274" i="16"/>
  <c r="L274" i="16" s="1"/>
  <c r="H274" i="16"/>
  <c r="C274" i="16"/>
  <c r="K273" i="16"/>
  <c r="L273" i="16" s="1"/>
  <c r="H273" i="16"/>
  <c r="K272" i="16"/>
  <c r="L272" i="16" s="1"/>
  <c r="H272" i="16"/>
  <c r="C272" i="16"/>
  <c r="K271" i="16"/>
  <c r="L271" i="16" s="1"/>
  <c r="H271" i="16"/>
  <c r="K270" i="16"/>
  <c r="L270" i="16" s="1"/>
  <c r="H270" i="16"/>
  <c r="K269" i="16"/>
  <c r="L269" i="16" s="1"/>
  <c r="H269" i="16"/>
  <c r="C269" i="16"/>
  <c r="K268" i="16"/>
  <c r="L268" i="16" s="1"/>
  <c r="H268" i="16"/>
  <c r="K267" i="16"/>
  <c r="L267" i="16" s="1"/>
  <c r="H267" i="16"/>
  <c r="C267" i="16"/>
  <c r="K266" i="16"/>
  <c r="L266" i="16" s="1"/>
  <c r="H266" i="16"/>
  <c r="C266" i="16"/>
  <c r="K265" i="16"/>
  <c r="L265" i="16" s="1"/>
  <c r="H265" i="16"/>
  <c r="K264" i="16"/>
  <c r="L264" i="16" s="1"/>
  <c r="H264" i="16"/>
  <c r="C264" i="16"/>
  <c r="K263" i="16"/>
  <c r="L263" i="16" s="1"/>
  <c r="H263" i="16"/>
  <c r="C263" i="16"/>
  <c r="K262" i="16"/>
  <c r="L262" i="16" s="1"/>
  <c r="H262" i="16"/>
  <c r="C262" i="16"/>
  <c r="K261" i="16"/>
  <c r="L261" i="16" s="1"/>
  <c r="H261" i="16"/>
  <c r="K260" i="16"/>
  <c r="L260" i="16" s="1"/>
  <c r="H260" i="16"/>
  <c r="K259" i="16"/>
  <c r="L259" i="16" s="1"/>
  <c r="H259" i="16"/>
  <c r="C259" i="16"/>
  <c r="K258" i="16"/>
  <c r="L258" i="16" s="1"/>
  <c r="H258" i="16"/>
  <c r="C258" i="16"/>
  <c r="K257" i="16"/>
  <c r="L257" i="16" s="1"/>
  <c r="H257" i="16"/>
  <c r="C257" i="16"/>
  <c r="K256" i="16"/>
  <c r="L256" i="16" s="1"/>
  <c r="H256" i="16"/>
  <c r="C256" i="16"/>
  <c r="K255" i="16"/>
  <c r="L255" i="16" s="1"/>
  <c r="H255" i="16"/>
  <c r="C255" i="16"/>
  <c r="K254" i="16"/>
  <c r="L254" i="16" s="1"/>
  <c r="H254" i="16"/>
  <c r="C254" i="16"/>
  <c r="K253" i="16"/>
  <c r="L253" i="16" s="1"/>
  <c r="H253" i="16"/>
  <c r="C253" i="16"/>
  <c r="K252" i="16"/>
  <c r="L252" i="16" s="1"/>
  <c r="H252" i="16"/>
  <c r="C252" i="16"/>
  <c r="K251" i="16"/>
  <c r="L251" i="16" s="1"/>
  <c r="H251" i="16"/>
  <c r="K250" i="16"/>
  <c r="L250" i="16" s="1"/>
  <c r="H250" i="16"/>
  <c r="C250" i="16"/>
  <c r="K249" i="16"/>
  <c r="L249" i="16" s="1"/>
  <c r="H249" i="16"/>
  <c r="C249" i="16"/>
  <c r="K248" i="16"/>
  <c r="L248" i="16" s="1"/>
  <c r="H248" i="16"/>
  <c r="C248" i="16"/>
  <c r="K247" i="16"/>
  <c r="L247" i="16" s="1"/>
  <c r="H247" i="16"/>
  <c r="C247" i="16"/>
  <c r="K246" i="16"/>
  <c r="L246" i="16" s="1"/>
  <c r="H246" i="16"/>
  <c r="C246" i="16"/>
  <c r="K245" i="16"/>
  <c r="L245" i="16" s="1"/>
  <c r="H245" i="16"/>
  <c r="K244" i="16"/>
  <c r="L244" i="16" s="1"/>
  <c r="H244" i="16"/>
  <c r="K243" i="16"/>
  <c r="L243" i="16" s="1"/>
  <c r="H243" i="16"/>
  <c r="C243" i="16"/>
  <c r="K242" i="16"/>
  <c r="L242" i="16" s="1"/>
  <c r="H242" i="16"/>
  <c r="C242" i="16"/>
  <c r="K241" i="16"/>
  <c r="L241" i="16" s="1"/>
  <c r="H241" i="16"/>
  <c r="K240" i="16"/>
  <c r="L240" i="16" s="1"/>
  <c r="H240" i="16"/>
  <c r="K239" i="16"/>
  <c r="L239" i="16" s="1"/>
  <c r="H239" i="16"/>
  <c r="C239" i="16"/>
  <c r="K238" i="16"/>
  <c r="L238" i="16" s="1"/>
  <c r="H238" i="16"/>
  <c r="K237" i="16"/>
  <c r="L237" i="16" s="1"/>
  <c r="H237" i="16"/>
  <c r="C237" i="16"/>
  <c r="K236" i="16"/>
  <c r="L236" i="16" s="1"/>
  <c r="H236" i="16"/>
  <c r="C236" i="16"/>
  <c r="K235" i="16"/>
  <c r="L235" i="16" s="1"/>
  <c r="H235" i="16"/>
  <c r="K234" i="16"/>
  <c r="L234" i="16" s="1"/>
  <c r="H234" i="16"/>
  <c r="C234" i="16"/>
  <c r="K233" i="16"/>
  <c r="L233" i="16" s="1"/>
  <c r="H233" i="16"/>
  <c r="C233" i="16"/>
  <c r="K232" i="16"/>
  <c r="L232" i="16" s="1"/>
  <c r="H232" i="16"/>
  <c r="C232" i="16"/>
  <c r="K231" i="16"/>
  <c r="L231" i="16" s="1"/>
  <c r="H231" i="16"/>
  <c r="K230" i="16"/>
  <c r="L230" i="16" s="1"/>
  <c r="H230" i="16"/>
  <c r="K229" i="16"/>
  <c r="L229" i="16" s="1"/>
  <c r="H229" i="16"/>
  <c r="C229" i="16"/>
  <c r="K228" i="16"/>
  <c r="L228" i="16" s="1"/>
  <c r="H228" i="16"/>
  <c r="C228" i="16"/>
  <c r="K227" i="16"/>
  <c r="L227" i="16" s="1"/>
  <c r="H227" i="16"/>
  <c r="C227" i="16"/>
  <c r="K226" i="16"/>
  <c r="L226" i="16" s="1"/>
  <c r="H226" i="16"/>
  <c r="C226" i="16"/>
  <c r="K225" i="16"/>
  <c r="L225" i="16" s="1"/>
  <c r="H225" i="16"/>
  <c r="C225" i="16"/>
  <c r="K224" i="16"/>
  <c r="L224" i="16" s="1"/>
  <c r="H224" i="16"/>
  <c r="C224" i="16"/>
  <c r="K223" i="16"/>
  <c r="L223" i="16" s="1"/>
  <c r="H223" i="16"/>
  <c r="C223" i="16"/>
  <c r="K222" i="16"/>
  <c r="L222" i="16" s="1"/>
  <c r="H222" i="16"/>
  <c r="C222" i="16"/>
  <c r="K221" i="16"/>
  <c r="L221" i="16" s="1"/>
  <c r="H221" i="16"/>
  <c r="K220" i="16"/>
  <c r="L220" i="16" s="1"/>
  <c r="H220" i="16"/>
  <c r="C220" i="16"/>
  <c r="K219" i="16"/>
  <c r="L219" i="16" s="1"/>
  <c r="H219" i="16"/>
  <c r="C219" i="16"/>
  <c r="K218" i="16"/>
  <c r="L218" i="16" s="1"/>
  <c r="H218" i="16"/>
  <c r="C218" i="16"/>
  <c r="K217" i="16"/>
  <c r="L217" i="16" s="1"/>
  <c r="H217" i="16"/>
  <c r="C217" i="16"/>
  <c r="K216" i="16"/>
  <c r="L216" i="16" s="1"/>
  <c r="H216" i="16"/>
  <c r="C216" i="16"/>
  <c r="K215" i="16"/>
  <c r="L215" i="16" s="1"/>
  <c r="H215" i="16"/>
  <c r="K214" i="16"/>
  <c r="L214" i="16" s="1"/>
  <c r="H214" i="16"/>
  <c r="K213" i="16"/>
  <c r="L213" i="16" s="1"/>
  <c r="H213" i="16"/>
  <c r="C213" i="16"/>
  <c r="K212" i="16"/>
  <c r="L212" i="16" s="1"/>
  <c r="H212" i="16"/>
  <c r="C212" i="16"/>
  <c r="K211" i="16"/>
  <c r="L211" i="16" s="1"/>
  <c r="H211" i="16"/>
  <c r="K210" i="16"/>
  <c r="L210" i="16" s="1"/>
  <c r="H210" i="16"/>
  <c r="K209" i="16"/>
  <c r="L209" i="16" s="1"/>
  <c r="H209" i="16"/>
  <c r="C209" i="16"/>
  <c r="K208" i="16"/>
  <c r="L208" i="16" s="1"/>
  <c r="H208" i="16"/>
  <c r="K207" i="16"/>
  <c r="L207" i="16" s="1"/>
  <c r="H207" i="16"/>
  <c r="C207" i="16"/>
  <c r="K206" i="16"/>
  <c r="L206" i="16" s="1"/>
  <c r="H206" i="16"/>
  <c r="C206" i="16"/>
  <c r="K205" i="16"/>
  <c r="L205" i="16" s="1"/>
  <c r="H205" i="16"/>
  <c r="K204" i="16"/>
  <c r="L204" i="16" s="1"/>
  <c r="H204" i="16"/>
  <c r="C204" i="16"/>
  <c r="K203" i="16"/>
  <c r="L203" i="16" s="1"/>
  <c r="H203" i="16"/>
  <c r="C203" i="16"/>
  <c r="K202" i="16"/>
  <c r="L202" i="16" s="1"/>
  <c r="H202" i="16"/>
  <c r="C202" i="16"/>
  <c r="K201" i="16"/>
  <c r="L201" i="16" s="1"/>
  <c r="H201" i="16"/>
  <c r="K200" i="16"/>
  <c r="L200" i="16" s="1"/>
  <c r="H200" i="16"/>
  <c r="K199" i="16"/>
  <c r="L199" i="16" s="1"/>
  <c r="H199" i="16"/>
  <c r="C199" i="16"/>
  <c r="K198" i="16"/>
  <c r="L198" i="16" s="1"/>
  <c r="H198" i="16"/>
  <c r="C198" i="16"/>
  <c r="K197" i="16"/>
  <c r="L197" i="16" s="1"/>
  <c r="H197" i="16"/>
  <c r="C197" i="16"/>
  <c r="K196" i="16"/>
  <c r="L196" i="16" s="1"/>
  <c r="H196" i="16"/>
  <c r="C196" i="16"/>
  <c r="K195" i="16"/>
  <c r="L195" i="16" s="1"/>
  <c r="H195" i="16"/>
  <c r="C195" i="16"/>
  <c r="K194" i="16"/>
  <c r="L194" i="16" s="1"/>
  <c r="H194" i="16"/>
  <c r="C194" i="16"/>
  <c r="K193" i="16"/>
  <c r="L193" i="16" s="1"/>
  <c r="H193" i="16"/>
  <c r="C193" i="16"/>
  <c r="K192" i="16"/>
  <c r="L192" i="16" s="1"/>
  <c r="H192" i="16"/>
  <c r="C192" i="16"/>
  <c r="K191" i="16"/>
  <c r="L191" i="16" s="1"/>
  <c r="H191" i="16"/>
  <c r="K190" i="16"/>
  <c r="L190" i="16" s="1"/>
  <c r="H190" i="16"/>
  <c r="C190" i="16"/>
  <c r="K189" i="16"/>
  <c r="L189" i="16" s="1"/>
  <c r="H189" i="16"/>
  <c r="C189" i="16"/>
  <c r="K188" i="16"/>
  <c r="L188" i="16" s="1"/>
  <c r="H188" i="16"/>
  <c r="C188" i="16"/>
  <c r="K187" i="16"/>
  <c r="L187" i="16" s="1"/>
  <c r="H187" i="16"/>
  <c r="C187" i="16"/>
  <c r="K186" i="16"/>
  <c r="L186" i="16" s="1"/>
  <c r="H186" i="16"/>
  <c r="C186" i="16"/>
  <c r="K185" i="16"/>
  <c r="L185" i="16" s="1"/>
  <c r="H185" i="16"/>
  <c r="K184" i="16"/>
  <c r="L184" i="16" s="1"/>
  <c r="H184" i="16"/>
  <c r="K183" i="16"/>
  <c r="L183" i="16" s="1"/>
  <c r="H183" i="16"/>
  <c r="C183" i="16"/>
  <c r="K182" i="16"/>
  <c r="L182" i="16" s="1"/>
  <c r="H182" i="16"/>
  <c r="C182" i="16"/>
  <c r="K181" i="16"/>
  <c r="L181" i="16" s="1"/>
  <c r="H181" i="16"/>
  <c r="K180" i="16"/>
  <c r="L180" i="16" s="1"/>
  <c r="H180" i="16"/>
  <c r="K179" i="16"/>
  <c r="L179" i="16" s="1"/>
  <c r="H179" i="16"/>
  <c r="C179" i="16"/>
  <c r="K178" i="16"/>
  <c r="L178" i="16" s="1"/>
  <c r="H178" i="16"/>
  <c r="K177" i="16"/>
  <c r="L177" i="16" s="1"/>
  <c r="H177" i="16"/>
  <c r="C177" i="16"/>
  <c r="K176" i="16"/>
  <c r="L176" i="16" s="1"/>
  <c r="H176" i="16"/>
  <c r="C176" i="16"/>
  <c r="K175" i="16"/>
  <c r="L175" i="16" s="1"/>
  <c r="H175" i="16"/>
  <c r="K174" i="16"/>
  <c r="L174" i="16" s="1"/>
  <c r="H174" i="16"/>
  <c r="C174" i="16"/>
  <c r="K173" i="16"/>
  <c r="L173" i="16" s="1"/>
  <c r="H173" i="16"/>
  <c r="C173" i="16"/>
  <c r="K172" i="16"/>
  <c r="L172" i="16" s="1"/>
  <c r="H172" i="16"/>
  <c r="C172" i="16"/>
  <c r="K171" i="16"/>
  <c r="L171" i="16" s="1"/>
  <c r="H171" i="16"/>
  <c r="K170" i="16"/>
  <c r="L170" i="16" s="1"/>
  <c r="H170" i="16"/>
  <c r="K169" i="16"/>
  <c r="L169" i="16" s="1"/>
  <c r="H169" i="16"/>
  <c r="C169" i="16"/>
  <c r="K168" i="16"/>
  <c r="L168" i="16" s="1"/>
  <c r="H168" i="16"/>
  <c r="C168" i="16"/>
  <c r="K167" i="16"/>
  <c r="L167" i="16" s="1"/>
  <c r="H167" i="16"/>
  <c r="C167" i="16"/>
  <c r="K166" i="16"/>
  <c r="L166" i="16" s="1"/>
  <c r="H166" i="16"/>
  <c r="C166" i="16"/>
  <c r="K165" i="16"/>
  <c r="L165" i="16" s="1"/>
  <c r="H165" i="16"/>
  <c r="C165" i="16"/>
  <c r="K164" i="16"/>
  <c r="L164" i="16" s="1"/>
  <c r="H164" i="16"/>
  <c r="C164" i="16"/>
  <c r="K163" i="16"/>
  <c r="L163" i="16" s="1"/>
  <c r="H163" i="16"/>
  <c r="C163" i="16"/>
  <c r="K162" i="16"/>
  <c r="L162" i="16" s="1"/>
  <c r="H162" i="16"/>
  <c r="C162" i="16"/>
  <c r="K161" i="16"/>
  <c r="L161" i="16" s="1"/>
  <c r="H161" i="16"/>
  <c r="K160" i="16"/>
  <c r="L160" i="16" s="1"/>
  <c r="H160" i="16"/>
  <c r="C160" i="16"/>
  <c r="K159" i="16"/>
  <c r="L159" i="16" s="1"/>
  <c r="H159" i="16"/>
  <c r="C159" i="16"/>
  <c r="K158" i="16"/>
  <c r="L158" i="16" s="1"/>
  <c r="H158" i="16"/>
  <c r="C158" i="16"/>
  <c r="K157" i="16"/>
  <c r="L157" i="16" s="1"/>
  <c r="H157" i="16"/>
  <c r="C157" i="16"/>
  <c r="K156" i="16"/>
  <c r="L156" i="16" s="1"/>
  <c r="H156" i="16"/>
  <c r="C156" i="16"/>
  <c r="K155" i="16"/>
  <c r="L155" i="16" s="1"/>
  <c r="H155" i="16"/>
  <c r="K154" i="16"/>
  <c r="L154" i="16" s="1"/>
  <c r="H154" i="16"/>
  <c r="K153" i="16"/>
  <c r="L153" i="16" s="1"/>
  <c r="H153" i="16"/>
  <c r="C153" i="16"/>
  <c r="K152" i="16"/>
  <c r="L152" i="16" s="1"/>
  <c r="H152" i="16"/>
  <c r="C152" i="16"/>
  <c r="K151" i="16"/>
  <c r="L151" i="16" s="1"/>
  <c r="H151" i="16"/>
  <c r="K150" i="16"/>
  <c r="L150" i="16" s="1"/>
  <c r="H150" i="16"/>
  <c r="K149" i="16"/>
  <c r="L149" i="16" s="1"/>
  <c r="H149" i="16"/>
  <c r="C149" i="16"/>
  <c r="K148" i="16"/>
  <c r="L148" i="16" s="1"/>
  <c r="H148" i="16"/>
  <c r="K147" i="16"/>
  <c r="L147" i="16" s="1"/>
  <c r="H147" i="16"/>
  <c r="C147" i="16"/>
  <c r="K146" i="16"/>
  <c r="L146" i="16" s="1"/>
  <c r="H146" i="16"/>
  <c r="C146" i="16"/>
  <c r="K145" i="16"/>
  <c r="L145" i="16" s="1"/>
  <c r="H145" i="16"/>
  <c r="K144" i="16"/>
  <c r="L144" i="16" s="1"/>
  <c r="H144" i="16"/>
  <c r="C144" i="16"/>
  <c r="K143" i="16"/>
  <c r="L143" i="16" s="1"/>
  <c r="H143" i="16"/>
  <c r="C143" i="16"/>
  <c r="K142" i="16"/>
  <c r="L142" i="16" s="1"/>
  <c r="H142" i="16"/>
  <c r="C142" i="16"/>
  <c r="K141" i="16"/>
  <c r="L141" i="16" s="1"/>
  <c r="H141" i="16"/>
  <c r="K140" i="16"/>
  <c r="L140" i="16" s="1"/>
  <c r="H140" i="16"/>
  <c r="K139" i="16"/>
  <c r="L139" i="16" s="1"/>
  <c r="H139" i="16"/>
  <c r="C139" i="16"/>
  <c r="K138" i="16"/>
  <c r="L138" i="16" s="1"/>
  <c r="H138" i="16"/>
  <c r="C138" i="16"/>
  <c r="K137" i="16"/>
  <c r="L137" i="16" s="1"/>
  <c r="H137" i="16"/>
  <c r="C137" i="16"/>
  <c r="K136" i="16"/>
  <c r="L136" i="16" s="1"/>
  <c r="H136" i="16"/>
  <c r="C136" i="16"/>
  <c r="K135" i="16"/>
  <c r="L135" i="16" s="1"/>
  <c r="H135" i="16"/>
  <c r="C135" i="16"/>
  <c r="K134" i="16"/>
  <c r="L134" i="16" s="1"/>
  <c r="H134" i="16"/>
  <c r="C134" i="16"/>
  <c r="K133" i="16"/>
  <c r="L133" i="16" s="1"/>
  <c r="H133" i="16"/>
  <c r="C133" i="16"/>
  <c r="K132" i="16"/>
  <c r="L132" i="16" s="1"/>
  <c r="H132" i="16"/>
  <c r="C132" i="16"/>
  <c r="K131" i="16"/>
  <c r="L131" i="16" s="1"/>
  <c r="H131" i="16"/>
  <c r="K130" i="16"/>
  <c r="L130" i="16" s="1"/>
  <c r="H130" i="16"/>
  <c r="C130" i="16"/>
  <c r="K129" i="16"/>
  <c r="L129" i="16" s="1"/>
  <c r="H129" i="16"/>
  <c r="C129" i="16"/>
  <c r="K128" i="16"/>
  <c r="L128" i="16" s="1"/>
  <c r="H128" i="16"/>
  <c r="C128" i="16"/>
  <c r="K127" i="16"/>
  <c r="L127" i="16" s="1"/>
  <c r="H127" i="16"/>
  <c r="C127" i="16"/>
  <c r="K126" i="16"/>
  <c r="L126" i="16" s="1"/>
  <c r="H126" i="16"/>
  <c r="C126" i="16"/>
  <c r="K125" i="16"/>
  <c r="L125" i="16" s="1"/>
  <c r="H125" i="16"/>
  <c r="K124" i="16"/>
  <c r="L124" i="16" s="1"/>
  <c r="H124" i="16"/>
  <c r="C124" i="16"/>
  <c r="K123" i="16"/>
  <c r="L123" i="16" s="1"/>
  <c r="H123" i="16"/>
  <c r="K122" i="16"/>
  <c r="L122" i="16" s="1"/>
  <c r="H122" i="16"/>
  <c r="C122" i="16"/>
  <c r="K121" i="16"/>
  <c r="L121" i="16" s="1"/>
  <c r="H121" i="16"/>
  <c r="K120" i="16"/>
  <c r="L120" i="16" s="1"/>
  <c r="H120" i="16"/>
  <c r="K119" i="16"/>
  <c r="L119" i="16" s="1"/>
  <c r="H119" i="16"/>
  <c r="C119" i="16"/>
  <c r="K118" i="16"/>
  <c r="L118" i="16" s="1"/>
  <c r="H118" i="16"/>
  <c r="K117" i="16"/>
  <c r="L117" i="16" s="1"/>
  <c r="H117" i="16"/>
  <c r="C117" i="16"/>
  <c r="K116" i="16"/>
  <c r="L116" i="16" s="1"/>
  <c r="H116" i="16"/>
  <c r="C116" i="16"/>
  <c r="K115" i="16"/>
  <c r="L115" i="16" s="1"/>
  <c r="H115" i="16"/>
  <c r="K114" i="16"/>
  <c r="L114" i="16" s="1"/>
  <c r="H114" i="16"/>
  <c r="C114" i="16"/>
  <c r="K113" i="16"/>
  <c r="L113" i="16" s="1"/>
  <c r="H113" i="16"/>
  <c r="C113" i="16"/>
  <c r="K112" i="16"/>
  <c r="L112" i="16" s="1"/>
  <c r="H112" i="16"/>
  <c r="C112" i="16"/>
  <c r="K111" i="16"/>
  <c r="L111" i="16" s="1"/>
  <c r="H111" i="16"/>
  <c r="K110" i="16"/>
  <c r="L110" i="16" s="1"/>
  <c r="H110" i="16"/>
  <c r="K109" i="16"/>
  <c r="L109" i="16" s="1"/>
  <c r="H109" i="16"/>
  <c r="C109" i="16"/>
  <c r="K108" i="16"/>
  <c r="L108" i="16" s="1"/>
  <c r="H108" i="16"/>
  <c r="C108" i="16"/>
  <c r="K107" i="16"/>
  <c r="L107" i="16" s="1"/>
  <c r="H107" i="16"/>
  <c r="C107" i="16"/>
  <c r="K106" i="16"/>
  <c r="L106" i="16" s="1"/>
  <c r="H106" i="16"/>
  <c r="C106" i="16"/>
  <c r="K105" i="16"/>
  <c r="L105" i="16" s="1"/>
  <c r="H105" i="16"/>
  <c r="C105" i="16"/>
  <c r="K104" i="16"/>
  <c r="L104" i="16" s="1"/>
  <c r="H104" i="16"/>
  <c r="C104" i="16"/>
  <c r="K103" i="16"/>
  <c r="L103" i="16" s="1"/>
  <c r="H103" i="16"/>
  <c r="C103" i="16"/>
  <c r="K102" i="16"/>
  <c r="L102" i="16" s="1"/>
  <c r="H102" i="16"/>
  <c r="C102" i="16"/>
  <c r="K101" i="16"/>
  <c r="L101" i="16" s="1"/>
  <c r="H101" i="16"/>
  <c r="K100" i="16"/>
  <c r="L100" i="16" s="1"/>
  <c r="H100" i="16"/>
  <c r="C100" i="16"/>
  <c r="K99" i="16"/>
  <c r="L99" i="16" s="1"/>
  <c r="H99" i="16"/>
  <c r="C99" i="16"/>
  <c r="K98" i="16"/>
  <c r="L98" i="16" s="1"/>
  <c r="H98" i="16"/>
  <c r="C98" i="16"/>
  <c r="K97" i="16"/>
  <c r="L97" i="16" s="1"/>
  <c r="H97" i="16"/>
  <c r="C97" i="16"/>
  <c r="K96" i="16"/>
  <c r="L96" i="16" s="1"/>
  <c r="H96" i="16"/>
  <c r="C96" i="16"/>
  <c r="K95" i="16"/>
  <c r="L95" i="16" s="1"/>
  <c r="H95" i="16"/>
  <c r="K94" i="16"/>
  <c r="L94" i="16" s="1"/>
  <c r="H94" i="16"/>
  <c r="K93" i="16"/>
  <c r="L93" i="16" s="1"/>
  <c r="H93" i="16"/>
  <c r="C93" i="16"/>
  <c r="K92" i="16"/>
  <c r="L92" i="16" s="1"/>
  <c r="H92" i="16"/>
  <c r="C92" i="16"/>
  <c r="K91" i="16"/>
  <c r="L91" i="16" s="1"/>
  <c r="H91" i="16"/>
  <c r="K90" i="16"/>
  <c r="L90" i="16" s="1"/>
  <c r="H90" i="16"/>
  <c r="K89" i="16"/>
  <c r="L89" i="16" s="1"/>
  <c r="H89" i="16"/>
  <c r="C89" i="16"/>
  <c r="K88" i="16"/>
  <c r="L88" i="16" s="1"/>
  <c r="H88" i="16"/>
  <c r="K87" i="16"/>
  <c r="L87" i="16" s="1"/>
  <c r="H87" i="16"/>
  <c r="C87" i="16"/>
  <c r="K86" i="16"/>
  <c r="L86" i="16" s="1"/>
  <c r="H86" i="16"/>
  <c r="C86" i="16"/>
  <c r="K85" i="16"/>
  <c r="L85" i="16" s="1"/>
  <c r="H85" i="16"/>
  <c r="K84" i="16"/>
  <c r="L84" i="16" s="1"/>
  <c r="H84" i="16"/>
  <c r="C84" i="16"/>
  <c r="K83" i="16"/>
  <c r="L83" i="16" s="1"/>
  <c r="H83" i="16"/>
  <c r="C83" i="16"/>
  <c r="K82" i="16"/>
  <c r="L82" i="16" s="1"/>
  <c r="H82" i="16"/>
  <c r="C82" i="16"/>
  <c r="K81" i="16"/>
  <c r="L81" i="16" s="1"/>
  <c r="H81" i="16"/>
  <c r="K80" i="16"/>
  <c r="L80" i="16" s="1"/>
  <c r="H80" i="16"/>
  <c r="K79" i="16"/>
  <c r="L79" i="16" s="1"/>
  <c r="H79" i="16"/>
  <c r="C79" i="16"/>
  <c r="K78" i="16"/>
  <c r="L78" i="16" s="1"/>
  <c r="H78" i="16"/>
  <c r="C78" i="16"/>
  <c r="K77" i="16"/>
  <c r="L77" i="16" s="1"/>
  <c r="H77" i="16"/>
  <c r="C77" i="16"/>
  <c r="K76" i="16"/>
  <c r="L76" i="16" s="1"/>
  <c r="H76" i="16"/>
  <c r="C76" i="16"/>
  <c r="K75" i="16"/>
  <c r="L75" i="16" s="1"/>
  <c r="H75" i="16"/>
  <c r="C75" i="16"/>
  <c r="K74" i="16"/>
  <c r="L74" i="16" s="1"/>
  <c r="H74" i="16"/>
  <c r="C74" i="16"/>
  <c r="K73" i="16"/>
  <c r="L73" i="16" s="1"/>
  <c r="H73" i="16"/>
  <c r="C73" i="16"/>
  <c r="K72" i="16"/>
  <c r="L72" i="16" s="1"/>
  <c r="H72" i="16"/>
  <c r="C72" i="16"/>
  <c r="K71" i="16"/>
  <c r="L71" i="16" s="1"/>
  <c r="H71" i="16"/>
  <c r="K70" i="16"/>
  <c r="L70" i="16" s="1"/>
  <c r="H70" i="16"/>
  <c r="C70" i="16"/>
  <c r="K69" i="16"/>
  <c r="L69" i="16" s="1"/>
  <c r="H69" i="16"/>
  <c r="C69" i="16"/>
  <c r="K68" i="16"/>
  <c r="L68" i="16" s="1"/>
  <c r="H68" i="16"/>
  <c r="C68" i="16"/>
  <c r="K67" i="16"/>
  <c r="L67" i="16" s="1"/>
  <c r="H67" i="16"/>
  <c r="C67" i="16"/>
  <c r="K66" i="16"/>
  <c r="L66" i="16" s="1"/>
  <c r="H66" i="16"/>
  <c r="C66" i="16"/>
  <c r="K65" i="16"/>
  <c r="L65" i="16" s="1"/>
  <c r="H65" i="16"/>
  <c r="K64" i="16"/>
  <c r="L64" i="16" s="1"/>
  <c r="H64" i="16"/>
  <c r="K63" i="16"/>
  <c r="L63" i="16" s="1"/>
  <c r="H63" i="16"/>
  <c r="C63" i="16"/>
  <c r="K62" i="16"/>
  <c r="L62" i="16" s="1"/>
  <c r="H62" i="16"/>
  <c r="C62" i="16"/>
  <c r="K61" i="16"/>
  <c r="L61" i="16" s="1"/>
  <c r="H61" i="16"/>
  <c r="K60" i="16"/>
  <c r="L60" i="16" s="1"/>
  <c r="H60" i="16"/>
  <c r="K59" i="16"/>
  <c r="L59" i="16" s="1"/>
  <c r="H59" i="16"/>
  <c r="C59" i="16"/>
  <c r="K58" i="16"/>
  <c r="L58" i="16" s="1"/>
  <c r="H58" i="16"/>
  <c r="K57" i="16"/>
  <c r="L57" i="16" s="1"/>
  <c r="H57" i="16"/>
  <c r="C57" i="16"/>
  <c r="K56" i="16"/>
  <c r="L56" i="16" s="1"/>
  <c r="H56" i="16"/>
  <c r="C56" i="16"/>
  <c r="K55" i="16"/>
  <c r="L55" i="16" s="1"/>
  <c r="H55" i="16"/>
  <c r="K54" i="16"/>
  <c r="L54" i="16" s="1"/>
  <c r="H54" i="16"/>
  <c r="C54" i="16"/>
  <c r="K53" i="16"/>
  <c r="L53" i="16" s="1"/>
  <c r="H53" i="16"/>
  <c r="C53" i="16"/>
  <c r="K52" i="16"/>
  <c r="L52" i="16" s="1"/>
  <c r="H52" i="16"/>
  <c r="C52" i="16"/>
  <c r="K51" i="16"/>
  <c r="L51" i="16" s="1"/>
  <c r="H51" i="16"/>
  <c r="K50" i="16"/>
  <c r="L50" i="16" s="1"/>
  <c r="H50" i="16"/>
  <c r="K49" i="16"/>
  <c r="L49" i="16" s="1"/>
  <c r="H49" i="16"/>
  <c r="C49" i="16"/>
  <c r="K48" i="16"/>
  <c r="L48" i="16" s="1"/>
  <c r="H48" i="16"/>
  <c r="C48" i="16"/>
  <c r="K47" i="16"/>
  <c r="L47" i="16" s="1"/>
  <c r="H47" i="16"/>
  <c r="C47" i="16"/>
  <c r="K46" i="16"/>
  <c r="L46" i="16" s="1"/>
  <c r="H46" i="16"/>
  <c r="C46" i="16"/>
  <c r="K45" i="16"/>
  <c r="L45" i="16" s="1"/>
  <c r="H45" i="16"/>
  <c r="C45" i="16"/>
  <c r="K44" i="16"/>
  <c r="L44" i="16" s="1"/>
  <c r="H44" i="16"/>
  <c r="C44" i="16"/>
  <c r="K43" i="16"/>
  <c r="L43" i="16" s="1"/>
  <c r="H43" i="16"/>
  <c r="C43" i="16"/>
  <c r="K42" i="16"/>
  <c r="L42" i="16" s="1"/>
  <c r="H42" i="16"/>
  <c r="C42" i="16"/>
  <c r="K41" i="16"/>
  <c r="L41" i="16" s="1"/>
  <c r="H41" i="16"/>
  <c r="K40" i="16"/>
  <c r="L40" i="16" s="1"/>
  <c r="H40" i="16"/>
  <c r="C40" i="16"/>
  <c r="K39" i="16"/>
  <c r="L39" i="16" s="1"/>
  <c r="H39" i="16"/>
  <c r="C39" i="16"/>
  <c r="K38" i="16"/>
  <c r="L38" i="16" s="1"/>
  <c r="H38" i="16"/>
  <c r="C38" i="16"/>
  <c r="K37" i="16"/>
  <c r="L37" i="16" s="1"/>
  <c r="H37" i="16"/>
  <c r="C37" i="16"/>
  <c r="K36" i="16"/>
  <c r="L36" i="16" s="1"/>
  <c r="H36" i="16"/>
  <c r="C36" i="16"/>
  <c r="K35" i="16"/>
  <c r="L35" i="16" s="1"/>
  <c r="H35" i="16"/>
  <c r="K34" i="16"/>
  <c r="L34" i="16" s="1"/>
  <c r="H34" i="16"/>
  <c r="K33" i="16"/>
  <c r="L33" i="16" s="1"/>
  <c r="H33" i="16"/>
  <c r="C33" i="16"/>
  <c r="K32" i="16"/>
  <c r="L32" i="16" s="1"/>
  <c r="H32" i="16"/>
  <c r="C32" i="16"/>
  <c r="K31" i="16"/>
  <c r="L31" i="16" s="1"/>
  <c r="H31" i="16"/>
  <c r="K30" i="16"/>
  <c r="L30" i="16" s="1"/>
  <c r="H30" i="16"/>
  <c r="K29" i="16"/>
  <c r="L29" i="16" s="1"/>
  <c r="H29" i="16"/>
  <c r="C29" i="16"/>
  <c r="K28" i="16"/>
  <c r="L28" i="16" s="1"/>
  <c r="H28" i="16"/>
  <c r="K27" i="16"/>
  <c r="L27" i="16" s="1"/>
  <c r="H27" i="16"/>
  <c r="C27" i="16"/>
  <c r="K26" i="16"/>
  <c r="L26" i="16" s="1"/>
  <c r="H26" i="16"/>
  <c r="C26" i="16"/>
  <c r="K25" i="16"/>
  <c r="L25" i="16" s="1"/>
  <c r="H25" i="16"/>
  <c r="K24" i="16"/>
  <c r="L24" i="16" s="1"/>
  <c r="H24" i="16"/>
  <c r="C24" i="16"/>
  <c r="K23" i="16"/>
  <c r="L23" i="16" s="1"/>
  <c r="H23" i="16"/>
  <c r="C23" i="16"/>
  <c r="K22" i="16"/>
  <c r="L22" i="16" s="1"/>
  <c r="H22" i="16"/>
  <c r="C22" i="16"/>
  <c r="K21" i="16"/>
  <c r="L21" i="16" s="1"/>
  <c r="H21" i="16"/>
  <c r="K20" i="16"/>
  <c r="L20" i="16" s="1"/>
  <c r="H20" i="16"/>
  <c r="K19" i="16"/>
  <c r="L19" i="16" s="1"/>
  <c r="H19" i="16"/>
  <c r="C19" i="16"/>
  <c r="K18" i="16"/>
  <c r="L18" i="16" s="1"/>
  <c r="H18" i="16"/>
  <c r="C18" i="16"/>
  <c r="K17" i="16"/>
  <c r="L17" i="16" s="1"/>
  <c r="H17" i="16"/>
  <c r="C17" i="16"/>
  <c r="K16" i="16"/>
  <c r="L16" i="16" s="1"/>
  <c r="H16" i="16"/>
  <c r="C16" i="16"/>
  <c r="K15" i="16"/>
  <c r="L15" i="16" s="1"/>
  <c r="H15" i="16"/>
  <c r="C15" i="16"/>
  <c r="K14" i="16"/>
  <c r="L14" i="16" s="1"/>
  <c r="H14" i="16"/>
  <c r="C14" i="16"/>
  <c r="K13" i="16"/>
  <c r="L13" i="16" s="1"/>
  <c r="H13" i="16"/>
  <c r="C13" i="16"/>
  <c r="K12" i="16"/>
  <c r="L12" i="16" s="1"/>
  <c r="H12" i="16"/>
  <c r="C12" i="16"/>
  <c r="K11" i="16"/>
  <c r="L11" i="16" s="1"/>
  <c r="H11" i="16"/>
  <c r="K10" i="16"/>
  <c r="L10" i="16" s="1"/>
  <c r="H10" i="16"/>
  <c r="C10" i="16"/>
  <c r="K9" i="16"/>
  <c r="L9" i="16" s="1"/>
  <c r="H9" i="16"/>
  <c r="C9" i="16"/>
  <c r="K8" i="16"/>
  <c r="L8" i="16" s="1"/>
  <c r="H8" i="16"/>
  <c r="C8" i="16"/>
  <c r="K7" i="16"/>
  <c r="L7" i="16" s="1"/>
  <c r="H7" i="16"/>
  <c r="C7" i="16"/>
  <c r="K6" i="16"/>
  <c r="L6" i="16" s="1"/>
  <c r="H6" i="16"/>
  <c r="C6" i="16"/>
  <c r="K5" i="16"/>
  <c r="L5" i="16" s="1"/>
  <c r="H5" i="16"/>
  <c r="K4" i="16"/>
  <c r="L4" i="16" s="1"/>
  <c r="H4" i="16"/>
  <c r="K3" i="16"/>
  <c r="L3" i="16" s="1"/>
  <c r="H3" i="16"/>
  <c r="C3" i="16"/>
  <c r="K2" i="16"/>
  <c r="L2" i="16" s="1"/>
  <c r="H2" i="16"/>
  <c r="C2" i="16"/>
  <c r="I218" i="14"/>
  <c r="J218" i="14" s="1"/>
  <c r="F218" i="14"/>
  <c r="G218" i="14" s="1"/>
  <c r="I217" i="14"/>
  <c r="J217" i="14" s="1"/>
  <c r="F217" i="14"/>
  <c r="G217" i="14" s="1"/>
  <c r="C217" i="14"/>
  <c r="I216" i="14"/>
  <c r="J216" i="14" s="1"/>
  <c r="F216" i="14"/>
  <c r="G216" i="14" s="1"/>
  <c r="I215" i="14"/>
  <c r="J215" i="14" s="1"/>
  <c r="F215" i="14"/>
  <c r="G215" i="14" s="1"/>
  <c r="C215" i="14"/>
  <c r="I214" i="14"/>
  <c r="J214" i="14" s="1"/>
  <c r="F214" i="14"/>
  <c r="G214" i="14" s="1"/>
  <c r="I213" i="14"/>
  <c r="J213" i="14" s="1"/>
  <c r="F213" i="14"/>
  <c r="G213" i="14" s="1"/>
  <c r="I212" i="14"/>
  <c r="J212" i="14" s="1"/>
  <c r="F212" i="14"/>
  <c r="G212" i="14" s="1"/>
  <c r="C212" i="14"/>
  <c r="I211" i="14"/>
  <c r="J211" i="14" s="1"/>
  <c r="F211" i="14"/>
  <c r="G211" i="14" s="1"/>
  <c r="C211" i="14"/>
  <c r="I210" i="14"/>
  <c r="J210" i="14" s="1"/>
  <c r="F210" i="14"/>
  <c r="G210" i="14" s="1"/>
  <c r="C210" i="14"/>
  <c r="I209" i="14"/>
  <c r="J209" i="14" s="1"/>
  <c r="F209" i="14"/>
  <c r="G209" i="14" s="1"/>
  <c r="C209" i="14"/>
  <c r="I208" i="14"/>
  <c r="J208" i="14" s="1"/>
  <c r="F208" i="14"/>
  <c r="G208" i="14" s="1"/>
  <c r="I207" i="14"/>
  <c r="J207" i="14" s="1"/>
  <c r="F207" i="14"/>
  <c r="G207" i="14" s="1"/>
  <c r="I206" i="14"/>
  <c r="J206" i="14" s="1"/>
  <c r="F206" i="14"/>
  <c r="G206" i="14" s="1"/>
  <c r="I205" i="14"/>
  <c r="J205" i="14" s="1"/>
  <c r="F205" i="14"/>
  <c r="G205" i="14" s="1"/>
  <c r="I204" i="14"/>
  <c r="J204" i="14" s="1"/>
  <c r="F204" i="14"/>
  <c r="G204" i="14" s="1"/>
  <c r="I203" i="14"/>
  <c r="J203" i="14" s="1"/>
  <c r="F203" i="14"/>
  <c r="G203" i="14" s="1"/>
  <c r="C203" i="14"/>
  <c r="I202" i="14"/>
  <c r="J202" i="14" s="1"/>
  <c r="F202" i="14"/>
  <c r="G202" i="14" s="1"/>
  <c r="C202" i="14"/>
  <c r="I201" i="14"/>
  <c r="J201" i="14" s="1"/>
  <c r="F201" i="14"/>
  <c r="G201" i="14" s="1"/>
  <c r="C201" i="14"/>
  <c r="I200" i="14"/>
  <c r="J200" i="14" s="1"/>
  <c r="F200" i="14"/>
  <c r="G200" i="14" s="1"/>
  <c r="I199" i="14"/>
  <c r="J199" i="14" s="1"/>
  <c r="F199" i="14"/>
  <c r="G199" i="14" s="1"/>
  <c r="I198" i="14"/>
  <c r="J198" i="14" s="1"/>
  <c r="F198" i="14"/>
  <c r="G198" i="14" s="1"/>
  <c r="C198" i="14"/>
  <c r="I197" i="14"/>
  <c r="J197" i="14" s="1"/>
  <c r="F197" i="14"/>
  <c r="G197" i="14" s="1"/>
  <c r="I196" i="14"/>
  <c r="J196" i="14" s="1"/>
  <c r="F196" i="14"/>
  <c r="G196" i="14" s="1"/>
  <c r="I195" i="14"/>
  <c r="J195" i="14" s="1"/>
  <c r="F195" i="14"/>
  <c r="G195" i="14" s="1"/>
  <c r="I194" i="14"/>
  <c r="J194" i="14" s="1"/>
  <c r="F194" i="14"/>
  <c r="G194" i="14" s="1"/>
  <c r="C194" i="14"/>
  <c r="I193" i="14"/>
  <c r="J193" i="14" s="1"/>
  <c r="F193" i="14"/>
  <c r="G193" i="14" s="1"/>
  <c r="C193" i="14"/>
  <c r="I192" i="14"/>
  <c r="J192" i="14" s="1"/>
  <c r="F192" i="14"/>
  <c r="G192" i="14" s="1"/>
  <c r="C192" i="14"/>
  <c r="I191" i="14"/>
  <c r="J191" i="14" s="1"/>
  <c r="F191" i="14"/>
  <c r="G191" i="14" s="1"/>
  <c r="C191" i="14"/>
  <c r="I190" i="14"/>
  <c r="J190" i="14" s="1"/>
  <c r="F190" i="14"/>
  <c r="G190" i="14" s="1"/>
  <c r="C190" i="14"/>
  <c r="I189" i="14"/>
  <c r="J189" i="14" s="1"/>
  <c r="F189" i="14"/>
  <c r="G189" i="14" s="1"/>
  <c r="I188" i="14"/>
  <c r="J188" i="14" s="1"/>
  <c r="F188" i="14"/>
  <c r="G188" i="14" s="1"/>
  <c r="I187" i="14"/>
  <c r="J187" i="14" s="1"/>
  <c r="F187" i="14"/>
  <c r="G187" i="14" s="1"/>
  <c r="I186" i="14"/>
  <c r="J186" i="14" s="1"/>
  <c r="F186" i="14"/>
  <c r="G186" i="14" s="1"/>
  <c r="I185" i="14"/>
  <c r="J185" i="14" s="1"/>
  <c r="F185" i="14"/>
  <c r="G185" i="14" s="1"/>
  <c r="C185" i="14"/>
  <c r="I184" i="14"/>
  <c r="J184" i="14" s="1"/>
  <c r="F184" i="14"/>
  <c r="G184" i="14" s="1"/>
  <c r="I183" i="14"/>
  <c r="J183" i="14" s="1"/>
  <c r="F183" i="14"/>
  <c r="G183" i="14" s="1"/>
  <c r="I182" i="14"/>
  <c r="J182" i="14" s="1"/>
  <c r="F182" i="14"/>
  <c r="G182" i="14" s="1"/>
  <c r="C182" i="14"/>
  <c r="I181" i="14"/>
  <c r="J181" i="14" s="1"/>
  <c r="F181" i="14"/>
  <c r="G181" i="14" s="1"/>
  <c r="C181" i="14"/>
  <c r="I180" i="14"/>
  <c r="J180" i="14" s="1"/>
  <c r="F180" i="14"/>
  <c r="G180" i="14" s="1"/>
  <c r="C180" i="14"/>
  <c r="I179" i="14"/>
  <c r="J179" i="14" s="1"/>
  <c r="F179" i="14"/>
  <c r="G179" i="14" s="1"/>
  <c r="C179" i="14"/>
  <c r="I178" i="14"/>
  <c r="J178" i="14" s="1"/>
  <c r="F178" i="14"/>
  <c r="G178" i="14" s="1"/>
  <c r="C178" i="14"/>
  <c r="I177" i="14"/>
  <c r="J177" i="14" s="1"/>
  <c r="F177" i="14"/>
  <c r="G177" i="14" s="1"/>
  <c r="C177" i="14"/>
  <c r="I176" i="14"/>
  <c r="J176" i="14" s="1"/>
  <c r="F176" i="14"/>
  <c r="G176" i="14" s="1"/>
  <c r="C176" i="14"/>
  <c r="I175" i="14"/>
  <c r="J175" i="14" s="1"/>
  <c r="F175" i="14"/>
  <c r="G175" i="14" s="1"/>
  <c r="C175" i="14"/>
  <c r="I174" i="14"/>
  <c r="J174" i="14" s="1"/>
  <c r="F174" i="14"/>
  <c r="G174" i="14" s="1"/>
  <c r="C174" i="14"/>
  <c r="I173" i="14"/>
  <c r="J173" i="14" s="1"/>
  <c r="F173" i="14"/>
  <c r="G173" i="14" s="1"/>
  <c r="I172" i="14"/>
  <c r="J172" i="14" s="1"/>
  <c r="F172" i="14"/>
  <c r="G172" i="14" s="1"/>
  <c r="C172" i="14"/>
  <c r="I171" i="14"/>
  <c r="J171" i="14" s="1"/>
  <c r="F171" i="14"/>
  <c r="G171" i="14" s="1"/>
  <c r="I170" i="14"/>
  <c r="J170" i="14" s="1"/>
  <c r="F170" i="14"/>
  <c r="G170" i="14" s="1"/>
  <c r="I169" i="14"/>
  <c r="J169" i="14" s="1"/>
  <c r="F169" i="14"/>
  <c r="G169" i="14" s="1"/>
  <c r="C169" i="14"/>
  <c r="I168" i="14"/>
  <c r="J168" i="14" s="1"/>
  <c r="F168" i="14"/>
  <c r="G168" i="14" s="1"/>
  <c r="I167" i="14"/>
  <c r="J167" i="14" s="1"/>
  <c r="F167" i="14"/>
  <c r="G167" i="14" s="1"/>
  <c r="C167" i="14"/>
  <c r="I166" i="14"/>
  <c r="J166" i="14" s="1"/>
  <c r="F166" i="14"/>
  <c r="G166" i="14" s="1"/>
  <c r="C166" i="14"/>
  <c r="I165" i="14"/>
  <c r="J165" i="14" s="1"/>
  <c r="F165" i="14"/>
  <c r="G165" i="14" s="1"/>
  <c r="C165" i="14"/>
  <c r="I164" i="14"/>
  <c r="J164" i="14" s="1"/>
  <c r="F164" i="14"/>
  <c r="G164" i="14" s="1"/>
  <c r="I163" i="14"/>
  <c r="J163" i="14" s="1"/>
  <c r="F163" i="14"/>
  <c r="G163" i="14" s="1"/>
  <c r="I162" i="14"/>
  <c r="J162" i="14" s="1"/>
  <c r="F162" i="14"/>
  <c r="G162" i="14" s="1"/>
  <c r="I161" i="14"/>
  <c r="J161" i="14" s="1"/>
  <c r="F161" i="14"/>
  <c r="G161" i="14" s="1"/>
  <c r="C161" i="14"/>
  <c r="I160" i="14"/>
  <c r="J160" i="14" s="1"/>
  <c r="F160" i="14"/>
  <c r="G160" i="14" s="1"/>
  <c r="I159" i="14"/>
  <c r="J159" i="14" s="1"/>
  <c r="F159" i="14"/>
  <c r="G159" i="14" s="1"/>
  <c r="I158" i="14"/>
  <c r="J158" i="14" s="1"/>
  <c r="F158" i="14"/>
  <c r="G158" i="14" s="1"/>
  <c r="C158" i="14"/>
  <c r="I157" i="14"/>
  <c r="J157" i="14" s="1"/>
  <c r="F157" i="14"/>
  <c r="G157" i="14" s="1"/>
  <c r="C157" i="14"/>
  <c r="I156" i="14"/>
  <c r="J156" i="14" s="1"/>
  <c r="F156" i="14"/>
  <c r="G156" i="14" s="1"/>
  <c r="C156" i="14"/>
  <c r="I155" i="14"/>
  <c r="J155" i="14" s="1"/>
  <c r="F155" i="14"/>
  <c r="G155" i="14" s="1"/>
  <c r="C155" i="14"/>
  <c r="I154" i="14"/>
  <c r="J154" i="14" s="1"/>
  <c r="F154" i="14"/>
  <c r="G154" i="14" s="1"/>
  <c r="C154" i="14"/>
  <c r="I153" i="14"/>
  <c r="J153" i="14" s="1"/>
  <c r="F153" i="14"/>
  <c r="G153" i="14" s="1"/>
  <c r="C153" i="14"/>
  <c r="I152" i="14"/>
  <c r="J152" i="14" s="1"/>
  <c r="F152" i="14"/>
  <c r="G152" i="14" s="1"/>
  <c r="C152" i="14"/>
  <c r="I151" i="14"/>
  <c r="J151" i="14" s="1"/>
  <c r="F151" i="14"/>
  <c r="G151" i="14" s="1"/>
  <c r="C151" i="14"/>
  <c r="I150" i="14"/>
  <c r="J150" i="14" s="1"/>
  <c r="F150" i="14"/>
  <c r="G150" i="14" s="1"/>
  <c r="C150" i="14"/>
  <c r="I149" i="14"/>
  <c r="J149" i="14" s="1"/>
  <c r="F149" i="14"/>
  <c r="G149" i="14" s="1"/>
  <c r="C149" i="14"/>
  <c r="I148" i="14"/>
  <c r="J148" i="14" s="1"/>
  <c r="F148" i="14"/>
  <c r="G148" i="14" s="1"/>
  <c r="C148" i="14"/>
  <c r="I147" i="14"/>
  <c r="J147" i="14" s="1"/>
  <c r="F147" i="14"/>
  <c r="G147" i="14" s="1"/>
  <c r="C147" i="14"/>
  <c r="I146" i="14"/>
  <c r="J146" i="14" s="1"/>
  <c r="F146" i="14"/>
  <c r="G146" i="14" s="1"/>
  <c r="I145" i="14"/>
  <c r="J145" i="14" s="1"/>
  <c r="F145" i="14"/>
  <c r="G145" i="14" s="1"/>
  <c r="I144" i="14"/>
  <c r="J144" i="14" s="1"/>
  <c r="F144" i="14"/>
  <c r="G144" i="14" s="1"/>
  <c r="C144" i="14"/>
  <c r="I143" i="14"/>
  <c r="J143" i="14" s="1"/>
  <c r="F143" i="14"/>
  <c r="G143" i="14" s="1"/>
  <c r="C143" i="14"/>
  <c r="I142" i="14"/>
  <c r="J142" i="14" s="1"/>
  <c r="F142" i="14"/>
  <c r="G142" i="14" s="1"/>
  <c r="I141" i="14"/>
  <c r="J141" i="14" s="1"/>
  <c r="F141" i="14"/>
  <c r="G141" i="14" s="1"/>
  <c r="I140" i="14"/>
  <c r="J140" i="14" s="1"/>
  <c r="F140" i="14"/>
  <c r="G140" i="14" s="1"/>
  <c r="C140" i="14"/>
  <c r="I139" i="14"/>
  <c r="J139" i="14" s="1"/>
  <c r="F139" i="14"/>
  <c r="G139" i="14" s="1"/>
  <c r="C139" i="14"/>
  <c r="I138" i="14"/>
  <c r="J138" i="14" s="1"/>
  <c r="F138" i="14"/>
  <c r="G138" i="14" s="1"/>
  <c r="C138" i="14"/>
  <c r="I137" i="14"/>
  <c r="J137" i="14" s="1"/>
  <c r="F137" i="14"/>
  <c r="G137" i="14" s="1"/>
  <c r="I136" i="14"/>
  <c r="J136" i="14" s="1"/>
  <c r="F136" i="14"/>
  <c r="G136" i="14" s="1"/>
  <c r="I135" i="14"/>
  <c r="J135" i="14" s="1"/>
  <c r="F135" i="14"/>
  <c r="G135" i="14" s="1"/>
  <c r="I134" i="14"/>
  <c r="J134" i="14" s="1"/>
  <c r="F134" i="14"/>
  <c r="G134" i="14" s="1"/>
  <c r="C134" i="14"/>
  <c r="I133" i="14"/>
  <c r="J133" i="14" s="1"/>
  <c r="F133" i="14"/>
  <c r="G133" i="14" s="1"/>
  <c r="C133" i="14"/>
  <c r="I132" i="14"/>
  <c r="J132" i="14" s="1"/>
  <c r="F132" i="14"/>
  <c r="G132" i="14" s="1"/>
  <c r="C132" i="14"/>
  <c r="I131" i="14"/>
  <c r="J131" i="14" s="1"/>
  <c r="F131" i="14"/>
  <c r="G131" i="14" s="1"/>
  <c r="C131" i="14"/>
  <c r="I130" i="14"/>
  <c r="J130" i="14" s="1"/>
  <c r="F130" i="14"/>
  <c r="G130" i="14" s="1"/>
  <c r="C130" i="14"/>
  <c r="I129" i="14"/>
  <c r="J129" i="14" s="1"/>
  <c r="F129" i="14"/>
  <c r="G129" i="14" s="1"/>
  <c r="C129" i="14"/>
  <c r="I128" i="14"/>
  <c r="J128" i="14" s="1"/>
  <c r="F128" i="14"/>
  <c r="G128" i="14" s="1"/>
  <c r="C128" i="14"/>
  <c r="I127" i="14"/>
  <c r="J127" i="14" s="1"/>
  <c r="F127" i="14"/>
  <c r="G127" i="14" s="1"/>
  <c r="I126" i="14"/>
  <c r="J126" i="14" s="1"/>
  <c r="F126" i="14"/>
  <c r="G126" i="14" s="1"/>
  <c r="C126" i="14"/>
  <c r="I125" i="14"/>
  <c r="J125" i="14" s="1"/>
  <c r="F125" i="14"/>
  <c r="G125" i="14" s="1"/>
  <c r="I124" i="14"/>
  <c r="J124" i="14" s="1"/>
  <c r="F124" i="14"/>
  <c r="G124" i="14" s="1"/>
  <c r="I123" i="14"/>
  <c r="J123" i="14" s="1"/>
  <c r="F123" i="14"/>
  <c r="G123" i="14" s="1"/>
  <c r="C123" i="14"/>
  <c r="I122" i="14"/>
  <c r="J122" i="14" s="1"/>
  <c r="F122" i="14"/>
  <c r="G122" i="14" s="1"/>
  <c r="C122" i="14"/>
  <c r="I121" i="14"/>
  <c r="J121" i="14" s="1"/>
  <c r="F121" i="14"/>
  <c r="G121" i="14" s="1"/>
  <c r="C121" i="14"/>
  <c r="I120" i="14"/>
  <c r="J120" i="14" s="1"/>
  <c r="F120" i="14"/>
  <c r="G120" i="14" s="1"/>
  <c r="C120" i="14"/>
  <c r="I119" i="14"/>
  <c r="J119" i="14" s="1"/>
  <c r="F119" i="14"/>
  <c r="G119" i="14" s="1"/>
  <c r="C119" i="14"/>
  <c r="I118" i="14"/>
  <c r="J118" i="14" s="1"/>
  <c r="F118" i="14"/>
  <c r="G118" i="14" s="1"/>
  <c r="C118" i="14"/>
  <c r="I117" i="14"/>
  <c r="J117" i="14" s="1"/>
  <c r="F117" i="14"/>
  <c r="G117" i="14" s="1"/>
  <c r="C117" i="14"/>
  <c r="I116" i="14"/>
  <c r="J116" i="14" s="1"/>
  <c r="F116" i="14"/>
  <c r="G116" i="14" s="1"/>
  <c r="I115" i="14"/>
  <c r="J115" i="14" s="1"/>
  <c r="F115" i="14"/>
  <c r="G115" i="14" s="1"/>
  <c r="I114" i="14"/>
  <c r="J114" i="14" s="1"/>
  <c r="F114" i="14"/>
  <c r="G114" i="14" s="1"/>
  <c r="I113" i="14"/>
  <c r="J113" i="14" s="1"/>
  <c r="F113" i="14"/>
  <c r="G113" i="14" s="1"/>
  <c r="C113" i="14"/>
  <c r="I112" i="14"/>
  <c r="J112" i="14" s="1"/>
  <c r="F112" i="14"/>
  <c r="G112" i="14" s="1"/>
  <c r="C112" i="14"/>
  <c r="I111" i="14"/>
  <c r="J111" i="14" s="1"/>
  <c r="F111" i="14"/>
  <c r="G111" i="14" s="1"/>
  <c r="C111" i="14"/>
  <c r="I110" i="14"/>
  <c r="J110" i="14" s="1"/>
  <c r="F110" i="14"/>
  <c r="G110" i="14" s="1"/>
  <c r="I109" i="14"/>
  <c r="J109" i="14" s="1"/>
  <c r="F109" i="14"/>
  <c r="G109" i="14" s="1"/>
  <c r="C109" i="14"/>
  <c r="I108" i="14"/>
  <c r="J108" i="14" s="1"/>
  <c r="F108" i="14"/>
  <c r="G108" i="14" s="1"/>
  <c r="I107" i="14"/>
  <c r="J107" i="14" s="1"/>
  <c r="F107" i="14"/>
  <c r="G107" i="14" s="1"/>
  <c r="C107" i="14"/>
  <c r="I106" i="14"/>
  <c r="J106" i="14" s="1"/>
  <c r="F106" i="14"/>
  <c r="G106" i="14" s="1"/>
  <c r="C106" i="14"/>
  <c r="I105" i="14"/>
  <c r="J105" i="14" s="1"/>
  <c r="F105" i="14"/>
  <c r="G105" i="14" s="1"/>
  <c r="C105" i="14"/>
  <c r="I104" i="14"/>
  <c r="J104" i="14" s="1"/>
  <c r="F104" i="14"/>
  <c r="G104" i="14" s="1"/>
  <c r="I103" i="14"/>
  <c r="J103" i="14" s="1"/>
  <c r="F103" i="14"/>
  <c r="G103" i="14" s="1"/>
  <c r="I102" i="14"/>
  <c r="J102" i="14" s="1"/>
  <c r="F102" i="14"/>
  <c r="G102" i="14" s="1"/>
  <c r="I101" i="14"/>
  <c r="J101" i="14" s="1"/>
  <c r="F101" i="14"/>
  <c r="G101" i="14" s="1"/>
  <c r="C101" i="14"/>
  <c r="I100" i="14"/>
  <c r="J100" i="14" s="1"/>
  <c r="F100" i="14"/>
  <c r="G100" i="14" s="1"/>
  <c r="C100" i="14"/>
  <c r="I99" i="14"/>
  <c r="J99" i="14" s="1"/>
  <c r="F99" i="14"/>
  <c r="G99" i="14" s="1"/>
  <c r="C99" i="14"/>
  <c r="I98" i="14"/>
  <c r="J98" i="14" s="1"/>
  <c r="F98" i="14"/>
  <c r="G98" i="14" s="1"/>
  <c r="I97" i="14"/>
  <c r="J97" i="14" s="1"/>
  <c r="F97" i="14"/>
  <c r="G97" i="14" s="1"/>
  <c r="I96" i="14"/>
  <c r="J96" i="14" s="1"/>
  <c r="F96" i="14"/>
  <c r="G96" i="14" s="1"/>
  <c r="C96" i="14"/>
  <c r="I95" i="14"/>
  <c r="J95" i="14" s="1"/>
  <c r="F95" i="14"/>
  <c r="G95" i="14" s="1"/>
  <c r="I94" i="14"/>
  <c r="J94" i="14" s="1"/>
  <c r="F94" i="14"/>
  <c r="G94" i="14" s="1"/>
  <c r="I93" i="14"/>
  <c r="J93" i="14" s="1"/>
  <c r="F93" i="14"/>
  <c r="G93" i="14" s="1"/>
  <c r="I92" i="14"/>
  <c r="J92" i="14" s="1"/>
  <c r="F92" i="14"/>
  <c r="G92" i="14" s="1"/>
  <c r="C92" i="14"/>
  <c r="I91" i="14"/>
  <c r="J91" i="14" s="1"/>
  <c r="F91" i="14"/>
  <c r="G91" i="14" s="1"/>
  <c r="C91" i="14"/>
  <c r="I90" i="14"/>
  <c r="J90" i="14" s="1"/>
  <c r="F90" i="14"/>
  <c r="G90" i="14" s="1"/>
  <c r="C90" i="14"/>
  <c r="I89" i="14"/>
  <c r="J89" i="14" s="1"/>
  <c r="F89" i="14"/>
  <c r="G89" i="14" s="1"/>
  <c r="C89" i="14"/>
  <c r="I88" i="14"/>
  <c r="J88" i="14" s="1"/>
  <c r="F88" i="14"/>
  <c r="G88" i="14" s="1"/>
  <c r="C88" i="14"/>
  <c r="I87" i="14"/>
  <c r="J87" i="14" s="1"/>
  <c r="F87" i="14"/>
  <c r="G87" i="14" s="1"/>
  <c r="C87" i="14"/>
  <c r="I86" i="14"/>
  <c r="J86" i="14" s="1"/>
  <c r="F86" i="14"/>
  <c r="G86" i="14" s="1"/>
  <c r="I85" i="14"/>
  <c r="J85" i="14" s="1"/>
  <c r="F85" i="14"/>
  <c r="G85" i="14" s="1"/>
  <c r="C85" i="14"/>
  <c r="I84" i="14"/>
  <c r="J84" i="14" s="1"/>
  <c r="F84" i="14"/>
  <c r="G84" i="14" s="1"/>
  <c r="C84" i="14"/>
  <c r="I83" i="14"/>
  <c r="J83" i="14" s="1"/>
  <c r="F83" i="14"/>
  <c r="G83" i="14" s="1"/>
  <c r="I82" i="14"/>
  <c r="J82" i="14" s="1"/>
  <c r="F82" i="14"/>
  <c r="G82" i="14" s="1"/>
  <c r="C82" i="14"/>
  <c r="I81" i="14"/>
  <c r="J81" i="14" s="1"/>
  <c r="F81" i="14"/>
  <c r="G81" i="14" s="1"/>
  <c r="I80" i="14"/>
  <c r="J80" i="14" s="1"/>
  <c r="F80" i="14"/>
  <c r="G80" i="14" s="1"/>
  <c r="I79" i="14"/>
  <c r="J79" i="14" s="1"/>
  <c r="F79" i="14"/>
  <c r="G79" i="14" s="1"/>
  <c r="I78" i="14"/>
  <c r="J78" i="14" s="1"/>
  <c r="F78" i="14"/>
  <c r="G78" i="14" s="1"/>
  <c r="I77" i="14"/>
  <c r="J77" i="14" s="1"/>
  <c r="F77" i="14"/>
  <c r="G77" i="14" s="1"/>
  <c r="C77" i="14"/>
  <c r="I76" i="14"/>
  <c r="J76" i="14" s="1"/>
  <c r="F76" i="14"/>
  <c r="G76" i="14" s="1"/>
  <c r="C76" i="14"/>
  <c r="I75" i="14"/>
  <c r="J75" i="14" s="1"/>
  <c r="F75" i="14"/>
  <c r="G75" i="14" s="1"/>
  <c r="C75" i="14"/>
  <c r="I74" i="14"/>
  <c r="J74" i="14" s="1"/>
  <c r="F74" i="14"/>
  <c r="G74" i="14" s="1"/>
  <c r="C74" i="14"/>
  <c r="I73" i="14"/>
  <c r="J73" i="14" s="1"/>
  <c r="F73" i="14"/>
  <c r="G73" i="14" s="1"/>
  <c r="C73" i="14"/>
  <c r="I72" i="14"/>
  <c r="J72" i="14" s="1"/>
  <c r="F72" i="14"/>
  <c r="G72" i="14" s="1"/>
  <c r="C72" i="14"/>
  <c r="I71" i="14"/>
  <c r="J71" i="14" s="1"/>
  <c r="F71" i="14"/>
  <c r="G71" i="14" s="1"/>
  <c r="I70" i="14"/>
  <c r="J70" i="14" s="1"/>
  <c r="F70" i="14"/>
  <c r="G70" i="14" s="1"/>
  <c r="C70" i="14"/>
  <c r="I69" i="14"/>
  <c r="J69" i="14" s="1"/>
  <c r="F69" i="14"/>
  <c r="G69" i="14" s="1"/>
  <c r="C69" i="14"/>
  <c r="I68" i="14"/>
  <c r="J68" i="14" s="1"/>
  <c r="F68" i="14"/>
  <c r="G68" i="14" s="1"/>
  <c r="C68" i="14"/>
  <c r="I67" i="14"/>
  <c r="J67" i="14" s="1"/>
  <c r="F67" i="14"/>
  <c r="G67" i="14" s="1"/>
  <c r="I66" i="14"/>
  <c r="J66" i="14" s="1"/>
  <c r="F66" i="14"/>
  <c r="G66" i="14" s="1"/>
  <c r="I65" i="14"/>
  <c r="J65" i="14" s="1"/>
  <c r="F65" i="14"/>
  <c r="G65" i="14" s="1"/>
  <c r="C65" i="14"/>
  <c r="I64" i="14"/>
  <c r="J64" i="14" s="1"/>
  <c r="F64" i="14"/>
  <c r="G64" i="14" s="1"/>
  <c r="C64" i="14"/>
  <c r="I63" i="14"/>
  <c r="J63" i="14" s="1"/>
  <c r="F63" i="14"/>
  <c r="G63" i="14" s="1"/>
  <c r="I62" i="14"/>
  <c r="J62" i="14" s="1"/>
  <c r="F62" i="14"/>
  <c r="G62" i="14" s="1"/>
  <c r="C62" i="14"/>
  <c r="I61" i="14"/>
  <c r="J61" i="14" s="1"/>
  <c r="F61" i="14"/>
  <c r="G61" i="14" s="1"/>
  <c r="C61" i="14"/>
  <c r="I60" i="14"/>
  <c r="J60" i="14" s="1"/>
  <c r="F60" i="14"/>
  <c r="G60" i="14" s="1"/>
  <c r="C60" i="14"/>
  <c r="I59" i="14"/>
  <c r="J59" i="14" s="1"/>
  <c r="F59" i="14"/>
  <c r="G59" i="14" s="1"/>
  <c r="I58" i="14"/>
  <c r="J58" i="14" s="1"/>
  <c r="F58" i="14"/>
  <c r="G58" i="14" s="1"/>
  <c r="C58" i="14"/>
  <c r="I57" i="14"/>
  <c r="J57" i="14" s="1"/>
  <c r="F57" i="14"/>
  <c r="G57" i="14" s="1"/>
  <c r="I56" i="14"/>
  <c r="J56" i="14" s="1"/>
  <c r="F56" i="14"/>
  <c r="G56" i="14" s="1"/>
  <c r="C56" i="14"/>
  <c r="I55" i="14"/>
  <c r="J55" i="14" s="1"/>
  <c r="F55" i="14"/>
  <c r="G55" i="14" s="1"/>
  <c r="C55" i="14"/>
  <c r="I54" i="14"/>
  <c r="J54" i="14" s="1"/>
  <c r="F54" i="14"/>
  <c r="G54" i="14" s="1"/>
  <c r="C54" i="14"/>
  <c r="I53" i="14"/>
  <c r="J53" i="14" s="1"/>
  <c r="F53" i="14"/>
  <c r="G53" i="14" s="1"/>
  <c r="I52" i="14"/>
  <c r="J52" i="14" s="1"/>
  <c r="F52" i="14"/>
  <c r="G52" i="14" s="1"/>
  <c r="I51" i="14"/>
  <c r="J51" i="14" s="1"/>
  <c r="F51" i="14"/>
  <c r="G51" i="14" s="1"/>
  <c r="I50" i="14"/>
  <c r="J50" i="14" s="1"/>
  <c r="F50" i="14"/>
  <c r="G50" i="14" s="1"/>
  <c r="I49" i="14"/>
  <c r="J49" i="14" s="1"/>
  <c r="F49" i="14"/>
  <c r="G49" i="14" s="1"/>
  <c r="C49" i="14"/>
  <c r="I48" i="14"/>
  <c r="J48" i="14" s="1"/>
  <c r="F48" i="14"/>
  <c r="G48" i="14" s="1"/>
  <c r="I47" i="14"/>
  <c r="J47" i="14" s="1"/>
  <c r="F47" i="14"/>
  <c r="G47" i="14" s="1"/>
  <c r="C47" i="14"/>
  <c r="I46" i="14"/>
  <c r="J46" i="14" s="1"/>
  <c r="F46" i="14"/>
  <c r="G46" i="14" s="1"/>
  <c r="I45" i="14"/>
  <c r="J45" i="14" s="1"/>
  <c r="F45" i="14"/>
  <c r="G45" i="14" s="1"/>
  <c r="I44" i="14"/>
  <c r="J44" i="14" s="1"/>
  <c r="F44" i="14"/>
  <c r="G44" i="14" s="1"/>
  <c r="I43" i="14"/>
  <c r="J43" i="14" s="1"/>
  <c r="F43" i="14"/>
  <c r="G43" i="14" s="1"/>
  <c r="I42" i="14"/>
  <c r="J42" i="14" s="1"/>
  <c r="F42" i="14"/>
  <c r="G42" i="14" s="1"/>
  <c r="C42" i="14"/>
  <c r="I41" i="14"/>
  <c r="J41" i="14" s="1"/>
  <c r="F41" i="14"/>
  <c r="G41" i="14" s="1"/>
  <c r="C41" i="14"/>
  <c r="I40" i="14"/>
  <c r="J40" i="14" s="1"/>
  <c r="F40" i="14"/>
  <c r="G40" i="14" s="1"/>
  <c r="C40" i="14"/>
  <c r="I39" i="14"/>
  <c r="J39" i="14" s="1"/>
  <c r="F39" i="14"/>
  <c r="G39" i="14" s="1"/>
  <c r="C39" i="14"/>
  <c r="I38" i="14"/>
  <c r="J38" i="14" s="1"/>
  <c r="F38" i="14"/>
  <c r="G38" i="14" s="1"/>
  <c r="C38" i="14"/>
  <c r="I37" i="14"/>
  <c r="J37" i="14" s="1"/>
  <c r="F37" i="14"/>
  <c r="G37" i="14" s="1"/>
  <c r="C37" i="14"/>
  <c r="I36" i="14"/>
  <c r="J36" i="14" s="1"/>
  <c r="F36" i="14"/>
  <c r="G36" i="14" s="1"/>
  <c r="I35" i="14"/>
  <c r="J35" i="14" s="1"/>
  <c r="F35" i="14"/>
  <c r="G35" i="14" s="1"/>
  <c r="I34" i="14"/>
  <c r="J34" i="14" s="1"/>
  <c r="F34" i="14"/>
  <c r="G34" i="14" s="1"/>
  <c r="C34" i="14"/>
  <c r="I33" i="14"/>
  <c r="J33" i="14" s="1"/>
  <c r="F33" i="14"/>
  <c r="G33" i="14" s="1"/>
  <c r="I32" i="14"/>
  <c r="J32" i="14" s="1"/>
  <c r="F32" i="14"/>
  <c r="G32" i="14" s="1"/>
  <c r="C32" i="14"/>
  <c r="I31" i="14"/>
  <c r="J31" i="14" s="1"/>
  <c r="F31" i="14"/>
  <c r="G31" i="14" s="1"/>
  <c r="C31" i="14"/>
  <c r="I30" i="14"/>
  <c r="J30" i="14" s="1"/>
  <c r="F30" i="14"/>
  <c r="G30" i="14" s="1"/>
  <c r="C30" i="14"/>
  <c r="I29" i="14"/>
  <c r="J29" i="14" s="1"/>
  <c r="F29" i="14"/>
  <c r="G29" i="14" s="1"/>
  <c r="C29" i="14"/>
  <c r="I28" i="14"/>
  <c r="J28" i="14" s="1"/>
  <c r="F28" i="14"/>
  <c r="G28" i="14" s="1"/>
  <c r="I27" i="14"/>
  <c r="J27" i="14" s="1"/>
  <c r="F27" i="14"/>
  <c r="G27" i="14" s="1"/>
  <c r="I26" i="14"/>
  <c r="J26" i="14" s="1"/>
  <c r="F26" i="14"/>
  <c r="G26" i="14" s="1"/>
  <c r="C26" i="14"/>
  <c r="I25" i="14"/>
  <c r="J25" i="14" s="1"/>
  <c r="F25" i="14"/>
  <c r="G25" i="14" s="1"/>
  <c r="C25" i="14"/>
  <c r="I24" i="14"/>
  <c r="J24" i="14" s="1"/>
  <c r="F24" i="14"/>
  <c r="G24" i="14" s="1"/>
  <c r="C24" i="14"/>
  <c r="I23" i="14"/>
  <c r="J23" i="14" s="1"/>
  <c r="F23" i="14"/>
  <c r="G23" i="14" s="1"/>
  <c r="I22" i="14"/>
  <c r="J22" i="14" s="1"/>
  <c r="F22" i="14"/>
  <c r="G22" i="14" s="1"/>
  <c r="I21" i="14"/>
  <c r="J21" i="14" s="1"/>
  <c r="F21" i="14"/>
  <c r="G21" i="14" s="1"/>
  <c r="I20" i="14"/>
  <c r="J20" i="14" s="1"/>
  <c r="F20" i="14"/>
  <c r="G20" i="14" s="1"/>
  <c r="C20" i="14"/>
  <c r="I19" i="14"/>
  <c r="J19" i="14" s="1"/>
  <c r="F19" i="14"/>
  <c r="G19" i="14" s="1"/>
  <c r="C19" i="14"/>
  <c r="I18" i="14"/>
  <c r="J18" i="14" s="1"/>
  <c r="F18" i="14"/>
  <c r="G18" i="14" s="1"/>
  <c r="C18" i="14"/>
  <c r="I17" i="14"/>
  <c r="J17" i="14" s="1"/>
  <c r="F17" i="14"/>
  <c r="G17" i="14" s="1"/>
  <c r="C17" i="14"/>
  <c r="I16" i="14"/>
  <c r="J16" i="14" s="1"/>
  <c r="F16" i="14"/>
  <c r="G16" i="14" s="1"/>
  <c r="C16" i="14"/>
  <c r="I15" i="14"/>
  <c r="J15" i="14" s="1"/>
  <c r="F15" i="14"/>
  <c r="G15" i="14" s="1"/>
  <c r="I14" i="14"/>
  <c r="J14" i="14" s="1"/>
  <c r="F14" i="14"/>
  <c r="G14" i="14" s="1"/>
  <c r="C14" i="14"/>
  <c r="I13" i="14"/>
  <c r="J13" i="14" s="1"/>
  <c r="F13" i="14"/>
  <c r="G13" i="14" s="1"/>
  <c r="I12" i="14"/>
  <c r="J12" i="14" s="1"/>
  <c r="F12" i="14"/>
  <c r="G12" i="14" s="1"/>
  <c r="I11" i="14"/>
  <c r="J11" i="14" s="1"/>
  <c r="F11" i="14"/>
  <c r="G11" i="14" s="1"/>
  <c r="C11" i="14"/>
  <c r="I10" i="14"/>
  <c r="J10" i="14" s="1"/>
  <c r="F10" i="14"/>
  <c r="G10" i="14" s="1"/>
  <c r="C10" i="14"/>
  <c r="I9" i="14"/>
  <c r="J9" i="14" s="1"/>
  <c r="F9" i="14"/>
  <c r="G9" i="14" s="1"/>
  <c r="C9" i="14"/>
  <c r="I8" i="14"/>
  <c r="J8" i="14" s="1"/>
  <c r="F8" i="14"/>
  <c r="G8" i="14" s="1"/>
  <c r="I7" i="14"/>
  <c r="J7" i="14" s="1"/>
  <c r="F7" i="14"/>
  <c r="G7" i="14" s="1"/>
  <c r="C7" i="14"/>
  <c r="I6" i="14"/>
  <c r="J6" i="14" s="1"/>
  <c r="F6" i="14"/>
  <c r="G6" i="14" s="1"/>
  <c r="C6" i="14"/>
  <c r="I5" i="14"/>
  <c r="J5" i="14" s="1"/>
  <c r="F5" i="14"/>
  <c r="G5" i="14" s="1"/>
  <c r="I4" i="14"/>
  <c r="J4" i="14" s="1"/>
  <c r="F4" i="14"/>
  <c r="G4" i="14" s="1"/>
  <c r="C4" i="14"/>
  <c r="I3" i="14"/>
  <c r="J3" i="14" s="1"/>
  <c r="F3" i="14"/>
  <c r="G3" i="14" s="1"/>
  <c r="C3" i="14"/>
  <c r="I2" i="14"/>
  <c r="J2" i="14" s="1"/>
  <c r="F2" i="14"/>
  <c r="G2" i="14" s="1"/>
  <c r="C2" i="14"/>
  <c r="P122" i="27"/>
  <c r="Q122" i="27" s="1"/>
  <c r="M122" i="27"/>
  <c r="N122" i="27" s="1"/>
  <c r="I122" i="27"/>
  <c r="J122" i="27" s="1"/>
  <c r="E122" i="27"/>
  <c r="C122" i="27"/>
  <c r="D122" i="27" s="1"/>
  <c r="P121" i="27"/>
  <c r="Q121" i="27" s="1"/>
  <c r="M121" i="27"/>
  <c r="N121" i="27" s="1"/>
  <c r="I121" i="27"/>
  <c r="J121" i="27" s="1"/>
  <c r="E121" i="27"/>
  <c r="C121" i="27"/>
  <c r="D121" i="27" s="1"/>
  <c r="P120" i="27"/>
  <c r="Q120" i="27" s="1"/>
  <c r="M120" i="27"/>
  <c r="N120" i="27" s="1"/>
  <c r="I120" i="27"/>
  <c r="J120" i="27" s="1"/>
  <c r="E120" i="27"/>
  <c r="C120" i="27"/>
  <c r="D120" i="27" s="1"/>
  <c r="P119" i="27"/>
  <c r="Q119" i="27" s="1"/>
  <c r="M119" i="27"/>
  <c r="N119" i="27" s="1"/>
  <c r="I119" i="27"/>
  <c r="J119" i="27" s="1"/>
  <c r="E119" i="27"/>
  <c r="C119" i="27"/>
  <c r="D119" i="27" s="1"/>
  <c r="P118" i="27"/>
  <c r="Q118" i="27" s="1"/>
  <c r="M118" i="27"/>
  <c r="N118" i="27" s="1"/>
  <c r="I118" i="27"/>
  <c r="J118" i="27" s="1"/>
  <c r="E118" i="27"/>
  <c r="C118" i="27"/>
  <c r="D118" i="27" s="1"/>
  <c r="P117" i="27"/>
  <c r="Q117" i="27" s="1"/>
  <c r="M117" i="27"/>
  <c r="N117" i="27" s="1"/>
  <c r="I117" i="27"/>
  <c r="J117" i="27" s="1"/>
  <c r="E117" i="27"/>
  <c r="C117" i="27"/>
  <c r="D117" i="27" s="1"/>
  <c r="P116" i="27"/>
  <c r="Q116" i="27" s="1"/>
  <c r="M116" i="27"/>
  <c r="N116" i="27" s="1"/>
  <c r="I116" i="27"/>
  <c r="J116" i="27" s="1"/>
  <c r="E116" i="27"/>
  <c r="C116" i="27"/>
  <c r="D116" i="27" s="1"/>
  <c r="P115" i="27"/>
  <c r="Q115" i="27" s="1"/>
  <c r="M115" i="27"/>
  <c r="N115" i="27" s="1"/>
  <c r="I115" i="27"/>
  <c r="J115" i="27" s="1"/>
  <c r="E115" i="27"/>
  <c r="C115" i="27"/>
  <c r="D115" i="27" s="1"/>
  <c r="P114" i="27"/>
  <c r="Q114" i="27" s="1"/>
  <c r="M114" i="27"/>
  <c r="N114" i="27" s="1"/>
  <c r="I114" i="27"/>
  <c r="J114" i="27" s="1"/>
  <c r="E114" i="27"/>
  <c r="C114" i="27"/>
  <c r="D114" i="27" s="1"/>
  <c r="P113" i="27"/>
  <c r="Q113" i="27" s="1"/>
  <c r="M113" i="27"/>
  <c r="N113" i="27" s="1"/>
  <c r="I113" i="27"/>
  <c r="J113" i="27" s="1"/>
  <c r="E113" i="27"/>
  <c r="C113" i="27"/>
  <c r="D113" i="27" s="1"/>
  <c r="P112" i="27"/>
  <c r="Q112" i="27" s="1"/>
  <c r="M112" i="27"/>
  <c r="N112" i="27" s="1"/>
  <c r="I112" i="27"/>
  <c r="J112" i="27" s="1"/>
  <c r="E112" i="27"/>
  <c r="C112" i="27"/>
  <c r="D112" i="27" s="1"/>
  <c r="P111" i="27"/>
  <c r="Q111" i="27" s="1"/>
  <c r="M111" i="27"/>
  <c r="N111" i="27" s="1"/>
  <c r="I111" i="27"/>
  <c r="J111" i="27" s="1"/>
  <c r="E111" i="27"/>
  <c r="C111" i="27"/>
  <c r="P110" i="27"/>
  <c r="Q110" i="27" s="1"/>
  <c r="M110" i="27"/>
  <c r="N110" i="27" s="1"/>
  <c r="I110" i="27"/>
  <c r="J110" i="27" s="1"/>
  <c r="E110" i="27"/>
  <c r="P109" i="27"/>
  <c r="Q109" i="27" s="1"/>
  <c r="M109" i="27"/>
  <c r="N109" i="27" s="1"/>
  <c r="I109" i="27"/>
  <c r="J109" i="27" s="1"/>
  <c r="E109" i="27"/>
  <c r="C109" i="27"/>
  <c r="P108" i="27"/>
  <c r="Q108" i="27" s="1"/>
  <c r="M108" i="27"/>
  <c r="N108" i="27" s="1"/>
  <c r="I108" i="27"/>
  <c r="J108" i="27" s="1"/>
  <c r="E108" i="27"/>
  <c r="C108" i="27"/>
  <c r="D108" i="27" s="1"/>
  <c r="P107" i="27"/>
  <c r="Q107" i="27" s="1"/>
  <c r="M107" i="27"/>
  <c r="N107" i="27" s="1"/>
  <c r="I107" i="27"/>
  <c r="J107" i="27" s="1"/>
  <c r="E107" i="27"/>
  <c r="P106" i="27"/>
  <c r="Q106" i="27" s="1"/>
  <c r="M106" i="27"/>
  <c r="N106" i="27" s="1"/>
  <c r="I106" i="27"/>
  <c r="J106" i="27" s="1"/>
  <c r="E106" i="27"/>
  <c r="C106" i="27"/>
  <c r="D106" i="27" s="1"/>
  <c r="P105" i="27"/>
  <c r="Q105" i="27" s="1"/>
  <c r="M105" i="27"/>
  <c r="N105" i="27" s="1"/>
  <c r="I105" i="27"/>
  <c r="J105" i="27" s="1"/>
  <c r="E105" i="27"/>
  <c r="P104" i="27"/>
  <c r="Q104" i="27" s="1"/>
  <c r="M104" i="27"/>
  <c r="N104" i="27" s="1"/>
  <c r="I104" i="27"/>
  <c r="J104" i="27" s="1"/>
  <c r="E104" i="27"/>
  <c r="P103" i="27"/>
  <c r="Q103" i="27" s="1"/>
  <c r="M103" i="27"/>
  <c r="N103" i="27" s="1"/>
  <c r="I103" i="27"/>
  <c r="J103" i="27" s="1"/>
  <c r="E103" i="27"/>
  <c r="C103" i="27"/>
  <c r="P102" i="27"/>
  <c r="Q102" i="27" s="1"/>
  <c r="M102" i="27"/>
  <c r="N102" i="27" s="1"/>
  <c r="I102" i="27"/>
  <c r="J102" i="27" s="1"/>
  <c r="E102" i="27"/>
  <c r="C102" i="27"/>
  <c r="P101" i="27"/>
  <c r="Q101" i="27" s="1"/>
  <c r="M101" i="27"/>
  <c r="N101" i="27" s="1"/>
  <c r="I101" i="27"/>
  <c r="J101" i="27" s="1"/>
  <c r="E101" i="27"/>
  <c r="P100" i="27"/>
  <c r="Q100" i="27" s="1"/>
  <c r="M100" i="27"/>
  <c r="N100" i="27" s="1"/>
  <c r="I100" i="27"/>
  <c r="J100" i="27" s="1"/>
  <c r="E100" i="27"/>
  <c r="C100" i="27"/>
  <c r="D100" i="27" s="1"/>
  <c r="P99" i="27"/>
  <c r="Q99" i="27" s="1"/>
  <c r="M99" i="27"/>
  <c r="N99" i="27" s="1"/>
  <c r="I99" i="27"/>
  <c r="J99" i="27" s="1"/>
  <c r="E99" i="27"/>
  <c r="P98" i="27"/>
  <c r="Q98" i="27" s="1"/>
  <c r="M98" i="27"/>
  <c r="N98" i="27" s="1"/>
  <c r="I98" i="27"/>
  <c r="J98" i="27" s="1"/>
  <c r="E98" i="27"/>
  <c r="P97" i="27"/>
  <c r="Q97" i="27" s="1"/>
  <c r="M97" i="27"/>
  <c r="N97" i="27" s="1"/>
  <c r="I97" i="27"/>
  <c r="J97" i="27" s="1"/>
  <c r="E97" i="27"/>
  <c r="C97" i="27"/>
  <c r="P96" i="27"/>
  <c r="Q96" i="27" s="1"/>
  <c r="M96" i="27"/>
  <c r="N96" i="27" s="1"/>
  <c r="I96" i="27"/>
  <c r="J96" i="27" s="1"/>
  <c r="E96" i="27"/>
  <c r="P95" i="27"/>
  <c r="Q95" i="27" s="1"/>
  <c r="M95" i="27"/>
  <c r="N95" i="27" s="1"/>
  <c r="I95" i="27"/>
  <c r="J95" i="27" s="1"/>
  <c r="E95" i="27"/>
  <c r="C95" i="27"/>
  <c r="P94" i="27"/>
  <c r="Q94" i="27" s="1"/>
  <c r="M94" i="27"/>
  <c r="N94" i="27" s="1"/>
  <c r="I94" i="27"/>
  <c r="J94" i="27" s="1"/>
  <c r="E94" i="27"/>
  <c r="C94" i="27"/>
  <c r="P93" i="27"/>
  <c r="Q93" i="27" s="1"/>
  <c r="M93" i="27"/>
  <c r="N93" i="27" s="1"/>
  <c r="I93" i="27"/>
  <c r="J93" i="27" s="1"/>
  <c r="E93" i="27"/>
  <c r="C93" i="27"/>
  <c r="P92" i="27"/>
  <c r="Q92" i="27" s="1"/>
  <c r="M92" i="27"/>
  <c r="N92" i="27" s="1"/>
  <c r="I92" i="27"/>
  <c r="J92" i="27" s="1"/>
  <c r="E92" i="27"/>
  <c r="C92" i="27"/>
  <c r="D92" i="27" s="1"/>
  <c r="P91" i="27"/>
  <c r="Q91" i="27" s="1"/>
  <c r="M91" i="27"/>
  <c r="N91" i="27" s="1"/>
  <c r="I91" i="27"/>
  <c r="J91" i="27" s="1"/>
  <c r="E91" i="27"/>
  <c r="C91" i="27"/>
  <c r="D91" i="27" s="1"/>
  <c r="P90" i="27"/>
  <c r="Q90" i="27" s="1"/>
  <c r="M90" i="27"/>
  <c r="N90" i="27" s="1"/>
  <c r="I90" i="27"/>
  <c r="J90" i="27" s="1"/>
  <c r="E90" i="27"/>
  <c r="C90" i="27"/>
  <c r="D90" i="27" s="1"/>
  <c r="P89" i="27"/>
  <c r="Q89" i="27" s="1"/>
  <c r="M89" i="27"/>
  <c r="N89" i="27" s="1"/>
  <c r="I89" i="27"/>
  <c r="J89" i="27" s="1"/>
  <c r="E89" i="27"/>
  <c r="P88" i="27"/>
  <c r="Q88" i="27" s="1"/>
  <c r="M88" i="27"/>
  <c r="N88" i="27" s="1"/>
  <c r="I88" i="27"/>
  <c r="J88" i="27" s="1"/>
  <c r="E88" i="27"/>
  <c r="C88" i="27"/>
  <c r="P87" i="27"/>
  <c r="Q87" i="27" s="1"/>
  <c r="M87" i="27"/>
  <c r="N87" i="27" s="1"/>
  <c r="I87" i="27"/>
  <c r="J87" i="27" s="1"/>
  <c r="E87" i="27"/>
  <c r="C87" i="27"/>
  <c r="P86" i="27"/>
  <c r="Q86" i="27" s="1"/>
  <c r="M86" i="27"/>
  <c r="N86" i="27" s="1"/>
  <c r="I86" i="27"/>
  <c r="J86" i="27" s="1"/>
  <c r="E86" i="27"/>
  <c r="P85" i="27"/>
  <c r="Q85" i="27" s="1"/>
  <c r="M85" i="27"/>
  <c r="N85" i="27" s="1"/>
  <c r="I85" i="27"/>
  <c r="J85" i="27" s="1"/>
  <c r="E85" i="27"/>
  <c r="C85" i="27"/>
  <c r="P84" i="27"/>
  <c r="Q84" i="27" s="1"/>
  <c r="M84" i="27"/>
  <c r="N84" i="27" s="1"/>
  <c r="I84" i="27"/>
  <c r="J84" i="27" s="1"/>
  <c r="E84" i="27"/>
  <c r="C84" i="27"/>
  <c r="D84" i="27" s="1"/>
  <c r="P83" i="27"/>
  <c r="Q83" i="27" s="1"/>
  <c r="M83" i="27"/>
  <c r="N83" i="27" s="1"/>
  <c r="I83" i="27"/>
  <c r="J83" i="27" s="1"/>
  <c r="E83" i="27"/>
  <c r="C83" i="27"/>
  <c r="D83" i="27" s="1"/>
  <c r="P82" i="27"/>
  <c r="Q82" i="27" s="1"/>
  <c r="M82" i="27"/>
  <c r="N82" i="27" s="1"/>
  <c r="I82" i="27"/>
  <c r="J82" i="27" s="1"/>
  <c r="E82" i="27"/>
  <c r="C82" i="27"/>
  <c r="D82" i="27" s="1"/>
  <c r="P81" i="27"/>
  <c r="Q81" i="27" s="1"/>
  <c r="M81" i="27"/>
  <c r="N81" i="27" s="1"/>
  <c r="I81" i="27"/>
  <c r="J81" i="27" s="1"/>
  <c r="E81" i="27"/>
  <c r="C81" i="27"/>
  <c r="P80" i="27"/>
  <c r="Q80" i="27" s="1"/>
  <c r="M80" i="27"/>
  <c r="N80" i="27" s="1"/>
  <c r="I80" i="27"/>
  <c r="J80" i="27" s="1"/>
  <c r="E80" i="27"/>
  <c r="C80" i="27"/>
  <c r="P79" i="27"/>
  <c r="Q79" i="27" s="1"/>
  <c r="M79" i="27"/>
  <c r="N79" i="27" s="1"/>
  <c r="I79" i="27"/>
  <c r="J79" i="27" s="1"/>
  <c r="E79" i="27"/>
  <c r="C79" i="27"/>
  <c r="P78" i="27"/>
  <c r="Q78" i="27" s="1"/>
  <c r="M78" i="27"/>
  <c r="N78" i="27" s="1"/>
  <c r="I78" i="27"/>
  <c r="J78" i="27" s="1"/>
  <c r="E78" i="27"/>
  <c r="C78" i="27"/>
  <c r="P77" i="27"/>
  <c r="Q77" i="27" s="1"/>
  <c r="M77" i="27"/>
  <c r="N77" i="27" s="1"/>
  <c r="I77" i="27"/>
  <c r="J77" i="27" s="1"/>
  <c r="E77" i="27"/>
  <c r="C77" i="27"/>
  <c r="P76" i="27"/>
  <c r="Q76" i="27" s="1"/>
  <c r="M76" i="27"/>
  <c r="N76" i="27" s="1"/>
  <c r="I76" i="27"/>
  <c r="J76" i="27" s="1"/>
  <c r="E76" i="27"/>
  <c r="C76" i="27"/>
  <c r="D76" i="27" s="1"/>
  <c r="P75" i="27"/>
  <c r="Q75" i="27" s="1"/>
  <c r="M75" i="27"/>
  <c r="N75" i="27" s="1"/>
  <c r="I75" i="27"/>
  <c r="J75" i="27" s="1"/>
  <c r="E75" i="27"/>
  <c r="C75" i="27"/>
  <c r="D75" i="27" s="1"/>
  <c r="P74" i="27"/>
  <c r="Q74" i="27" s="1"/>
  <c r="M74" i="27"/>
  <c r="N74" i="27" s="1"/>
  <c r="I74" i="27"/>
  <c r="J74" i="27" s="1"/>
  <c r="E74" i="27"/>
  <c r="C74" i="27"/>
  <c r="D74" i="27" s="1"/>
  <c r="P73" i="27"/>
  <c r="Q73" i="27" s="1"/>
  <c r="M73" i="27"/>
  <c r="N73" i="27" s="1"/>
  <c r="I73" i="27"/>
  <c r="J73" i="27" s="1"/>
  <c r="E73" i="27"/>
  <c r="P72" i="27"/>
  <c r="Q72" i="27" s="1"/>
  <c r="M72" i="27"/>
  <c r="N72" i="27" s="1"/>
  <c r="I72" i="27"/>
  <c r="J72" i="27" s="1"/>
  <c r="E72" i="27"/>
  <c r="P71" i="27"/>
  <c r="Q71" i="27" s="1"/>
  <c r="M71" i="27"/>
  <c r="N71" i="27" s="1"/>
  <c r="I71" i="27"/>
  <c r="J71" i="27" s="1"/>
  <c r="E71" i="27"/>
  <c r="C71" i="27"/>
  <c r="P70" i="27"/>
  <c r="Q70" i="27" s="1"/>
  <c r="M70" i="27"/>
  <c r="N70" i="27" s="1"/>
  <c r="I70" i="27"/>
  <c r="J70" i="27" s="1"/>
  <c r="E70" i="27"/>
  <c r="C70" i="27"/>
  <c r="P69" i="27"/>
  <c r="Q69" i="27" s="1"/>
  <c r="M69" i="27"/>
  <c r="N69" i="27" s="1"/>
  <c r="I69" i="27"/>
  <c r="J69" i="27" s="1"/>
  <c r="E69" i="27"/>
  <c r="C69" i="27"/>
  <c r="P68" i="27"/>
  <c r="Q68" i="27" s="1"/>
  <c r="M68" i="27"/>
  <c r="N68" i="27" s="1"/>
  <c r="I68" i="27"/>
  <c r="J68" i="27" s="1"/>
  <c r="E68" i="27"/>
  <c r="C68" i="27"/>
  <c r="D68" i="27" s="1"/>
  <c r="P67" i="27"/>
  <c r="Q67" i="27" s="1"/>
  <c r="M67" i="27"/>
  <c r="N67" i="27" s="1"/>
  <c r="I67" i="27"/>
  <c r="J67" i="27" s="1"/>
  <c r="E67" i="27"/>
  <c r="C67" i="27"/>
  <c r="D67" i="27" s="1"/>
  <c r="P66" i="27"/>
  <c r="Q66" i="27" s="1"/>
  <c r="M66" i="27"/>
  <c r="N66" i="27" s="1"/>
  <c r="I66" i="27"/>
  <c r="J66" i="27" s="1"/>
  <c r="E66" i="27"/>
  <c r="C66" i="27"/>
  <c r="D66" i="27" s="1"/>
  <c r="P65" i="27"/>
  <c r="Q65" i="27" s="1"/>
  <c r="M65" i="27"/>
  <c r="N65" i="27" s="1"/>
  <c r="I65" i="27"/>
  <c r="J65" i="27" s="1"/>
  <c r="E65" i="27"/>
  <c r="C65" i="27"/>
  <c r="P64" i="27"/>
  <c r="Q64" i="27" s="1"/>
  <c r="M64" i="27"/>
  <c r="N64" i="27" s="1"/>
  <c r="I64" i="27"/>
  <c r="J64" i="27" s="1"/>
  <c r="E64" i="27"/>
  <c r="C64" i="27"/>
  <c r="P63" i="27"/>
  <c r="Q63" i="27" s="1"/>
  <c r="M63" i="27"/>
  <c r="N63" i="27" s="1"/>
  <c r="I63" i="27"/>
  <c r="J63" i="27" s="1"/>
  <c r="E63" i="27"/>
  <c r="C63" i="27"/>
  <c r="P62" i="27"/>
  <c r="Q62" i="27" s="1"/>
  <c r="M62" i="27"/>
  <c r="N62" i="27" s="1"/>
  <c r="I62" i="27"/>
  <c r="J62" i="27" s="1"/>
  <c r="E62" i="27"/>
  <c r="C62" i="27"/>
  <c r="P61" i="27"/>
  <c r="Q61" i="27" s="1"/>
  <c r="M61" i="27"/>
  <c r="N61" i="27" s="1"/>
  <c r="I61" i="27"/>
  <c r="J61" i="27" s="1"/>
  <c r="E61" i="27"/>
  <c r="C61" i="27"/>
  <c r="P60" i="27"/>
  <c r="Q60" i="27" s="1"/>
  <c r="M60" i="27"/>
  <c r="N60" i="27" s="1"/>
  <c r="I60" i="27"/>
  <c r="J60" i="27" s="1"/>
  <c r="E60" i="27"/>
  <c r="C60" i="27"/>
  <c r="D60" i="27" s="1"/>
  <c r="P59" i="27"/>
  <c r="Q59" i="27" s="1"/>
  <c r="M59" i="27"/>
  <c r="N59" i="27" s="1"/>
  <c r="I59" i="27"/>
  <c r="J59" i="27" s="1"/>
  <c r="E59" i="27"/>
  <c r="P58" i="27"/>
  <c r="Q58" i="27" s="1"/>
  <c r="M58" i="27"/>
  <c r="N58" i="27" s="1"/>
  <c r="I58" i="27"/>
  <c r="J58" i="27" s="1"/>
  <c r="E58" i="27"/>
  <c r="P57" i="27"/>
  <c r="Q57" i="27" s="1"/>
  <c r="M57" i="27"/>
  <c r="N57" i="27" s="1"/>
  <c r="I57" i="27"/>
  <c r="J57" i="27" s="1"/>
  <c r="E57" i="27"/>
  <c r="C57" i="27"/>
  <c r="P56" i="27"/>
  <c r="Q56" i="27" s="1"/>
  <c r="M56" i="27"/>
  <c r="N56" i="27" s="1"/>
  <c r="I56" i="27"/>
  <c r="J56" i="27" s="1"/>
  <c r="E56" i="27"/>
  <c r="C56" i="27"/>
  <c r="P55" i="27"/>
  <c r="Q55" i="27" s="1"/>
  <c r="M55" i="27"/>
  <c r="N55" i="27" s="1"/>
  <c r="I55" i="27"/>
  <c r="J55" i="27" s="1"/>
  <c r="E55" i="27"/>
  <c r="P54" i="27"/>
  <c r="Q54" i="27" s="1"/>
  <c r="M54" i="27"/>
  <c r="N54" i="27" s="1"/>
  <c r="I54" i="27"/>
  <c r="J54" i="27" s="1"/>
  <c r="E54" i="27"/>
  <c r="P53" i="27"/>
  <c r="Q53" i="27" s="1"/>
  <c r="M53" i="27"/>
  <c r="N53" i="27" s="1"/>
  <c r="I53" i="27"/>
  <c r="J53" i="27" s="1"/>
  <c r="E53" i="27"/>
  <c r="P52" i="27"/>
  <c r="Q52" i="27" s="1"/>
  <c r="M52" i="27"/>
  <c r="N52" i="27" s="1"/>
  <c r="I52" i="27"/>
  <c r="J52" i="27" s="1"/>
  <c r="E52" i="27"/>
  <c r="C52" i="27"/>
  <c r="D52" i="27" s="1"/>
  <c r="P51" i="27"/>
  <c r="Q51" i="27" s="1"/>
  <c r="M51" i="27"/>
  <c r="N51" i="27" s="1"/>
  <c r="I51" i="27"/>
  <c r="J51" i="27" s="1"/>
  <c r="E51" i="27"/>
  <c r="C51" i="27"/>
  <c r="D51" i="27" s="1"/>
  <c r="P50" i="27"/>
  <c r="Q50" i="27" s="1"/>
  <c r="M50" i="27"/>
  <c r="N50" i="27" s="1"/>
  <c r="I50" i="27"/>
  <c r="J50" i="27" s="1"/>
  <c r="E50" i="27"/>
  <c r="C50" i="27"/>
  <c r="D50" i="27" s="1"/>
  <c r="P49" i="27"/>
  <c r="Q49" i="27" s="1"/>
  <c r="M49" i="27"/>
  <c r="N49" i="27" s="1"/>
  <c r="I49" i="27"/>
  <c r="J49" i="27" s="1"/>
  <c r="E49" i="27"/>
  <c r="C49" i="27"/>
  <c r="P48" i="27"/>
  <c r="Q48" i="27" s="1"/>
  <c r="M48" i="27"/>
  <c r="N48" i="27" s="1"/>
  <c r="I48" i="27"/>
  <c r="J48" i="27" s="1"/>
  <c r="E48" i="27"/>
  <c r="C48" i="27"/>
  <c r="P47" i="27"/>
  <c r="Q47" i="27" s="1"/>
  <c r="M47" i="27"/>
  <c r="N47" i="27" s="1"/>
  <c r="I47" i="27"/>
  <c r="J47" i="27" s="1"/>
  <c r="E47" i="27"/>
  <c r="P46" i="27"/>
  <c r="Q46" i="27" s="1"/>
  <c r="M46" i="27"/>
  <c r="N46" i="27" s="1"/>
  <c r="I46" i="27"/>
  <c r="J46" i="27" s="1"/>
  <c r="E46" i="27"/>
  <c r="C46" i="27"/>
  <c r="P45" i="27"/>
  <c r="Q45" i="27" s="1"/>
  <c r="M45" i="27"/>
  <c r="N45" i="27" s="1"/>
  <c r="I45" i="27"/>
  <c r="J45" i="27" s="1"/>
  <c r="E45" i="27"/>
  <c r="P44" i="27"/>
  <c r="Q44" i="27" s="1"/>
  <c r="M44" i="27"/>
  <c r="N44" i="27" s="1"/>
  <c r="I44" i="27"/>
  <c r="J44" i="27" s="1"/>
  <c r="E44" i="27"/>
  <c r="P43" i="27"/>
  <c r="Q43" i="27" s="1"/>
  <c r="M43" i="27"/>
  <c r="N43" i="27" s="1"/>
  <c r="I43" i="27"/>
  <c r="J43" i="27" s="1"/>
  <c r="E43" i="27"/>
  <c r="P42" i="27"/>
  <c r="Q42" i="27" s="1"/>
  <c r="M42" i="27"/>
  <c r="N42" i="27" s="1"/>
  <c r="I42" i="27"/>
  <c r="J42" i="27" s="1"/>
  <c r="E42" i="27"/>
  <c r="P41" i="27"/>
  <c r="Q41" i="27" s="1"/>
  <c r="M41" i="27"/>
  <c r="N41" i="27" s="1"/>
  <c r="I41" i="27"/>
  <c r="J41" i="27" s="1"/>
  <c r="E41" i="27"/>
  <c r="C41" i="27"/>
  <c r="P40" i="27"/>
  <c r="Q40" i="27" s="1"/>
  <c r="M40" i="27"/>
  <c r="N40" i="27" s="1"/>
  <c r="I40" i="27"/>
  <c r="J40" i="27" s="1"/>
  <c r="E40" i="27"/>
  <c r="C40" i="27"/>
  <c r="P39" i="27"/>
  <c r="Q39" i="27" s="1"/>
  <c r="M39" i="27"/>
  <c r="N39" i="27" s="1"/>
  <c r="I39" i="27"/>
  <c r="J39" i="27" s="1"/>
  <c r="E39" i="27"/>
  <c r="C39" i="27"/>
  <c r="P38" i="27"/>
  <c r="Q38" i="27" s="1"/>
  <c r="M38" i="27"/>
  <c r="N38" i="27" s="1"/>
  <c r="I38" i="27"/>
  <c r="J38" i="27" s="1"/>
  <c r="E38" i="27"/>
  <c r="C38" i="27"/>
  <c r="P37" i="27"/>
  <c r="Q37" i="27" s="1"/>
  <c r="M37" i="27"/>
  <c r="N37" i="27" s="1"/>
  <c r="I37" i="27"/>
  <c r="J37" i="27" s="1"/>
  <c r="E37" i="27"/>
  <c r="P36" i="27"/>
  <c r="Q36" i="27" s="1"/>
  <c r="M36" i="27"/>
  <c r="N36" i="27" s="1"/>
  <c r="I36" i="27"/>
  <c r="J36" i="27" s="1"/>
  <c r="E36" i="27"/>
  <c r="P35" i="27"/>
  <c r="Q35" i="27" s="1"/>
  <c r="M35" i="27"/>
  <c r="N35" i="27" s="1"/>
  <c r="I35" i="27"/>
  <c r="J35" i="27" s="1"/>
  <c r="E35" i="27"/>
  <c r="C35" i="27"/>
  <c r="D35" i="27" s="1"/>
  <c r="P34" i="27"/>
  <c r="Q34" i="27" s="1"/>
  <c r="M34" i="27"/>
  <c r="N34" i="27" s="1"/>
  <c r="I34" i="27"/>
  <c r="J34" i="27" s="1"/>
  <c r="E34" i="27"/>
  <c r="C34" i="27"/>
  <c r="D34" i="27" s="1"/>
  <c r="P33" i="27"/>
  <c r="Q33" i="27" s="1"/>
  <c r="M33" i="27"/>
  <c r="N33" i="27" s="1"/>
  <c r="I33" i="27"/>
  <c r="J33" i="27" s="1"/>
  <c r="E33" i="27"/>
  <c r="C33" i="27"/>
  <c r="P32" i="27"/>
  <c r="Q32" i="27" s="1"/>
  <c r="M32" i="27"/>
  <c r="N32" i="27" s="1"/>
  <c r="I32" i="27"/>
  <c r="J32" i="27" s="1"/>
  <c r="E32" i="27"/>
  <c r="C32" i="27"/>
  <c r="P31" i="27"/>
  <c r="Q31" i="27" s="1"/>
  <c r="M31" i="27"/>
  <c r="N31" i="27" s="1"/>
  <c r="I31" i="27"/>
  <c r="J31" i="27" s="1"/>
  <c r="E31" i="27"/>
  <c r="P30" i="27"/>
  <c r="Q30" i="27" s="1"/>
  <c r="M30" i="27"/>
  <c r="N30" i="27" s="1"/>
  <c r="I30" i="27"/>
  <c r="J30" i="27" s="1"/>
  <c r="E30" i="27"/>
  <c r="P29" i="27"/>
  <c r="Q29" i="27" s="1"/>
  <c r="M29" i="27"/>
  <c r="N29" i="27" s="1"/>
  <c r="I29" i="27"/>
  <c r="J29" i="27" s="1"/>
  <c r="E29" i="27"/>
  <c r="P28" i="27"/>
  <c r="Q28" i="27" s="1"/>
  <c r="M28" i="27"/>
  <c r="N28" i="27" s="1"/>
  <c r="I28" i="27"/>
  <c r="J28" i="27" s="1"/>
  <c r="E28" i="27"/>
  <c r="C28" i="27"/>
  <c r="D28" i="27" s="1"/>
  <c r="P27" i="27"/>
  <c r="Q27" i="27" s="1"/>
  <c r="M27" i="27"/>
  <c r="N27" i="27" s="1"/>
  <c r="I27" i="27"/>
  <c r="J27" i="27" s="1"/>
  <c r="E27" i="27"/>
  <c r="P26" i="27"/>
  <c r="Q26" i="27" s="1"/>
  <c r="M26" i="27"/>
  <c r="N26" i="27" s="1"/>
  <c r="I26" i="27"/>
  <c r="J26" i="27" s="1"/>
  <c r="E26" i="27"/>
  <c r="P25" i="27"/>
  <c r="Q25" i="27" s="1"/>
  <c r="M25" i="27"/>
  <c r="N25" i="27" s="1"/>
  <c r="I25" i="27"/>
  <c r="J25" i="27" s="1"/>
  <c r="E25" i="27"/>
  <c r="C25" i="27"/>
  <c r="P24" i="27"/>
  <c r="Q24" i="27" s="1"/>
  <c r="M24" i="27"/>
  <c r="N24" i="27" s="1"/>
  <c r="I24" i="27"/>
  <c r="J24" i="27" s="1"/>
  <c r="E24" i="27"/>
  <c r="C24" i="27"/>
  <c r="P23" i="27"/>
  <c r="Q23" i="27" s="1"/>
  <c r="M23" i="27"/>
  <c r="N23" i="27" s="1"/>
  <c r="I23" i="27"/>
  <c r="J23" i="27" s="1"/>
  <c r="E23" i="27"/>
  <c r="P22" i="27"/>
  <c r="Q22" i="27" s="1"/>
  <c r="M22" i="27"/>
  <c r="N22" i="27" s="1"/>
  <c r="I22" i="27"/>
  <c r="J22" i="27" s="1"/>
  <c r="E22" i="27"/>
  <c r="C22" i="27"/>
  <c r="P21" i="27"/>
  <c r="Q21" i="27" s="1"/>
  <c r="M21" i="27"/>
  <c r="N21" i="27" s="1"/>
  <c r="I21" i="27"/>
  <c r="J21" i="27" s="1"/>
  <c r="E21" i="27"/>
  <c r="C21" i="27"/>
  <c r="P20" i="27"/>
  <c r="Q20" i="27" s="1"/>
  <c r="M20" i="27"/>
  <c r="N20" i="27" s="1"/>
  <c r="I20" i="27"/>
  <c r="J20" i="27" s="1"/>
  <c r="E20" i="27"/>
  <c r="P19" i="27"/>
  <c r="Q19" i="27" s="1"/>
  <c r="M19" i="27"/>
  <c r="N19" i="27" s="1"/>
  <c r="I19" i="27"/>
  <c r="J19" i="27" s="1"/>
  <c r="E19" i="27"/>
  <c r="C19" i="27"/>
  <c r="D19" i="27" s="1"/>
  <c r="P18" i="27"/>
  <c r="Q18" i="27" s="1"/>
  <c r="M18" i="27"/>
  <c r="N18" i="27" s="1"/>
  <c r="I18" i="27"/>
  <c r="J18" i="27" s="1"/>
  <c r="E18" i="27"/>
  <c r="C18" i="27"/>
  <c r="D18" i="27" s="1"/>
  <c r="P17" i="27"/>
  <c r="Q17" i="27" s="1"/>
  <c r="M17" i="27"/>
  <c r="N17" i="27" s="1"/>
  <c r="I17" i="27"/>
  <c r="J17" i="27" s="1"/>
  <c r="E17" i="27"/>
  <c r="C17" i="27"/>
  <c r="P16" i="27"/>
  <c r="Q16" i="27" s="1"/>
  <c r="M16" i="27"/>
  <c r="N16" i="27" s="1"/>
  <c r="I16" i="27"/>
  <c r="J16" i="27" s="1"/>
  <c r="E16" i="27"/>
  <c r="C16" i="27"/>
  <c r="P15" i="27"/>
  <c r="Q15" i="27" s="1"/>
  <c r="M15" i="27"/>
  <c r="N15" i="27" s="1"/>
  <c r="I15" i="27"/>
  <c r="J15" i="27" s="1"/>
  <c r="E15" i="27"/>
  <c r="C15" i="27"/>
  <c r="P14" i="27"/>
  <c r="Q14" i="27" s="1"/>
  <c r="M14" i="27"/>
  <c r="N14" i="27" s="1"/>
  <c r="I14" i="27"/>
  <c r="J14" i="27" s="1"/>
  <c r="E14" i="27"/>
  <c r="P13" i="27"/>
  <c r="Q13" i="27" s="1"/>
  <c r="M13" i="27"/>
  <c r="N13" i="27" s="1"/>
  <c r="I13" i="27"/>
  <c r="J13" i="27" s="1"/>
  <c r="E13" i="27"/>
  <c r="C13" i="27"/>
  <c r="P12" i="27"/>
  <c r="Q12" i="27" s="1"/>
  <c r="M12" i="27"/>
  <c r="N12" i="27" s="1"/>
  <c r="I12" i="27"/>
  <c r="J12" i="27" s="1"/>
  <c r="E12" i="27"/>
  <c r="C12" i="27"/>
  <c r="D12" i="27" s="1"/>
  <c r="P11" i="27"/>
  <c r="Q11" i="27" s="1"/>
  <c r="M11" i="27"/>
  <c r="N11" i="27" s="1"/>
  <c r="I11" i="27"/>
  <c r="J11" i="27" s="1"/>
  <c r="E11" i="27"/>
  <c r="C11" i="27"/>
  <c r="D11" i="27" s="1"/>
  <c r="P10" i="27"/>
  <c r="Q10" i="27" s="1"/>
  <c r="M10" i="27"/>
  <c r="N10" i="27" s="1"/>
  <c r="I10" i="27"/>
  <c r="J10" i="27" s="1"/>
  <c r="E10" i="27"/>
  <c r="C10" i="27"/>
  <c r="D10" i="27" s="1"/>
  <c r="P9" i="27"/>
  <c r="Q9" i="27" s="1"/>
  <c r="M9" i="27"/>
  <c r="N9" i="27" s="1"/>
  <c r="I9" i="27"/>
  <c r="J9" i="27" s="1"/>
  <c r="E9" i="27"/>
  <c r="C9" i="27"/>
  <c r="P8" i="27"/>
  <c r="Q8" i="27" s="1"/>
  <c r="M8" i="27"/>
  <c r="N8" i="27" s="1"/>
  <c r="I8" i="27"/>
  <c r="J8" i="27" s="1"/>
  <c r="E8" i="27"/>
  <c r="P7" i="27"/>
  <c r="Q7" i="27" s="1"/>
  <c r="M7" i="27"/>
  <c r="N7" i="27" s="1"/>
  <c r="I7" i="27"/>
  <c r="J7" i="27" s="1"/>
  <c r="E7" i="27"/>
  <c r="C7" i="27"/>
  <c r="P6" i="27"/>
  <c r="Q6" i="27" s="1"/>
  <c r="M6" i="27"/>
  <c r="N6" i="27" s="1"/>
  <c r="I6" i="27"/>
  <c r="J6" i="27" s="1"/>
  <c r="E6" i="27"/>
  <c r="C6" i="27"/>
  <c r="P5" i="27"/>
  <c r="Q5" i="27" s="1"/>
  <c r="M5" i="27"/>
  <c r="N5" i="27" s="1"/>
  <c r="I5" i="27"/>
  <c r="J5" i="27" s="1"/>
  <c r="E5" i="27"/>
  <c r="P4" i="27"/>
  <c r="Q4" i="27" s="1"/>
  <c r="M4" i="27"/>
  <c r="N4" i="27" s="1"/>
  <c r="I4" i="27"/>
  <c r="J4" i="27" s="1"/>
  <c r="E4" i="27"/>
  <c r="P3" i="27"/>
  <c r="Q3" i="27" s="1"/>
  <c r="M3" i="27"/>
  <c r="N3" i="27" s="1"/>
  <c r="I3" i="27"/>
  <c r="J3" i="27" s="1"/>
  <c r="E3" i="27"/>
  <c r="C3" i="27"/>
  <c r="P2" i="27"/>
  <c r="Q2" i="27" s="1"/>
  <c r="M2" i="27"/>
  <c r="N2" i="27" s="1"/>
  <c r="I2" i="27"/>
  <c r="J2" i="27" s="1"/>
  <c r="E2" i="27"/>
  <c r="C2" i="27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2" i="11"/>
  <c r="F3" i="11"/>
  <c r="H3" i="11" s="1"/>
  <c r="F4" i="11"/>
  <c r="H4" i="11" s="1"/>
  <c r="F5" i="11"/>
  <c r="H5" i="11" s="1"/>
  <c r="F6" i="11"/>
  <c r="H6" i="11" s="1"/>
  <c r="F7" i="11"/>
  <c r="H7" i="11" s="1"/>
  <c r="F8" i="11"/>
  <c r="H8" i="11" s="1"/>
  <c r="F9" i="11"/>
  <c r="H9" i="11" s="1"/>
  <c r="F10" i="11"/>
  <c r="H10" i="11" s="1"/>
  <c r="F11" i="11"/>
  <c r="H11" i="11" s="1"/>
  <c r="F12" i="11"/>
  <c r="H12" i="11" s="1"/>
  <c r="F13" i="11"/>
  <c r="H13" i="11" s="1"/>
  <c r="F14" i="11"/>
  <c r="H14" i="11" s="1"/>
  <c r="F15" i="11"/>
  <c r="H15" i="11" s="1"/>
  <c r="F16" i="11"/>
  <c r="H16" i="11" s="1"/>
  <c r="F17" i="11"/>
  <c r="H17" i="11" s="1"/>
  <c r="F18" i="11"/>
  <c r="H18" i="11" s="1"/>
  <c r="F19" i="11"/>
  <c r="H19" i="11" s="1"/>
  <c r="F20" i="11"/>
  <c r="H20" i="11" s="1"/>
  <c r="F21" i="11"/>
  <c r="H21" i="11" s="1"/>
  <c r="F22" i="11"/>
  <c r="H22" i="11" s="1"/>
  <c r="F23" i="11"/>
  <c r="H23" i="11" s="1"/>
  <c r="F24" i="11"/>
  <c r="H24" i="11" s="1"/>
  <c r="F25" i="11"/>
  <c r="H25" i="11" s="1"/>
  <c r="F26" i="11"/>
  <c r="H26" i="11" s="1"/>
  <c r="F27" i="11"/>
  <c r="H27" i="11" s="1"/>
  <c r="F28" i="11"/>
  <c r="H28" i="11" s="1"/>
  <c r="F29" i="11"/>
  <c r="H29" i="11" s="1"/>
  <c r="F30" i="11"/>
  <c r="H30" i="11" s="1"/>
  <c r="F31" i="11"/>
  <c r="H31" i="11" s="1"/>
  <c r="F32" i="11"/>
  <c r="H32" i="11" s="1"/>
  <c r="F33" i="11"/>
  <c r="H33" i="11" s="1"/>
  <c r="F34" i="11"/>
  <c r="H34" i="11" s="1"/>
  <c r="F35" i="11"/>
  <c r="H35" i="11" s="1"/>
  <c r="F36" i="11"/>
  <c r="H36" i="11" s="1"/>
  <c r="F37" i="11"/>
  <c r="H37" i="11" s="1"/>
  <c r="F38" i="11"/>
  <c r="H38" i="11" s="1"/>
  <c r="F39" i="11"/>
  <c r="H39" i="11" s="1"/>
  <c r="F40" i="11"/>
  <c r="H40" i="11" s="1"/>
  <c r="F41" i="11"/>
  <c r="H41" i="11" s="1"/>
  <c r="F42" i="11"/>
  <c r="H42" i="11" s="1"/>
  <c r="F43" i="11"/>
  <c r="H43" i="11" s="1"/>
  <c r="F44" i="11"/>
  <c r="H44" i="11" s="1"/>
  <c r="F45" i="11"/>
  <c r="H45" i="11" s="1"/>
  <c r="F46" i="11"/>
  <c r="H46" i="11" s="1"/>
  <c r="F47" i="11"/>
  <c r="H47" i="11" s="1"/>
  <c r="F48" i="11"/>
  <c r="H48" i="11" s="1"/>
  <c r="F49" i="11"/>
  <c r="H49" i="11" s="1"/>
  <c r="F50" i="11"/>
  <c r="H50" i="11" s="1"/>
  <c r="F51" i="11"/>
  <c r="H51" i="11" s="1"/>
  <c r="F52" i="11"/>
  <c r="H52" i="11" s="1"/>
  <c r="F53" i="11"/>
  <c r="H53" i="11" s="1"/>
  <c r="F54" i="11"/>
  <c r="H54" i="11" s="1"/>
  <c r="F55" i="11"/>
  <c r="H55" i="11" s="1"/>
  <c r="F56" i="11"/>
  <c r="H56" i="11" s="1"/>
  <c r="F57" i="11"/>
  <c r="H57" i="11" s="1"/>
  <c r="F58" i="11"/>
  <c r="H58" i="11" s="1"/>
  <c r="F59" i="11"/>
  <c r="H59" i="11" s="1"/>
  <c r="F60" i="11"/>
  <c r="H60" i="11" s="1"/>
  <c r="F61" i="11"/>
  <c r="H61" i="11" s="1"/>
  <c r="F62" i="11"/>
  <c r="H62" i="11" s="1"/>
  <c r="F63" i="11"/>
  <c r="H63" i="11" s="1"/>
  <c r="F64" i="11"/>
  <c r="H64" i="11" s="1"/>
  <c r="F65" i="11"/>
  <c r="H65" i="11" s="1"/>
  <c r="F2" i="11"/>
  <c r="H2" i="11" s="1"/>
  <c r="H66" i="11"/>
  <c r="H67" i="11"/>
  <c r="H68" i="11"/>
  <c r="H69" i="11"/>
  <c r="H70" i="11"/>
  <c r="H71" i="11"/>
  <c r="H72" i="11"/>
  <c r="H73" i="11"/>
  <c r="B77" i="13"/>
  <c r="C77" i="13" s="1"/>
  <c r="B78" i="13"/>
  <c r="C78" i="13" s="1"/>
  <c r="B79" i="13"/>
  <c r="C79" i="13"/>
  <c r="B80" i="13"/>
  <c r="C80" i="13"/>
  <c r="B81" i="13"/>
  <c r="C81" i="13" s="1"/>
  <c r="B82" i="13"/>
  <c r="C82" i="13" s="1"/>
  <c r="B83" i="13"/>
  <c r="C83" i="13"/>
  <c r="B84" i="13"/>
  <c r="C84" i="13"/>
  <c r="B85" i="13"/>
  <c r="C85" i="13" s="1"/>
  <c r="B86" i="13"/>
  <c r="C86" i="13" s="1"/>
  <c r="B87" i="13"/>
  <c r="C87" i="13" s="1"/>
  <c r="B88" i="13"/>
  <c r="C88" i="13"/>
  <c r="B89" i="13"/>
  <c r="C89" i="13" s="1"/>
  <c r="B90" i="13"/>
  <c r="C90" i="13" s="1"/>
  <c r="B91" i="13"/>
  <c r="C91" i="13"/>
  <c r="C6" i="13"/>
  <c r="C10" i="13"/>
  <c r="C14" i="13"/>
  <c r="C18" i="13"/>
  <c r="C22" i="13"/>
  <c r="C26" i="13"/>
  <c r="C34" i="13"/>
  <c r="C46" i="13"/>
  <c r="C50" i="13"/>
  <c r="C54" i="13"/>
  <c r="C62" i="13"/>
  <c r="C74" i="13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2" i="24"/>
  <c r="B3" i="13"/>
  <c r="C5" i="27" s="1"/>
  <c r="B4" i="13"/>
  <c r="B5" i="13"/>
  <c r="C8" i="27" s="1"/>
  <c r="B6" i="13"/>
  <c r="B7" i="13"/>
  <c r="C7" i="13" s="1"/>
  <c r="B8" i="13"/>
  <c r="C14" i="27" s="1"/>
  <c r="B9" i="13"/>
  <c r="B10" i="13"/>
  <c r="B11" i="13"/>
  <c r="C23" i="14" s="1"/>
  <c r="B12" i="13"/>
  <c r="B13" i="13"/>
  <c r="C28" i="14" s="1"/>
  <c r="B14" i="13"/>
  <c r="B15" i="13"/>
  <c r="C15" i="13" s="1"/>
  <c r="B16" i="13"/>
  <c r="C16" i="13" s="1"/>
  <c r="B17" i="13"/>
  <c r="B18" i="13"/>
  <c r="C43" i="14" s="1"/>
  <c r="B19" i="13"/>
  <c r="C46" i="14" s="1"/>
  <c r="B20" i="13"/>
  <c r="C31" i="27" s="1"/>
  <c r="B21" i="13"/>
  <c r="C51" i="14" s="1"/>
  <c r="B22" i="13"/>
  <c r="B23" i="13"/>
  <c r="C23" i="13" s="1"/>
  <c r="B24" i="13"/>
  <c r="C24" i="13" s="1"/>
  <c r="B25" i="13"/>
  <c r="C63" i="14" s="1"/>
  <c r="B26" i="13"/>
  <c r="C67" i="14" s="1"/>
  <c r="B27" i="13"/>
  <c r="C71" i="14" s="1"/>
  <c r="B28" i="13"/>
  <c r="B29" i="13"/>
  <c r="B30" i="13"/>
  <c r="C79" i="14" s="1"/>
  <c r="B31" i="13"/>
  <c r="C31" i="13" s="1"/>
  <c r="B32" i="13"/>
  <c r="C32" i="13" s="1"/>
  <c r="B33" i="13"/>
  <c r="B34" i="13"/>
  <c r="B35" i="13"/>
  <c r="C93" i="14" s="1"/>
  <c r="B36" i="13"/>
  <c r="C54" i="27" s="1"/>
  <c r="B37" i="13"/>
  <c r="B38" i="13"/>
  <c r="C104" i="14" s="1"/>
  <c r="B39" i="13"/>
  <c r="C39" i="13" s="1"/>
  <c r="B40" i="13"/>
  <c r="C40" i="13" s="1"/>
  <c r="B41" i="13"/>
  <c r="B42" i="13"/>
  <c r="C42" i="13" s="1"/>
  <c r="B43" i="13"/>
  <c r="B44" i="13"/>
  <c r="B45" i="13"/>
  <c r="C125" i="14" s="1"/>
  <c r="B46" i="13"/>
  <c r="C127" i="14" s="1"/>
  <c r="B47" i="13"/>
  <c r="C47" i="13" s="1"/>
  <c r="B48" i="13"/>
  <c r="C48" i="13" s="1"/>
  <c r="B49" i="13"/>
  <c r="C135" i="14" s="1"/>
  <c r="B50" i="13"/>
  <c r="B51" i="13"/>
  <c r="C142" i="14" s="1"/>
  <c r="B52" i="13"/>
  <c r="C145" i="14" s="1"/>
  <c r="B53" i="13"/>
  <c r="B54" i="13"/>
  <c r="B55" i="13"/>
  <c r="C55" i="13" s="1"/>
  <c r="B56" i="13"/>
  <c r="C56" i="13" s="1"/>
  <c r="B57" i="13"/>
  <c r="C159" i="14" s="1"/>
  <c r="B58" i="13"/>
  <c r="C162" i="14" s="1"/>
  <c r="B59" i="13"/>
  <c r="B60" i="13"/>
  <c r="C168" i="14" s="1"/>
  <c r="B61" i="13"/>
  <c r="C171" i="14" s="1"/>
  <c r="B62" i="13"/>
  <c r="B63" i="13"/>
  <c r="C63" i="13" s="1"/>
  <c r="B64" i="13"/>
  <c r="C64" i="13" s="1"/>
  <c r="B65" i="13"/>
  <c r="C184" i="14" s="1"/>
  <c r="B66" i="13"/>
  <c r="C98" i="27" s="1"/>
  <c r="D98" i="27" s="1"/>
  <c r="B67" i="13"/>
  <c r="C189" i="14" s="1"/>
  <c r="B68" i="13"/>
  <c r="B69" i="13"/>
  <c r="C196" i="14" s="1"/>
  <c r="B70" i="13"/>
  <c r="C200" i="14" s="1"/>
  <c r="B71" i="13"/>
  <c r="C71" i="13" s="1"/>
  <c r="B72" i="13"/>
  <c r="C72" i="13" s="1"/>
  <c r="B73" i="13"/>
  <c r="C207" i="14" s="1"/>
  <c r="B74" i="13"/>
  <c r="B75" i="13"/>
  <c r="C214" i="14" s="1"/>
  <c r="B76" i="13"/>
  <c r="C216" i="14" s="1"/>
  <c r="B2" i="13"/>
  <c r="I3" i="30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361" i="30"/>
  <c r="I2" i="30"/>
  <c r="C30" i="27" l="1"/>
  <c r="D30" i="27" s="1"/>
  <c r="C94" i="14"/>
  <c r="C183" i="14"/>
  <c r="C96" i="27"/>
  <c r="D96" i="27" s="1"/>
  <c r="C95" i="14"/>
  <c r="C110" i="14"/>
  <c r="C199" i="14"/>
  <c r="C50" i="14"/>
  <c r="C70" i="13"/>
  <c r="C53" i="27"/>
  <c r="D53" i="27" s="1"/>
  <c r="C48" i="14"/>
  <c r="C108" i="14"/>
  <c r="C197" i="14"/>
  <c r="C195" i="14"/>
  <c r="C104" i="27"/>
  <c r="D104" i="27" s="1"/>
  <c r="C105" i="27"/>
  <c r="D105" i="27" s="1"/>
  <c r="C204" i="14"/>
  <c r="C102" i="14"/>
  <c r="C208" i="14"/>
  <c r="C23" i="27"/>
  <c r="D23" i="27" s="1"/>
  <c r="C101" i="27"/>
  <c r="D101" i="27" s="1"/>
  <c r="C12" i="14"/>
  <c r="C52" i="14"/>
  <c r="C80" i="14"/>
  <c r="C146" i="14"/>
  <c r="C30" i="13"/>
  <c r="C43" i="27"/>
  <c r="D43" i="27" s="1"/>
  <c r="C58" i="27"/>
  <c r="D58" i="27" s="1"/>
  <c r="C58" i="13"/>
  <c r="C20" i="27"/>
  <c r="D20" i="27" s="1"/>
  <c r="C45" i="27"/>
  <c r="D45" i="27" s="1"/>
  <c r="C27" i="14"/>
  <c r="C35" i="14"/>
  <c r="C83" i="14"/>
  <c r="C163" i="14"/>
  <c r="C42" i="27"/>
  <c r="D42" i="27" s="1"/>
  <c r="C78" i="14"/>
  <c r="C13" i="14"/>
  <c r="C81" i="14"/>
  <c r="C44" i="27"/>
  <c r="D44" i="27" s="1"/>
  <c r="C59" i="27"/>
  <c r="D59" i="27" s="1"/>
  <c r="C36" i="14"/>
  <c r="C164" i="14"/>
  <c r="C103" i="14"/>
  <c r="C33" i="14"/>
  <c r="C53" i="14"/>
  <c r="C38" i="13"/>
  <c r="C21" i="14"/>
  <c r="C5" i="14"/>
  <c r="C22" i="14"/>
  <c r="C4" i="27"/>
  <c r="D4" i="27" s="1"/>
  <c r="C97" i="14"/>
  <c r="C115" i="14"/>
  <c r="C55" i="27"/>
  <c r="D55" i="27" s="1"/>
  <c r="C89" i="27"/>
  <c r="D89" i="27" s="1"/>
  <c r="C15" i="14"/>
  <c r="C59" i="14"/>
  <c r="C116" i="14"/>
  <c r="C124" i="14"/>
  <c r="C141" i="14"/>
  <c r="C173" i="14"/>
  <c r="C205" i="14"/>
  <c r="C213" i="14"/>
  <c r="C188" i="14"/>
  <c r="C66" i="13"/>
  <c r="C170" i="14"/>
  <c r="C186" i="14"/>
  <c r="C218" i="14"/>
  <c r="C86" i="27"/>
  <c r="D86" i="27" s="1"/>
  <c r="C110" i="27"/>
  <c r="D110" i="27" s="1"/>
  <c r="C160" i="14"/>
  <c r="C36" i="27"/>
  <c r="D36" i="27" s="1"/>
  <c r="C99" i="27"/>
  <c r="D99" i="27" s="1"/>
  <c r="C107" i="27"/>
  <c r="D107" i="27" s="1"/>
  <c r="C57" i="14"/>
  <c r="C98" i="14"/>
  <c r="C114" i="14"/>
  <c r="C187" i="14"/>
  <c r="C37" i="27"/>
  <c r="D37" i="27" s="1"/>
  <c r="C206" i="14"/>
  <c r="C136" i="14"/>
  <c r="C26" i="27"/>
  <c r="D26" i="27" s="1"/>
  <c r="C44" i="14"/>
  <c r="C73" i="27"/>
  <c r="D73" i="27" s="1"/>
  <c r="C137" i="14"/>
  <c r="C72" i="27"/>
  <c r="D72" i="27" s="1"/>
  <c r="C27" i="27"/>
  <c r="D27" i="27" s="1"/>
  <c r="C66" i="14"/>
  <c r="C29" i="27"/>
  <c r="D29" i="27" s="1"/>
  <c r="C8" i="14"/>
  <c r="C45" i="14"/>
  <c r="C47" i="27"/>
  <c r="D47" i="27" s="1"/>
  <c r="C86" i="14"/>
  <c r="D56" i="27"/>
  <c r="D62" i="27"/>
  <c r="D16" i="27"/>
  <c r="D88" i="27"/>
  <c r="D85" i="27"/>
  <c r="D109" i="27"/>
  <c r="D40" i="27"/>
  <c r="D77" i="27"/>
  <c r="D5" i="27"/>
  <c r="D80" i="27"/>
  <c r="D64" i="27"/>
  <c r="D32" i="27"/>
  <c r="C21" i="13"/>
  <c r="D2" i="27"/>
  <c r="C76" i="13"/>
  <c r="C68" i="13"/>
  <c r="C60" i="13"/>
  <c r="C52" i="13"/>
  <c r="C44" i="13"/>
  <c r="C36" i="13"/>
  <c r="C28" i="13"/>
  <c r="C20" i="13"/>
  <c r="C12" i="13"/>
  <c r="C4" i="13"/>
  <c r="D97" i="27"/>
  <c r="D81" i="27"/>
  <c r="D65" i="27"/>
  <c r="D57" i="27"/>
  <c r="D49" i="27"/>
  <c r="D41" i="27"/>
  <c r="D33" i="27"/>
  <c r="D25" i="27"/>
  <c r="D17" i="27"/>
  <c r="D9" i="27"/>
  <c r="C75" i="13"/>
  <c r="C67" i="13"/>
  <c r="C59" i="13"/>
  <c r="C51" i="13"/>
  <c r="C43" i="13"/>
  <c r="C35" i="13"/>
  <c r="C27" i="13"/>
  <c r="C19" i="13"/>
  <c r="C11" i="13"/>
  <c r="C3" i="13"/>
  <c r="C69" i="13"/>
  <c r="C13" i="13"/>
  <c r="D48" i="27"/>
  <c r="D24" i="27"/>
  <c r="D111" i="27"/>
  <c r="D103" i="27"/>
  <c r="D95" i="27"/>
  <c r="D87" i="27"/>
  <c r="D79" i="27"/>
  <c r="D71" i="27"/>
  <c r="D63" i="27"/>
  <c r="D39" i="27"/>
  <c r="D31" i="27"/>
  <c r="D15" i="27"/>
  <c r="D7" i="27"/>
  <c r="C73" i="13"/>
  <c r="C65" i="13"/>
  <c r="C57" i="13"/>
  <c r="C49" i="13"/>
  <c r="C41" i="13"/>
  <c r="C33" i="13"/>
  <c r="C25" i="13"/>
  <c r="C17" i="13"/>
  <c r="C9" i="13"/>
  <c r="D3" i="27"/>
  <c r="C2" i="13"/>
  <c r="C61" i="13"/>
  <c r="C53" i="13"/>
  <c r="C45" i="13"/>
  <c r="C37" i="13"/>
  <c r="C29" i="13"/>
  <c r="C5" i="13"/>
  <c r="D8" i="27"/>
  <c r="D102" i="27"/>
  <c r="D94" i="27"/>
  <c r="D78" i="27"/>
  <c r="D70" i="27"/>
  <c r="D54" i="27"/>
  <c r="D46" i="27"/>
  <c r="D38" i="27"/>
  <c r="D22" i="27"/>
  <c r="D14" i="27"/>
  <c r="D6" i="27"/>
  <c r="C8" i="13"/>
  <c r="D93" i="27"/>
  <c r="D69" i="27"/>
  <c r="D61" i="27"/>
  <c r="D21" i="27"/>
  <c r="D13" i="27"/>
  <c r="B363" i="30" l="1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62" i="30"/>
  <c r="C361" i="16" l="1"/>
  <c r="C331" i="16"/>
  <c r="C330" i="16"/>
  <c r="C360" i="16"/>
  <c r="C328" i="16"/>
  <c r="C358" i="16"/>
  <c r="C355" i="16"/>
  <c r="C325" i="16"/>
  <c r="C321" i="16"/>
  <c r="C351" i="16"/>
  <c r="C320" i="16"/>
  <c r="C350" i="16"/>
  <c r="C311" i="16"/>
  <c r="C341" i="16"/>
  <c r="C305" i="16"/>
  <c r="C335" i="16"/>
  <c r="C304" i="16"/>
  <c r="C334" i="16"/>
  <c r="M2" i="30"/>
  <c r="M3" i="30"/>
  <c r="N3" i="30"/>
  <c r="M4" i="30"/>
  <c r="N4" i="30"/>
  <c r="M5" i="30"/>
  <c r="N5" i="30"/>
  <c r="M6" i="30"/>
  <c r="N6" i="30"/>
  <c r="M7" i="30"/>
  <c r="N7" i="30"/>
  <c r="M8" i="30"/>
  <c r="N8" i="30"/>
  <c r="M9" i="30"/>
  <c r="N9" i="30"/>
  <c r="M10" i="30"/>
  <c r="N10" i="30"/>
  <c r="M11" i="30"/>
  <c r="N11" i="30"/>
  <c r="M12" i="30"/>
  <c r="N12" i="30"/>
  <c r="M13" i="30"/>
  <c r="N13" i="30"/>
  <c r="M14" i="30"/>
  <c r="N14" i="30"/>
  <c r="M15" i="30"/>
  <c r="N15" i="30"/>
  <c r="M16" i="30"/>
  <c r="N16" i="30"/>
  <c r="M17" i="30"/>
  <c r="N17" i="30"/>
  <c r="M18" i="30"/>
  <c r="N18" i="30"/>
  <c r="M19" i="30"/>
  <c r="N19" i="30"/>
  <c r="M20" i="30"/>
  <c r="N20" i="30"/>
  <c r="M21" i="30"/>
  <c r="N21" i="30"/>
  <c r="M22" i="30"/>
  <c r="N22" i="30"/>
  <c r="M23" i="30"/>
  <c r="N23" i="30"/>
  <c r="M24" i="30"/>
  <c r="N24" i="30"/>
  <c r="M25" i="30"/>
  <c r="N25" i="30"/>
  <c r="M26" i="30"/>
  <c r="N26" i="30"/>
  <c r="M27" i="30"/>
  <c r="N27" i="30"/>
  <c r="M28" i="30"/>
  <c r="N28" i="30"/>
  <c r="M29" i="30"/>
  <c r="N29" i="30"/>
  <c r="M30" i="30"/>
  <c r="N30" i="30"/>
  <c r="M31" i="30"/>
  <c r="N31" i="30"/>
  <c r="M32" i="30"/>
  <c r="N32" i="30"/>
  <c r="M33" i="30"/>
  <c r="N33" i="30"/>
  <c r="M34" i="30"/>
  <c r="N34" i="30"/>
  <c r="M35" i="30"/>
  <c r="N35" i="30"/>
  <c r="M36" i="30"/>
  <c r="N36" i="30"/>
  <c r="M37" i="30"/>
  <c r="N37" i="30"/>
  <c r="M38" i="30"/>
  <c r="N38" i="30"/>
  <c r="M39" i="30"/>
  <c r="N39" i="30"/>
  <c r="M40" i="30"/>
  <c r="N40" i="30"/>
  <c r="M41" i="30"/>
  <c r="N41" i="30"/>
  <c r="M42" i="30"/>
  <c r="N42" i="30"/>
  <c r="M43" i="30"/>
  <c r="N43" i="30"/>
  <c r="M44" i="30"/>
  <c r="N44" i="30"/>
  <c r="M45" i="30"/>
  <c r="N45" i="30"/>
  <c r="M46" i="30"/>
  <c r="N46" i="30"/>
  <c r="M47" i="30"/>
  <c r="N47" i="30"/>
  <c r="M48" i="30"/>
  <c r="N48" i="30"/>
  <c r="M49" i="30"/>
  <c r="N49" i="30"/>
  <c r="M50" i="30"/>
  <c r="N50" i="30"/>
  <c r="M51" i="30"/>
  <c r="N51" i="30"/>
  <c r="M52" i="30"/>
  <c r="N52" i="30"/>
  <c r="M53" i="30"/>
  <c r="N53" i="30"/>
  <c r="M54" i="30"/>
  <c r="N54" i="30"/>
  <c r="M55" i="30"/>
  <c r="N55" i="30"/>
  <c r="M56" i="30"/>
  <c r="N56" i="30"/>
  <c r="M57" i="30"/>
  <c r="N57" i="30"/>
  <c r="M58" i="30"/>
  <c r="N58" i="30"/>
  <c r="M59" i="30"/>
  <c r="N59" i="30"/>
  <c r="M60" i="30"/>
  <c r="N60" i="30"/>
  <c r="M61" i="30"/>
  <c r="N61" i="30"/>
  <c r="M62" i="30"/>
  <c r="N62" i="30"/>
  <c r="M63" i="30"/>
  <c r="N63" i="30"/>
  <c r="M64" i="30"/>
  <c r="N64" i="30"/>
  <c r="M65" i="30"/>
  <c r="N65" i="30"/>
  <c r="M66" i="30"/>
  <c r="N66" i="30"/>
  <c r="M67" i="30"/>
  <c r="N67" i="30"/>
  <c r="M68" i="30"/>
  <c r="N68" i="30"/>
  <c r="M69" i="30"/>
  <c r="N69" i="30"/>
  <c r="M70" i="30"/>
  <c r="N70" i="30"/>
  <c r="M71" i="30"/>
  <c r="N71" i="30"/>
  <c r="M72" i="30"/>
  <c r="N72" i="30"/>
  <c r="M73" i="30"/>
  <c r="N73" i="30"/>
  <c r="M74" i="30"/>
  <c r="N74" i="30"/>
  <c r="M75" i="30"/>
  <c r="N75" i="30"/>
  <c r="M76" i="30"/>
  <c r="N76" i="30"/>
  <c r="M77" i="30"/>
  <c r="N77" i="30"/>
  <c r="M78" i="30"/>
  <c r="N78" i="30"/>
  <c r="M79" i="30"/>
  <c r="N79" i="30"/>
  <c r="M80" i="30"/>
  <c r="N80" i="30"/>
  <c r="M81" i="30"/>
  <c r="N81" i="30"/>
  <c r="M82" i="30"/>
  <c r="N82" i="30"/>
  <c r="M83" i="30"/>
  <c r="N83" i="30"/>
  <c r="M84" i="30"/>
  <c r="N84" i="30"/>
  <c r="M85" i="30"/>
  <c r="N85" i="30"/>
  <c r="M86" i="30"/>
  <c r="N86" i="30"/>
  <c r="M87" i="30"/>
  <c r="N87" i="30"/>
  <c r="M88" i="30"/>
  <c r="N88" i="30"/>
  <c r="M89" i="30"/>
  <c r="N89" i="30"/>
  <c r="M90" i="30"/>
  <c r="N90" i="30"/>
  <c r="M91" i="30"/>
  <c r="N91" i="30"/>
  <c r="M92" i="30"/>
  <c r="N92" i="30"/>
  <c r="M93" i="30"/>
  <c r="N93" i="30"/>
  <c r="M94" i="30"/>
  <c r="N94" i="30"/>
  <c r="M95" i="30"/>
  <c r="N95" i="30"/>
  <c r="M96" i="30"/>
  <c r="N96" i="30"/>
  <c r="M97" i="30"/>
  <c r="N97" i="30"/>
  <c r="M98" i="30"/>
  <c r="N98" i="30"/>
  <c r="M99" i="30"/>
  <c r="N99" i="30"/>
  <c r="M100" i="30"/>
  <c r="N100" i="30"/>
  <c r="M101" i="30"/>
  <c r="N101" i="30"/>
  <c r="M102" i="30"/>
  <c r="N102" i="30"/>
  <c r="M103" i="30"/>
  <c r="N103" i="30"/>
  <c r="M104" i="30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14" i="30"/>
  <c r="N114" i="30"/>
  <c r="M115" i="30"/>
  <c r="N115" i="30"/>
  <c r="M116" i="30"/>
  <c r="N116" i="30"/>
  <c r="M117" i="30"/>
  <c r="N117" i="30"/>
  <c r="M118" i="30"/>
  <c r="N118" i="30"/>
  <c r="M119" i="30"/>
  <c r="N119" i="30"/>
  <c r="M120" i="30"/>
  <c r="N120" i="30"/>
  <c r="M121" i="30"/>
  <c r="N121" i="30"/>
  <c r="M122" i="30"/>
  <c r="N122" i="30"/>
  <c r="M123" i="30"/>
  <c r="N123" i="30"/>
  <c r="M124" i="30"/>
  <c r="N124" i="30"/>
  <c r="M125" i="30"/>
  <c r="N125" i="30"/>
  <c r="M126" i="30"/>
  <c r="N126" i="30"/>
  <c r="M127" i="30"/>
  <c r="N127" i="30"/>
  <c r="M128" i="30"/>
  <c r="N128" i="30"/>
  <c r="M129" i="30"/>
  <c r="N129" i="30"/>
  <c r="M130" i="30"/>
  <c r="N130" i="30"/>
  <c r="M131" i="30"/>
  <c r="N131" i="30"/>
  <c r="M132" i="30"/>
  <c r="N132" i="30"/>
  <c r="M133" i="30"/>
  <c r="N133" i="30"/>
  <c r="M134" i="30"/>
  <c r="N134" i="30"/>
  <c r="M135" i="30"/>
  <c r="N135" i="30"/>
  <c r="M136" i="30"/>
  <c r="N136" i="30"/>
  <c r="M137" i="30"/>
  <c r="N137" i="30"/>
  <c r="M138" i="30"/>
  <c r="N138" i="30"/>
  <c r="M139" i="30"/>
  <c r="N139" i="30"/>
  <c r="M140" i="30"/>
  <c r="N140" i="30"/>
  <c r="M141" i="30"/>
  <c r="N141" i="30"/>
  <c r="M142" i="30"/>
  <c r="N142" i="30"/>
  <c r="M143" i="30"/>
  <c r="N143" i="30"/>
  <c r="M144" i="30"/>
  <c r="N144" i="30"/>
  <c r="M145" i="30"/>
  <c r="N145" i="30"/>
  <c r="M146" i="30"/>
  <c r="N146" i="30"/>
  <c r="M147" i="30"/>
  <c r="N147" i="30"/>
  <c r="M148" i="30"/>
  <c r="N148" i="30"/>
  <c r="M149" i="30"/>
  <c r="N149" i="30"/>
  <c r="M150" i="30"/>
  <c r="N150" i="30"/>
  <c r="M151" i="30"/>
  <c r="N151" i="30"/>
  <c r="M152" i="30"/>
  <c r="N152" i="30"/>
  <c r="M153" i="30"/>
  <c r="N153" i="30"/>
  <c r="M154" i="30"/>
  <c r="N154" i="30"/>
  <c r="M155" i="30"/>
  <c r="N155" i="30"/>
  <c r="M156" i="30"/>
  <c r="N156" i="30"/>
  <c r="M157" i="30"/>
  <c r="N157" i="30"/>
  <c r="M158" i="30"/>
  <c r="N158" i="30"/>
  <c r="M159" i="30"/>
  <c r="N159" i="30"/>
  <c r="M160" i="30"/>
  <c r="N160" i="30"/>
  <c r="M161" i="30"/>
  <c r="N161" i="30"/>
  <c r="M162" i="30"/>
  <c r="N162" i="30"/>
  <c r="M163" i="30"/>
  <c r="N163" i="30"/>
  <c r="M164" i="30"/>
  <c r="N164" i="30"/>
  <c r="M165" i="30"/>
  <c r="N165" i="30"/>
  <c r="M166" i="30"/>
  <c r="N166" i="30"/>
  <c r="M167" i="30"/>
  <c r="N167" i="30"/>
  <c r="M168" i="30"/>
  <c r="N168" i="30"/>
  <c r="M169" i="30"/>
  <c r="N169" i="30"/>
  <c r="M170" i="30"/>
  <c r="N170" i="30"/>
  <c r="M171" i="30"/>
  <c r="N171" i="30"/>
  <c r="M172" i="30"/>
  <c r="N172" i="30"/>
  <c r="M173" i="30"/>
  <c r="N173" i="30"/>
  <c r="M174" i="30"/>
  <c r="N174" i="30"/>
  <c r="M175" i="30"/>
  <c r="N175" i="30"/>
  <c r="M176" i="30"/>
  <c r="N176" i="30"/>
  <c r="M177" i="30"/>
  <c r="N177" i="30"/>
  <c r="M178" i="30"/>
  <c r="N178" i="30"/>
  <c r="M179" i="30"/>
  <c r="N179" i="30"/>
  <c r="M180" i="30"/>
  <c r="N180" i="30"/>
  <c r="M181" i="30"/>
  <c r="N181" i="30"/>
  <c r="M182" i="30"/>
  <c r="N182" i="30"/>
  <c r="M183" i="30"/>
  <c r="N183" i="30"/>
  <c r="M184" i="30"/>
  <c r="N184" i="30"/>
  <c r="M185" i="30"/>
  <c r="N185" i="30"/>
  <c r="M186" i="30"/>
  <c r="N186" i="30"/>
  <c r="M187" i="30"/>
  <c r="N187" i="30"/>
  <c r="M188" i="30"/>
  <c r="N188" i="30"/>
  <c r="M189" i="30"/>
  <c r="N189" i="30"/>
  <c r="M190" i="30"/>
  <c r="N190" i="30"/>
  <c r="M191" i="30"/>
  <c r="N191" i="30"/>
  <c r="M192" i="30"/>
  <c r="N192" i="30"/>
  <c r="M193" i="30"/>
  <c r="N193" i="30"/>
  <c r="M194" i="30"/>
  <c r="N194" i="30"/>
  <c r="M195" i="30"/>
  <c r="N195" i="30"/>
  <c r="M196" i="30"/>
  <c r="N196" i="30"/>
  <c r="M197" i="30"/>
  <c r="N197" i="30"/>
  <c r="M198" i="30"/>
  <c r="N198" i="30"/>
  <c r="M199" i="30"/>
  <c r="N199" i="30"/>
  <c r="M200" i="30"/>
  <c r="N200" i="30"/>
  <c r="M201" i="30"/>
  <c r="N201" i="30"/>
  <c r="M202" i="30"/>
  <c r="N202" i="30"/>
  <c r="M203" i="30"/>
  <c r="N203" i="30"/>
  <c r="M204" i="30"/>
  <c r="N204" i="30"/>
  <c r="M205" i="30"/>
  <c r="N205" i="30"/>
  <c r="M206" i="30"/>
  <c r="N206" i="30"/>
  <c r="M207" i="30"/>
  <c r="N207" i="30"/>
  <c r="M208" i="30"/>
  <c r="N208" i="30"/>
  <c r="M209" i="30"/>
  <c r="N209" i="30"/>
  <c r="M210" i="30"/>
  <c r="N210" i="30"/>
  <c r="M211" i="30"/>
  <c r="N211" i="30"/>
  <c r="M212" i="30"/>
  <c r="N212" i="30"/>
  <c r="M213" i="30"/>
  <c r="N213" i="30"/>
  <c r="M214" i="30"/>
  <c r="N214" i="30"/>
  <c r="M215" i="30"/>
  <c r="N215" i="30"/>
  <c r="M216" i="30"/>
  <c r="N216" i="30"/>
  <c r="M217" i="30"/>
  <c r="N217" i="30"/>
  <c r="M218" i="30"/>
  <c r="N218" i="30"/>
  <c r="M219" i="30"/>
  <c r="N219" i="30"/>
  <c r="M220" i="30"/>
  <c r="N220" i="30"/>
  <c r="M221" i="30"/>
  <c r="N221" i="30"/>
  <c r="M222" i="30"/>
  <c r="N222" i="30"/>
  <c r="M223" i="30"/>
  <c r="N223" i="30"/>
  <c r="M224" i="30"/>
  <c r="N224" i="30"/>
  <c r="M225" i="30"/>
  <c r="N225" i="30"/>
  <c r="M226" i="30"/>
  <c r="N226" i="30"/>
  <c r="M227" i="30"/>
  <c r="N227" i="30"/>
  <c r="M228" i="30"/>
  <c r="N228" i="30"/>
  <c r="M229" i="30"/>
  <c r="N229" i="30"/>
  <c r="M230" i="30"/>
  <c r="N230" i="30"/>
  <c r="M231" i="30"/>
  <c r="N231" i="30"/>
  <c r="M232" i="30"/>
  <c r="N232" i="30"/>
  <c r="M233" i="30"/>
  <c r="N233" i="30"/>
  <c r="M234" i="30"/>
  <c r="N234" i="30"/>
  <c r="M235" i="30"/>
  <c r="N235" i="30"/>
  <c r="M236" i="30"/>
  <c r="N236" i="30"/>
  <c r="M237" i="30"/>
  <c r="N237" i="30"/>
  <c r="M238" i="30"/>
  <c r="N238" i="30"/>
  <c r="M239" i="30"/>
  <c r="N239" i="30"/>
  <c r="M240" i="30"/>
  <c r="N240" i="30"/>
  <c r="M241" i="30"/>
  <c r="N241" i="30"/>
  <c r="M242" i="30"/>
  <c r="N242" i="30"/>
  <c r="M243" i="30"/>
  <c r="N243" i="30"/>
  <c r="M244" i="30"/>
  <c r="N244" i="30"/>
  <c r="M245" i="30"/>
  <c r="N245" i="30"/>
  <c r="M246" i="30"/>
  <c r="N246" i="30"/>
  <c r="M247" i="30"/>
  <c r="N247" i="30"/>
  <c r="M248" i="30"/>
  <c r="N248" i="30"/>
  <c r="M249" i="30"/>
  <c r="N249" i="30"/>
  <c r="M250" i="30"/>
  <c r="N250" i="30"/>
  <c r="M251" i="30"/>
  <c r="N251" i="30"/>
  <c r="M252" i="30"/>
  <c r="N252" i="30"/>
  <c r="M253" i="30"/>
  <c r="N253" i="30"/>
  <c r="M254" i="30"/>
  <c r="N254" i="30"/>
  <c r="M255" i="30"/>
  <c r="N255" i="30"/>
  <c r="M256" i="30"/>
  <c r="N256" i="30"/>
  <c r="M257" i="30"/>
  <c r="N257" i="30"/>
  <c r="M258" i="30"/>
  <c r="N258" i="30"/>
  <c r="M259" i="30"/>
  <c r="N259" i="30"/>
  <c r="M260" i="30"/>
  <c r="N260" i="30"/>
  <c r="M261" i="30"/>
  <c r="N261" i="30"/>
  <c r="M262" i="30"/>
  <c r="N262" i="30"/>
  <c r="M263" i="30"/>
  <c r="N263" i="30"/>
  <c r="M264" i="30"/>
  <c r="N264" i="30"/>
  <c r="M265" i="30"/>
  <c r="N265" i="30"/>
  <c r="M266" i="30"/>
  <c r="N266" i="30"/>
  <c r="M267" i="30"/>
  <c r="N267" i="30"/>
  <c r="M268" i="30"/>
  <c r="N268" i="30"/>
  <c r="M269" i="30"/>
  <c r="N269" i="30"/>
  <c r="M270" i="30"/>
  <c r="N270" i="30"/>
  <c r="M271" i="30"/>
  <c r="N271" i="30"/>
  <c r="M272" i="30"/>
  <c r="N272" i="30"/>
  <c r="M273" i="30"/>
  <c r="N273" i="30"/>
  <c r="M274" i="30"/>
  <c r="N274" i="30"/>
  <c r="M275" i="30"/>
  <c r="N275" i="30"/>
  <c r="M276" i="30"/>
  <c r="N276" i="30"/>
  <c r="M277" i="30"/>
  <c r="N277" i="30"/>
  <c r="M278" i="30"/>
  <c r="N278" i="30"/>
  <c r="M279" i="30"/>
  <c r="N279" i="30"/>
  <c r="M280" i="30"/>
  <c r="N280" i="30"/>
  <c r="M281" i="30"/>
  <c r="N281" i="30"/>
  <c r="M282" i="30"/>
  <c r="N282" i="30"/>
  <c r="M283" i="30"/>
  <c r="N283" i="30"/>
  <c r="M284" i="30"/>
  <c r="N284" i="30"/>
  <c r="M285" i="30"/>
  <c r="N285" i="30"/>
  <c r="M286" i="30"/>
  <c r="N286" i="30"/>
  <c r="M287" i="30"/>
  <c r="N287" i="30"/>
  <c r="M288" i="30"/>
  <c r="N288" i="30"/>
  <c r="M289" i="30"/>
  <c r="N289" i="30"/>
  <c r="M290" i="30"/>
  <c r="N290" i="30"/>
  <c r="M291" i="30"/>
  <c r="N291" i="30"/>
  <c r="M292" i="30"/>
  <c r="N292" i="30"/>
  <c r="M293" i="30"/>
  <c r="N293" i="30"/>
  <c r="M294" i="30"/>
  <c r="N294" i="30"/>
  <c r="M295" i="30"/>
  <c r="N295" i="30"/>
  <c r="M296" i="30"/>
  <c r="N296" i="30"/>
  <c r="M297" i="30"/>
  <c r="N297" i="30"/>
  <c r="M298" i="30"/>
  <c r="N298" i="30"/>
  <c r="M299" i="30"/>
  <c r="N299" i="30"/>
  <c r="M300" i="30"/>
  <c r="N300" i="30"/>
  <c r="M301" i="30"/>
  <c r="N301" i="30"/>
  <c r="M302" i="30"/>
  <c r="N302" i="30"/>
  <c r="M303" i="30"/>
  <c r="N303" i="30"/>
  <c r="M304" i="30"/>
  <c r="N304" i="30"/>
  <c r="M305" i="30"/>
  <c r="N305" i="30"/>
  <c r="M306" i="30"/>
  <c r="N306" i="30"/>
  <c r="M307" i="30"/>
  <c r="N307" i="30"/>
  <c r="M308" i="30"/>
  <c r="N308" i="30"/>
  <c r="M309" i="30"/>
  <c r="N309" i="30"/>
  <c r="M310" i="30"/>
  <c r="N310" i="30"/>
  <c r="M311" i="30"/>
  <c r="N311" i="30"/>
  <c r="M312" i="30"/>
  <c r="N312" i="30"/>
  <c r="M313" i="30"/>
  <c r="N313" i="30"/>
  <c r="M314" i="30"/>
  <c r="N314" i="30"/>
  <c r="M315" i="30"/>
  <c r="N315" i="30"/>
  <c r="M316" i="30"/>
  <c r="N316" i="30"/>
  <c r="M317" i="30"/>
  <c r="N317" i="30"/>
  <c r="M318" i="30"/>
  <c r="N318" i="30"/>
  <c r="M319" i="30"/>
  <c r="N319" i="30"/>
  <c r="M320" i="30"/>
  <c r="N320" i="30"/>
  <c r="M321" i="30"/>
  <c r="N321" i="30"/>
  <c r="M322" i="30"/>
  <c r="N322" i="30"/>
  <c r="M323" i="30"/>
  <c r="N323" i="30"/>
  <c r="M324" i="30"/>
  <c r="N324" i="30"/>
  <c r="M325" i="30"/>
  <c r="N325" i="30"/>
  <c r="M326" i="30"/>
  <c r="N326" i="30"/>
  <c r="M327" i="30"/>
  <c r="N327" i="30"/>
  <c r="M328" i="30"/>
  <c r="N328" i="30"/>
  <c r="M329" i="30"/>
  <c r="N329" i="30"/>
  <c r="M330" i="30"/>
  <c r="N330" i="30"/>
  <c r="M331" i="30"/>
  <c r="N331" i="30"/>
  <c r="M332" i="30"/>
  <c r="N332" i="30"/>
  <c r="M333" i="30"/>
  <c r="N333" i="30"/>
  <c r="M334" i="30"/>
  <c r="N334" i="30"/>
  <c r="M335" i="30"/>
  <c r="N335" i="30"/>
  <c r="M336" i="30"/>
  <c r="N336" i="30"/>
  <c r="M337" i="30"/>
  <c r="N337" i="30"/>
  <c r="M338" i="30"/>
  <c r="N338" i="30"/>
  <c r="M339" i="30"/>
  <c r="N339" i="30"/>
  <c r="M340" i="30"/>
  <c r="N340" i="30"/>
  <c r="M341" i="30"/>
  <c r="N341" i="30"/>
  <c r="M342" i="30"/>
  <c r="N342" i="30"/>
  <c r="M343" i="30"/>
  <c r="N343" i="30"/>
  <c r="M344" i="30"/>
  <c r="N344" i="30"/>
  <c r="M345" i="30"/>
  <c r="N345" i="30"/>
  <c r="M346" i="30"/>
  <c r="N346" i="30"/>
  <c r="M347" i="30"/>
  <c r="N347" i="30"/>
  <c r="M348" i="30"/>
  <c r="N348" i="30"/>
  <c r="M349" i="30"/>
  <c r="N349" i="30"/>
  <c r="M350" i="30"/>
  <c r="N350" i="30"/>
  <c r="M351" i="30"/>
  <c r="N351" i="30"/>
  <c r="M352" i="30"/>
  <c r="N352" i="30"/>
  <c r="M353" i="30"/>
  <c r="N353" i="30"/>
  <c r="M354" i="30"/>
  <c r="N354" i="30"/>
  <c r="M355" i="30"/>
  <c r="N355" i="30"/>
  <c r="M356" i="30"/>
  <c r="N356" i="30"/>
  <c r="M357" i="30"/>
  <c r="N357" i="30"/>
  <c r="M358" i="30"/>
  <c r="N358" i="30"/>
  <c r="M359" i="30"/>
  <c r="N359" i="30"/>
  <c r="M360" i="30"/>
  <c r="N360" i="30"/>
  <c r="M361" i="30"/>
  <c r="N361" i="30"/>
  <c r="N2" i="30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J24" i="30"/>
  <c r="K24" i="30"/>
  <c r="J25" i="30"/>
  <c r="K25" i="30"/>
  <c r="J26" i="30"/>
  <c r="K26" i="30"/>
  <c r="J27" i="30"/>
  <c r="K27" i="30"/>
  <c r="J28" i="30"/>
  <c r="K28" i="30"/>
  <c r="J29" i="30"/>
  <c r="K29" i="30"/>
  <c r="J30" i="30"/>
  <c r="K30" i="30"/>
  <c r="J31" i="30"/>
  <c r="K31" i="30"/>
  <c r="J32" i="30"/>
  <c r="K32" i="30"/>
  <c r="J33" i="30"/>
  <c r="K33" i="30"/>
  <c r="J34" i="30"/>
  <c r="K34" i="30"/>
  <c r="J35" i="30"/>
  <c r="K35" i="30"/>
  <c r="J36" i="30"/>
  <c r="K36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51" i="30"/>
  <c r="K51" i="30"/>
  <c r="J52" i="30"/>
  <c r="K52" i="30"/>
  <c r="J53" i="30"/>
  <c r="K53" i="30"/>
  <c r="J54" i="30"/>
  <c r="K54" i="30"/>
  <c r="J55" i="30"/>
  <c r="K55" i="30"/>
  <c r="J56" i="30"/>
  <c r="K56" i="30"/>
  <c r="J57" i="30"/>
  <c r="K57" i="30"/>
  <c r="J58" i="30"/>
  <c r="K58" i="30"/>
  <c r="J59" i="30"/>
  <c r="K59" i="30"/>
  <c r="J60" i="30"/>
  <c r="K60" i="30"/>
  <c r="J61" i="30"/>
  <c r="K61" i="30"/>
  <c r="J62" i="30"/>
  <c r="K62" i="30"/>
  <c r="J63" i="30"/>
  <c r="K63" i="30"/>
  <c r="J64" i="30"/>
  <c r="K64" i="30"/>
  <c r="J65" i="30"/>
  <c r="K65" i="30"/>
  <c r="J66" i="30"/>
  <c r="K66" i="30"/>
  <c r="J67" i="30"/>
  <c r="K67" i="30"/>
  <c r="J68" i="30"/>
  <c r="K68" i="30"/>
  <c r="J69" i="30"/>
  <c r="K69" i="30"/>
  <c r="J70" i="30"/>
  <c r="K70" i="30"/>
  <c r="J71" i="30"/>
  <c r="K71" i="30"/>
  <c r="J72" i="30"/>
  <c r="K72" i="30"/>
  <c r="J73" i="30"/>
  <c r="K73" i="30"/>
  <c r="J74" i="30"/>
  <c r="K74" i="30"/>
  <c r="J75" i="30"/>
  <c r="K75" i="30"/>
  <c r="J76" i="30"/>
  <c r="K76" i="30"/>
  <c r="J77" i="30"/>
  <c r="K77" i="30"/>
  <c r="J78" i="30"/>
  <c r="K78" i="30"/>
  <c r="J79" i="30"/>
  <c r="K79" i="30"/>
  <c r="J80" i="30"/>
  <c r="K80" i="30"/>
  <c r="J81" i="30"/>
  <c r="K81" i="30"/>
  <c r="J82" i="30"/>
  <c r="K82" i="30"/>
  <c r="J83" i="30"/>
  <c r="K83" i="30"/>
  <c r="J84" i="30"/>
  <c r="K84" i="30"/>
  <c r="J85" i="30"/>
  <c r="K85" i="30"/>
  <c r="J86" i="30"/>
  <c r="K86" i="30"/>
  <c r="J87" i="30"/>
  <c r="K87" i="30"/>
  <c r="J88" i="30"/>
  <c r="K88" i="30"/>
  <c r="J89" i="30"/>
  <c r="K89" i="30"/>
  <c r="J90" i="30"/>
  <c r="K90" i="30"/>
  <c r="J91" i="30"/>
  <c r="K91" i="30"/>
  <c r="J92" i="30"/>
  <c r="K92" i="30"/>
  <c r="J93" i="30"/>
  <c r="K93" i="30"/>
  <c r="J94" i="30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J175" i="30"/>
  <c r="K175" i="30"/>
  <c r="J176" i="30"/>
  <c r="K176" i="30"/>
  <c r="J177" i="30"/>
  <c r="K177" i="30"/>
  <c r="J178" i="30"/>
  <c r="K178" i="30"/>
  <c r="J179" i="30"/>
  <c r="K179" i="30"/>
  <c r="J180" i="30"/>
  <c r="K180" i="30"/>
  <c r="J181" i="30"/>
  <c r="K181" i="30"/>
  <c r="J182" i="30"/>
  <c r="K182" i="30"/>
  <c r="J183" i="30"/>
  <c r="K183" i="30"/>
  <c r="J184" i="30"/>
  <c r="K184" i="30"/>
  <c r="J185" i="30"/>
  <c r="K185" i="30"/>
  <c r="J186" i="30"/>
  <c r="K186" i="30"/>
  <c r="J187" i="30"/>
  <c r="K187" i="30"/>
  <c r="J188" i="30"/>
  <c r="K188" i="30"/>
  <c r="J189" i="30"/>
  <c r="K189" i="30"/>
  <c r="J190" i="30"/>
  <c r="K190" i="30"/>
  <c r="J191" i="30"/>
  <c r="K191" i="30"/>
  <c r="J192" i="30"/>
  <c r="K192" i="30"/>
  <c r="J193" i="30"/>
  <c r="K193" i="30"/>
  <c r="J194" i="30"/>
  <c r="K194" i="30"/>
  <c r="J195" i="30"/>
  <c r="K195" i="30"/>
  <c r="J196" i="30"/>
  <c r="K196" i="30"/>
  <c r="J197" i="30"/>
  <c r="K197" i="30"/>
  <c r="J198" i="30"/>
  <c r="K198" i="30"/>
  <c r="J199" i="30"/>
  <c r="K199" i="30"/>
  <c r="J200" i="30"/>
  <c r="K200" i="30"/>
  <c r="J201" i="30"/>
  <c r="K201" i="30"/>
  <c r="J202" i="30"/>
  <c r="K202" i="30"/>
  <c r="J203" i="30"/>
  <c r="K203" i="30"/>
  <c r="J204" i="30"/>
  <c r="K204" i="30"/>
  <c r="J205" i="30"/>
  <c r="K205" i="30"/>
  <c r="J206" i="30"/>
  <c r="K206" i="30"/>
  <c r="J207" i="30"/>
  <c r="K207" i="30"/>
  <c r="J208" i="30"/>
  <c r="K208" i="30"/>
  <c r="J209" i="30"/>
  <c r="K209" i="30"/>
  <c r="J210" i="30"/>
  <c r="K210" i="30"/>
  <c r="J211" i="30"/>
  <c r="K211" i="30"/>
  <c r="J212" i="30"/>
  <c r="K212" i="30"/>
  <c r="J213" i="30"/>
  <c r="K213" i="30"/>
  <c r="J214" i="30"/>
  <c r="K214" i="30"/>
  <c r="J215" i="30"/>
  <c r="K215" i="30"/>
  <c r="J216" i="30"/>
  <c r="K216" i="30"/>
  <c r="J217" i="30"/>
  <c r="K217" i="30"/>
  <c r="J218" i="30"/>
  <c r="K218" i="30"/>
  <c r="J219" i="30"/>
  <c r="K219" i="30"/>
  <c r="J220" i="30"/>
  <c r="K220" i="30"/>
  <c r="J221" i="30"/>
  <c r="K221" i="30"/>
  <c r="J222" i="30"/>
  <c r="K222" i="30"/>
  <c r="J223" i="30"/>
  <c r="K223" i="30"/>
  <c r="J224" i="30"/>
  <c r="K224" i="30"/>
  <c r="J225" i="30"/>
  <c r="K225" i="30"/>
  <c r="J226" i="30"/>
  <c r="K226" i="30"/>
  <c r="J227" i="30"/>
  <c r="K227" i="30"/>
  <c r="J228" i="30"/>
  <c r="K228" i="30"/>
  <c r="J229" i="30"/>
  <c r="K229" i="30"/>
  <c r="J230" i="30"/>
  <c r="K230" i="30"/>
  <c r="J231" i="30"/>
  <c r="K231" i="30"/>
  <c r="J232" i="30"/>
  <c r="K232" i="30"/>
  <c r="J233" i="30"/>
  <c r="K233" i="30"/>
  <c r="J234" i="30"/>
  <c r="K234" i="30"/>
  <c r="J235" i="30"/>
  <c r="K235" i="30"/>
  <c r="J236" i="30"/>
  <c r="K236" i="30"/>
  <c r="J237" i="30"/>
  <c r="K237" i="30"/>
  <c r="J238" i="30"/>
  <c r="K238" i="30"/>
  <c r="J239" i="30"/>
  <c r="K239" i="30"/>
  <c r="J240" i="30"/>
  <c r="K240" i="30"/>
  <c r="J241" i="30"/>
  <c r="K241" i="30"/>
  <c r="J242" i="30"/>
  <c r="K242" i="30"/>
  <c r="J243" i="30"/>
  <c r="K243" i="30"/>
  <c r="J244" i="30"/>
  <c r="K244" i="30"/>
  <c r="J245" i="30"/>
  <c r="K245" i="30"/>
  <c r="J246" i="30"/>
  <c r="K246" i="30"/>
  <c r="J247" i="30"/>
  <c r="K247" i="30"/>
  <c r="J248" i="30"/>
  <c r="K248" i="30"/>
  <c r="J249" i="30"/>
  <c r="K249" i="30"/>
  <c r="J250" i="30"/>
  <c r="K250" i="30"/>
  <c r="J251" i="30"/>
  <c r="K251" i="30"/>
  <c r="J252" i="30"/>
  <c r="K252" i="30"/>
  <c r="J253" i="30"/>
  <c r="K253" i="30"/>
  <c r="J254" i="30"/>
  <c r="K254" i="30"/>
  <c r="J255" i="30"/>
  <c r="K255" i="30"/>
  <c r="J256" i="30"/>
  <c r="K256" i="30"/>
  <c r="J257" i="30"/>
  <c r="K257" i="30"/>
  <c r="J258" i="30"/>
  <c r="K258" i="30"/>
  <c r="J259" i="30"/>
  <c r="K259" i="30"/>
  <c r="J260" i="30"/>
  <c r="K260" i="30"/>
  <c r="J261" i="30"/>
  <c r="K261" i="30"/>
  <c r="J262" i="30"/>
  <c r="K262" i="30"/>
  <c r="J263" i="30"/>
  <c r="K263" i="30"/>
  <c r="J264" i="30"/>
  <c r="K264" i="30"/>
  <c r="J265" i="30"/>
  <c r="K265" i="30"/>
  <c r="J266" i="30"/>
  <c r="K266" i="30"/>
  <c r="J267" i="30"/>
  <c r="K267" i="30"/>
  <c r="J268" i="30"/>
  <c r="K268" i="30"/>
  <c r="J269" i="30"/>
  <c r="K269" i="30"/>
  <c r="J270" i="30"/>
  <c r="K270" i="30"/>
  <c r="J271" i="30"/>
  <c r="K271" i="30"/>
  <c r="J272" i="30"/>
  <c r="K272" i="30"/>
  <c r="J273" i="30"/>
  <c r="K273" i="30"/>
  <c r="J274" i="30"/>
  <c r="K274" i="30"/>
  <c r="J275" i="30"/>
  <c r="K275" i="30"/>
  <c r="J276" i="30"/>
  <c r="K276" i="30"/>
  <c r="J277" i="30"/>
  <c r="K277" i="30"/>
  <c r="J278" i="30"/>
  <c r="K278" i="30"/>
  <c r="J279" i="30"/>
  <c r="K279" i="30"/>
  <c r="J280" i="30"/>
  <c r="K280" i="30"/>
  <c r="J281" i="30"/>
  <c r="K281" i="30"/>
  <c r="J282" i="30"/>
  <c r="K282" i="30"/>
  <c r="J283" i="30"/>
  <c r="K283" i="30"/>
  <c r="J284" i="30"/>
  <c r="K284" i="30"/>
  <c r="J285" i="30"/>
  <c r="K285" i="30"/>
  <c r="J286" i="30"/>
  <c r="K286" i="30"/>
  <c r="J287" i="30"/>
  <c r="K287" i="30"/>
  <c r="J288" i="30"/>
  <c r="K288" i="30"/>
  <c r="J289" i="30"/>
  <c r="K289" i="30"/>
  <c r="J290" i="30"/>
  <c r="K290" i="30"/>
  <c r="J291" i="30"/>
  <c r="K291" i="30"/>
  <c r="J292" i="30"/>
  <c r="K292" i="30"/>
  <c r="J293" i="30"/>
  <c r="K293" i="30"/>
  <c r="J294" i="30"/>
  <c r="K294" i="30"/>
  <c r="J295" i="30"/>
  <c r="K295" i="30"/>
  <c r="J296" i="30"/>
  <c r="K296" i="30"/>
  <c r="J297" i="30"/>
  <c r="K297" i="30"/>
  <c r="J298" i="30"/>
  <c r="K298" i="30"/>
  <c r="J299" i="30"/>
  <c r="K299" i="30"/>
  <c r="J300" i="30"/>
  <c r="K300" i="30"/>
  <c r="J301" i="30"/>
  <c r="K301" i="30"/>
  <c r="J302" i="30"/>
  <c r="K302" i="30"/>
  <c r="J303" i="30"/>
  <c r="K303" i="30"/>
  <c r="J304" i="30"/>
  <c r="K304" i="30"/>
  <c r="J305" i="30"/>
  <c r="K305" i="30"/>
  <c r="J306" i="30"/>
  <c r="K306" i="30"/>
  <c r="J307" i="30"/>
  <c r="K307" i="30"/>
  <c r="J308" i="30"/>
  <c r="K308" i="30"/>
  <c r="J309" i="30"/>
  <c r="K309" i="30"/>
  <c r="J310" i="30"/>
  <c r="K310" i="30"/>
  <c r="J311" i="30"/>
  <c r="K311" i="30"/>
  <c r="J312" i="30"/>
  <c r="K312" i="30"/>
  <c r="J313" i="30"/>
  <c r="K313" i="30"/>
  <c r="J314" i="30"/>
  <c r="K314" i="30"/>
  <c r="J315" i="30"/>
  <c r="K315" i="30"/>
  <c r="J316" i="30"/>
  <c r="K316" i="30"/>
  <c r="J317" i="30"/>
  <c r="K317" i="30"/>
  <c r="J318" i="30"/>
  <c r="K318" i="30"/>
  <c r="J319" i="30"/>
  <c r="K319" i="30"/>
  <c r="J320" i="30"/>
  <c r="K320" i="30"/>
  <c r="J321" i="30"/>
  <c r="K321" i="30"/>
  <c r="J322" i="30"/>
  <c r="K322" i="30"/>
  <c r="J323" i="30"/>
  <c r="K323" i="30"/>
  <c r="J324" i="30"/>
  <c r="K324" i="30"/>
  <c r="J325" i="30"/>
  <c r="K325" i="30"/>
  <c r="J326" i="30"/>
  <c r="K326" i="30"/>
  <c r="J327" i="30"/>
  <c r="K327" i="30"/>
  <c r="J328" i="30"/>
  <c r="K328" i="30"/>
  <c r="J329" i="30"/>
  <c r="K329" i="30"/>
  <c r="J330" i="30"/>
  <c r="K330" i="30"/>
  <c r="J331" i="30"/>
  <c r="K331" i="30"/>
  <c r="J332" i="30"/>
  <c r="K332" i="30"/>
  <c r="J333" i="30"/>
  <c r="K333" i="30"/>
  <c r="J334" i="30"/>
  <c r="K334" i="30"/>
  <c r="J335" i="30"/>
  <c r="K335" i="30"/>
  <c r="J336" i="30"/>
  <c r="K336" i="30"/>
  <c r="J337" i="30"/>
  <c r="K337" i="30"/>
  <c r="J338" i="30"/>
  <c r="K338" i="30"/>
  <c r="J339" i="30"/>
  <c r="K339" i="30"/>
  <c r="J340" i="30"/>
  <c r="K340" i="30"/>
  <c r="J341" i="30"/>
  <c r="K341" i="30"/>
  <c r="J342" i="30"/>
  <c r="K342" i="30"/>
  <c r="J343" i="30"/>
  <c r="K343" i="30"/>
  <c r="J344" i="30"/>
  <c r="K344" i="30"/>
  <c r="J345" i="30"/>
  <c r="K345" i="30"/>
  <c r="J346" i="30"/>
  <c r="K346" i="30"/>
  <c r="J347" i="30"/>
  <c r="K347" i="30"/>
  <c r="J348" i="30"/>
  <c r="K348" i="30"/>
  <c r="J349" i="30"/>
  <c r="K349" i="30"/>
  <c r="J350" i="30"/>
  <c r="K350" i="30"/>
  <c r="J351" i="30"/>
  <c r="K351" i="30"/>
  <c r="J352" i="30"/>
  <c r="K352" i="30"/>
  <c r="J353" i="30"/>
  <c r="K353" i="30"/>
  <c r="J354" i="30"/>
  <c r="K354" i="30"/>
  <c r="J355" i="30"/>
  <c r="K355" i="30"/>
  <c r="J356" i="30"/>
  <c r="K356" i="30"/>
  <c r="J357" i="30"/>
  <c r="K357" i="30"/>
  <c r="J358" i="30"/>
  <c r="K358" i="30"/>
  <c r="J359" i="30"/>
  <c r="K359" i="30"/>
  <c r="J360" i="30"/>
  <c r="K360" i="30"/>
  <c r="J361" i="30"/>
  <c r="K361" i="30"/>
  <c r="K2" i="30"/>
  <c r="J2" i="30"/>
  <c r="L2" i="30" l="1"/>
  <c r="L258" i="30"/>
  <c r="L226" i="30"/>
  <c r="L194" i="30"/>
  <c r="L162" i="30"/>
  <c r="L130" i="30"/>
  <c r="L106" i="30"/>
  <c r="L98" i="30"/>
  <c r="L90" i="30"/>
  <c r="L82" i="30"/>
  <c r="L74" i="30"/>
  <c r="L66" i="30"/>
  <c r="L58" i="30"/>
  <c r="L50" i="30"/>
  <c r="L42" i="30"/>
  <c r="L34" i="30"/>
  <c r="L26" i="30"/>
  <c r="L18" i="30"/>
  <c r="L10" i="30"/>
  <c r="L361" i="30"/>
  <c r="L359" i="30"/>
  <c r="L357" i="30"/>
  <c r="L355" i="30"/>
  <c r="L353" i="30"/>
  <c r="L351" i="30"/>
  <c r="L349" i="30"/>
  <c r="L347" i="30"/>
  <c r="L345" i="30"/>
  <c r="L343" i="30"/>
  <c r="L341" i="30"/>
  <c r="L339" i="30"/>
  <c r="L337" i="30"/>
  <c r="L335" i="30"/>
  <c r="L333" i="30"/>
  <c r="L331" i="30"/>
  <c r="L329" i="30"/>
  <c r="L327" i="30"/>
  <c r="L325" i="30"/>
  <c r="L323" i="30"/>
  <c r="L321" i="30"/>
  <c r="L319" i="30"/>
  <c r="L317" i="30"/>
  <c r="L315" i="30"/>
  <c r="L313" i="30"/>
  <c r="L311" i="30"/>
  <c r="L309" i="30"/>
  <c r="L307" i="30"/>
  <c r="L305" i="30"/>
  <c r="L303" i="30"/>
  <c r="L301" i="30"/>
  <c r="L299" i="30"/>
  <c r="L297" i="30"/>
  <c r="L295" i="30"/>
  <c r="L293" i="30"/>
  <c r="L291" i="30"/>
  <c r="L289" i="30"/>
  <c r="L287" i="30"/>
  <c r="L285" i="30"/>
  <c r="L283" i="30"/>
  <c r="L281" i="30"/>
  <c r="L279" i="30"/>
  <c r="L277" i="30"/>
  <c r="L275" i="30"/>
  <c r="L273" i="30"/>
  <c r="L271" i="30"/>
  <c r="L269" i="30"/>
  <c r="L267" i="30"/>
  <c r="L265" i="30"/>
  <c r="L263" i="30"/>
  <c r="L261" i="30"/>
  <c r="L259" i="30"/>
  <c r="L257" i="30"/>
  <c r="L255" i="30"/>
  <c r="L253" i="30"/>
  <c r="L251" i="30"/>
  <c r="L249" i="30"/>
  <c r="L247" i="30"/>
  <c r="L245" i="30"/>
  <c r="L243" i="30"/>
  <c r="L241" i="30"/>
  <c r="L239" i="30"/>
  <c r="L237" i="30"/>
  <c r="L235" i="30"/>
  <c r="L233" i="30"/>
  <c r="L231" i="30"/>
  <c r="L229" i="30"/>
  <c r="L227" i="30"/>
  <c r="L225" i="30"/>
  <c r="L223" i="30"/>
  <c r="L221" i="30"/>
  <c r="L219" i="30"/>
  <c r="L217" i="30"/>
  <c r="L215" i="30"/>
  <c r="L213" i="30"/>
  <c r="L211" i="30"/>
  <c r="L209" i="30"/>
  <c r="L207" i="30"/>
  <c r="L205" i="30"/>
  <c r="L203" i="30"/>
  <c r="L201" i="30"/>
  <c r="L199" i="30"/>
  <c r="L197" i="30"/>
  <c r="L195" i="30"/>
  <c r="L193" i="30"/>
  <c r="L191" i="30"/>
  <c r="L189" i="30"/>
  <c r="L187" i="30"/>
  <c r="L185" i="30"/>
  <c r="L183" i="30"/>
  <c r="L181" i="30"/>
  <c r="L179" i="30"/>
  <c r="L177" i="30"/>
  <c r="L175" i="30"/>
  <c r="L173" i="30"/>
  <c r="L171" i="30"/>
  <c r="L169" i="30"/>
  <c r="L167" i="30"/>
  <c r="L165" i="30"/>
  <c r="L163" i="30"/>
  <c r="L161" i="30"/>
  <c r="L159" i="30"/>
  <c r="L157" i="30"/>
  <c r="L155" i="30"/>
  <c r="L153" i="30"/>
  <c r="L151" i="30"/>
  <c r="L149" i="30"/>
  <c r="L145" i="30"/>
  <c r="L141" i="30"/>
  <c r="L137" i="30"/>
  <c r="L133" i="30"/>
  <c r="L129" i="30"/>
  <c r="L125" i="30"/>
  <c r="L121" i="30"/>
  <c r="L117" i="30"/>
  <c r="L113" i="30"/>
  <c r="L41" i="30"/>
  <c r="L37" i="30"/>
  <c r="L33" i="30"/>
  <c r="L29" i="30"/>
  <c r="L25" i="30"/>
  <c r="L21" i="30"/>
  <c r="L17" i="30"/>
  <c r="L13" i="30"/>
  <c r="L9" i="30"/>
  <c r="L5" i="30"/>
  <c r="L346" i="30"/>
  <c r="L322" i="30"/>
  <c r="L290" i="30"/>
  <c r="L109" i="30"/>
  <c r="L105" i="30"/>
  <c r="L101" i="30"/>
  <c r="L97" i="30"/>
  <c r="L93" i="30"/>
  <c r="L89" i="30"/>
  <c r="L85" i="30"/>
  <c r="L81" i="30"/>
  <c r="L77" i="30"/>
  <c r="L73" i="30"/>
  <c r="L69" i="30"/>
  <c r="L65" i="30"/>
  <c r="L61" i="30"/>
  <c r="L57" i="30"/>
  <c r="L53" i="30"/>
  <c r="L49" i="30"/>
  <c r="L45" i="30"/>
  <c r="L360" i="30"/>
  <c r="L358" i="30"/>
  <c r="L356" i="30"/>
  <c r="L354" i="30"/>
  <c r="L352" i="30"/>
  <c r="L350" i="30"/>
  <c r="L348" i="30"/>
  <c r="L344" i="30"/>
  <c r="L342" i="30"/>
  <c r="L340" i="30"/>
  <c r="L338" i="30"/>
  <c r="L336" i="30"/>
  <c r="L334" i="30"/>
  <c r="L332" i="30"/>
  <c r="L330" i="30"/>
  <c r="L328" i="30"/>
  <c r="L326" i="30"/>
  <c r="L324" i="30"/>
  <c r="L320" i="30"/>
  <c r="L318" i="30"/>
  <c r="L316" i="30"/>
  <c r="L314" i="30"/>
  <c r="L312" i="30"/>
  <c r="L310" i="30"/>
  <c r="L308" i="30"/>
  <c r="L306" i="30"/>
  <c r="L304" i="30"/>
  <c r="L302" i="30"/>
  <c r="L300" i="30"/>
  <c r="L298" i="30"/>
  <c r="L296" i="30"/>
  <c r="L294" i="30"/>
  <c r="L292" i="30"/>
  <c r="L288" i="30"/>
  <c r="L286" i="30"/>
  <c r="L284" i="30"/>
  <c r="L282" i="30"/>
  <c r="L280" i="30"/>
  <c r="L278" i="30"/>
  <c r="L276" i="30"/>
  <c r="L274" i="30"/>
  <c r="L272" i="30"/>
  <c r="L270" i="30"/>
  <c r="L266" i="30"/>
  <c r="L250" i="30"/>
  <c r="L242" i="30"/>
  <c r="L234" i="30"/>
  <c r="L218" i="30"/>
  <c r="L210" i="30"/>
  <c r="L202" i="30"/>
  <c r="L186" i="30"/>
  <c r="L178" i="30"/>
  <c r="L170" i="30"/>
  <c r="L154" i="30"/>
  <c r="L146" i="30"/>
  <c r="L138" i="30"/>
  <c r="L122" i="30"/>
  <c r="L114" i="30"/>
  <c r="L268" i="30"/>
  <c r="L264" i="30"/>
  <c r="L262" i="30"/>
  <c r="L260" i="30"/>
  <c r="L256" i="30"/>
  <c r="L254" i="30"/>
  <c r="L252" i="30"/>
  <c r="L248" i="30"/>
  <c r="L246" i="30"/>
  <c r="L244" i="30"/>
  <c r="L240" i="30"/>
  <c r="L238" i="30"/>
  <c r="L236" i="30"/>
  <c r="L232" i="30"/>
  <c r="L230" i="30"/>
  <c r="L228" i="30"/>
  <c r="L224" i="30"/>
  <c r="L222" i="30"/>
  <c r="L220" i="30"/>
  <c r="L216" i="30"/>
  <c r="L214" i="30"/>
  <c r="L212" i="30"/>
  <c r="L208" i="30"/>
  <c r="L206" i="30"/>
  <c r="L204" i="30"/>
  <c r="L200" i="30"/>
  <c r="L198" i="30"/>
  <c r="L196" i="30"/>
  <c r="L192" i="30"/>
  <c r="L190" i="30"/>
  <c r="L188" i="30"/>
  <c r="L184" i="30"/>
  <c r="L182" i="30"/>
  <c r="L180" i="30"/>
  <c r="L176" i="30"/>
  <c r="L174" i="30"/>
  <c r="L172" i="30"/>
  <c r="L168" i="30"/>
  <c r="L166" i="30"/>
  <c r="L164" i="30"/>
  <c r="L160" i="30"/>
  <c r="L158" i="30"/>
  <c r="L156" i="30"/>
  <c r="L152" i="30"/>
  <c r="L150" i="30"/>
  <c r="L148" i="30"/>
  <c r="L144" i="30"/>
  <c r="L142" i="30"/>
  <c r="L140" i="30"/>
  <c r="L136" i="30"/>
  <c r="L134" i="30"/>
  <c r="L132" i="30"/>
  <c r="L128" i="30"/>
  <c r="L126" i="30"/>
  <c r="L124" i="30"/>
  <c r="L120" i="30"/>
  <c r="L118" i="30"/>
  <c r="L116" i="30"/>
  <c r="L112" i="30"/>
  <c r="L110" i="30"/>
  <c r="L102" i="30"/>
  <c r="L94" i="30"/>
  <c r="L86" i="30"/>
  <c r="L78" i="30"/>
  <c r="L70" i="30"/>
  <c r="L62" i="30"/>
  <c r="L54" i="30"/>
  <c r="L46" i="30"/>
  <c r="L38" i="30"/>
  <c r="L30" i="30"/>
  <c r="L22" i="30"/>
  <c r="L14" i="30"/>
  <c r="L6" i="30"/>
  <c r="L108" i="30"/>
  <c r="L104" i="30"/>
  <c r="L100" i="30"/>
  <c r="L96" i="30"/>
  <c r="L92" i="30"/>
  <c r="L88" i="30"/>
  <c r="L84" i="30"/>
  <c r="L80" i="30"/>
  <c r="L76" i="30"/>
  <c r="L72" i="30"/>
  <c r="L68" i="30"/>
  <c r="L64" i="30"/>
  <c r="L60" i="30"/>
  <c r="L56" i="30"/>
  <c r="L52" i="30"/>
  <c r="L48" i="30"/>
  <c r="L44" i="30"/>
  <c r="L40" i="30"/>
  <c r="L36" i="30"/>
  <c r="L32" i="30"/>
  <c r="L28" i="30"/>
  <c r="L24" i="30"/>
  <c r="L20" i="30"/>
  <c r="L16" i="30"/>
  <c r="L12" i="30"/>
  <c r="L8" i="30"/>
  <c r="L4" i="30"/>
  <c r="L147" i="30"/>
  <c r="L143" i="30"/>
  <c r="L139" i="30"/>
  <c r="L135" i="30"/>
  <c r="L131" i="30"/>
  <c r="L127" i="30"/>
  <c r="L123" i="30"/>
  <c r="L119" i="30"/>
  <c r="L115" i="30"/>
  <c r="L111" i="30"/>
  <c r="L107" i="30"/>
  <c r="L103" i="30"/>
  <c r="L99" i="30"/>
  <c r="L95" i="30"/>
  <c r="L91" i="30"/>
  <c r="L87" i="30"/>
  <c r="L83" i="30"/>
  <c r="L79" i="30"/>
  <c r="L75" i="30"/>
  <c r="L71" i="30"/>
  <c r="L67" i="30"/>
  <c r="L63" i="30"/>
  <c r="L59" i="30"/>
  <c r="L55" i="30"/>
  <c r="L51" i="30"/>
  <c r="L47" i="30"/>
  <c r="L43" i="30"/>
  <c r="L39" i="30"/>
  <c r="L35" i="30"/>
  <c r="L31" i="30"/>
  <c r="L27" i="30"/>
  <c r="L23" i="30"/>
  <c r="L19" i="30"/>
  <c r="L15" i="30"/>
  <c r="L11" i="30"/>
  <c r="L7" i="30"/>
  <c r="L3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2" i="30"/>
  <c r="C91" i="16" l="1"/>
  <c r="C241" i="16"/>
  <c r="C271" i="16"/>
  <c r="C121" i="16"/>
  <c r="C301" i="16"/>
  <c r="C151" i="16"/>
  <c r="C181" i="16"/>
  <c r="C31" i="16"/>
  <c r="C61" i="16"/>
  <c r="C211" i="16"/>
  <c r="C150" i="16"/>
  <c r="C300" i="16"/>
  <c r="C60" i="16"/>
  <c r="C210" i="16"/>
  <c r="C30" i="16"/>
  <c r="C180" i="16"/>
  <c r="C270" i="16"/>
  <c r="C120" i="16"/>
  <c r="C90" i="16"/>
  <c r="C240" i="16"/>
  <c r="C88" i="16"/>
  <c r="C238" i="16"/>
  <c r="C268" i="16"/>
  <c r="C118" i="16"/>
  <c r="C148" i="16"/>
  <c r="C298" i="16"/>
  <c r="C28" i="16"/>
  <c r="C178" i="16"/>
  <c r="C208" i="16"/>
  <c r="C58" i="16"/>
  <c r="C115" i="16"/>
  <c r="C265" i="16"/>
  <c r="C295" i="16"/>
  <c r="C145" i="16"/>
  <c r="C25" i="16"/>
  <c r="C175" i="16"/>
  <c r="C55" i="16"/>
  <c r="C205" i="16"/>
  <c r="C235" i="16"/>
  <c r="C85" i="16"/>
  <c r="C111" i="16"/>
  <c r="C261" i="16"/>
  <c r="C81" i="16"/>
  <c r="C231" i="16"/>
  <c r="C291" i="16"/>
  <c r="C141" i="16"/>
  <c r="C21" i="16"/>
  <c r="C171" i="16"/>
  <c r="C201" i="16"/>
  <c r="C51" i="16"/>
  <c r="C230" i="16"/>
  <c r="C80" i="16"/>
  <c r="C260" i="16"/>
  <c r="C110" i="16"/>
  <c r="C20" i="16"/>
  <c r="C170" i="16"/>
  <c r="C290" i="16"/>
  <c r="C140" i="16"/>
  <c r="C200" i="16"/>
  <c r="C50" i="16"/>
  <c r="C251" i="16"/>
  <c r="C101" i="16"/>
  <c r="C221" i="16"/>
  <c r="C71" i="16"/>
  <c r="C281" i="16"/>
  <c r="C131" i="16"/>
  <c r="C161" i="16"/>
  <c r="C11" i="16"/>
  <c r="C191" i="16"/>
  <c r="C41" i="16"/>
  <c r="C95" i="16"/>
  <c r="C245" i="16"/>
  <c r="C125" i="16"/>
  <c r="C275" i="16"/>
  <c r="C155" i="16"/>
  <c r="C5" i="16"/>
  <c r="C35" i="16"/>
  <c r="C185" i="16"/>
  <c r="C65" i="16"/>
  <c r="C215" i="16"/>
  <c r="C244" i="16"/>
  <c r="C94" i="16"/>
  <c r="C214" i="16"/>
  <c r="C64" i="16"/>
  <c r="C123" i="16"/>
  <c r="C273" i="16"/>
  <c r="C154" i="16"/>
  <c r="C4" i="16"/>
  <c r="C34" i="16"/>
  <c r="C184" i="16"/>
  <c r="F659" i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4" i="1"/>
  <c r="G674" i="1"/>
  <c r="H674" i="1"/>
  <c r="F675" i="1"/>
  <c r="G675" i="1"/>
  <c r="H675" i="1"/>
  <c r="F676" i="1"/>
  <c r="G676" i="1"/>
  <c r="H676" i="1"/>
  <c r="F677" i="1"/>
  <c r="G677" i="1"/>
  <c r="H677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1" i="1"/>
  <c r="G701" i="1"/>
  <c r="H701" i="1"/>
  <c r="F702" i="1"/>
  <c r="G702" i="1"/>
  <c r="H702" i="1"/>
  <c r="F703" i="1"/>
  <c r="G703" i="1"/>
  <c r="H703" i="1"/>
  <c r="F704" i="1"/>
  <c r="G704" i="1"/>
  <c r="H704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28" i="1"/>
  <c r="G728" i="1"/>
  <c r="H728" i="1"/>
  <c r="F729" i="1"/>
  <c r="G729" i="1"/>
  <c r="H729" i="1"/>
  <c r="F730" i="1"/>
  <c r="G730" i="1"/>
  <c r="H730" i="1"/>
  <c r="F731" i="1"/>
  <c r="G731" i="1"/>
  <c r="H731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5" i="1"/>
  <c r="G755" i="1"/>
  <c r="H755" i="1"/>
  <c r="F756" i="1"/>
  <c r="G756" i="1"/>
  <c r="H756" i="1"/>
  <c r="F757" i="1"/>
  <c r="G757" i="1"/>
  <c r="H757" i="1"/>
  <c r="F758" i="1"/>
  <c r="G758" i="1"/>
  <c r="H758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F775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2" i="1"/>
  <c r="G782" i="1"/>
  <c r="H782" i="1"/>
  <c r="F783" i="1"/>
  <c r="G783" i="1"/>
  <c r="H783" i="1"/>
  <c r="F784" i="1"/>
  <c r="G784" i="1"/>
  <c r="H784" i="1"/>
  <c r="F785" i="1"/>
  <c r="G785" i="1"/>
  <c r="H785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646" i="1"/>
  <c r="F647" i="1"/>
  <c r="G647" i="1"/>
  <c r="H647" i="1"/>
  <c r="F648" i="1"/>
  <c r="G648" i="1"/>
  <c r="H648" i="1"/>
  <c r="F649" i="1"/>
  <c r="G649" i="1"/>
  <c r="H649" i="1"/>
  <c r="F650" i="1"/>
  <c r="G650" i="1"/>
  <c r="H650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45" i="1"/>
  <c r="G645" i="1"/>
  <c r="H645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H2" i="1"/>
  <c r="G2" i="1"/>
  <c r="F2" i="1"/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31" i="15"/>
  <c r="G127" i="15"/>
  <c r="G148" i="15"/>
  <c r="G134" i="15"/>
  <c r="G124" i="15"/>
  <c r="G149" i="15"/>
  <c r="G150" i="15"/>
  <c r="G146" i="15"/>
  <c r="G130" i="15"/>
  <c r="G133" i="15"/>
  <c r="G132" i="15"/>
  <c r="G142" i="15"/>
  <c r="G122" i="15"/>
  <c r="G136" i="15"/>
  <c r="G125" i="15"/>
  <c r="G151" i="15"/>
  <c r="G139" i="15"/>
  <c r="G128" i="15"/>
  <c r="G141" i="15"/>
  <c r="G126" i="15"/>
  <c r="G143" i="15"/>
  <c r="G140" i="15"/>
  <c r="G129" i="15"/>
  <c r="G138" i="15"/>
  <c r="G137" i="15"/>
  <c r="G147" i="15"/>
  <c r="G145" i="15"/>
  <c r="G144" i="15"/>
  <c r="G135" i="15"/>
  <c r="G123" i="15"/>
  <c r="G2" i="15"/>
  <c r="P773" i="1" l="1"/>
  <c r="Q773" i="1" s="1"/>
  <c r="R773" i="1" s="1"/>
  <c r="P752" i="1" l="1"/>
  <c r="Q752" i="1" s="1"/>
  <c r="R752" i="1" s="1"/>
  <c r="P753" i="1"/>
  <c r="Q753" i="1" s="1"/>
  <c r="R753" i="1" s="1"/>
  <c r="P754" i="1"/>
  <c r="Q754" i="1" s="1"/>
  <c r="R754" i="1" s="1"/>
  <c r="P755" i="1"/>
  <c r="Q755" i="1" s="1"/>
  <c r="R755" i="1" s="1"/>
  <c r="P756" i="1"/>
  <c r="Q756" i="1" s="1"/>
  <c r="R756" i="1" s="1"/>
  <c r="P757" i="1"/>
  <c r="Q757" i="1" s="1"/>
  <c r="R757" i="1" s="1"/>
  <c r="P758" i="1"/>
  <c r="Q758" i="1" s="1"/>
  <c r="R758" i="1" s="1"/>
  <c r="P759" i="1"/>
  <c r="Q759" i="1" s="1"/>
  <c r="R759" i="1" s="1"/>
  <c r="P760" i="1"/>
  <c r="Q760" i="1" s="1"/>
  <c r="R760" i="1" s="1"/>
  <c r="P761" i="1"/>
  <c r="Q761" i="1" s="1"/>
  <c r="R761" i="1" s="1"/>
  <c r="P762" i="1"/>
  <c r="Q762" i="1" s="1"/>
  <c r="R762" i="1" s="1"/>
  <c r="P763" i="1"/>
  <c r="Q763" i="1" s="1"/>
  <c r="R763" i="1" s="1"/>
  <c r="P764" i="1"/>
  <c r="Q764" i="1" s="1"/>
  <c r="R764" i="1" s="1"/>
  <c r="P765" i="1"/>
  <c r="Q765" i="1" s="1"/>
  <c r="R765" i="1" s="1"/>
  <c r="P766" i="1"/>
  <c r="Q766" i="1" s="1"/>
  <c r="R766" i="1" s="1"/>
  <c r="P767" i="1"/>
  <c r="Q767" i="1" s="1"/>
  <c r="R767" i="1" s="1"/>
  <c r="P768" i="1"/>
  <c r="Q768" i="1" s="1"/>
  <c r="R768" i="1" s="1"/>
  <c r="P769" i="1"/>
  <c r="Q769" i="1" s="1"/>
  <c r="R769" i="1" s="1"/>
  <c r="P770" i="1"/>
  <c r="Q770" i="1" s="1"/>
  <c r="R770" i="1" s="1"/>
  <c r="P771" i="1"/>
  <c r="Q771" i="1" s="1"/>
  <c r="R771" i="1" s="1"/>
  <c r="P772" i="1"/>
  <c r="Q772" i="1" s="1"/>
  <c r="R772" i="1" s="1"/>
  <c r="P774" i="1"/>
  <c r="Q774" i="1" s="1"/>
  <c r="R774" i="1" s="1"/>
  <c r="P775" i="1"/>
  <c r="Q775" i="1" s="1"/>
  <c r="R775" i="1" s="1"/>
  <c r="P776" i="1"/>
  <c r="Q776" i="1" s="1"/>
  <c r="R776" i="1" s="1"/>
  <c r="P777" i="1"/>
  <c r="Q777" i="1" s="1"/>
  <c r="R777" i="1" s="1"/>
  <c r="P778" i="1"/>
  <c r="Q778" i="1" s="1"/>
  <c r="R778" i="1" s="1"/>
  <c r="P779" i="1"/>
  <c r="Q779" i="1" s="1"/>
  <c r="R779" i="1" s="1"/>
  <c r="P780" i="1"/>
  <c r="Q780" i="1" s="1"/>
  <c r="R780" i="1" s="1"/>
  <c r="P781" i="1"/>
  <c r="Q781" i="1" s="1"/>
  <c r="R781" i="1" s="1"/>
  <c r="P782" i="1"/>
  <c r="Q782" i="1" s="1"/>
  <c r="R782" i="1" s="1"/>
  <c r="P783" i="1"/>
  <c r="Q783" i="1" s="1"/>
  <c r="R783" i="1" s="1"/>
  <c r="P784" i="1"/>
  <c r="Q784" i="1" s="1"/>
  <c r="R784" i="1" s="1"/>
  <c r="P785" i="1"/>
  <c r="Q785" i="1" s="1"/>
  <c r="R785" i="1" s="1"/>
  <c r="P786" i="1"/>
  <c r="Q786" i="1" s="1"/>
  <c r="R786" i="1" s="1"/>
  <c r="P787" i="1"/>
  <c r="Q787" i="1" s="1"/>
  <c r="R787" i="1" s="1"/>
  <c r="P788" i="1"/>
  <c r="Q788" i="1" s="1"/>
  <c r="R788" i="1" s="1"/>
  <c r="P789" i="1"/>
  <c r="Q789" i="1" s="1"/>
  <c r="R789" i="1" s="1"/>
  <c r="P790" i="1"/>
  <c r="Q790" i="1" s="1"/>
  <c r="R790" i="1" s="1"/>
  <c r="P791" i="1"/>
  <c r="Q791" i="1" s="1"/>
  <c r="R791" i="1" s="1"/>
  <c r="P792" i="1"/>
  <c r="Q792" i="1" s="1"/>
  <c r="R792" i="1" s="1"/>
  <c r="P793" i="1"/>
  <c r="Q793" i="1" s="1"/>
  <c r="R793" i="1" s="1"/>
  <c r="P751" i="1" l="1"/>
  <c r="Q751" i="1" s="1"/>
  <c r="R751" i="1" s="1"/>
  <c r="P750" i="1" l="1"/>
  <c r="Q750" i="1" s="1"/>
  <c r="R750" i="1" s="1"/>
  <c r="P749" i="1" l="1"/>
  <c r="Q749" i="1" s="1"/>
  <c r="R749" i="1" s="1"/>
  <c r="P748" i="1" l="1"/>
  <c r="Q748" i="1" s="1"/>
  <c r="R748" i="1" s="1"/>
  <c r="P747" i="1" l="1"/>
  <c r="Q747" i="1" s="1"/>
  <c r="R747" i="1" s="1"/>
  <c r="P746" i="1" l="1"/>
  <c r="Q746" i="1" s="1"/>
  <c r="R746" i="1" s="1"/>
  <c r="P745" i="1" l="1"/>
  <c r="Q745" i="1" s="1"/>
  <c r="R745" i="1" s="1"/>
  <c r="P744" i="1" l="1"/>
  <c r="Q744" i="1" s="1"/>
  <c r="R744" i="1" s="1"/>
  <c r="P743" i="1" l="1"/>
  <c r="Q743" i="1" s="1"/>
  <c r="R743" i="1" s="1"/>
  <c r="P742" i="1" l="1"/>
  <c r="Q742" i="1" s="1"/>
  <c r="R742" i="1" s="1"/>
  <c r="P741" i="1" l="1"/>
  <c r="Q741" i="1" s="1"/>
  <c r="R741" i="1" s="1"/>
  <c r="P740" i="1" l="1"/>
  <c r="Q740" i="1" s="1"/>
  <c r="R740" i="1" s="1"/>
  <c r="P739" i="1" l="1"/>
  <c r="Q739" i="1" s="1"/>
  <c r="R739" i="1" s="1"/>
  <c r="P738" i="1" l="1"/>
  <c r="Q738" i="1" s="1"/>
  <c r="R738" i="1" s="1"/>
  <c r="P737" i="1" l="1"/>
  <c r="Q737" i="1" s="1"/>
  <c r="R737" i="1" s="1"/>
  <c r="P736" i="1" l="1"/>
  <c r="Q736" i="1" s="1"/>
  <c r="R736" i="1" s="1"/>
  <c r="P735" i="1" l="1"/>
  <c r="Q735" i="1" s="1"/>
  <c r="R735" i="1" s="1"/>
  <c r="P734" i="1" l="1"/>
  <c r="Q734" i="1" s="1"/>
  <c r="R734" i="1" s="1"/>
  <c r="P733" i="1" l="1"/>
  <c r="Q733" i="1" s="1"/>
  <c r="R733" i="1" s="1"/>
  <c r="P732" i="1" l="1"/>
  <c r="Q732" i="1" s="1"/>
  <c r="R732" i="1" s="1"/>
  <c r="P731" i="1" l="1"/>
  <c r="Q731" i="1" s="1"/>
  <c r="R731" i="1" s="1"/>
  <c r="P730" i="1" l="1"/>
  <c r="Q730" i="1" s="1"/>
  <c r="R730" i="1" s="1"/>
  <c r="P729" i="1" l="1"/>
  <c r="Q729" i="1" s="1"/>
  <c r="R729" i="1" s="1"/>
  <c r="P728" i="1" l="1"/>
  <c r="Q728" i="1" s="1"/>
  <c r="R728" i="1" s="1"/>
  <c r="P727" i="1" l="1"/>
  <c r="Q727" i="1" s="1"/>
  <c r="R727" i="1" s="1"/>
  <c r="P726" i="1" l="1"/>
  <c r="Q726" i="1" s="1"/>
  <c r="R726" i="1" s="1"/>
  <c r="P725" i="1" l="1"/>
  <c r="Q725" i="1" s="1"/>
  <c r="R725" i="1" s="1"/>
  <c r="P724" i="1" l="1"/>
  <c r="Q724" i="1" s="1"/>
  <c r="R724" i="1" s="1"/>
  <c r="P723" i="1" l="1"/>
  <c r="Q723" i="1" s="1"/>
  <c r="R723" i="1" s="1"/>
  <c r="P722" i="1" l="1"/>
  <c r="Q722" i="1" s="1"/>
  <c r="R722" i="1" s="1"/>
  <c r="P721" i="1" l="1"/>
  <c r="Q721" i="1" s="1"/>
  <c r="R721" i="1" s="1"/>
  <c r="P720" i="1" l="1"/>
  <c r="Q720" i="1" s="1"/>
  <c r="R720" i="1" s="1"/>
  <c r="P719" i="1" l="1"/>
  <c r="Q719" i="1" s="1"/>
  <c r="R719" i="1" s="1"/>
  <c r="P718" i="1" l="1"/>
  <c r="Q718" i="1" s="1"/>
  <c r="R718" i="1" s="1"/>
  <c r="P717" i="1" l="1"/>
  <c r="Q717" i="1" s="1"/>
  <c r="R717" i="1" s="1"/>
  <c r="P716" i="1" l="1"/>
  <c r="Q716" i="1" s="1"/>
  <c r="R716" i="1" s="1"/>
  <c r="P715" i="1" l="1"/>
  <c r="Q715" i="1" s="1"/>
  <c r="R715" i="1" s="1"/>
  <c r="P714" i="1" l="1"/>
  <c r="Q714" i="1" s="1"/>
  <c r="R714" i="1" s="1"/>
  <c r="P713" i="1" l="1"/>
  <c r="Q713" i="1" s="1"/>
  <c r="R713" i="1" s="1"/>
  <c r="P712" i="1" l="1"/>
  <c r="Q712" i="1" s="1"/>
  <c r="R712" i="1" s="1"/>
  <c r="P711" i="1" l="1"/>
  <c r="Q711" i="1" s="1"/>
  <c r="R711" i="1" s="1"/>
  <c r="P710" i="1" l="1"/>
  <c r="Q710" i="1" s="1"/>
  <c r="R710" i="1" s="1"/>
  <c r="P703" i="1" l="1"/>
  <c r="Q703" i="1" s="1"/>
  <c r="R703" i="1" s="1"/>
  <c r="P704" i="1"/>
  <c r="Q704" i="1" s="1"/>
  <c r="R704" i="1" s="1"/>
  <c r="P705" i="1"/>
  <c r="Q705" i="1" s="1"/>
  <c r="R705" i="1" s="1"/>
  <c r="P706" i="1"/>
  <c r="Q706" i="1" s="1"/>
  <c r="R706" i="1" s="1"/>
  <c r="P707" i="1"/>
  <c r="Q707" i="1" s="1"/>
  <c r="R707" i="1" s="1"/>
  <c r="P708" i="1"/>
  <c r="Q708" i="1" s="1"/>
  <c r="R708" i="1" s="1"/>
  <c r="P709" i="1"/>
  <c r="Q709" i="1" s="1"/>
  <c r="R709" i="1" s="1"/>
  <c r="P702" i="1" l="1"/>
  <c r="Q702" i="1" s="1"/>
  <c r="R702" i="1" s="1"/>
  <c r="P701" i="1" l="1"/>
  <c r="Q701" i="1" s="1"/>
  <c r="R701" i="1" s="1"/>
  <c r="P700" i="1" l="1"/>
  <c r="Q700" i="1" s="1"/>
  <c r="R700" i="1" s="1"/>
  <c r="P699" i="1" l="1"/>
  <c r="Q699" i="1" s="1"/>
  <c r="R699" i="1" s="1"/>
  <c r="P698" i="1" l="1"/>
  <c r="Q698" i="1" s="1"/>
  <c r="R698" i="1" s="1"/>
  <c r="P697" i="1" l="1"/>
  <c r="Q697" i="1" s="1"/>
  <c r="R697" i="1" s="1"/>
  <c r="P696" i="1" l="1"/>
  <c r="Q696" i="1" s="1"/>
  <c r="R696" i="1" s="1"/>
  <c r="P695" i="1" l="1"/>
  <c r="Q695" i="1" s="1"/>
  <c r="R695" i="1" s="1"/>
  <c r="P694" i="1" l="1"/>
  <c r="Q694" i="1" s="1"/>
  <c r="R694" i="1" s="1"/>
  <c r="P693" i="1" l="1"/>
  <c r="Q693" i="1" s="1"/>
  <c r="R693" i="1" s="1"/>
  <c r="P692" i="1" l="1"/>
  <c r="Q692" i="1" s="1"/>
  <c r="R692" i="1" s="1"/>
  <c r="P691" i="1" l="1"/>
  <c r="Q691" i="1" s="1"/>
  <c r="R691" i="1" s="1"/>
  <c r="P690" i="1" l="1"/>
  <c r="Q690" i="1" s="1"/>
  <c r="R690" i="1" s="1"/>
  <c r="P689" i="1" l="1"/>
  <c r="Q689" i="1" s="1"/>
  <c r="R689" i="1" s="1"/>
  <c r="P688" i="1" l="1"/>
  <c r="Q688" i="1" s="1"/>
  <c r="R688" i="1" s="1"/>
  <c r="P676" i="1" l="1"/>
  <c r="Q676" i="1" s="1"/>
  <c r="R676" i="1" s="1"/>
  <c r="P677" i="1"/>
  <c r="Q677" i="1" s="1"/>
  <c r="R677" i="1" s="1"/>
  <c r="P678" i="1"/>
  <c r="Q678" i="1" s="1"/>
  <c r="R678" i="1" s="1"/>
  <c r="P679" i="1"/>
  <c r="Q679" i="1" s="1"/>
  <c r="R679" i="1" s="1"/>
  <c r="P680" i="1"/>
  <c r="Q680" i="1" s="1"/>
  <c r="R680" i="1" s="1"/>
  <c r="P681" i="1"/>
  <c r="Q681" i="1" s="1"/>
  <c r="R681" i="1" s="1"/>
  <c r="P682" i="1"/>
  <c r="Q682" i="1" s="1"/>
  <c r="R682" i="1" s="1"/>
  <c r="P683" i="1"/>
  <c r="Q683" i="1" s="1"/>
  <c r="R683" i="1" s="1"/>
  <c r="P684" i="1"/>
  <c r="Q684" i="1" s="1"/>
  <c r="R684" i="1" s="1"/>
  <c r="P685" i="1"/>
  <c r="Q685" i="1" s="1"/>
  <c r="R685" i="1" s="1"/>
  <c r="P686" i="1"/>
  <c r="Q686" i="1" s="1"/>
  <c r="R686" i="1" s="1"/>
  <c r="P687" i="1"/>
  <c r="Q687" i="1" s="1"/>
  <c r="R687" i="1" s="1"/>
  <c r="P675" i="1" l="1"/>
  <c r="Q675" i="1" s="1"/>
  <c r="R675" i="1" s="1"/>
  <c r="P674" i="1" l="1"/>
  <c r="Q674" i="1" s="1"/>
  <c r="R674" i="1" s="1"/>
  <c r="P673" i="1" l="1"/>
  <c r="Q673" i="1"/>
  <c r="R673" i="1" l="1"/>
  <c r="P672" i="1"/>
  <c r="Q672" i="1" s="1"/>
  <c r="R672" i="1" s="1"/>
  <c r="P671" i="1" l="1"/>
  <c r="Q671" i="1" s="1"/>
  <c r="R671" i="1" s="1"/>
  <c r="P670" i="1" l="1"/>
  <c r="Q670" i="1" s="1"/>
  <c r="R670" i="1" s="1"/>
  <c r="P669" i="1" l="1"/>
  <c r="Q669" i="1" s="1"/>
  <c r="R669" i="1" s="1"/>
  <c r="P668" i="1" l="1"/>
  <c r="Q668" i="1" s="1"/>
  <c r="R668" i="1" s="1"/>
  <c r="P667" i="1" l="1"/>
  <c r="Q667" i="1" s="1"/>
  <c r="R667" i="1" s="1"/>
  <c r="P666" i="1" l="1"/>
  <c r="Q666" i="1" s="1"/>
  <c r="R666" i="1" s="1"/>
  <c r="P665" i="1" l="1"/>
  <c r="Q665" i="1" s="1"/>
  <c r="R665" i="1" s="1"/>
  <c r="P664" i="1" l="1"/>
  <c r="Q664" i="1" s="1"/>
  <c r="R664" i="1" s="1"/>
  <c r="P663" i="1" l="1"/>
  <c r="Q663" i="1" s="1"/>
  <c r="R663" i="1" s="1"/>
  <c r="P662" i="1" l="1"/>
  <c r="Q662" i="1" s="1"/>
  <c r="R662" i="1" s="1"/>
  <c r="P661" i="1" l="1"/>
  <c r="Q661" i="1" s="1"/>
  <c r="R661" i="1" s="1"/>
  <c r="P660" i="1" l="1"/>
  <c r="Q660" i="1" s="1"/>
  <c r="R660" i="1" s="1"/>
  <c r="P659" i="1" l="1"/>
  <c r="Q659" i="1" s="1"/>
  <c r="R659" i="1" s="1"/>
  <c r="P658" i="1" l="1"/>
  <c r="Q658" i="1" s="1"/>
  <c r="R658" i="1" s="1"/>
  <c r="P657" i="1" l="1"/>
  <c r="Q657" i="1" s="1"/>
  <c r="R657" i="1" s="1"/>
  <c r="P656" i="1" l="1"/>
  <c r="Q656" i="1" s="1"/>
  <c r="R656" i="1" s="1"/>
  <c r="P655" i="1" l="1"/>
  <c r="Q655" i="1" s="1"/>
  <c r="R655" i="1" s="1"/>
  <c r="P654" i="1"/>
  <c r="Q654" i="1" s="1"/>
  <c r="R654" i="1" s="1"/>
  <c r="P653" i="1"/>
  <c r="Q653" i="1" s="1"/>
  <c r="R653" i="1" s="1"/>
  <c r="P652" i="1"/>
  <c r="Q652" i="1" s="1"/>
  <c r="R652" i="1" s="1"/>
  <c r="P651" i="1"/>
  <c r="Q651" i="1" s="1"/>
  <c r="R651" i="1" s="1"/>
  <c r="P650" i="1"/>
  <c r="Q650" i="1" s="1"/>
  <c r="R650" i="1" s="1"/>
  <c r="P649" i="1"/>
  <c r="Q649" i="1" s="1"/>
  <c r="R649" i="1" s="1"/>
  <c r="P648" i="1"/>
  <c r="Q648" i="1" s="1"/>
  <c r="R648" i="1" s="1"/>
  <c r="P647" i="1"/>
  <c r="Q647" i="1" s="1"/>
  <c r="R647" i="1" s="1"/>
  <c r="P646" i="1"/>
  <c r="Q646" i="1" s="1"/>
  <c r="R646" i="1" s="1"/>
  <c r="H646" i="1"/>
  <c r="G646" i="1"/>
  <c r="P645" i="1" l="1"/>
  <c r="Q645" i="1" s="1"/>
  <c r="R645" i="1" s="1"/>
  <c r="P446" i="1" l="1"/>
  <c r="P440" i="1" l="1"/>
  <c r="Q440" i="1" s="1"/>
  <c r="R440" i="1" s="1"/>
  <c r="P441" i="1"/>
  <c r="Q441" i="1" s="1"/>
  <c r="R441" i="1" s="1"/>
  <c r="P442" i="1"/>
  <c r="Q442" i="1" s="1"/>
  <c r="R442" i="1" s="1"/>
  <c r="P443" i="1"/>
  <c r="Q443" i="1" s="1"/>
  <c r="R443" i="1" s="1"/>
  <c r="P444" i="1"/>
  <c r="Q444" i="1" s="1"/>
  <c r="R444" i="1" s="1"/>
  <c r="P445" i="1"/>
  <c r="Q445" i="1" s="1"/>
  <c r="R445" i="1" s="1"/>
  <c r="Q446" i="1"/>
  <c r="R446" i="1" s="1"/>
  <c r="P447" i="1"/>
  <c r="Q447" i="1" s="1"/>
  <c r="R447" i="1" s="1"/>
  <c r="P448" i="1"/>
  <c r="Q448" i="1" s="1"/>
  <c r="R448" i="1" s="1"/>
  <c r="P449" i="1"/>
  <c r="Q449" i="1" s="1"/>
  <c r="R449" i="1" s="1"/>
  <c r="P450" i="1"/>
  <c r="Q450" i="1" s="1"/>
  <c r="R450" i="1" s="1"/>
  <c r="P451" i="1"/>
  <c r="Q451" i="1" s="1"/>
  <c r="R451" i="1" s="1"/>
  <c r="P452" i="1"/>
  <c r="Q452" i="1" s="1"/>
  <c r="R452" i="1" s="1"/>
  <c r="P453" i="1"/>
  <c r="Q453" i="1" s="1"/>
  <c r="R453" i="1" s="1"/>
  <c r="P454" i="1"/>
  <c r="Q454" i="1" s="1"/>
  <c r="R454" i="1" s="1"/>
  <c r="P455" i="1"/>
  <c r="Q455" i="1" s="1"/>
  <c r="R455" i="1" s="1"/>
  <c r="P456" i="1"/>
  <c r="Q456" i="1" s="1"/>
  <c r="R456" i="1" s="1"/>
  <c r="P457" i="1"/>
  <c r="Q457" i="1" s="1"/>
  <c r="R457" i="1" s="1"/>
  <c r="P458" i="1"/>
  <c r="Q458" i="1" s="1"/>
  <c r="R458" i="1" s="1"/>
  <c r="P459" i="1"/>
  <c r="Q459" i="1" s="1"/>
  <c r="R459" i="1" s="1"/>
  <c r="P460" i="1"/>
  <c r="Q460" i="1" s="1"/>
  <c r="R460" i="1" s="1"/>
  <c r="P461" i="1"/>
  <c r="Q461" i="1" s="1"/>
  <c r="R461" i="1" s="1"/>
  <c r="P462" i="1"/>
  <c r="Q462" i="1" s="1"/>
  <c r="R462" i="1" s="1"/>
  <c r="P463" i="1"/>
  <c r="Q463" i="1" s="1"/>
  <c r="R463" i="1" s="1"/>
  <c r="P464" i="1"/>
  <c r="Q464" i="1" s="1"/>
  <c r="R464" i="1" s="1"/>
  <c r="P465" i="1"/>
  <c r="Q465" i="1" s="1"/>
  <c r="R465" i="1" s="1"/>
  <c r="P466" i="1"/>
  <c r="Q466" i="1" s="1"/>
  <c r="R466" i="1" s="1"/>
  <c r="P467" i="1"/>
  <c r="Q467" i="1" s="1"/>
  <c r="R467" i="1" s="1"/>
  <c r="P468" i="1"/>
  <c r="Q468" i="1" s="1"/>
  <c r="R468" i="1" s="1"/>
  <c r="P469" i="1"/>
  <c r="Q469" i="1" s="1"/>
  <c r="R469" i="1" s="1"/>
  <c r="P470" i="1"/>
  <c r="Q470" i="1" s="1"/>
  <c r="R470" i="1" s="1"/>
  <c r="P471" i="1"/>
  <c r="Q471" i="1" s="1"/>
  <c r="R471" i="1" s="1"/>
  <c r="P472" i="1"/>
  <c r="Q472" i="1" s="1"/>
  <c r="R472" i="1" s="1"/>
  <c r="P473" i="1"/>
  <c r="Q473" i="1" s="1"/>
  <c r="R473" i="1" s="1"/>
  <c r="P474" i="1"/>
  <c r="Q474" i="1" s="1"/>
  <c r="R474" i="1" s="1"/>
  <c r="P475" i="1"/>
  <c r="Q475" i="1" s="1"/>
  <c r="R475" i="1" s="1"/>
  <c r="P476" i="1"/>
  <c r="Q476" i="1" s="1"/>
  <c r="R476" i="1" s="1"/>
  <c r="P477" i="1"/>
  <c r="Q477" i="1" s="1"/>
  <c r="R477" i="1" s="1"/>
  <c r="P478" i="1"/>
  <c r="Q478" i="1" s="1"/>
  <c r="R478" i="1" s="1"/>
  <c r="P479" i="1"/>
  <c r="Q479" i="1" s="1"/>
  <c r="R479" i="1" s="1"/>
  <c r="P480" i="1"/>
  <c r="Q480" i="1" s="1"/>
  <c r="R480" i="1" s="1"/>
  <c r="P481" i="1"/>
  <c r="Q481" i="1" s="1"/>
  <c r="R481" i="1" s="1"/>
  <c r="P482" i="1"/>
  <c r="Q482" i="1" s="1"/>
  <c r="R482" i="1" s="1"/>
  <c r="P483" i="1"/>
  <c r="Q483" i="1" s="1"/>
  <c r="R483" i="1" s="1"/>
  <c r="P484" i="1"/>
  <c r="Q484" i="1" s="1"/>
  <c r="R484" i="1" s="1"/>
  <c r="P485" i="1"/>
  <c r="Q485" i="1" s="1"/>
  <c r="R485" i="1" s="1"/>
  <c r="P486" i="1"/>
  <c r="Q486" i="1" s="1"/>
  <c r="R486" i="1" s="1"/>
  <c r="P487" i="1"/>
  <c r="Q487" i="1" s="1"/>
  <c r="R487" i="1" s="1"/>
  <c r="P488" i="1"/>
  <c r="Q488" i="1" s="1"/>
  <c r="R488" i="1" s="1"/>
  <c r="P489" i="1"/>
  <c r="Q489" i="1" s="1"/>
  <c r="R489" i="1" s="1"/>
  <c r="P490" i="1"/>
  <c r="Q490" i="1" s="1"/>
  <c r="R490" i="1" s="1"/>
  <c r="P491" i="1"/>
  <c r="Q491" i="1" s="1"/>
  <c r="R491" i="1" s="1"/>
  <c r="P492" i="1"/>
  <c r="Q492" i="1" s="1"/>
  <c r="R492" i="1" s="1"/>
  <c r="P493" i="1"/>
  <c r="Q493" i="1" s="1"/>
  <c r="R493" i="1" s="1"/>
  <c r="P494" i="1"/>
  <c r="Q494" i="1" s="1"/>
  <c r="R494" i="1" s="1"/>
  <c r="P495" i="1"/>
  <c r="Q495" i="1" s="1"/>
  <c r="R495" i="1" s="1"/>
  <c r="P496" i="1"/>
  <c r="Q496" i="1" s="1"/>
  <c r="R496" i="1" s="1"/>
  <c r="P497" i="1"/>
  <c r="Q497" i="1" s="1"/>
  <c r="R497" i="1" s="1"/>
  <c r="P498" i="1"/>
  <c r="Q498" i="1" s="1"/>
  <c r="R498" i="1" s="1"/>
  <c r="P499" i="1"/>
  <c r="Q499" i="1" s="1"/>
  <c r="R499" i="1" s="1"/>
  <c r="P500" i="1"/>
  <c r="Q500" i="1" s="1"/>
  <c r="R500" i="1" s="1"/>
  <c r="P501" i="1"/>
  <c r="Q501" i="1" s="1"/>
  <c r="R501" i="1" s="1"/>
  <c r="P502" i="1"/>
  <c r="Q502" i="1" s="1"/>
  <c r="R502" i="1" s="1"/>
  <c r="P503" i="1"/>
  <c r="Q503" i="1" s="1"/>
  <c r="R503" i="1" s="1"/>
  <c r="P504" i="1"/>
  <c r="Q504" i="1" s="1"/>
  <c r="R504" i="1" s="1"/>
  <c r="P505" i="1"/>
  <c r="Q505" i="1" s="1"/>
  <c r="R505" i="1" s="1"/>
  <c r="P506" i="1"/>
  <c r="Q506" i="1" s="1"/>
  <c r="R506" i="1" s="1"/>
  <c r="P507" i="1"/>
  <c r="Q507" i="1" s="1"/>
  <c r="R507" i="1" s="1"/>
  <c r="P508" i="1"/>
  <c r="Q508" i="1" s="1"/>
  <c r="R508" i="1" s="1"/>
  <c r="P509" i="1"/>
  <c r="Q509" i="1" s="1"/>
  <c r="R509" i="1" s="1"/>
  <c r="P510" i="1"/>
  <c r="Q510" i="1" s="1"/>
  <c r="R510" i="1" s="1"/>
  <c r="P511" i="1"/>
  <c r="Q511" i="1" s="1"/>
  <c r="R511" i="1" s="1"/>
  <c r="P512" i="1"/>
  <c r="Q512" i="1" s="1"/>
  <c r="R512" i="1" s="1"/>
  <c r="P513" i="1"/>
  <c r="Q513" i="1" s="1"/>
  <c r="R513" i="1" s="1"/>
  <c r="P514" i="1"/>
  <c r="Q514" i="1" s="1"/>
  <c r="R514" i="1" s="1"/>
  <c r="P515" i="1"/>
  <c r="Q515" i="1" s="1"/>
  <c r="R515" i="1" s="1"/>
  <c r="P516" i="1"/>
  <c r="Q516" i="1" s="1"/>
  <c r="R516" i="1" s="1"/>
  <c r="P517" i="1"/>
  <c r="Q517" i="1" s="1"/>
  <c r="R517" i="1" s="1"/>
  <c r="P518" i="1"/>
  <c r="Q518" i="1" s="1"/>
  <c r="R518" i="1" s="1"/>
  <c r="P519" i="1"/>
  <c r="Q519" i="1" s="1"/>
  <c r="R519" i="1" s="1"/>
  <c r="P520" i="1"/>
  <c r="Q520" i="1" s="1"/>
  <c r="R520" i="1" s="1"/>
  <c r="P521" i="1"/>
  <c r="Q521" i="1" s="1"/>
  <c r="R521" i="1" s="1"/>
  <c r="P522" i="1"/>
  <c r="Q522" i="1" s="1"/>
  <c r="R522" i="1" s="1"/>
  <c r="P523" i="1"/>
  <c r="Q523" i="1" s="1"/>
  <c r="R523" i="1" s="1"/>
  <c r="P524" i="1"/>
  <c r="Q524" i="1" s="1"/>
  <c r="R524" i="1" s="1"/>
  <c r="P525" i="1"/>
  <c r="Q525" i="1" s="1"/>
  <c r="R525" i="1" s="1"/>
  <c r="P526" i="1"/>
  <c r="Q526" i="1" s="1"/>
  <c r="R526" i="1" s="1"/>
  <c r="P527" i="1"/>
  <c r="Q527" i="1" s="1"/>
  <c r="R527" i="1" s="1"/>
  <c r="P528" i="1"/>
  <c r="Q528" i="1" s="1"/>
  <c r="R528" i="1" s="1"/>
  <c r="P529" i="1"/>
  <c r="Q529" i="1" s="1"/>
  <c r="R529" i="1" s="1"/>
  <c r="P530" i="1"/>
  <c r="Q530" i="1" s="1"/>
  <c r="R530" i="1" s="1"/>
  <c r="P531" i="1"/>
  <c r="Q531" i="1" s="1"/>
  <c r="R531" i="1" s="1"/>
  <c r="P532" i="1"/>
  <c r="Q532" i="1" s="1"/>
  <c r="R532" i="1" s="1"/>
  <c r="P533" i="1"/>
  <c r="Q533" i="1" s="1"/>
  <c r="R533" i="1" s="1"/>
  <c r="P534" i="1"/>
  <c r="Q534" i="1" s="1"/>
  <c r="R534" i="1" s="1"/>
  <c r="P535" i="1"/>
  <c r="Q535" i="1" s="1"/>
  <c r="R535" i="1" s="1"/>
  <c r="P536" i="1"/>
  <c r="Q536" i="1" s="1"/>
  <c r="R536" i="1" s="1"/>
  <c r="P537" i="1"/>
  <c r="Q537" i="1" s="1"/>
  <c r="R537" i="1" s="1"/>
  <c r="P538" i="1"/>
  <c r="Q538" i="1" s="1"/>
  <c r="R538" i="1" s="1"/>
  <c r="P539" i="1"/>
  <c r="Q539" i="1" s="1"/>
  <c r="R539" i="1" s="1"/>
  <c r="P540" i="1"/>
  <c r="Q540" i="1" s="1"/>
  <c r="R540" i="1" s="1"/>
  <c r="P541" i="1"/>
  <c r="Q541" i="1" s="1"/>
  <c r="R541" i="1" s="1"/>
  <c r="P542" i="1"/>
  <c r="Q542" i="1" s="1"/>
  <c r="R542" i="1" s="1"/>
  <c r="P543" i="1"/>
  <c r="Q543" i="1" s="1"/>
  <c r="R543" i="1" s="1"/>
  <c r="P544" i="1"/>
  <c r="Q544" i="1" s="1"/>
  <c r="R544" i="1" s="1"/>
  <c r="P545" i="1"/>
  <c r="Q545" i="1" s="1"/>
  <c r="R545" i="1" s="1"/>
  <c r="P546" i="1"/>
  <c r="Q546" i="1" s="1"/>
  <c r="R546" i="1" s="1"/>
  <c r="P547" i="1"/>
  <c r="Q547" i="1" s="1"/>
  <c r="R547" i="1" s="1"/>
  <c r="P548" i="1"/>
  <c r="Q548" i="1" s="1"/>
  <c r="R548" i="1" s="1"/>
  <c r="P549" i="1"/>
  <c r="Q549" i="1" s="1"/>
  <c r="R549" i="1" s="1"/>
  <c r="P550" i="1"/>
  <c r="Q550" i="1" s="1"/>
  <c r="R550" i="1" s="1"/>
  <c r="P551" i="1"/>
  <c r="Q551" i="1" s="1"/>
  <c r="R551" i="1" s="1"/>
  <c r="P552" i="1"/>
  <c r="Q552" i="1" s="1"/>
  <c r="R552" i="1" s="1"/>
  <c r="P553" i="1"/>
  <c r="Q553" i="1" s="1"/>
  <c r="R553" i="1" s="1"/>
  <c r="P554" i="1"/>
  <c r="Q554" i="1" s="1"/>
  <c r="R554" i="1" s="1"/>
  <c r="P555" i="1"/>
  <c r="Q555" i="1" s="1"/>
  <c r="R555" i="1" s="1"/>
  <c r="P556" i="1"/>
  <c r="Q556" i="1" s="1"/>
  <c r="R556" i="1" s="1"/>
  <c r="P557" i="1"/>
  <c r="Q557" i="1" s="1"/>
  <c r="R557" i="1" s="1"/>
  <c r="P558" i="1"/>
  <c r="Q558" i="1" s="1"/>
  <c r="R558" i="1" s="1"/>
  <c r="P559" i="1"/>
  <c r="Q559" i="1" s="1"/>
  <c r="R559" i="1" s="1"/>
  <c r="P560" i="1"/>
  <c r="Q560" i="1" s="1"/>
  <c r="R560" i="1" s="1"/>
  <c r="P561" i="1"/>
  <c r="Q561" i="1" s="1"/>
  <c r="R561" i="1" s="1"/>
  <c r="P562" i="1"/>
  <c r="Q562" i="1" s="1"/>
  <c r="R562" i="1" s="1"/>
  <c r="P563" i="1"/>
  <c r="Q563" i="1" s="1"/>
  <c r="R563" i="1" s="1"/>
  <c r="P564" i="1"/>
  <c r="Q564" i="1" s="1"/>
  <c r="R564" i="1" s="1"/>
  <c r="P565" i="1"/>
  <c r="Q565" i="1" s="1"/>
  <c r="R565" i="1" s="1"/>
  <c r="P566" i="1"/>
  <c r="Q566" i="1" s="1"/>
  <c r="R566" i="1" s="1"/>
  <c r="P567" i="1"/>
  <c r="Q567" i="1" s="1"/>
  <c r="R567" i="1" s="1"/>
  <c r="P568" i="1"/>
  <c r="Q568" i="1" s="1"/>
  <c r="R568" i="1" s="1"/>
  <c r="P569" i="1"/>
  <c r="Q569" i="1" s="1"/>
  <c r="R569" i="1" s="1"/>
  <c r="P570" i="1"/>
  <c r="Q570" i="1" s="1"/>
  <c r="R570" i="1" s="1"/>
  <c r="P571" i="1"/>
  <c r="Q571" i="1" s="1"/>
  <c r="R571" i="1" s="1"/>
  <c r="P572" i="1"/>
  <c r="Q572" i="1" s="1"/>
  <c r="R572" i="1" s="1"/>
  <c r="P573" i="1"/>
  <c r="Q573" i="1" s="1"/>
  <c r="R573" i="1" s="1"/>
  <c r="P574" i="1"/>
  <c r="Q574" i="1" s="1"/>
  <c r="R574" i="1" s="1"/>
  <c r="P575" i="1"/>
  <c r="Q575" i="1" s="1"/>
  <c r="R575" i="1" s="1"/>
  <c r="P576" i="1"/>
  <c r="Q576" i="1" s="1"/>
  <c r="R576" i="1" s="1"/>
  <c r="P577" i="1"/>
  <c r="Q577" i="1" s="1"/>
  <c r="R577" i="1" s="1"/>
  <c r="P578" i="1"/>
  <c r="Q578" i="1" s="1"/>
  <c r="R578" i="1" s="1"/>
  <c r="P579" i="1"/>
  <c r="Q579" i="1" s="1"/>
  <c r="R579" i="1" s="1"/>
  <c r="P580" i="1"/>
  <c r="Q580" i="1" s="1"/>
  <c r="R580" i="1" s="1"/>
  <c r="P581" i="1"/>
  <c r="Q581" i="1" s="1"/>
  <c r="R581" i="1" s="1"/>
  <c r="P582" i="1"/>
  <c r="Q582" i="1" s="1"/>
  <c r="R582" i="1" s="1"/>
  <c r="P583" i="1"/>
  <c r="Q583" i="1" s="1"/>
  <c r="R583" i="1" s="1"/>
  <c r="P584" i="1"/>
  <c r="Q584" i="1" s="1"/>
  <c r="R584" i="1" s="1"/>
  <c r="P585" i="1"/>
  <c r="Q585" i="1" s="1"/>
  <c r="R585" i="1" s="1"/>
  <c r="P586" i="1"/>
  <c r="Q586" i="1" s="1"/>
  <c r="R586" i="1" s="1"/>
  <c r="P587" i="1"/>
  <c r="Q587" i="1" s="1"/>
  <c r="R587" i="1" s="1"/>
  <c r="P588" i="1"/>
  <c r="Q588" i="1" s="1"/>
  <c r="R588" i="1" s="1"/>
  <c r="P589" i="1"/>
  <c r="Q589" i="1" s="1"/>
  <c r="R589" i="1" s="1"/>
  <c r="P590" i="1"/>
  <c r="Q590" i="1" s="1"/>
  <c r="R590" i="1" s="1"/>
  <c r="P591" i="1"/>
  <c r="Q591" i="1" s="1"/>
  <c r="R591" i="1" s="1"/>
  <c r="P592" i="1"/>
  <c r="Q592" i="1" s="1"/>
  <c r="R592" i="1" s="1"/>
  <c r="P593" i="1"/>
  <c r="Q593" i="1" s="1"/>
  <c r="R593" i="1" s="1"/>
  <c r="P594" i="1"/>
  <c r="Q594" i="1" s="1"/>
  <c r="R594" i="1" s="1"/>
  <c r="P595" i="1"/>
  <c r="Q595" i="1" s="1"/>
  <c r="R595" i="1" s="1"/>
  <c r="P596" i="1"/>
  <c r="Q596" i="1" s="1"/>
  <c r="R596" i="1" s="1"/>
  <c r="P597" i="1"/>
  <c r="Q597" i="1" s="1"/>
  <c r="R597" i="1" s="1"/>
  <c r="P598" i="1"/>
  <c r="Q598" i="1" s="1"/>
  <c r="R598" i="1" s="1"/>
  <c r="P599" i="1"/>
  <c r="Q599" i="1" s="1"/>
  <c r="R599" i="1" s="1"/>
  <c r="P600" i="1"/>
  <c r="Q600" i="1" s="1"/>
  <c r="R600" i="1" s="1"/>
  <c r="P601" i="1"/>
  <c r="Q601" i="1" s="1"/>
  <c r="R601" i="1" s="1"/>
  <c r="P602" i="1"/>
  <c r="Q602" i="1" s="1"/>
  <c r="R602" i="1" s="1"/>
  <c r="P603" i="1"/>
  <c r="Q603" i="1" s="1"/>
  <c r="R603" i="1" s="1"/>
  <c r="P604" i="1"/>
  <c r="Q604" i="1" s="1"/>
  <c r="R604" i="1" s="1"/>
  <c r="P605" i="1"/>
  <c r="Q605" i="1" s="1"/>
  <c r="R605" i="1" s="1"/>
  <c r="P606" i="1"/>
  <c r="Q606" i="1" s="1"/>
  <c r="R606" i="1" s="1"/>
  <c r="P607" i="1"/>
  <c r="Q607" i="1" s="1"/>
  <c r="R607" i="1" s="1"/>
  <c r="P608" i="1"/>
  <c r="Q608" i="1" s="1"/>
  <c r="R608" i="1" s="1"/>
  <c r="P609" i="1"/>
  <c r="Q609" i="1" s="1"/>
  <c r="R609" i="1" s="1"/>
  <c r="P610" i="1"/>
  <c r="Q610" i="1" s="1"/>
  <c r="R610" i="1" s="1"/>
  <c r="P611" i="1"/>
  <c r="Q611" i="1" s="1"/>
  <c r="R611" i="1" s="1"/>
  <c r="P612" i="1"/>
  <c r="Q612" i="1" s="1"/>
  <c r="R612" i="1" s="1"/>
  <c r="P613" i="1"/>
  <c r="Q613" i="1" s="1"/>
  <c r="R613" i="1" s="1"/>
  <c r="P614" i="1"/>
  <c r="Q614" i="1" s="1"/>
  <c r="R614" i="1" s="1"/>
  <c r="P615" i="1"/>
  <c r="Q615" i="1" s="1"/>
  <c r="R615" i="1" s="1"/>
  <c r="P616" i="1"/>
  <c r="Q616" i="1" s="1"/>
  <c r="R616" i="1" s="1"/>
  <c r="P617" i="1"/>
  <c r="Q617" i="1" s="1"/>
  <c r="R617" i="1" s="1"/>
  <c r="P618" i="1"/>
  <c r="Q618" i="1" s="1"/>
  <c r="R618" i="1" s="1"/>
  <c r="P619" i="1"/>
  <c r="Q619" i="1" s="1"/>
  <c r="R619" i="1" s="1"/>
  <c r="P620" i="1"/>
  <c r="Q620" i="1" s="1"/>
  <c r="R620" i="1" s="1"/>
  <c r="P621" i="1"/>
  <c r="Q621" i="1" s="1"/>
  <c r="R621" i="1" s="1"/>
  <c r="P622" i="1"/>
  <c r="Q622" i="1" s="1"/>
  <c r="R622" i="1" s="1"/>
  <c r="P623" i="1"/>
  <c r="Q623" i="1" s="1"/>
  <c r="R623" i="1" s="1"/>
  <c r="P624" i="1"/>
  <c r="Q624" i="1" s="1"/>
  <c r="R624" i="1" s="1"/>
  <c r="P625" i="1"/>
  <c r="Q625" i="1" s="1"/>
  <c r="R625" i="1" s="1"/>
  <c r="P626" i="1"/>
  <c r="Q626" i="1" s="1"/>
  <c r="R626" i="1" s="1"/>
  <c r="P627" i="1"/>
  <c r="Q627" i="1" s="1"/>
  <c r="R627" i="1" s="1"/>
  <c r="P628" i="1"/>
  <c r="Q628" i="1" s="1"/>
  <c r="R628" i="1" s="1"/>
  <c r="P629" i="1"/>
  <c r="Q629" i="1" s="1"/>
  <c r="R629" i="1" s="1"/>
  <c r="P630" i="1"/>
  <c r="Q630" i="1" s="1"/>
  <c r="R630" i="1" s="1"/>
  <c r="P631" i="1"/>
  <c r="Q631" i="1" s="1"/>
  <c r="R631" i="1" s="1"/>
  <c r="P632" i="1"/>
  <c r="Q632" i="1" s="1"/>
  <c r="R632" i="1" s="1"/>
  <c r="P633" i="1"/>
  <c r="Q633" i="1" s="1"/>
  <c r="R633" i="1" s="1"/>
  <c r="P634" i="1"/>
  <c r="Q634" i="1" s="1"/>
  <c r="R634" i="1" s="1"/>
  <c r="P635" i="1"/>
  <c r="Q635" i="1" s="1"/>
  <c r="R635" i="1" s="1"/>
  <c r="P636" i="1"/>
  <c r="Q636" i="1" s="1"/>
  <c r="R636" i="1" s="1"/>
  <c r="P637" i="1"/>
  <c r="Q637" i="1" s="1"/>
  <c r="R637" i="1" s="1"/>
  <c r="P638" i="1"/>
  <c r="Q638" i="1" s="1"/>
  <c r="R638" i="1" s="1"/>
  <c r="P639" i="1"/>
  <c r="Q639" i="1" s="1"/>
  <c r="R639" i="1" s="1"/>
  <c r="P640" i="1"/>
  <c r="Q640" i="1" s="1"/>
  <c r="R640" i="1" s="1"/>
  <c r="P641" i="1"/>
  <c r="Q641" i="1" s="1"/>
  <c r="R641" i="1" s="1"/>
  <c r="P642" i="1"/>
  <c r="Q642" i="1" s="1"/>
  <c r="R642" i="1" s="1"/>
  <c r="P643" i="1"/>
  <c r="Q643" i="1" s="1"/>
  <c r="R643" i="1" s="1"/>
  <c r="P644" i="1"/>
  <c r="Q644" i="1" s="1"/>
  <c r="R644" i="1" s="1"/>
  <c r="H644" i="1"/>
  <c r="G644" i="1"/>
  <c r="F644" i="1"/>
  <c r="H643" i="1"/>
  <c r="G643" i="1"/>
  <c r="F643" i="1"/>
  <c r="H642" i="1"/>
  <c r="G642" i="1"/>
  <c r="F642" i="1"/>
  <c r="H641" i="1"/>
  <c r="G641" i="1"/>
  <c r="F641" i="1"/>
  <c r="H640" i="1"/>
  <c r="G640" i="1"/>
  <c r="F640" i="1"/>
  <c r="H639" i="1"/>
  <c r="G639" i="1"/>
  <c r="F639" i="1"/>
  <c r="H638" i="1"/>
  <c r="G638" i="1"/>
  <c r="F638" i="1"/>
  <c r="H637" i="1"/>
  <c r="G637" i="1"/>
  <c r="F637" i="1"/>
  <c r="H636" i="1"/>
  <c r="G636" i="1"/>
  <c r="F636" i="1"/>
  <c r="H635" i="1"/>
  <c r="G635" i="1"/>
  <c r="F635" i="1"/>
  <c r="H634" i="1"/>
  <c r="G634" i="1"/>
  <c r="F634" i="1"/>
  <c r="H633" i="1"/>
  <c r="G633" i="1"/>
  <c r="F633" i="1"/>
  <c r="H632" i="1"/>
  <c r="G632" i="1"/>
  <c r="F632" i="1"/>
  <c r="H631" i="1"/>
  <c r="G631" i="1"/>
  <c r="F631" i="1"/>
  <c r="H630" i="1"/>
  <c r="G630" i="1"/>
  <c r="F630" i="1"/>
  <c r="H629" i="1"/>
  <c r="G629" i="1"/>
  <c r="F629" i="1"/>
  <c r="H628" i="1"/>
  <c r="G628" i="1"/>
  <c r="F628" i="1"/>
  <c r="H627" i="1"/>
  <c r="G627" i="1"/>
  <c r="F627" i="1"/>
  <c r="H626" i="1"/>
  <c r="G626" i="1"/>
  <c r="F626" i="1"/>
  <c r="H625" i="1"/>
  <c r="G625" i="1"/>
  <c r="F625" i="1"/>
  <c r="H624" i="1"/>
  <c r="G624" i="1"/>
  <c r="F624" i="1"/>
  <c r="H623" i="1"/>
  <c r="G623" i="1"/>
  <c r="F623" i="1"/>
  <c r="H622" i="1"/>
  <c r="G622" i="1"/>
  <c r="F622" i="1"/>
  <c r="H621" i="1"/>
  <c r="G621" i="1"/>
  <c r="F621" i="1"/>
  <c r="H620" i="1"/>
  <c r="G620" i="1"/>
  <c r="F620" i="1"/>
  <c r="H619" i="1"/>
  <c r="G619" i="1"/>
  <c r="F619" i="1"/>
  <c r="H618" i="1"/>
  <c r="G618" i="1"/>
  <c r="F618" i="1"/>
  <c r="H617" i="1"/>
  <c r="G617" i="1"/>
  <c r="F617" i="1"/>
  <c r="H616" i="1"/>
  <c r="G616" i="1"/>
  <c r="F616" i="1"/>
  <c r="H615" i="1"/>
  <c r="G615" i="1"/>
  <c r="F615" i="1"/>
  <c r="H614" i="1"/>
  <c r="G614" i="1"/>
  <c r="F614" i="1"/>
  <c r="H613" i="1"/>
  <c r="G613" i="1"/>
  <c r="F613" i="1"/>
  <c r="H612" i="1"/>
  <c r="G612" i="1"/>
  <c r="F612" i="1"/>
  <c r="H611" i="1"/>
  <c r="G611" i="1"/>
  <c r="F611" i="1"/>
  <c r="H610" i="1"/>
  <c r="G610" i="1"/>
  <c r="F610" i="1"/>
  <c r="H609" i="1"/>
  <c r="G609" i="1"/>
  <c r="F609" i="1"/>
  <c r="H608" i="1"/>
  <c r="G608" i="1"/>
  <c r="F608" i="1"/>
  <c r="H607" i="1"/>
  <c r="G607" i="1"/>
  <c r="F607" i="1"/>
  <c r="H606" i="1"/>
  <c r="G606" i="1"/>
  <c r="F606" i="1"/>
  <c r="H605" i="1"/>
  <c r="G605" i="1"/>
  <c r="F605" i="1"/>
  <c r="H604" i="1"/>
  <c r="G604" i="1"/>
  <c r="F604" i="1"/>
  <c r="H603" i="1"/>
  <c r="G603" i="1"/>
  <c r="F603" i="1"/>
  <c r="H602" i="1"/>
  <c r="G602" i="1"/>
  <c r="F602" i="1"/>
  <c r="H601" i="1"/>
  <c r="G601" i="1"/>
  <c r="F601" i="1"/>
  <c r="H600" i="1"/>
  <c r="G600" i="1"/>
  <c r="F600" i="1"/>
  <c r="H599" i="1"/>
  <c r="G599" i="1"/>
  <c r="F599" i="1"/>
  <c r="H598" i="1"/>
  <c r="G598" i="1"/>
  <c r="F598" i="1"/>
  <c r="H597" i="1"/>
  <c r="G597" i="1"/>
  <c r="F597" i="1"/>
  <c r="H596" i="1"/>
  <c r="G596" i="1"/>
  <c r="F596" i="1"/>
  <c r="H595" i="1"/>
  <c r="G595" i="1"/>
  <c r="F595" i="1"/>
  <c r="H594" i="1"/>
  <c r="G594" i="1"/>
  <c r="F594" i="1"/>
  <c r="H593" i="1"/>
  <c r="G593" i="1"/>
  <c r="F593" i="1"/>
  <c r="H592" i="1"/>
  <c r="G592" i="1"/>
  <c r="F592" i="1"/>
  <c r="H591" i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6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118" i="1"/>
  <c r="Q118" i="1" s="1"/>
  <c r="R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3" i="1" l="1"/>
  <c r="P4" i="1"/>
  <c r="P5" i="1"/>
  <c r="P2" i="1"/>
  <c r="Q117" i="1" l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4" i="1"/>
  <c r="R84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5" i="1"/>
  <c r="R75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8" i="1"/>
  <c r="R68" i="1" s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Q5" i="1"/>
  <c r="R5" i="1" s="1"/>
  <c r="Q4" i="1"/>
  <c r="R4" i="1" s="1"/>
  <c r="Q3" i="1"/>
  <c r="R3" i="1" s="1"/>
  <c r="Q2" i="1"/>
  <c r="R2" i="1" s="1"/>
  <c r="F118" i="1" l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419" i="1" l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343" i="1"/>
  <c r="R343" i="1" s="1"/>
  <c r="Q357" i="1"/>
  <c r="R357" i="1" s="1"/>
  <c r="Q371" i="1"/>
  <c r="R371" i="1" s="1"/>
  <c r="Q415" i="1"/>
  <c r="R415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6" i="1"/>
  <c r="R416" i="1" s="1"/>
  <c r="Q417" i="1"/>
  <c r="R417" i="1" s="1"/>
  <c r="Q418" i="1"/>
  <c r="R418" i="1" s="1"/>
  <c r="Q234" i="1" l="1"/>
  <c r="R234" i="1" s="1"/>
  <c r="F235" i="1" l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77" i="1"/>
  <c r="G377" i="1"/>
  <c r="H377" i="1"/>
  <c r="F378" i="1"/>
  <c r="G378" i="1"/>
  <c r="H378" i="1"/>
  <c r="F379" i="1"/>
  <c r="G379" i="1"/>
  <c r="H379" i="1"/>
  <c r="F380" i="1"/>
  <c r="G380" i="1"/>
  <c r="H380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3" i="1"/>
  <c r="G403" i="1"/>
  <c r="H403" i="1"/>
  <c r="F404" i="1"/>
  <c r="G404" i="1"/>
  <c r="H404" i="1"/>
  <c r="F405" i="1"/>
  <c r="G405" i="1"/>
  <c r="H405" i="1"/>
  <c r="F406" i="1"/>
  <c r="G406" i="1"/>
  <c r="H406" i="1"/>
  <c r="F407" i="1"/>
  <c r="G407" i="1"/>
  <c r="H407" i="1"/>
  <c r="F408" i="1"/>
  <c r="G408" i="1"/>
  <c r="H408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0" i="1"/>
  <c r="G420" i="1"/>
  <c r="H420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1" i="1"/>
  <c r="G431" i="1"/>
  <c r="H431" i="1"/>
  <c r="F432" i="1"/>
  <c r="G432" i="1"/>
  <c r="H432" i="1"/>
  <c r="F433" i="1"/>
  <c r="G433" i="1"/>
  <c r="H433" i="1"/>
  <c r="F434" i="1"/>
  <c r="G434" i="1"/>
  <c r="H434" i="1"/>
  <c r="F435" i="1"/>
  <c r="G435" i="1"/>
  <c r="H435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H234" i="1"/>
  <c r="G234" i="1"/>
  <c r="F234" i="1"/>
</calcChain>
</file>

<file path=xl/sharedStrings.xml><?xml version="1.0" encoding="utf-8"?>
<sst xmlns="http://schemas.openxmlformats.org/spreadsheetml/2006/main" count="8239" uniqueCount="724">
  <si>
    <t>CHI</t>
  </si>
  <si>
    <t>POR</t>
  </si>
  <si>
    <t>TOR</t>
  </si>
  <si>
    <t>MIN</t>
  </si>
  <si>
    <t>HOU</t>
  </si>
  <si>
    <t>ATL</t>
  </si>
  <si>
    <t>CLE</t>
  </si>
  <si>
    <t>DET</t>
  </si>
  <si>
    <t>CHA</t>
  </si>
  <si>
    <t>MEM</t>
  </si>
  <si>
    <t>MIL</t>
  </si>
  <si>
    <t>ORL</t>
  </si>
  <si>
    <t>OKC</t>
  </si>
  <si>
    <t>IND</t>
  </si>
  <si>
    <t>LAC</t>
  </si>
  <si>
    <t>MIA</t>
  </si>
  <si>
    <t>DAL</t>
  </si>
  <si>
    <t>BOS</t>
  </si>
  <si>
    <t>LAL</t>
  </si>
  <si>
    <t>PHX</t>
  </si>
  <si>
    <t>PHI</t>
  </si>
  <si>
    <t>SAC</t>
  </si>
  <si>
    <t>BKN</t>
  </si>
  <si>
    <t>DEN</t>
  </si>
  <si>
    <t>East</t>
  </si>
  <si>
    <t>West</t>
  </si>
  <si>
    <t>Tony</t>
  </si>
  <si>
    <t>Andrew</t>
  </si>
  <si>
    <t>Bullls</t>
  </si>
  <si>
    <t>Most Valuable Player</t>
  </si>
  <si>
    <t>Scoring Champion</t>
  </si>
  <si>
    <t>Most Improved Player</t>
  </si>
  <si>
    <t>Defensive Player of the Year</t>
  </si>
  <si>
    <t>6th Man of the Year</t>
  </si>
  <si>
    <t>Rookie of the Year</t>
  </si>
  <si>
    <t>Coach of the Year</t>
  </si>
  <si>
    <t>General Manager of the Year</t>
  </si>
  <si>
    <t>Kevin Durant</t>
  </si>
  <si>
    <t>Joakim Noah</t>
  </si>
  <si>
    <t>Jamal Crawford</t>
  </si>
  <si>
    <t>Goran Dragic</t>
  </si>
  <si>
    <t>Michael Carter-Williams</t>
  </si>
  <si>
    <t>R.C. Buford</t>
  </si>
  <si>
    <t>Roy Hibbert</t>
  </si>
  <si>
    <t>Jarett Jack</t>
  </si>
  <si>
    <t>Anthony Davis</t>
  </si>
  <si>
    <t>Victor Oladipo</t>
  </si>
  <si>
    <t>Tom Thibodeau</t>
  </si>
  <si>
    <t>Billy King</t>
  </si>
  <si>
    <t>Andre Igoudala</t>
  </si>
  <si>
    <t>Andre Miller</t>
  </si>
  <si>
    <t>Jonas Valanciunas</t>
  </si>
  <si>
    <t>Cody Zeller</t>
  </si>
  <si>
    <t>Ernie Grunfield</t>
  </si>
  <si>
    <t>James Harden</t>
  </si>
  <si>
    <t>Serge Ibaka</t>
  </si>
  <si>
    <t>Jabari Parker</t>
  </si>
  <si>
    <t>Donnie Nelson</t>
  </si>
  <si>
    <t>Giannis Antetokounmpo</t>
  </si>
  <si>
    <t>Vince Carter</t>
  </si>
  <si>
    <t>Rick Carlisle</t>
  </si>
  <si>
    <t>Taj Gibson</t>
  </si>
  <si>
    <t>Lance Stephenson</t>
  </si>
  <si>
    <t>LeBron James</t>
  </si>
  <si>
    <t>Russell Westbrook</t>
  </si>
  <si>
    <t>Lou Williams</t>
  </si>
  <si>
    <t>Mike Budenholzer</t>
  </si>
  <si>
    <t>Kawhi Leanard</t>
  </si>
  <si>
    <t>Andrew Wiggins</t>
  </si>
  <si>
    <t>Bob Myers</t>
  </si>
  <si>
    <t>Jimmy Butler</t>
  </si>
  <si>
    <t>Brad Stevens</t>
  </si>
  <si>
    <t>Danny Ainge</t>
  </si>
  <si>
    <t>Stanley Johnson</t>
  </si>
  <si>
    <t>Marco Bellinelli</t>
  </si>
  <si>
    <t>Isaiah Thomas</t>
  </si>
  <si>
    <t>Steph Curry</t>
  </si>
  <si>
    <t>Rudy Gobert</t>
  </si>
  <si>
    <t>Willie Cauly-Stein</t>
  </si>
  <si>
    <t>Erik Spoelstra</t>
  </si>
  <si>
    <t>BRK</t>
  </si>
  <si>
    <t>Stephen Curry</t>
  </si>
  <si>
    <t>C.J. McCollum</t>
  </si>
  <si>
    <t>Steve Kerr</t>
  </si>
  <si>
    <t>Pat Reilly</t>
  </si>
  <si>
    <t>Seth Curry</t>
  </si>
  <si>
    <t>Karl-Anthony Towns</t>
  </si>
  <si>
    <t>Thon Maker</t>
  </si>
  <si>
    <t>Zach Randolph</t>
  </si>
  <si>
    <t>Kawhi Leonard</t>
  </si>
  <si>
    <t>Andre Iguodala</t>
  </si>
  <si>
    <t>Devin Booker</t>
  </si>
  <si>
    <t>Kris Dunn</t>
  </si>
  <si>
    <t>regular_season</t>
  </si>
  <si>
    <t>date</t>
  </si>
  <si>
    <t>person</t>
  </si>
  <si>
    <t>playoffs</t>
  </si>
  <si>
    <t>seed_away</t>
  </si>
  <si>
    <t>seed_home</t>
  </si>
  <si>
    <t>Kid</t>
  </si>
  <si>
    <t>U</t>
  </si>
  <si>
    <t>O</t>
  </si>
  <si>
    <t>pick</t>
  </si>
  <si>
    <t>pick_id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</si>
  <si>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</si>
  <si>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</si>
  <si>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</si>
  <si>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</si>
  <si>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</si>
  <si>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</si>
  <si>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</si>
  <si>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</si>
  <si>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</si>
  <si>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</si>
  <si>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GS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</si>
  <si>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</si>
  <si>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</si>
  <si>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</si>
  <si>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</si>
  <si>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</si>
  <si>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</si>
  <si>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</si>
  <si>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</si>
  <si>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</si>
  <si>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NO</t>
  </si>
  <si>
    <t>New York Knicks</t>
  </si>
  <si>
    <t>NY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</si>
  <si>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</si>
  <si>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</si>
  <si>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</si>
  <si>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</si>
  <si>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</si>
  <si>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</si>
  <si>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</si>
  <si>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SA</t>
  </si>
  <si>
    <t>Toronto Raptors</t>
  </si>
  <si>
    <t>Utah Jazz</t>
  </si>
  <si>
    <t>UTAH</t>
  </si>
  <si>
    <t>Washington Wizards</t>
  </si>
  <si>
    <t>WSH</t>
  </si>
  <si>
    <t>first_round</t>
  </si>
  <si>
    <t>second_round</t>
  </si>
  <si>
    <t>conference_finals</t>
  </si>
  <si>
    <t>nba_finals</t>
  </si>
  <si>
    <t>Southwest</t>
  </si>
  <si>
    <t>Pacific</t>
  </si>
  <si>
    <t>Central</t>
  </si>
  <si>
    <t>Atlantic</t>
  </si>
  <si>
    <t>Southeast</t>
  </si>
  <si>
    <t>Northwest</t>
  </si>
  <si>
    <t>time_period_name</t>
  </si>
  <si>
    <t>rs</t>
  </si>
  <si>
    <t>pre_season</t>
  </si>
  <si>
    <t>post_season</t>
  </si>
  <si>
    <t>post_rs</t>
  </si>
  <si>
    <t>person_name</t>
  </si>
  <si>
    <t>person_abbrv</t>
  </si>
  <si>
    <t>t</t>
  </si>
  <si>
    <t>a</t>
  </si>
  <si>
    <t>k</t>
  </si>
  <si>
    <t>conf_name</t>
  </si>
  <si>
    <t>div_name</t>
  </si>
  <si>
    <t>w</t>
  </si>
  <si>
    <t>yr_end</t>
  </si>
  <si>
    <t>line_home</t>
  </si>
  <si>
    <t>line_diff_calc</t>
  </si>
  <si>
    <t>pick_game_diff_calc</t>
  </si>
  <si>
    <t>winner</t>
  </si>
  <si>
    <t>mvp</t>
  </si>
  <si>
    <t>mip</t>
  </si>
  <si>
    <t>dpoy</t>
  </si>
  <si>
    <t>roy</t>
  </si>
  <si>
    <t>coy</t>
  </si>
  <si>
    <t>gmoy</t>
  </si>
  <si>
    <t>score_champ</t>
  </si>
  <si>
    <t>sixth_man</t>
  </si>
  <si>
    <t>pre_rs</t>
  </si>
  <si>
    <t>w_sportsbook</t>
  </si>
  <si>
    <t>confidence</t>
  </si>
  <si>
    <t>score_away</t>
  </si>
  <si>
    <t>score_home</t>
  </si>
  <si>
    <t>gp</t>
  </si>
  <si>
    <t>conf</t>
  </si>
  <si>
    <t>Malcom Brogdon</t>
  </si>
  <si>
    <t>Gregg Popovich</t>
  </si>
  <si>
    <t>plyff</t>
  </si>
  <si>
    <t>na</t>
  </si>
  <si>
    <t>gp_pick</t>
  </si>
  <si>
    <t>series_num</t>
  </si>
  <si>
    <t>pick_result_bool_calc</t>
  </si>
  <si>
    <t>Atlanta</t>
  </si>
  <si>
    <t>Boston</t>
  </si>
  <si>
    <t>Brooklyn</t>
  </si>
  <si>
    <t>Charlotte</t>
  </si>
  <si>
    <t>Chicago</t>
  </si>
  <si>
    <t>Cleveland</t>
  </si>
  <si>
    <t>Dallas</t>
  </si>
  <si>
    <t>Denver</t>
  </si>
  <si>
    <t>Detroit</t>
  </si>
  <si>
    <t>Houston</t>
  </si>
  <si>
    <t>Memphis</t>
  </si>
  <si>
    <t>Miami</t>
  </si>
  <si>
    <t>Milwaukee</t>
  </si>
  <si>
    <t>New Orleans</t>
  </si>
  <si>
    <t>Orlando</t>
  </si>
  <si>
    <t>Philadelphia</t>
  </si>
  <si>
    <t>Phoenix</t>
  </si>
  <si>
    <t>Portland</t>
  </si>
  <si>
    <t>Sacramento</t>
  </si>
  <si>
    <t>San Antonio</t>
  </si>
  <si>
    <t>Toronto</t>
  </si>
  <si>
    <t>team</t>
  </si>
  <si>
    <t>div</t>
  </si>
  <si>
    <t>award</t>
  </si>
  <si>
    <t>month</t>
  </si>
  <si>
    <t>day</t>
  </si>
  <si>
    <t>year</t>
  </si>
  <si>
    <t>time_period</t>
  </si>
  <si>
    <t>round</t>
  </si>
  <si>
    <t>2012_ATL</t>
  </si>
  <si>
    <t>2012_BOS</t>
  </si>
  <si>
    <t>2012_BKN</t>
  </si>
  <si>
    <t>2012_CHA</t>
  </si>
  <si>
    <t>2012_CHI</t>
  </si>
  <si>
    <t>2012_CLE</t>
  </si>
  <si>
    <t>2012_DAL</t>
  </si>
  <si>
    <t>2012_DEN</t>
  </si>
  <si>
    <t>2012_DET</t>
  </si>
  <si>
    <t>2012_GS</t>
  </si>
  <si>
    <t>2012_HOU</t>
  </si>
  <si>
    <t>2012_IND</t>
  </si>
  <si>
    <t>2012_LAC</t>
  </si>
  <si>
    <t>2012_LAL</t>
  </si>
  <si>
    <t>2012_MEM</t>
  </si>
  <si>
    <t>2012_MIA</t>
  </si>
  <si>
    <t>2012_MIL</t>
  </si>
  <si>
    <t>2012_MIN</t>
  </si>
  <si>
    <t>2012_NO</t>
  </si>
  <si>
    <t>2012_NY</t>
  </si>
  <si>
    <t>2012_OKC</t>
  </si>
  <si>
    <t>2012_ORL</t>
  </si>
  <si>
    <t>2012_PHI</t>
  </si>
  <si>
    <t>2012_PHX</t>
  </si>
  <si>
    <t>2012_POR</t>
  </si>
  <si>
    <t>2012_SAC</t>
  </si>
  <si>
    <t>2012_SA</t>
  </si>
  <si>
    <t>2012_TOR</t>
  </si>
  <si>
    <t>2012_UTAH</t>
  </si>
  <si>
    <t>2012_WSH</t>
  </si>
  <si>
    <t>2013_ATL</t>
  </si>
  <si>
    <t>2013_BOS</t>
  </si>
  <si>
    <t>2013_BKN</t>
  </si>
  <si>
    <t>2013_CHA</t>
  </si>
  <si>
    <t>2013_CHI</t>
  </si>
  <si>
    <t>2013_CLE</t>
  </si>
  <si>
    <t>2013_DAL</t>
  </si>
  <si>
    <t>2013_DEN</t>
  </si>
  <si>
    <t>2013_DET</t>
  </si>
  <si>
    <t>2013_GS</t>
  </si>
  <si>
    <t>2013_HOU</t>
  </si>
  <si>
    <t>2013_IND</t>
  </si>
  <si>
    <t>2013_LAC</t>
  </si>
  <si>
    <t>2013_LAL</t>
  </si>
  <si>
    <t>2013_MEM</t>
  </si>
  <si>
    <t>2013_MIA</t>
  </si>
  <si>
    <t>2013_MIL</t>
  </si>
  <si>
    <t>2013_MIN</t>
  </si>
  <si>
    <t>2013_NO</t>
  </si>
  <si>
    <t>2013_NY</t>
  </si>
  <si>
    <t>2013_OKC</t>
  </si>
  <si>
    <t>2013_ORL</t>
  </si>
  <si>
    <t>2013_PHI</t>
  </si>
  <si>
    <t>2013_PHX</t>
  </si>
  <si>
    <t>2013_POR</t>
  </si>
  <si>
    <t>2013_SAC</t>
  </si>
  <si>
    <t>2013_SA</t>
  </si>
  <si>
    <t>2013_TOR</t>
  </si>
  <si>
    <t>2013_UTAH</t>
  </si>
  <si>
    <t>2013_WSH</t>
  </si>
  <si>
    <t>2014_ATL</t>
  </si>
  <si>
    <t>2014_BOS</t>
  </si>
  <si>
    <t>2014_BKN</t>
  </si>
  <si>
    <t>2014_CHA</t>
  </si>
  <si>
    <t>2014_CHI</t>
  </si>
  <si>
    <t>2014_CLE</t>
  </si>
  <si>
    <t>2014_DAL</t>
  </si>
  <si>
    <t>2014_DEN</t>
  </si>
  <si>
    <t>2014_DET</t>
  </si>
  <si>
    <t>2014_GS</t>
  </si>
  <si>
    <t>2014_HOU</t>
  </si>
  <si>
    <t>2014_IND</t>
  </si>
  <si>
    <t>2014_LAC</t>
  </si>
  <si>
    <t>2014_LAL</t>
  </si>
  <si>
    <t>2014_MEM</t>
  </si>
  <si>
    <t>2014_MIA</t>
  </si>
  <si>
    <t>2014_MIL</t>
  </si>
  <si>
    <t>2014_MIN</t>
  </si>
  <si>
    <t>2014_NO</t>
  </si>
  <si>
    <t>2014_NY</t>
  </si>
  <si>
    <t>2014_OKC</t>
  </si>
  <si>
    <t>2014_ORL</t>
  </si>
  <si>
    <t>2014_PHI</t>
  </si>
  <si>
    <t>2014_PHX</t>
  </si>
  <si>
    <t>2014_POR</t>
  </si>
  <si>
    <t>2014_SAC</t>
  </si>
  <si>
    <t>2014_SA</t>
  </si>
  <si>
    <t>2014_TOR</t>
  </si>
  <si>
    <t>2014_UTAH</t>
  </si>
  <si>
    <t>2014_WSH</t>
  </si>
  <si>
    <t>2015_ATL</t>
  </si>
  <si>
    <t>2015_BOS</t>
  </si>
  <si>
    <t>2015_BKN</t>
  </si>
  <si>
    <t>2015_CHA</t>
  </si>
  <si>
    <t>2015_CHI</t>
  </si>
  <si>
    <t>2015_CLE</t>
  </si>
  <si>
    <t>2015_DAL</t>
  </si>
  <si>
    <t>2015_DEN</t>
  </si>
  <si>
    <t>2015_DET</t>
  </si>
  <si>
    <t>2015_GS</t>
  </si>
  <si>
    <t>2015_HOU</t>
  </si>
  <si>
    <t>2015_IND</t>
  </si>
  <si>
    <t>2015_LAC</t>
  </si>
  <si>
    <t>2015_LAL</t>
  </si>
  <si>
    <t>2015_MEM</t>
  </si>
  <si>
    <t>2015_MIA</t>
  </si>
  <si>
    <t>2015_MIL</t>
  </si>
  <si>
    <t>2015_MIN</t>
  </si>
  <si>
    <t>2015_NO</t>
  </si>
  <si>
    <t>2015_NY</t>
  </si>
  <si>
    <t>2015_OKC</t>
  </si>
  <si>
    <t>2015_ORL</t>
  </si>
  <si>
    <t>2015_PHI</t>
  </si>
  <si>
    <t>2015_PHX</t>
  </si>
  <si>
    <t>2015_POR</t>
  </si>
  <si>
    <t>2015_SAC</t>
  </si>
  <si>
    <t>2015_SA</t>
  </si>
  <si>
    <t>2015_TOR</t>
  </si>
  <si>
    <t>2015_UTAH</t>
  </si>
  <si>
    <t>2015_WSH</t>
  </si>
  <si>
    <t>2016_ATL</t>
  </si>
  <si>
    <t>2016_BKN</t>
  </si>
  <si>
    <t>2016_BOS</t>
  </si>
  <si>
    <t>2016_CHA</t>
  </si>
  <si>
    <t>2016_CHI</t>
  </si>
  <si>
    <t>2016_CLE</t>
  </si>
  <si>
    <t>2016_DAL</t>
  </si>
  <si>
    <t>2016_DEN</t>
  </si>
  <si>
    <t>2016_DET</t>
  </si>
  <si>
    <t>2016_GS</t>
  </si>
  <si>
    <t>2016_HOU</t>
  </si>
  <si>
    <t>2016_IND</t>
  </si>
  <si>
    <t>2016_LAC</t>
  </si>
  <si>
    <t>2016_LAL</t>
  </si>
  <si>
    <t>2016_MEM</t>
  </si>
  <si>
    <t>2016_MIA</t>
  </si>
  <si>
    <t>2016_MIL</t>
  </si>
  <si>
    <t>2016_MIN</t>
  </si>
  <si>
    <t>2016_NO</t>
  </si>
  <si>
    <t>2016_NY</t>
  </si>
  <si>
    <t>2016_OKC</t>
  </si>
  <si>
    <t>2016_ORL</t>
  </si>
  <si>
    <t>2016_PHI</t>
  </si>
  <si>
    <t>2016_PHX</t>
  </si>
  <si>
    <t>2016_POR</t>
  </si>
  <si>
    <t>2016_SAC</t>
  </si>
  <si>
    <t>2016_SA</t>
  </si>
  <si>
    <t>2016_TOR</t>
  </si>
  <si>
    <t>2016_UTAH</t>
  </si>
  <si>
    <t>2016_WSH</t>
  </si>
  <si>
    <t>New Orleans Hornets</t>
  </si>
  <si>
    <t>New Jersey Nets</t>
  </si>
  <si>
    <t>Charlotte Bobcats</t>
  </si>
  <si>
    <t>Seattle Supersonics</t>
  </si>
  <si>
    <t>odds_over</t>
  </si>
  <si>
    <t>odds_under</t>
  </si>
  <si>
    <t>source</t>
  </si>
  <si>
    <t>source_url</t>
  </si>
  <si>
    <t>source_date</t>
  </si>
  <si>
    <t>retrieval_url</t>
  </si>
  <si>
    <t>BoDog</t>
  </si>
  <si>
    <t>DocSports.com</t>
  </si>
  <si>
    <t>http://www.sportsoddshistory.com/nba-win/?y=2005-2006&amp;sa=nba&amp;a=win&amp;t=win&amp;o=t</t>
  </si>
  <si>
    <t>Pinnacle</t>
  </si>
  <si>
    <t>http://www.docsports.com/nba-articles-2005.html</t>
  </si>
  <si>
    <t>http://www.sportsoddshistory.com/nba-win/?y=2006-2007&amp;sa=nba&amp;a=win&amp;t=win&amp;o=t</t>
  </si>
  <si>
    <t>CaribSports</t>
  </si>
  <si>
    <t>TheRXForum.com</t>
  </si>
  <si>
    <t>http://www.sportsoddshistory.com/nba-win/?y=2007-2008&amp;sa=nba&amp;a=win&amp;t=win&amp;o=t</t>
  </si>
  <si>
    <t>TheGreek</t>
  </si>
  <si>
    <t>CappersMall.com</t>
  </si>
  <si>
    <t>http://www.sportsoddshistory.com/nba-win/?y=2008-2009&amp;sa=nba&amp;a=win&amp;t=win&amp;o=t</t>
  </si>
  <si>
    <t>Intertops.eu</t>
  </si>
  <si>
    <t>http://www.sportsoddshistory.com/nba-win/?y=2009-2010&amp;sa=nba&amp;a=win&amp;t=win&amp;o=t</t>
  </si>
  <si>
    <t>http://www.sportsoddshistory.com/nba-win/?y=2010-2011&amp;sa=nba&amp;a=win&amp;t=win&amp;o=t</t>
  </si>
  <si>
    <t>SportsBetting.com</t>
  </si>
  <si>
    <t>http://www.sportsoddshistory.com/nba-win/?y=2011-2012&amp;sa=nba&amp;a=win&amp;t=win&amp;o=t</t>
  </si>
  <si>
    <t>http://www.sportsoddshistory.com/nba-win/?y=2012-2013&amp;sa=nba&amp;a=win&amp;t=win&amp;o=t</t>
  </si>
  <si>
    <t>http://www.sportsoddshistory.com/nba-win/?y=2013-2014&amp;sa=nba&amp;a=win&amp;t=win&amp;o=t</t>
  </si>
  <si>
    <t>BetOnline.ag</t>
  </si>
  <si>
    <t>http://www.sportsoddshistory.com/nba-win/?y=2014-2015&amp;sa=nba&amp;a=win&amp;t=win&amp;o=t</t>
  </si>
  <si>
    <t>5Dimes.eu</t>
  </si>
  <si>
    <t>http://www.sportsoddshistory.com/nba-win/?y=2015-2016&amp;sa=nba&amp;a=win&amp;t=win&amp;o=t</t>
  </si>
  <si>
    <t>http://www.sportsoddshistory.com/nba-win/?y=2016-2017&amp;sa=nba&amp;a=win&amp;t=win&amp;o=t</t>
  </si>
  <si>
    <t>result</t>
  </si>
  <si>
    <t>prob_implied_over</t>
  </si>
  <si>
    <t>prob_implied_under</t>
  </si>
  <si>
    <t>underdog_over</t>
  </si>
  <si>
    <t>underdog_under</t>
  </si>
  <si>
    <t>prob_implied_diff</t>
  </si>
  <si>
    <t>id</t>
  </si>
  <si>
    <t>time_period_id</t>
  </si>
  <si>
    <t>round_num</t>
  </si>
  <si>
    <t>tm_num</t>
  </si>
  <si>
    <t>tm_name_full</t>
  </si>
  <si>
    <t>tm_away</t>
  </si>
  <si>
    <t>tm_home</t>
  </si>
  <si>
    <t>tm_pick</t>
  </si>
  <si>
    <t>tm_winner</t>
  </si>
  <si>
    <t>tm_home_pick</t>
  </si>
  <si>
    <t>tm_away_pick</t>
  </si>
  <si>
    <t>conf_id</t>
  </si>
  <si>
    <t>div_id</t>
  </si>
  <si>
    <t>tm</t>
  </si>
  <si>
    <t>award_name_full</t>
  </si>
  <si>
    <t>season</t>
  </si>
  <si>
    <t>win_total_results_name</t>
  </si>
  <si>
    <t>pick_result</t>
  </si>
  <si>
    <t>win_total_results_id</t>
  </si>
  <si>
    <t>series_num_unique</t>
  </si>
  <si>
    <t>plyff_results_name</t>
  </si>
  <si>
    <t>plyff_results_id</t>
  </si>
  <si>
    <t>award_results_name</t>
  </si>
  <si>
    <t>award_results_id</t>
  </si>
  <si>
    <t>plyff_results_name_short</t>
  </si>
  <si>
    <t>Draymond Green</t>
  </si>
  <si>
    <t>Eric Gordon</t>
  </si>
  <si>
    <t>Mike D'Antoni</t>
  </si>
  <si>
    <t>Dennis Smith Jr.</t>
  </si>
  <si>
    <t>Rodney Hood</t>
  </si>
  <si>
    <t>Myles Turner</t>
  </si>
  <si>
    <t>tm_winner_pick</t>
  </si>
  <si>
    <t>pick_results_tm_winner</t>
  </si>
  <si>
    <t>pick_result_tm_away</t>
  </si>
  <si>
    <t>pick_result_tm_home</t>
  </si>
  <si>
    <t>w_pick</t>
  </si>
  <si>
    <t>w_pick_95</t>
  </si>
  <si>
    <t>w_pick_05</t>
  </si>
  <si>
    <t>rank</t>
  </si>
  <si>
    <t>Kyie Irving</t>
  </si>
  <si>
    <t>Damian Lillard</t>
  </si>
  <si>
    <t>Karl Anthony Towns</t>
  </si>
  <si>
    <t>D'Angelo Russell</t>
  </si>
  <si>
    <t>Lonzo Ball</t>
  </si>
  <si>
    <t>Ben Simmons</t>
  </si>
  <si>
    <t>Greg Popovich</t>
  </si>
  <si>
    <t>Quin Snyder</t>
  </si>
  <si>
    <t>Sam Presti</t>
  </si>
  <si>
    <t>Daryl Morey</t>
  </si>
  <si>
    <t>R. C. Buford</t>
  </si>
  <si>
    <t>Louis Williams</t>
  </si>
  <si>
    <t>city</t>
  </si>
  <si>
    <t>Oakland</t>
  </si>
  <si>
    <t>Indianapolis</t>
  </si>
  <si>
    <t>Los Angeles</t>
  </si>
  <si>
    <t>Minneapolis</t>
  </si>
  <si>
    <t>Oklahoma City</t>
  </si>
  <si>
    <t>Salt Lake City</t>
  </si>
  <si>
    <t>CHO</t>
  </si>
  <si>
    <t>GSW</t>
  </si>
  <si>
    <t>NOP</t>
  </si>
  <si>
    <t>NYK</t>
  </si>
  <si>
    <t>PHO</t>
  </si>
  <si>
    <t>SAS</t>
  </si>
  <si>
    <t>UTA</t>
  </si>
  <si>
    <t>WAS</t>
  </si>
  <si>
    <t>New York City</t>
  </si>
  <si>
    <t>Washington, D.C.</t>
  </si>
  <si>
    <t>status</t>
  </si>
  <si>
    <t>NOH</t>
  </si>
  <si>
    <t>SEA</t>
  </si>
  <si>
    <t>NJN</t>
  </si>
  <si>
    <t>NOK</t>
  </si>
  <si>
    <t>Seattle</t>
  </si>
  <si>
    <t>Hawks</t>
  </si>
  <si>
    <t>#e13a3e, #c4d600, #061922</t>
  </si>
  <si>
    <t>http://stats.nba.com/media/img/teams/logos/ATL_logo.svg</t>
  </si>
  <si>
    <t>Celtics</t>
  </si>
  <si>
    <t>#008348, #061922, #bb9753</t>
  </si>
  <si>
    <t>http://stats.nba.com/media/img/teams/logos/BOS_logo.svg</t>
  </si>
  <si>
    <t>Nets</t>
  </si>
  <si>
    <t>#061922, #061922, #bb9753</t>
  </si>
  <si>
    <t>http://stats.nba.com/media/img/teams/logos/BKN_logo.svg</t>
  </si>
  <si>
    <t>Hornets</t>
  </si>
  <si>
    <t>#1d1160, #008ca8, #a1a1a4</t>
  </si>
  <si>
    <t>http://stats.nba.com/media/img/teams/logos/CHA_logo.svg</t>
  </si>
  <si>
    <t>Bulls</t>
  </si>
  <si>
    <t>#ce1141, #061922</t>
  </si>
  <si>
    <t>http://stats.nba.com/media/img/teams/logos/CHI_logo.svg</t>
  </si>
  <si>
    <t>Cavaliers</t>
  </si>
  <si>
    <t>#860038, #fdbb30, #002d62</t>
  </si>
  <si>
    <t>http://stats.nba.com/media/img/teams/logos/CLE_logo.svg</t>
  </si>
  <si>
    <t>Mavericks</t>
  </si>
  <si>
    <t>#061922, #007dc5, #c4ced3, #061922</t>
  </si>
  <si>
    <t>http://stats.nba.com/media/img/teams/logos/DAL_logo.svg</t>
  </si>
  <si>
    <t>Nuggets</t>
  </si>
  <si>
    <t>#4d90cd, #fdb927</t>
  </si>
  <si>
    <t>http://stats.nba.com/media/img/teams/logos/DEN_logo.svg</t>
  </si>
  <si>
    <t>Pistons</t>
  </si>
  <si>
    <t>#006bb6, #ed174c, #0f586c</t>
  </si>
  <si>
    <t>http://stats.nba.com/media/img/teams/logos/DET_logo.svg</t>
  </si>
  <si>
    <t>Warriors</t>
  </si>
  <si>
    <t>#fdb927, #006bb6</t>
  </si>
  <si>
    <t>http://stats.nba.com/media/img/teams/logos/GSW_logo.svg</t>
  </si>
  <si>
    <t>Rockets</t>
  </si>
  <si>
    <t>#ce1141, #c4ced3, #061922</t>
  </si>
  <si>
    <t>http://stats.nba.com/media/img/teams/logos/HOU_logo.svg</t>
  </si>
  <si>
    <t>Pacers</t>
  </si>
  <si>
    <t>#ffc633, #00275d, #bec0c2</t>
  </si>
  <si>
    <t>http://stats.nba.com/media/img/teams/logos/IND_logo.svg</t>
  </si>
  <si>
    <t>Clippers</t>
  </si>
  <si>
    <t>#ed174c, #006bb6</t>
  </si>
  <si>
    <t>http://stats.nba.com/media/img/teams/logos/LAC_logo.svg</t>
  </si>
  <si>
    <t>Lakers</t>
  </si>
  <si>
    <t>#fdb927, #552582</t>
  </si>
  <si>
    <t>http://stats.nba.com/media/img/teams/logos/LAL_logo.svg</t>
  </si>
  <si>
    <t>Grizzlies</t>
  </si>
  <si>
    <t>#7399c6, #bed4e9, #fdb927</t>
  </si>
  <si>
    <t>http://stats.nba.com/media/img/teams/logos/MEM_logo.svg</t>
  </si>
  <si>
    <t>Heat</t>
  </si>
  <si>
    <t>#98002e, #f9a01b</t>
  </si>
  <si>
    <t>http://stats.nba.com/media/img/teams/logos/MIA_logo.svg</t>
  </si>
  <si>
    <t>Bucks</t>
  </si>
  <si>
    <t>#00471b, #f0ebd2</t>
  </si>
  <si>
    <t>http://stats.nba.com/media/img/teams/logos/MIL_logo.svg</t>
  </si>
  <si>
    <t>Timberwolves</t>
  </si>
  <si>
    <t>#005083, #00a94f</t>
  </si>
  <si>
    <t>http://stats.nba.com/media/img/teams/logos/MIN_logo.svg</t>
  </si>
  <si>
    <t>Pelicans</t>
  </si>
  <si>
    <t>#002b5c, #e31837</t>
  </si>
  <si>
    <t>http://stats.nba.com/media/img/teams/logos/NOP_logo.svg</t>
  </si>
  <si>
    <t>Knicks</t>
  </si>
  <si>
    <t>#006bb6, #f58426</t>
  </si>
  <si>
    <t>http://stats.nba.com/media/img/teams/logos/NYK_logo.svg</t>
  </si>
  <si>
    <t>Thunder</t>
  </si>
  <si>
    <t>#007dc3, #F05133</t>
  </si>
  <si>
    <t>http://stats.nba.com/media/img/teams/logos/OKC_logo.svg</t>
  </si>
  <si>
    <t>Magic</t>
  </si>
  <si>
    <t>#007dc5, #c4ced3</t>
  </si>
  <si>
    <t>http://stats.nba.com/media/img/teams/logos/ORL_logo.svg</t>
  </si>
  <si>
    <t>76ers</t>
  </si>
  <si>
    <t>http://stats.nba.com/media/img/teams/logos/PHI_logo.svg</t>
  </si>
  <si>
    <t>Suns</t>
  </si>
  <si>
    <t>#e56020, #1d1160</t>
  </si>
  <si>
    <t>http://stats.nba.com/media/img/teams/logos/PHX_logo.svg</t>
  </si>
  <si>
    <t>Trail Blazers</t>
  </si>
  <si>
    <t>#061922, #e03a3e</t>
  </si>
  <si>
    <t>http://stats.nba.com/media/img/teams/logos/POR_logo.svg</t>
  </si>
  <si>
    <t>Kings</t>
  </si>
  <si>
    <t>#724c9f, #8e9090</t>
  </si>
  <si>
    <t>http://stats.nba.com/media/img/teams/logos/SAC_logo.svg</t>
  </si>
  <si>
    <t>Spurs</t>
  </si>
  <si>
    <t>#061922, #bac3c9</t>
  </si>
  <si>
    <t>http://stats.nba.com/media/img/teams/logos/SAS_logo.svg</t>
  </si>
  <si>
    <t>Raptors</t>
  </si>
  <si>
    <t>http://stats.nba.com/media/img/teams/logos/TOR_logo.svg</t>
  </si>
  <si>
    <t>Jazz</t>
  </si>
  <si>
    <t>#002b5c, #f9a01b</t>
  </si>
  <si>
    <t>http://stats.nba.com/media/img/teams/logos/UTA_logo.svg</t>
  </si>
  <si>
    <t>Wizards</t>
  </si>
  <si>
    <t>http://stats.nba.com/media/img/teams/logos/WAS_logo.svg</t>
  </si>
  <si>
    <t>nickname</t>
  </si>
  <si>
    <t>Bobcats</t>
  </si>
  <si>
    <t>Supersonics</t>
  </si>
  <si>
    <t>DubNation</t>
  </si>
  <si>
    <t>Rockets50</t>
  </si>
  <si>
    <t>GoPacers</t>
  </si>
  <si>
    <t>ItTakesEverything</t>
  </si>
  <si>
    <t>LakeShow</t>
  </si>
  <si>
    <t>GrindCity</t>
  </si>
  <si>
    <t>HEATIsOn</t>
  </si>
  <si>
    <t>OwnTheFuture</t>
  </si>
  <si>
    <t>PowerOfThePack</t>
  </si>
  <si>
    <t>ThunderUp</t>
  </si>
  <si>
    <t>LetsGoMagic</t>
  </si>
  <si>
    <t>MADEinPHILA</t>
  </si>
  <si>
    <t>WeArePHX</t>
  </si>
  <si>
    <t>RipCity</t>
  </si>
  <si>
    <t>ScramentoPround</t>
  </si>
  <si>
    <t>GoSpursGo</t>
  </si>
  <si>
    <t>WeTheNorth</t>
  </si>
  <si>
    <t>TakeNote</t>
  </si>
  <si>
    <t>DCFamily</t>
  </si>
  <si>
    <t>BrooklynGrit</t>
  </si>
  <si>
    <t>BullsNation</t>
  </si>
  <si>
    <t>MileHighBasketball</t>
  </si>
  <si>
    <t>DetroitBasketball</t>
  </si>
  <si>
    <t>TrueToAtlanta</t>
  </si>
  <si>
    <t>BuzzCity</t>
  </si>
  <si>
    <t>DefendTheLand</t>
  </si>
  <si>
    <t>MFFL</t>
  </si>
  <si>
    <t>hawks,truetoatlanta</t>
  </si>
  <si>
    <t>nets,brooklyngrit</t>
  </si>
  <si>
    <t>hornets,buzzcity</t>
  </si>
  <si>
    <t>bulls,bullsnation</t>
  </si>
  <si>
    <t>nuggets,milehighbasketball</t>
  </si>
  <si>
    <t>pistons,detroitbasketball</t>
  </si>
  <si>
    <t>warriors,dubnation</t>
  </si>
  <si>
    <t>rockets,rockets50</t>
  </si>
  <si>
    <t>pacers,gopacers</t>
  </si>
  <si>
    <t>clippers,ittakeseverything</t>
  </si>
  <si>
    <t>lakers,lakeshow</t>
  </si>
  <si>
    <t>grizzlies,grindcity</t>
  </si>
  <si>
    <t>heat,heatison</t>
  </si>
  <si>
    <t>bucks,ownthefuture</t>
  </si>
  <si>
    <t>pelicans,pelicans</t>
  </si>
  <si>
    <t>thunder,thunderup</t>
  </si>
  <si>
    <t>magic,letsgomagic</t>
  </si>
  <si>
    <t>suns,wearephx</t>
  </si>
  <si>
    <t>kings,scramentopround</t>
  </si>
  <si>
    <t>spurs,gospursgo</t>
  </si>
  <si>
    <t>raptors,wethenorth</t>
  </si>
  <si>
    <t>jazz,takenote</t>
  </si>
  <si>
    <t>wizards,dcfamily</t>
  </si>
  <si>
    <t>cavaliers,cavs,defendtheland</t>
  </si>
  <si>
    <t>mavericks,mavs,mffl</t>
  </si>
  <si>
    <t>timberwolves,twolves,wolves,powerofthepack</t>
  </si>
  <si>
    <t>knicks</t>
  </si>
  <si>
    <t>celtics</t>
  </si>
  <si>
    <t>76ers,sixers,madeinphila</t>
  </si>
  <si>
    <t>blazers,ripcity</t>
  </si>
  <si>
    <t>warriors</t>
  </si>
  <si>
    <t>nuggets</t>
  </si>
  <si>
    <t>okcthunder</t>
  </si>
  <si>
    <t>PelicansNBA</t>
  </si>
  <si>
    <t>dallasmavs</t>
  </si>
  <si>
    <t>hornets</t>
  </si>
  <si>
    <t>nyknicks</t>
  </si>
  <si>
    <t>LAClippers</t>
  </si>
  <si>
    <t>OrlandoMagic</t>
  </si>
  <si>
    <t>cavs</t>
  </si>
  <si>
    <t>HoustonRockets</t>
  </si>
  <si>
    <t>BrooklynNets</t>
  </si>
  <si>
    <t>spurs</t>
  </si>
  <si>
    <t>utahjazz</t>
  </si>
  <si>
    <t>ATLHawks</t>
  </si>
  <si>
    <t>DetroitPistons</t>
  </si>
  <si>
    <t>chicagobulls</t>
  </si>
  <si>
    <t>sixers</t>
  </si>
  <si>
    <t>WashWizards</t>
  </si>
  <si>
    <t>MiamiHEAT</t>
  </si>
  <si>
    <t>memgrizz</t>
  </si>
  <si>
    <t>trailblazers</t>
  </si>
  <si>
    <t>SacramentoKings</t>
  </si>
  <si>
    <t>twitter_screen_name</t>
  </si>
  <si>
    <t>twitter_query_naive</t>
  </si>
  <si>
    <t>twitter_query_manual</t>
  </si>
  <si>
    <t>OKC THUNDER</t>
  </si>
  <si>
    <t>NEW YORK KNICKS</t>
  </si>
  <si>
    <t>LA Clippers</t>
  </si>
  <si>
    <t>Miami HEAT</t>
  </si>
  <si>
    <t>twitter_name</t>
  </si>
  <si>
    <t>twitter_user_id</t>
  </si>
  <si>
    <t>hashflag</t>
  </si>
  <si>
    <t>nbadotcom_tm</t>
  </si>
  <si>
    <t>nbadotcom_colors</t>
  </si>
  <si>
    <t>nbadotcom_color</t>
  </si>
  <si>
    <t>nbadotcom_url_thumbnail</t>
  </si>
  <si>
    <t>#e13a3e</t>
  </si>
  <si>
    <t>#008348</t>
  </si>
  <si>
    <t>#061922</t>
  </si>
  <si>
    <t>#1d1160</t>
  </si>
  <si>
    <t>#ce1141</t>
  </si>
  <si>
    <t>#860038</t>
  </si>
  <si>
    <t>#4d90cd</t>
  </si>
  <si>
    <t>#006bb6</t>
  </si>
  <si>
    <t>#fdb927</t>
  </si>
  <si>
    <t>#ffc633</t>
  </si>
  <si>
    <t>#ed174c</t>
  </si>
  <si>
    <t>#7399c6</t>
  </si>
  <si>
    <t>#98002e</t>
  </si>
  <si>
    <t>#00471b</t>
  </si>
  <si>
    <t>#005083</t>
  </si>
  <si>
    <t>#002b5c</t>
  </si>
  <si>
    <t>#007dc3</t>
  </si>
  <si>
    <t>#007dc5</t>
  </si>
  <si>
    <t>#e56020</t>
  </si>
  <si>
    <t>#724c9f</t>
  </si>
  <si>
    <t>#c4d600</t>
  </si>
  <si>
    <t>NA</t>
  </si>
  <si>
    <t>#bb9753</t>
  </si>
  <si>
    <t>#a73832</t>
  </si>
  <si>
    <t>#fab383</t>
  </si>
  <si>
    <t>#008ca8</t>
  </si>
  <si>
    <t>#a1a1a4</t>
  </si>
  <si>
    <t>#fdbb30</t>
  </si>
  <si>
    <t>#002d62</t>
  </si>
  <si>
    <t>#c4ced3</t>
  </si>
  <si>
    <t>#20385b</t>
  </si>
  <si>
    <t>#0f586c</t>
  </si>
  <si>
    <t>#26282a</t>
  </si>
  <si>
    <t>#00275d</t>
  </si>
  <si>
    <t>#bec0c2</t>
  </si>
  <si>
    <t>#552582</t>
  </si>
  <si>
    <t>#8177b7</t>
  </si>
  <si>
    <t>#bed4e9</t>
  </si>
  <si>
    <t>#f9a01b</t>
  </si>
  <si>
    <t>#bcbec0</t>
  </si>
  <si>
    <t>#f0ebd2</t>
  </si>
  <si>
    <t>#00a94f</t>
  </si>
  <si>
    <t>#ffe600</t>
  </si>
  <si>
    <t>#e31837</t>
  </si>
  <si>
    <t>#b4975a</t>
  </si>
  <si>
    <t>#f58426</t>
  </si>
  <si>
    <t>#231f20</t>
  </si>
  <si>
    <t>#f05133</t>
  </si>
  <si>
    <t>#63717a</t>
  </si>
  <si>
    <t>#e03a3e</t>
  </si>
  <si>
    <t>#bac3c9</t>
  </si>
  <si>
    <t>#8e9090</t>
  </si>
  <si>
    <t>#c4ced4</t>
  </si>
  <si>
    <t>teamcolors_color_primary</t>
  </si>
  <si>
    <t>teamcolors_color_secondary</t>
  </si>
  <si>
    <t>teamcolors_color_tertiary</t>
  </si>
  <si>
    <t>teamcolors_color_quaternary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</si>
</sst>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ont="1" applyFill="1"/>
    <xf numFmtId="14" fontId="0" fillId="0" borderId="0" xfId="0" applyNumberFormat="1"/>
    <xf numFmtId="0" fontId="0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0" fontId="0" fillId="0" borderId="0" xfId="0"/>
    <xf numFmtId="0" fontId="0" fillId="0" borderId="0" xfId="0"/>
    <xf numFmtId="0" fontId="2" fillId="0" borderId="0" xfId="0" applyFont="1" applyFill="1"/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155</v>
      </c>
      <c r="C1" t="s">
        <v>156</v>
      </c>
    </row>
    <row r="2" spans="1:3" ht="15" customHeight="1" x14ac:dyDescent="0.25">
      <c r="A2">
        <v>1</v>
      </c>
      <c r="B2" t="s">
        <v>26</v>
      </c>
      <c r="C2" t="s">
        <v>157</v>
      </c>
    </row>
    <row r="3" spans="1:3" ht="15" customHeight="1" x14ac:dyDescent="0.25">
      <c r="A3">
        <v>2</v>
      </c>
      <c r="B3" t="s">
        <v>27</v>
      </c>
      <c r="C3" t="s">
        <v>158</v>
      </c>
    </row>
    <row r="4" spans="1:3" ht="15" customHeight="1" x14ac:dyDescent="0.25">
      <c r="A4">
        <v>3</v>
      </c>
      <c r="B4" t="s">
        <v>99</v>
      </c>
      <c r="C4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150</v>
      </c>
      <c r="C1" t="s">
        <v>217</v>
      </c>
    </row>
    <row r="2" spans="1:3" ht="15" customHeight="1" x14ac:dyDescent="0.25">
      <c r="A2">
        <v>1</v>
      </c>
      <c r="B2" t="s">
        <v>93</v>
      </c>
      <c r="C2" t="s">
        <v>151</v>
      </c>
    </row>
    <row r="3" spans="1:3" ht="15" customHeight="1" x14ac:dyDescent="0.25">
      <c r="A3">
        <v>2</v>
      </c>
      <c r="B3" t="s">
        <v>96</v>
      </c>
      <c r="C3" t="s">
        <v>185</v>
      </c>
    </row>
    <row r="4" spans="1:3" ht="15" customHeight="1" x14ac:dyDescent="0.25">
      <c r="A4">
        <v>3</v>
      </c>
      <c r="B4" t="s">
        <v>152</v>
      </c>
      <c r="C4" t="s">
        <v>176</v>
      </c>
    </row>
    <row r="5" spans="1:3" ht="15" customHeight="1" x14ac:dyDescent="0.25">
      <c r="A5">
        <v>4</v>
      </c>
      <c r="B5" t="s">
        <v>153</v>
      </c>
      <c r="C5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4" ht="15" customHeight="1" x14ac:dyDescent="0.25">
      <c r="A1" t="s">
        <v>409</v>
      </c>
      <c r="B1" t="s">
        <v>411</v>
      </c>
      <c r="C1" t="s">
        <v>218</v>
      </c>
      <c r="D1" t="s">
        <v>410</v>
      </c>
    </row>
    <row r="2" spans="1:4" ht="15" customHeight="1" x14ac:dyDescent="0.25">
      <c r="A2">
        <v>1</v>
      </c>
      <c r="B2">
        <v>1</v>
      </c>
      <c r="C2" t="s">
        <v>140</v>
      </c>
      <c r="D2">
        <v>2</v>
      </c>
    </row>
    <row r="3" spans="1:4" ht="15" customHeight="1" x14ac:dyDescent="0.25">
      <c r="A3">
        <v>2</v>
      </c>
      <c r="B3">
        <v>2</v>
      </c>
      <c r="C3" t="s">
        <v>141</v>
      </c>
      <c r="D3">
        <v>2</v>
      </c>
    </row>
    <row r="4" spans="1:4" ht="15" customHeight="1" x14ac:dyDescent="0.25">
      <c r="A4">
        <v>3</v>
      </c>
      <c r="B4">
        <v>3</v>
      </c>
      <c r="C4" t="s">
        <v>142</v>
      </c>
      <c r="D4">
        <v>2</v>
      </c>
    </row>
    <row r="5" spans="1:4" ht="15" customHeight="1" x14ac:dyDescent="0.25">
      <c r="A5">
        <v>4</v>
      </c>
      <c r="B5">
        <v>4</v>
      </c>
      <c r="C5" t="s">
        <v>143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zoomScale="80" zoomScaleNormal="80" workbookViewId="0"/>
  </sheetViews>
  <sheetFormatPr defaultRowHeight="15" customHeight="1" x14ac:dyDescent="0.25"/>
  <cols>
    <col min="1" max="2" width="9.140625" customWidth="1"/>
  </cols>
  <sheetData>
    <row r="1" spans="1:2" ht="15" customHeight="1" x14ac:dyDescent="0.25">
      <c r="A1" t="s">
        <v>409</v>
      </c>
      <c r="B1" t="s">
        <v>182</v>
      </c>
    </row>
    <row r="2" spans="1:2" ht="15" customHeight="1" x14ac:dyDescent="0.25">
      <c r="A2">
        <v>1</v>
      </c>
      <c r="B2" t="s">
        <v>24</v>
      </c>
    </row>
    <row r="3" spans="1:2" ht="15" customHeight="1" x14ac:dyDescent="0.25">
      <c r="A3">
        <v>2</v>
      </c>
      <c r="B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7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212</v>
      </c>
      <c r="C1" t="s">
        <v>420</v>
      </c>
    </row>
    <row r="2" spans="1:3" ht="15" customHeight="1" x14ac:dyDescent="0.25">
      <c r="A2">
        <v>1</v>
      </c>
      <c r="B2" t="s">
        <v>147</v>
      </c>
      <c r="C2">
        <v>1</v>
      </c>
    </row>
    <row r="3" spans="1:3" ht="15" customHeight="1" x14ac:dyDescent="0.25">
      <c r="A3">
        <v>2</v>
      </c>
      <c r="B3" t="s">
        <v>146</v>
      </c>
      <c r="C3">
        <v>1</v>
      </c>
    </row>
    <row r="4" spans="1:3" ht="15" customHeight="1" x14ac:dyDescent="0.25">
      <c r="A4">
        <v>3</v>
      </c>
      <c r="B4" t="s">
        <v>148</v>
      </c>
      <c r="C4">
        <v>1</v>
      </c>
    </row>
    <row r="5" spans="1:3" ht="15" customHeight="1" x14ac:dyDescent="0.25">
      <c r="A5">
        <v>4</v>
      </c>
      <c r="B5" t="s">
        <v>149</v>
      </c>
      <c r="C5">
        <v>2</v>
      </c>
    </row>
    <row r="6" spans="1:3" ht="15" customHeight="1" x14ac:dyDescent="0.25">
      <c r="A6">
        <v>5</v>
      </c>
      <c r="B6" t="s">
        <v>145</v>
      </c>
      <c r="C6">
        <v>2</v>
      </c>
    </row>
    <row r="7" spans="1:3" ht="15" customHeight="1" x14ac:dyDescent="0.25">
      <c r="A7">
        <v>6</v>
      </c>
      <c r="B7" t="s">
        <v>144</v>
      </c>
      <c r="C7">
        <v>2</v>
      </c>
    </row>
  </sheetData>
  <sortState ref="B2:B7">
    <sortCondition ref="B2:B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6"/>
  <sheetViews>
    <sheetView tabSelected="1" zoomScale="80" zoomScaleNormal="80" workbookViewId="0">
      <selection activeCell="Z1" sqref="Z1"/>
    </sheetView>
  </sheetViews>
  <sheetFormatPr defaultRowHeight="15" customHeight="1" x14ac:dyDescent="0.25"/>
  <cols>
    <col min="1" max="3" width="9.140625" style="1" customWidth="1"/>
    <col min="4" max="4" width="26.42578125" style="1" bestFit="1" customWidth="1"/>
    <col min="5" max="5" width="17.85546875" style="1" bestFit="1" customWidth="1"/>
    <col min="6" max="6" width="8.42578125" style="1" customWidth="1"/>
    <col min="7" max="7" width="7.28515625" style="1" bestFit="1" customWidth="1"/>
    <col min="8" max="8" width="8.42578125" style="1" bestFit="1" customWidth="1"/>
    <col min="9" max="9" width="12" style="1" bestFit="1" customWidth="1"/>
    <col min="10" max="10" width="7.140625" style="1" bestFit="1" customWidth="1"/>
    <col min="11" max="11" width="11.42578125" style="1" bestFit="1" customWidth="1"/>
    <col min="12" max="14" width="11.42578125" style="1" customWidth="1"/>
    <col min="15" max="15" width="8.42578125" style="1" customWidth="1"/>
    <col min="16" max="16" width="9.140625" style="1" customWidth="1"/>
    <col min="17" max="17" width="7.28515625" style="1" customWidth="1"/>
    <col min="18" max="18" width="9.28515625" style="1" bestFit="1" customWidth="1"/>
    <col min="19" max="20" width="8.42578125" style="1" customWidth="1"/>
    <col min="21" max="16384" width="9.140625" style="1"/>
  </cols>
  <sheetData>
    <row r="1" spans="1:25" ht="15" customHeight="1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6" t="s">
        <v>570</v>
      </c>
      <c r="G1" s="8" t="s">
        <v>477</v>
      </c>
      <c r="H1" s="6" t="s">
        <v>420</v>
      </c>
      <c r="I1" s="14" t="s">
        <v>160</v>
      </c>
      <c r="J1" s="6" t="s">
        <v>421</v>
      </c>
      <c r="K1" s="14" t="s">
        <v>161</v>
      </c>
      <c r="L1" s="6" t="s">
        <v>653</v>
      </c>
      <c r="M1" s="14" t="s">
        <v>660</v>
      </c>
      <c r="N1" s="14" t="s">
        <v>661</v>
      </c>
      <c r="O1" s="6" t="s">
        <v>662</v>
      </c>
      <c r="P1" s="8" t="s">
        <v>663</v>
      </c>
      <c r="Q1" s="6" t="s">
        <v>664</v>
      </c>
      <c r="R1" s="6" t="s">
        <v>665</v>
      </c>
      <c r="S1" s="6" t="s">
        <v>666</v>
      </c>
      <c r="T1" s="6" t="s">
        <v>654</v>
      </c>
      <c r="U1" s="6" t="s">
        <v>655</v>
      </c>
      <c r="V1" s="19" t="s">
        <v>720</v>
      </c>
      <c r="W1" s="19" t="s">
        <v>721</v>
      </c>
      <c r="X1" s="19" t="s">
        <v>722</v>
      </c>
      <c r="Y1" s="19" t="s">
        <v>723</v>
      </c>
    </row>
    <row r="2" spans="1:25" ht="15" customHeight="1" x14ac:dyDescent="0.25">
      <c r="A2" s="1">
        <v>1</v>
      </c>
      <c r="B2" s="1">
        <v>1</v>
      </c>
      <c r="C2" s="1" t="s">
        <v>5</v>
      </c>
      <c r="D2" s="1" t="s">
        <v>104</v>
      </c>
      <c r="E2" s="19" t="s">
        <v>190</v>
      </c>
      <c r="F2" s="19" t="s">
        <v>483</v>
      </c>
      <c r="G2" s="19">
        <v>1</v>
      </c>
      <c r="H2" s="1">
        <v>1</v>
      </c>
      <c r="I2" s="8" t="s">
        <v>24</v>
      </c>
      <c r="J2" s="8">
        <v>3</v>
      </c>
      <c r="K2" s="8" t="s">
        <v>148</v>
      </c>
      <c r="L2" s="1" t="s">
        <v>644</v>
      </c>
      <c r="M2" s="1" t="s">
        <v>104</v>
      </c>
      <c r="N2" s="1">
        <v>17292143</v>
      </c>
      <c r="O2" s="8" t="s">
        <v>596</v>
      </c>
      <c r="P2" s="19" t="s">
        <v>5</v>
      </c>
      <c r="Q2" s="19" t="s">
        <v>484</v>
      </c>
      <c r="R2" s="19" t="s">
        <v>667</v>
      </c>
      <c r="S2" s="19" t="s">
        <v>485</v>
      </c>
      <c r="T2" s="1" t="str">
        <f t="shared" ref="T2:T31" si="0">CONCATENATE(LOWER(F2),",",LOWER(O2))</f>
        <v>hawks,truetoatlanta</v>
      </c>
      <c r="U2" s="1" t="s">
        <v>600</v>
      </c>
      <c r="V2" s="19" t="s">
        <v>667</v>
      </c>
      <c r="W2" s="19" t="s">
        <v>687</v>
      </c>
      <c r="X2" s="19" t="s">
        <v>669</v>
      </c>
      <c r="Y2" s="19" t="s">
        <v>688</v>
      </c>
    </row>
    <row r="3" spans="1:25" ht="15" customHeight="1" x14ac:dyDescent="0.25">
      <c r="A3" s="1">
        <v>2</v>
      </c>
      <c r="B3" s="1">
        <v>2</v>
      </c>
      <c r="C3" s="1" t="s">
        <v>17</v>
      </c>
      <c r="D3" s="1" t="s">
        <v>105</v>
      </c>
      <c r="E3" s="19" t="s">
        <v>191</v>
      </c>
      <c r="F3" s="19" t="s">
        <v>486</v>
      </c>
      <c r="G3" s="19">
        <v>1</v>
      </c>
      <c r="H3" s="1">
        <v>1</v>
      </c>
      <c r="I3" s="8" t="s">
        <v>24</v>
      </c>
      <c r="J3" s="8">
        <v>1</v>
      </c>
      <c r="K3" s="8" t="s">
        <v>147</v>
      </c>
      <c r="L3" s="1" t="s">
        <v>627</v>
      </c>
      <c r="M3" s="1" t="s">
        <v>105</v>
      </c>
      <c r="N3" s="1">
        <v>18139461</v>
      </c>
      <c r="O3" s="8" t="s">
        <v>486</v>
      </c>
      <c r="P3" s="19" t="s">
        <v>17</v>
      </c>
      <c r="Q3" s="19" t="s">
        <v>487</v>
      </c>
      <c r="R3" s="19" t="s">
        <v>668</v>
      </c>
      <c r="S3" s="19" t="s">
        <v>488</v>
      </c>
      <c r="T3" s="1" t="str">
        <f t="shared" si="0"/>
        <v>celtics,celtics</v>
      </c>
      <c r="U3" s="8" t="s">
        <v>627</v>
      </c>
      <c r="V3" s="19" t="s">
        <v>668</v>
      </c>
      <c r="W3" s="19" t="s">
        <v>689</v>
      </c>
      <c r="X3" s="19" t="s">
        <v>690</v>
      </c>
      <c r="Y3" s="19" t="s">
        <v>691</v>
      </c>
    </row>
    <row r="4" spans="1:25" ht="15" customHeight="1" x14ac:dyDescent="0.25">
      <c r="A4" s="1">
        <v>3</v>
      </c>
      <c r="B4" s="1">
        <v>3</v>
      </c>
      <c r="C4" s="8" t="s">
        <v>80</v>
      </c>
      <c r="D4" s="1" t="s">
        <v>106</v>
      </c>
      <c r="E4" s="19" t="s">
        <v>192</v>
      </c>
      <c r="F4" s="19" t="s">
        <v>489</v>
      </c>
      <c r="G4" s="19">
        <v>1</v>
      </c>
      <c r="H4" s="1">
        <v>1</v>
      </c>
      <c r="I4" s="8" t="s">
        <v>24</v>
      </c>
      <c r="J4" s="8">
        <v>1</v>
      </c>
      <c r="K4" s="8" t="s">
        <v>147</v>
      </c>
      <c r="L4" s="1" t="s">
        <v>641</v>
      </c>
      <c r="M4" s="1" t="s">
        <v>106</v>
      </c>
      <c r="N4" s="1">
        <v>18552281</v>
      </c>
      <c r="O4" s="8" t="s">
        <v>592</v>
      </c>
      <c r="P4" s="19" t="s">
        <v>22</v>
      </c>
      <c r="Q4" s="19" t="s">
        <v>490</v>
      </c>
      <c r="R4" s="19" t="s">
        <v>669</v>
      </c>
      <c r="S4" s="19" t="s">
        <v>491</v>
      </c>
      <c r="T4" s="1" t="str">
        <f t="shared" si="0"/>
        <v>nets,brooklyngrit</v>
      </c>
      <c r="U4" s="1" t="s">
        <v>601</v>
      </c>
      <c r="V4" s="19" t="s">
        <v>669</v>
      </c>
      <c r="W4" s="19" t="s">
        <v>688</v>
      </c>
      <c r="X4" s="19" t="s">
        <v>688</v>
      </c>
      <c r="Y4" s="19" t="s">
        <v>688</v>
      </c>
    </row>
    <row r="5" spans="1:25" ht="15" customHeight="1" x14ac:dyDescent="0.25">
      <c r="A5" s="1">
        <v>4</v>
      </c>
      <c r="B5" s="1">
        <v>4</v>
      </c>
      <c r="C5" s="8" t="s">
        <v>467</v>
      </c>
      <c r="D5" s="1" t="s">
        <v>107</v>
      </c>
      <c r="E5" s="19" t="s">
        <v>193</v>
      </c>
      <c r="F5" s="19" t="s">
        <v>492</v>
      </c>
      <c r="G5" s="19">
        <v>1</v>
      </c>
      <c r="H5" s="1">
        <v>1</v>
      </c>
      <c r="I5" s="8" t="s">
        <v>24</v>
      </c>
      <c r="J5" s="8">
        <v>3</v>
      </c>
      <c r="K5" s="8" t="s">
        <v>148</v>
      </c>
      <c r="L5" s="1" t="s">
        <v>635</v>
      </c>
      <c r="M5" s="1" t="s">
        <v>107</v>
      </c>
      <c r="N5" s="1">
        <v>21308488</v>
      </c>
      <c r="O5" s="8" t="s">
        <v>597</v>
      </c>
      <c r="P5" s="19" t="s">
        <v>8</v>
      </c>
      <c r="Q5" s="19" t="s">
        <v>493</v>
      </c>
      <c r="R5" s="19" t="s">
        <v>670</v>
      </c>
      <c r="S5" s="19" t="s">
        <v>494</v>
      </c>
      <c r="T5" s="1" t="str">
        <f t="shared" si="0"/>
        <v>hornets,buzzcity</v>
      </c>
      <c r="U5" s="1" t="s">
        <v>602</v>
      </c>
      <c r="V5" s="19" t="s">
        <v>670</v>
      </c>
      <c r="W5" s="19" t="s">
        <v>692</v>
      </c>
      <c r="X5" s="19" t="s">
        <v>693</v>
      </c>
      <c r="Y5" s="19" t="s">
        <v>688</v>
      </c>
    </row>
    <row r="6" spans="1:25" ht="15" customHeight="1" x14ac:dyDescent="0.25">
      <c r="A6" s="1">
        <v>5</v>
      </c>
      <c r="B6" s="1">
        <v>5</v>
      </c>
      <c r="C6" s="1" t="s">
        <v>0</v>
      </c>
      <c r="D6" s="1" t="s">
        <v>108</v>
      </c>
      <c r="E6" s="19" t="s">
        <v>194</v>
      </c>
      <c r="F6" s="19" t="s">
        <v>495</v>
      </c>
      <c r="G6" s="19">
        <v>1</v>
      </c>
      <c r="H6" s="1">
        <v>1</v>
      </c>
      <c r="I6" s="8" t="s">
        <v>24</v>
      </c>
      <c r="J6" s="8">
        <v>2</v>
      </c>
      <c r="K6" s="8" t="s">
        <v>146</v>
      </c>
      <c r="L6" s="1" t="s">
        <v>646</v>
      </c>
      <c r="M6" s="1" t="s">
        <v>108</v>
      </c>
      <c r="N6" s="1">
        <v>16212685</v>
      </c>
      <c r="O6" s="8" t="s">
        <v>593</v>
      </c>
      <c r="P6" s="19" t="s">
        <v>0</v>
      </c>
      <c r="Q6" s="19" t="s">
        <v>496</v>
      </c>
      <c r="R6" s="19" t="s">
        <v>671</v>
      </c>
      <c r="S6" s="19" t="s">
        <v>497</v>
      </c>
      <c r="T6" s="1" t="str">
        <f t="shared" si="0"/>
        <v>bulls,bullsnation</v>
      </c>
      <c r="U6" s="1" t="s">
        <v>603</v>
      </c>
      <c r="V6" s="19" t="s">
        <v>671</v>
      </c>
      <c r="W6" s="19" t="s">
        <v>669</v>
      </c>
      <c r="X6" s="19" t="s">
        <v>688</v>
      </c>
      <c r="Y6" s="19" t="s">
        <v>688</v>
      </c>
    </row>
    <row r="7" spans="1:25" ht="15" customHeight="1" x14ac:dyDescent="0.25">
      <c r="A7" s="1">
        <v>6</v>
      </c>
      <c r="B7" s="1">
        <v>6</v>
      </c>
      <c r="C7" s="1" t="s">
        <v>6</v>
      </c>
      <c r="D7" s="1" t="s">
        <v>109</v>
      </c>
      <c r="E7" s="19" t="s">
        <v>195</v>
      </c>
      <c r="F7" s="19" t="s">
        <v>498</v>
      </c>
      <c r="G7" s="19">
        <v>1</v>
      </c>
      <c r="H7" s="1">
        <v>1</v>
      </c>
      <c r="I7" s="8" t="s">
        <v>24</v>
      </c>
      <c r="J7" s="8">
        <v>2</v>
      </c>
      <c r="K7" s="8" t="s">
        <v>146</v>
      </c>
      <c r="L7" s="1" t="s">
        <v>639</v>
      </c>
      <c r="M7" s="1" t="s">
        <v>109</v>
      </c>
      <c r="N7" s="1">
        <v>19263978</v>
      </c>
      <c r="O7" s="8" t="s">
        <v>598</v>
      </c>
      <c r="P7" s="19" t="s">
        <v>6</v>
      </c>
      <c r="Q7" s="19" t="s">
        <v>499</v>
      </c>
      <c r="R7" s="19" t="s">
        <v>672</v>
      </c>
      <c r="S7" s="19" t="s">
        <v>500</v>
      </c>
      <c r="T7" s="1" t="str">
        <f t="shared" si="0"/>
        <v>cavaliers,defendtheland</v>
      </c>
      <c r="U7" s="8" t="s">
        <v>623</v>
      </c>
      <c r="V7" s="19" t="s">
        <v>672</v>
      </c>
      <c r="W7" s="19" t="s">
        <v>694</v>
      </c>
      <c r="X7" s="19" t="s">
        <v>695</v>
      </c>
      <c r="Y7" s="19" t="s">
        <v>688</v>
      </c>
    </row>
    <row r="8" spans="1:25" ht="15" customHeight="1" x14ac:dyDescent="0.25">
      <c r="A8" s="1">
        <v>7</v>
      </c>
      <c r="B8" s="1">
        <v>7</v>
      </c>
      <c r="C8" s="1" t="s">
        <v>16</v>
      </c>
      <c r="D8" s="1" t="s">
        <v>110</v>
      </c>
      <c r="E8" s="19" t="s">
        <v>196</v>
      </c>
      <c r="F8" s="19" t="s">
        <v>501</v>
      </c>
      <c r="G8" s="19">
        <v>1</v>
      </c>
      <c r="H8" s="1">
        <v>2</v>
      </c>
      <c r="I8" s="8" t="s">
        <v>25</v>
      </c>
      <c r="J8" s="8">
        <v>6</v>
      </c>
      <c r="K8" s="8" t="s">
        <v>144</v>
      </c>
      <c r="L8" s="1" t="s">
        <v>634</v>
      </c>
      <c r="M8" s="1" t="s">
        <v>110</v>
      </c>
      <c r="N8" s="1">
        <v>22185437</v>
      </c>
      <c r="O8" s="8" t="s">
        <v>599</v>
      </c>
      <c r="P8" s="19" t="s">
        <v>16</v>
      </c>
      <c r="Q8" s="19" t="s">
        <v>502</v>
      </c>
      <c r="R8" s="19" t="s">
        <v>669</v>
      </c>
      <c r="S8" s="19" t="s">
        <v>503</v>
      </c>
      <c r="T8" s="1" t="str">
        <f t="shared" si="0"/>
        <v>mavericks,mffl</v>
      </c>
      <c r="U8" s="8" t="s">
        <v>624</v>
      </c>
      <c r="V8" s="19" t="s">
        <v>684</v>
      </c>
      <c r="W8" s="19" t="s">
        <v>696</v>
      </c>
      <c r="X8" s="19" t="s">
        <v>669</v>
      </c>
      <c r="Y8" s="19" t="s">
        <v>697</v>
      </c>
    </row>
    <row r="9" spans="1:25" ht="15" customHeight="1" x14ac:dyDescent="0.25">
      <c r="A9" s="1">
        <v>8</v>
      </c>
      <c r="B9" s="1">
        <v>8</v>
      </c>
      <c r="C9" s="1" t="s">
        <v>23</v>
      </c>
      <c r="D9" s="1" t="s">
        <v>111</v>
      </c>
      <c r="E9" s="19" t="s">
        <v>197</v>
      </c>
      <c r="F9" s="19" t="s">
        <v>504</v>
      </c>
      <c r="G9" s="19">
        <v>1</v>
      </c>
      <c r="H9" s="1">
        <v>2</v>
      </c>
      <c r="I9" s="8" t="s">
        <v>25</v>
      </c>
      <c r="J9" s="8">
        <v>4</v>
      </c>
      <c r="K9" s="8" t="s">
        <v>149</v>
      </c>
      <c r="L9" s="1" t="s">
        <v>631</v>
      </c>
      <c r="M9" s="1" t="s">
        <v>111</v>
      </c>
      <c r="N9" s="1">
        <v>26074296</v>
      </c>
      <c r="O9" s="8" t="s">
        <v>594</v>
      </c>
      <c r="P9" s="19" t="s">
        <v>23</v>
      </c>
      <c r="Q9" s="19" t="s">
        <v>505</v>
      </c>
      <c r="R9" s="19" t="s">
        <v>673</v>
      </c>
      <c r="S9" s="19" t="s">
        <v>506</v>
      </c>
      <c r="T9" s="1" t="str">
        <f t="shared" si="0"/>
        <v>nuggets,milehighbasketball</v>
      </c>
      <c r="U9" s="1" t="s">
        <v>604</v>
      </c>
      <c r="V9" s="19" t="s">
        <v>673</v>
      </c>
      <c r="W9" s="19" t="s">
        <v>675</v>
      </c>
      <c r="X9" s="19" t="s">
        <v>698</v>
      </c>
      <c r="Y9" s="19" t="s">
        <v>688</v>
      </c>
    </row>
    <row r="10" spans="1:25" ht="15" customHeight="1" x14ac:dyDescent="0.25">
      <c r="A10" s="1">
        <v>9</v>
      </c>
      <c r="B10" s="1">
        <v>9</v>
      </c>
      <c r="C10" s="1" t="s">
        <v>7</v>
      </c>
      <c r="D10" s="1" t="s">
        <v>112</v>
      </c>
      <c r="E10" s="19" t="s">
        <v>198</v>
      </c>
      <c r="F10" s="19" t="s">
        <v>507</v>
      </c>
      <c r="G10" s="19">
        <v>1</v>
      </c>
      <c r="H10" s="1">
        <v>1</v>
      </c>
      <c r="I10" s="8" t="s">
        <v>24</v>
      </c>
      <c r="J10" s="8">
        <v>2</v>
      </c>
      <c r="K10" s="8" t="s">
        <v>146</v>
      </c>
      <c r="L10" s="1" t="s">
        <v>645</v>
      </c>
      <c r="M10" s="1" t="s">
        <v>112</v>
      </c>
      <c r="N10" s="1">
        <v>16727749</v>
      </c>
      <c r="O10" s="8" t="s">
        <v>595</v>
      </c>
      <c r="P10" s="19" t="s">
        <v>7</v>
      </c>
      <c r="Q10" s="19" t="s">
        <v>508</v>
      </c>
      <c r="R10" s="19" t="s">
        <v>674</v>
      </c>
      <c r="S10" s="19" t="s">
        <v>509</v>
      </c>
      <c r="T10" s="1" t="str">
        <f t="shared" si="0"/>
        <v>pistons,detroitbasketball</v>
      </c>
      <c r="U10" s="1" t="s">
        <v>605</v>
      </c>
      <c r="V10" s="19" t="s">
        <v>677</v>
      </c>
      <c r="W10" s="19" t="s">
        <v>674</v>
      </c>
      <c r="X10" s="19" t="s">
        <v>698</v>
      </c>
      <c r="Y10" s="19" t="s">
        <v>688</v>
      </c>
    </row>
    <row r="11" spans="1:25" ht="15" customHeight="1" x14ac:dyDescent="0.25">
      <c r="A11" s="1">
        <v>10</v>
      </c>
      <c r="B11" s="1">
        <v>10</v>
      </c>
      <c r="C11" s="1" t="s">
        <v>468</v>
      </c>
      <c r="D11" s="1" t="s">
        <v>113</v>
      </c>
      <c r="E11" s="19" t="s">
        <v>461</v>
      </c>
      <c r="F11" s="19" t="s">
        <v>510</v>
      </c>
      <c r="G11" s="19">
        <v>1</v>
      </c>
      <c r="H11" s="1">
        <v>2</v>
      </c>
      <c r="I11" s="8" t="s">
        <v>25</v>
      </c>
      <c r="J11" s="8">
        <v>5</v>
      </c>
      <c r="K11" s="8" t="s">
        <v>145</v>
      </c>
      <c r="L11" s="1" t="s">
        <v>630</v>
      </c>
      <c r="M11" s="1" t="s">
        <v>113</v>
      </c>
      <c r="N11" s="1">
        <v>26270913</v>
      </c>
      <c r="O11" s="8" t="s">
        <v>573</v>
      </c>
      <c r="P11" s="19" t="s">
        <v>468</v>
      </c>
      <c r="Q11" s="19" t="s">
        <v>511</v>
      </c>
      <c r="R11" s="19" t="s">
        <v>675</v>
      </c>
      <c r="S11" s="19" t="s">
        <v>512</v>
      </c>
      <c r="T11" s="1" t="str">
        <f t="shared" si="0"/>
        <v>warriors,dubnation</v>
      </c>
      <c r="U11" s="1" t="s">
        <v>606</v>
      </c>
      <c r="V11" s="19" t="s">
        <v>675</v>
      </c>
      <c r="W11" s="19" t="s">
        <v>674</v>
      </c>
      <c r="X11" s="19" t="s">
        <v>699</v>
      </c>
      <c r="Y11" s="19" t="s">
        <v>688</v>
      </c>
    </row>
    <row r="12" spans="1:25" ht="15" customHeight="1" x14ac:dyDescent="0.25">
      <c r="A12" s="1">
        <v>11</v>
      </c>
      <c r="B12" s="1">
        <v>11</v>
      </c>
      <c r="C12" s="1" t="s">
        <v>4</v>
      </c>
      <c r="D12" s="1" t="s">
        <v>115</v>
      </c>
      <c r="E12" s="19" t="s">
        <v>199</v>
      </c>
      <c r="F12" s="19" t="s">
        <v>513</v>
      </c>
      <c r="G12" s="19">
        <v>1</v>
      </c>
      <c r="H12" s="1">
        <v>2</v>
      </c>
      <c r="I12" s="8" t="s">
        <v>25</v>
      </c>
      <c r="J12" s="8">
        <v>6</v>
      </c>
      <c r="K12" s="8" t="s">
        <v>144</v>
      </c>
      <c r="L12" s="1" t="s">
        <v>640</v>
      </c>
      <c r="M12" s="1" t="s">
        <v>115</v>
      </c>
      <c r="N12" s="1">
        <v>19077044</v>
      </c>
      <c r="O12" s="8" t="s">
        <v>574</v>
      </c>
      <c r="P12" s="19" t="s">
        <v>4</v>
      </c>
      <c r="Q12" s="19" t="s">
        <v>514</v>
      </c>
      <c r="R12" s="19" t="s">
        <v>671</v>
      </c>
      <c r="S12" s="19" t="s">
        <v>515</v>
      </c>
      <c r="T12" s="1" t="str">
        <f t="shared" si="0"/>
        <v>rockets,rockets50</v>
      </c>
      <c r="U12" s="1" t="s">
        <v>607</v>
      </c>
      <c r="V12" s="19" t="s">
        <v>671</v>
      </c>
      <c r="W12" s="19" t="s">
        <v>696</v>
      </c>
      <c r="X12" s="19" t="s">
        <v>669</v>
      </c>
      <c r="Y12" s="19" t="s">
        <v>675</v>
      </c>
    </row>
    <row r="13" spans="1:25" ht="15" customHeight="1" x14ac:dyDescent="0.25">
      <c r="A13" s="1">
        <v>12</v>
      </c>
      <c r="B13" s="1">
        <v>12</v>
      </c>
      <c r="C13" s="1" t="s">
        <v>13</v>
      </c>
      <c r="D13" s="1" t="s">
        <v>116</v>
      </c>
      <c r="E13" s="19" t="s">
        <v>462</v>
      </c>
      <c r="F13" s="19" t="s">
        <v>516</v>
      </c>
      <c r="G13" s="19">
        <v>1</v>
      </c>
      <c r="H13" s="1">
        <v>1</v>
      </c>
      <c r="I13" s="8" t="s">
        <v>24</v>
      </c>
      <c r="J13" s="8">
        <v>2</v>
      </c>
      <c r="K13" s="8" t="s">
        <v>146</v>
      </c>
      <c r="L13" s="1" t="s">
        <v>516</v>
      </c>
      <c r="M13" s="1" t="s">
        <v>116</v>
      </c>
      <c r="N13" s="1">
        <v>19409270</v>
      </c>
      <c r="O13" s="8" t="s">
        <v>575</v>
      </c>
      <c r="P13" s="19" t="s">
        <v>13</v>
      </c>
      <c r="Q13" s="19" t="s">
        <v>517</v>
      </c>
      <c r="R13" s="19" t="s">
        <v>676</v>
      </c>
      <c r="S13" s="19" t="s">
        <v>518</v>
      </c>
      <c r="T13" s="1" t="str">
        <f t="shared" si="0"/>
        <v>pacers,gopacers</v>
      </c>
      <c r="U13" s="1" t="s">
        <v>608</v>
      </c>
      <c r="V13" s="19" t="s">
        <v>676</v>
      </c>
      <c r="W13" s="19" t="s">
        <v>700</v>
      </c>
      <c r="X13" s="19" t="s">
        <v>701</v>
      </c>
      <c r="Y13" s="19" t="s">
        <v>688</v>
      </c>
    </row>
    <row r="14" spans="1:25" ht="15" customHeight="1" x14ac:dyDescent="0.25">
      <c r="A14" s="1">
        <v>13</v>
      </c>
      <c r="B14" s="1">
        <v>13</v>
      </c>
      <c r="C14" s="1" t="s">
        <v>14</v>
      </c>
      <c r="D14" s="1" t="s">
        <v>117</v>
      </c>
      <c r="E14" s="19" t="s">
        <v>463</v>
      </c>
      <c r="F14" s="19" t="s">
        <v>519</v>
      </c>
      <c r="G14" s="19">
        <v>1</v>
      </c>
      <c r="H14" s="1">
        <v>2</v>
      </c>
      <c r="I14" s="8" t="s">
        <v>25</v>
      </c>
      <c r="J14" s="8">
        <v>5</v>
      </c>
      <c r="K14" s="8" t="s">
        <v>145</v>
      </c>
      <c r="L14" s="1" t="s">
        <v>637</v>
      </c>
      <c r="M14" s="1" t="s">
        <v>658</v>
      </c>
      <c r="N14" s="1">
        <v>19564719</v>
      </c>
      <c r="O14" s="8" t="s">
        <v>576</v>
      </c>
      <c r="P14" s="19" t="s">
        <v>14</v>
      </c>
      <c r="Q14" s="19" t="s">
        <v>520</v>
      </c>
      <c r="R14" s="19" t="s">
        <v>677</v>
      </c>
      <c r="S14" s="19" t="s">
        <v>521</v>
      </c>
      <c r="T14" s="1" t="str">
        <f t="shared" si="0"/>
        <v>clippers,ittakeseverything</v>
      </c>
      <c r="U14" s="1" t="s">
        <v>609</v>
      </c>
      <c r="V14" s="19" t="s">
        <v>677</v>
      </c>
      <c r="W14" s="19" t="s">
        <v>674</v>
      </c>
      <c r="X14" s="19" t="s">
        <v>669</v>
      </c>
      <c r="Y14" s="19" t="s">
        <v>701</v>
      </c>
    </row>
    <row r="15" spans="1:25" ht="15" customHeight="1" x14ac:dyDescent="0.25">
      <c r="A15" s="1">
        <v>14</v>
      </c>
      <c r="B15" s="1">
        <v>14</v>
      </c>
      <c r="C15" s="1" t="s">
        <v>18</v>
      </c>
      <c r="D15" s="1" t="s">
        <v>118</v>
      </c>
      <c r="E15" s="19" t="s">
        <v>463</v>
      </c>
      <c r="F15" s="19" t="s">
        <v>522</v>
      </c>
      <c r="G15" s="19">
        <v>1</v>
      </c>
      <c r="H15" s="1">
        <v>2</v>
      </c>
      <c r="I15" s="8" t="s">
        <v>25</v>
      </c>
      <c r="J15" s="8">
        <v>5</v>
      </c>
      <c r="K15" s="8" t="s">
        <v>145</v>
      </c>
      <c r="L15" s="1" t="s">
        <v>522</v>
      </c>
      <c r="M15" s="1" t="s">
        <v>118</v>
      </c>
      <c r="N15" s="1">
        <v>20346956</v>
      </c>
      <c r="O15" s="8" t="s">
        <v>577</v>
      </c>
      <c r="P15" s="19" t="s">
        <v>18</v>
      </c>
      <c r="Q15" s="19" t="s">
        <v>523</v>
      </c>
      <c r="R15" s="19" t="s">
        <v>675</v>
      </c>
      <c r="S15" s="19" t="s">
        <v>524</v>
      </c>
      <c r="T15" s="1" t="str">
        <f t="shared" si="0"/>
        <v>lakers,lakeshow</v>
      </c>
      <c r="U15" s="1" t="s">
        <v>610</v>
      </c>
      <c r="V15" s="19" t="s">
        <v>675</v>
      </c>
      <c r="W15" s="19" t="s">
        <v>702</v>
      </c>
      <c r="X15" s="19" t="s">
        <v>669</v>
      </c>
      <c r="Y15" s="19" t="s">
        <v>703</v>
      </c>
    </row>
    <row r="16" spans="1:25" ht="15" customHeight="1" x14ac:dyDescent="0.25">
      <c r="A16" s="1">
        <v>15</v>
      </c>
      <c r="B16" s="1">
        <v>15</v>
      </c>
      <c r="C16" s="1" t="s">
        <v>9</v>
      </c>
      <c r="D16" s="1" t="s">
        <v>119</v>
      </c>
      <c r="E16" s="19" t="s">
        <v>200</v>
      </c>
      <c r="F16" s="19" t="s">
        <v>525</v>
      </c>
      <c r="G16" s="19">
        <v>1</v>
      </c>
      <c r="H16" s="1">
        <v>2</v>
      </c>
      <c r="I16" s="8" t="s">
        <v>25</v>
      </c>
      <c r="J16" s="8">
        <v>6</v>
      </c>
      <c r="K16" s="8" t="s">
        <v>144</v>
      </c>
      <c r="L16" s="1" t="s">
        <v>650</v>
      </c>
      <c r="M16" s="1" t="s">
        <v>119</v>
      </c>
      <c r="N16" s="1">
        <v>7117962</v>
      </c>
      <c r="O16" s="8" t="s">
        <v>578</v>
      </c>
      <c r="P16" s="19" t="s">
        <v>9</v>
      </c>
      <c r="Q16" s="19" t="s">
        <v>526</v>
      </c>
      <c r="R16" s="19" t="s">
        <v>678</v>
      </c>
      <c r="S16" s="19" t="s">
        <v>527</v>
      </c>
      <c r="T16" s="1" t="str">
        <f t="shared" si="0"/>
        <v>grizzlies,grindcity</v>
      </c>
      <c r="U16" s="1" t="s">
        <v>611</v>
      </c>
      <c r="V16" s="19" t="s">
        <v>698</v>
      </c>
      <c r="W16" s="19" t="s">
        <v>678</v>
      </c>
      <c r="X16" s="19" t="s">
        <v>704</v>
      </c>
      <c r="Y16" s="19" t="s">
        <v>675</v>
      </c>
    </row>
    <row r="17" spans="1:25" ht="15" customHeight="1" x14ac:dyDescent="0.25">
      <c r="A17" s="1">
        <v>16</v>
      </c>
      <c r="B17" s="1">
        <v>16</v>
      </c>
      <c r="C17" s="1" t="s">
        <v>15</v>
      </c>
      <c r="D17" s="1" t="s">
        <v>120</v>
      </c>
      <c r="E17" s="19" t="s">
        <v>201</v>
      </c>
      <c r="F17" s="19" t="s">
        <v>528</v>
      </c>
      <c r="G17" s="19">
        <v>1</v>
      </c>
      <c r="H17" s="1">
        <v>1</v>
      </c>
      <c r="I17" s="8" t="s">
        <v>24</v>
      </c>
      <c r="J17" s="8">
        <v>3</v>
      </c>
      <c r="K17" s="8" t="s">
        <v>148</v>
      </c>
      <c r="L17" s="1" t="s">
        <v>649</v>
      </c>
      <c r="M17" s="1" t="s">
        <v>659</v>
      </c>
      <c r="N17" s="1">
        <v>11026952</v>
      </c>
      <c r="O17" s="8" t="s">
        <v>579</v>
      </c>
      <c r="P17" s="19" t="s">
        <v>15</v>
      </c>
      <c r="Q17" s="19" t="s">
        <v>529</v>
      </c>
      <c r="R17" s="19" t="s">
        <v>679</v>
      </c>
      <c r="S17" s="19" t="s">
        <v>530</v>
      </c>
      <c r="T17" s="1" t="str">
        <f t="shared" si="0"/>
        <v>heat,heatison</v>
      </c>
      <c r="U17" s="1" t="s">
        <v>612</v>
      </c>
      <c r="V17" s="19" t="s">
        <v>679</v>
      </c>
      <c r="W17" s="19" t="s">
        <v>705</v>
      </c>
      <c r="X17" s="19" t="s">
        <v>669</v>
      </c>
      <c r="Y17" s="19" t="s">
        <v>706</v>
      </c>
    </row>
    <row r="18" spans="1:25" ht="15" customHeight="1" x14ac:dyDescent="0.25">
      <c r="A18" s="1">
        <v>17</v>
      </c>
      <c r="B18" s="1">
        <v>17</v>
      </c>
      <c r="C18" s="1" t="s">
        <v>10</v>
      </c>
      <c r="D18" s="1" t="s">
        <v>121</v>
      </c>
      <c r="E18" s="19" t="s">
        <v>202</v>
      </c>
      <c r="F18" s="19" t="s">
        <v>531</v>
      </c>
      <c r="G18" s="19">
        <v>1</v>
      </c>
      <c r="H18" s="1">
        <v>1</v>
      </c>
      <c r="I18" s="8" t="s">
        <v>24</v>
      </c>
      <c r="J18" s="8">
        <v>3</v>
      </c>
      <c r="K18" s="8" t="s">
        <v>146</v>
      </c>
      <c r="L18" s="1" t="s">
        <v>531</v>
      </c>
      <c r="M18" s="1" t="s">
        <v>121</v>
      </c>
      <c r="N18" s="1">
        <v>15900167</v>
      </c>
      <c r="O18" s="8" t="s">
        <v>580</v>
      </c>
      <c r="P18" s="19" t="s">
        <v>10</v>
      </c>
      <c r="Q18" s="19" t="s">
        <v>532</v>
      </c>
      <c r="R18" s="19" t="s">
        <v>680</v>
      </c>
      <c r="S18" s="19" t="s">
        <v>533</v>
      </c>
      <c r="T18" s="1" t="str">
        <f t="shared" si="0"/>
        <v>bucks,ownthefuture</v>
      </c>
      <c r="U18" s="1" t="s">
        <v>613</v>
      </c>
      <c r="V18" s="19" t="s">
        <v>680</v>
      </c>
      <c r="W18" s="19" t="s">
        <v>707</v>
      </c>
      <c r="X18" s="19" t="s">
        <v>669</v>
      </c>
      <c r="Y18" s="19" t="s">
        <v>684</v>
      </c>
    </row>
    <row r="19" spans="1:25" ht="15" customHeight="1" x14ac:dyDescent="0.25">
      <c r="A19" s="1">
        <v>18</v>
      </c>
      <c r="B19" s="1">
        <v>18</v>
      </c>
      <c r="C19" s="1" t="s">
        <v>3</v>
      </c>
      <c r="D19" s="1" t="s">
        <v>122</v>
      </c>
      <c r="E19" s="19" t="s">
        <v>464</v>
      </c>
      <c r="F19" s="19" t="s">
        <v>534</v>
      </c>
      <c r="G19" s="19">
        <v>1</v>
      </c>
      <c r="H19" s="1">
        <v>1</v>
      </c>
      <c r="I19" s="8" t="s">
        <v>24</v>
      </c>
      <c r="J19" s="8">
        <v>4</v>
      </c>
      <c r="K19" s="8" t="s">
        <v>149</v>
      </c>
      <c r="L19" s="1" t="s">
        <v>633</v>
      </c>
      <c r="M19" s="1" t="s">
        <v>123</v>
      </c>
      <c r="N19" s="1">
        <v>24903350</v>
      </c>
      <c r="O19" s="8" t="s">
        <v>581</v>
      </c>
      <c r="P19" s="19" t="s">
        <v>3</v>
      </c>
      <c r="Q19" s="19" t="s">
        <v>535</v>
      </c>
      <c r="R19" s="19" t="s">
        <v>681</v>
      </c>
      <c r="S19" s="19" t="s">
        <v>536</v>
      </c>
      <c r="T19" s="1" t="str">
        <f t="shared" si="0"/>
        <v>timberwolves,powerofthepack</v>
      </c>
      <c r="U19" s="8" t="s">
        <v>625</v>
      </c>
      <c r="V19" s="19" t="s">
        <v>681</v>
      </c>
      <c r="W19" s="19" t="s">
        <v>708</v>
      </c>
      <c r="X19" s="19" t="s">
        <v>696</v>
      </c>
      <c r="Y19" s="19" t="s">
        <v>709</v>
      </c>
    </row>
    <row r="20" spans="1:25" ht="15" customHeight="1" x14ac:dyDescent="0.25">
      <c r="A20" s="1">
        <v>19</v>
      </c>
      <c r="B20" s="1">
        <v>19</v>
      </c>
      <c r="C20" s="8" t="s">
        <v>469</v>
      </c>
      <c r="D20" s="1" t="s">
        <v>123</v>
      </c>
      <c r="E20" s="19" t="s">
        <v>203</v>
      </c>
      <c r="F20" s="19" t="s">
        <v>537</v>
      </c>
      <c r="G20" s="19">
        <v>1</v>
      </c>
      <c r="H20" s="8">
        <v>1</v>
      </c>
      <c r="I20" s="8" t="s">
        <v>24</v>
      </c>
      <c r="J20" s="8">
        <v>6</v>
      </c>
      <c r="K20" s="8" t="s">
        <v>144</v>
      </c>
      <c r="L20" s="1" t="s">
        <v>636</v>
      </c>
      <c r="M20" s="1" t="s">
        <v>657</v>
      </c>
      <c r="N20" s="1">
        <v>20265254</v>
      </c>
      <c r="O20" s="8" t="s">
        <v>537</v>
      </c>
      <c r="P20" s="19" t="s">
        <v>469</v>
      </c>
      <c r="Q20" s="19" t="s">
        <v>538</v>
      </c>
      <c r="R20" s="19" t="s">
        <v>682</v>
      </c>
      <c r="S20" s="19" t="s">
        <v>539</v>
      </c>
      <c r="T20" s="1" t="str">
        <f t="shared" si="0"/>
        <v>pelicans,pelicans</v>
      </c>
      <c r="U20" s="1" t="s">
        <v>614</v>
      </c>
      <c r="V20" s="19" t="s">
        <v>682</v>
      </c>
      <c r="W20" s="19" t="s">
        <v>710</v>
      </c>
      <c r="X20" s="19" t="s">
        <v>711</v>
      </c>
      <c r="Y20" s="19" t="s">
        <v>688</v>
      </c>
    </row>
    <row r="21" spans="1:25" ht="15" customHeight="1" x14ac:dyDescent="0.25">
      <c r="A21" s="1">
        <v>20</v>
      </c>
      <c r="B21" s="1">
        <v>20</v>
      </c>
      <c r="C21" s="1" t="s">
        <v>470</v>
      </c>
      <c r="D21" s="1" t="s">
        <v>125</v>
      </c>
      <c r="E21" s="19" t="s">
        <v>475</v>
      </c>
      <c r="F21" s="19" t="s">
        <v>540</v>
      </c>
      <c r="G21" s="19">
        <v>1</v>
      </c>
      <c r="H21" s="1">
        <v>1</v>
      </c>
      <c r="I21" s="8" t="s">
        <v>24</v>
      </c>
      <c r="J21" s="8">
        <v>1</v>
      </c>
      <c r="K21" s="8" t="s">
        <v>147</v>
      </c>
      <c r="L21" s="1" t="s">
        <v>632</v>
      </c>
      <c r="M21" s="1" t="s">
        <v>656</v>
      </c>
      <c r="N21" s="1">
        <v>24925573</v>
      </c>
      <c r="O21" s="8" t="s">
        <v>540</v>
      </c>
      <c r="P21" s="19" t="s">
        <v>470</v>
      </c>
      <c r="Q21" s="19" t="s">
        <v>541</v>
      </c>
      <c r="R21" s="19" t="s">
        <v>674</v>
      </c>
      <c r="S21" s="19" t="s">
        <v>542</v>
      </c>
      <c r="T21" s="1" t="str">
        <f t="shared" si="0"/>
        <v>knicks,knicks</v>
      </c>
      <c r="U21" s="8" t="s">
        <v>626</v>
      </c>
      <c r="V21" s="19" t="s">
        <v>674</v>
      </c>
      <c r="W21" s="19" t="s">
        <v>712</v>
      </c>
      <c r="X21" s="19" t="s">
        <v>701</v>
      </c>
      <c r="Y21" s="19" t="s">
        <v>713</v>
      </c>
    </row>
    <row r="22" spans="1:25" ht="15" customHeight="1" x14ac:dyDescent="0.25">
      <c r="A22" s="1">
        <v>21</v>
      </c>
      <c r="B22" s="1">
        <v>21</v>
      </c>
      <c r="C22" s="1" t="s">
        <v>12</v>
      </c>
      <c r="D22" s="1" t="s">
        <v>127</v>
      </c>
      <c r="E22" s="19" t="s">
        <v>465</v>
      </c>
      <c r="F22" s="19" t="s">
        <v>543</v>
      </c>
      <c r="G22" s="19">
        <v>1</v>
      </c>
      <c r="H22" s="1">
        <v>1</v>
      </c>
      <c r="I22" s="8" t="s">
        <v>24</v>
      </c>
      <c r="J22" s="8">
        <v>4</v>
      </c>
      <c r="K22" s="8" t="s">
        <v>149</v>
      </c>
      <c r="L22" s="1" t="s">
        <v>638</v>
      </c>
      <c r="M22" s="1" t="s">
        <v>128</v>
      </c>
      <c r="N22" s="1">
        <v>19537303</v>
      </c>
      <c r="O22" s="8" t="s">
        <v>582</v>
      </c>
      <c r="P22" s="19" t="s">
        <v>12</v>
      </c>
      <c r="Q22" s="19" t="s">
        <v>544</v>
      </c>
      <c r="R22" s="19" t="s">
        <v>683</v>
      </c>
      <c r="S22" s="19" t="s">
        <v>545</v>
      </c>
      <c r="T22" s="1" t="str">
        <f t="shared" si="0"/>
        <v>thunder,thunderup</v>
      </c>
      <c r="U22" s="1" t="s">
        <v>615</v>
      </c>
      <c r="V22" s="19" t="s">
        <v>683</v>
      </c>
      <c r="W22" s="19" t="s">
        <v>714</v>
      </c>
      <c r="X22" s="19" t="s">
        <v>694</v>
      </c>
      <c r="Y22" s="19" t="s">
        <v>695</v>
      </c>
    </row>
    <row r="23" spans="1:25" ht="15" customHeight="1" x14ac:dyDescent="0.25">
      <c r="A23" s="1">
        <v>22</v>
      </c>
      <c r="B23" s="1">
        <v>22</v>
      </c>
      <c r="C23" s="1" t="s">
        <v>11</v>
      </c>
      <c r="D23" s="1" t="s">
        <v>128</v>
      </c>
      <c r="E23" s="19" t="s">
        <v>204</v>
      </c>
      <c r="F23" s="19" t="s">
        <v>546</v>
      </c>
      <c r="G23" s="19">
        <v>1</v>
      </c>
      <c r="H23" s="1">
        <v>1</v>
      </c>
      <c r="I23" s="8" t="s">
        <v>24</v>
      </c>
      <c r="J23" s="8">
        <v>3</v>
      </c>
      <c r="K23" s="8" t="s">
        <v>148</v>
      </c>
      <c r="L23" s="1" t="s">
        <v>647</v>
      </c>
      <c r="M23" s="1" t="s">
        <v>129</v>
      </c>
      <c r="N23" s="1">
        <v>16201775</v>
      </c>
      <c r="O23" s="8" t="s">
        <v>583</v>
      </c>
      <c r="P23" s="19" t="s">
        <v>11</v>
      </c>
      <c r="Q23" s="19" t="s">
        <v>547</v>
      </c>
      <c r="R23" s="19" t="s">
        <v>684</v>
      </c>
      <c r="S23" s="19" t="s">
        <v>548</v>
      </c>
      <c r="T23" s="1" t="str">
        <f t="shared" si="0"/>
        <v>magic,letsgomagic</v>
      </c>
      <c r="U23" s="1" t="s">
        <v>616</v>
      </c>
      <c r="V23" s="19" t="s">
        <v>684</v>
      </c>
      <c r="W23" s="19" t="s">
        <v>696</v>
      </c>
      <c r="X23" s="19" t="s">
        <v>669</v>
      </c>
      <c r="Y23" s="19" t="s">
        <v>688</v>
      </c>
    </row>
    <row r="24" spans="1:25" ht="15" customHeight="1" x14ac:dyDescent="0.25">
      <c r="A24" s="1">
        <v>23</v>
      </c>
      <c r="B24" s="1">
        <v>23</v>
      </c>
      <c r="C24" s="1" t="s">
        <v>20</v>
      </c>
      <c r="D24" s="1" t="s">
        <v>129</v>
      </c>
      <c r="E24" s="19" t="s">
        <v>205</v>
      </c>
      <c r="F24" s="19" t="s">
        <v>549</v>
      </c>
      <c r="G24" s="19">
        <v>1</v>
      </c>
      <c r="H24" s="1">
        <v>1</v>
      </c>
      <c r="I24" s="8" t="s">
        <v>24</v>
      </c>
      <c r="J24" s="8">
        <v>1</v>
      </c>
      <c r="K24" s="8" t="s">
        <v>147</v>
      </c>
      <c r="L24" s="1" t="s">
        <v>551</v>
      </c>
      <c r="M24" s="1" t="s">
        <v>130</v>
      </c>
      <c r="N24" s="1">
        <v>18481113</v>
      </c>
      <c r="O24" s="8" t="s">
        <v>584</v>
      </c>
      <c r="P24" s="19" t="s">
        <v>20</v>
      </c>
      <c r="Q24" s="19" t="s">
        <v>520</v>
      </c>
      <c r="R24" s="19" t="s">
        <v>677</v>
      </c>
      <c r="S24" s="19" t="s">
        <v>550</v>
      </c>
      <c r="T24" s="1" t="str">
        <f t="shared" si="0"/>
        <v>76ers,madeinphila</v>
      </c>
      <c r="U24" s="8" t="s">
        <v>628</v>
      </c>
      <c r="V24" s="19" t="s">
        <v>677</v>
      </c>
      <c r="W24" s="19" t="s">
        <v>674</v>
      </c>
      <c r="X24" s="19" t="s">
        <v>682</v>
      </c>
      <c r="Y24" s="19" t="s">
        <v>696</v>
      </c>
    </row>
    <row r="25" spans="1:25" ht="15" customHeight="1" x14ac:dyDescent="0.25">
      <c r="A25" s="1">
        <v>24</v>
      </c>
      <c r="B25" s="1">
        <v>24</v>
      </c>
      <c r="C25" s="1" t="s">
        <v>471</v>
      </c>
      <c r="D25" s="1" t="s">
        <v>130</v>
      </c>
      <c r="E25" s="19" t="s">
        <v>206</v>
      </c>
      <c r="F25" s="19" t="s">
        <v>551</v>
      </c>
      <c r="G25" s="19">
        <v>1</v>
      </c>
      <c r="H25" s="1">
        <v>1</v>
      </c>
      <c r="I25" s="8" t="s">
        <v>24</v>
      </c>
      <c r="J25" s="8">
        <v>5</v>
      </c>
      <c r="K25" s="8" t="s">
        <v>145</v>
      </c>
      <c r="L25" s="1" t="s">
        <v>652</v>
      </c>
      <c r="M25" s="1" t="s">
        <v>132</v>
      </c>
      <c r="N25" s="1">
        <v>667563</v>
      </c>
      <c r="O25" s="8" t="s">
        <v>585</v>
      </c>
      <c r="P25" s="19" t="s">
        <v>19</v>
      </c>
      <c r="Q25" s="19" t="s">
        <v>552</v>
      </c>
      <c r="R25" s="19" t="s">
        <v>685</v>
      </c>
      <c r="S25" s="19" t="s">
        <v>553</v>
      </c>
      <c r="T25" s="1" t="str">
        <f t="shared" si="0"/>
        <v>suns,wearephx</v>
      </c>
      <c r="U25" s="1" t="s">
        <v>617</v>
      </c>
      <c r="V25" s="19" t="s">
        <v>685</v>
      </c>
      <c r="W25" s="19" t="s">
        <v>670</v>
      </c>
      <c r="X25" s="19" t="s">
        <v>715</v>
      </c>
      <c r="Y25" s="19" t="s">
        <v>705</v>
      </c>
    </row>
    <row r="26" spans="1:25" ht="15" customHeight="1" x14ac:dyDescent="0.25">
      <c r="A26" s="1">
        <v>25</v>
      </c>
      <c r="B26" s="1">
        <v>25</v>
      </c>
      <c r="C26" s="1" t="s">
        <v>1</v>
      </c>
      <c r="D26" s="1" t="s">
        <v>131</v>
      </c>
      <c r="E26" s="19" t="s">
        <v>207</v>
      </c>
      <c r="F26" s="19" t="s">
        <v>554</v>
      </c>
      <c r="G26" s="19">
        <v>1</v>
      </c>
      <c r="H26" s="1">
        <v>1</v>
      </c>
      <c r="I26" s="8" t="s">
        <v>24</v>
      </c>
      <c r="J26" s="8">
        <v>4</v>
      </c>
      <c r="K26" s="8" t="s">
        <v>149</v>
      </c>
      <c r="L26" s="1" t="s">
        <v>642</v>
      </c>
      <c r="M26" s="1" t="s">
        <v>133</v>
      </c>
      <c r="N26" s="1">
        <v>18371803</v>
      </c>
      <c r="O26" s="8" t="s">
        <v>586</v>
      </c>
      <c r="P26" s="19" t="s">
        <v>1</v>
      </c>
      <c r="Q26" s="19" t="s">
        <v>555</v>
      </c>
      <c r="R26" s="19" t="s">
        <v>669</v>
      </c>
      <c r="S26" s="19" t="s">
        <v>556</v>
      </c>
      <c r="T26" s="1" t="str">
        <f t="shared" si="0"/>
        <v>trail blazers,ripcity</v>
      </c>
      <c r="U26" s="8" t="s">
        <v>629</v>
      </c>
      <c r="V26" s="19" t="s">
        <v>716</v>
      </c>
      <c r="W26" s="19" t="s">
        <v>717</v>
      </c>
      <c r="X26" s="19" t="s">
        <v>669</v>
      </c>
      <c r="Y26" s="19" t="s">
        <v>688</v>
      </c>
    </row>
    <row r="27" spans="1:25" ht="15" customHeight="1" x14ac:dyDescent="0.25">
      <c r="A27" s="1">
        <v>26</v>
      </c>
      <c r="B27" s="1">
        <v>26</v>
      </c>
      <c r="C27" s="1" t="s">
        <v>21</v>
      </c>
      <c r="D27" s="1" t="s">
        <v>132</v>
      </c>
      <c r="E27" s="19" t="s">
        <v>208</v>
      </c>
      <c r="F27" s="19" t="s">
        <v>557</v>
      </c>
      <c r="G27" s="19">
        <v>1</v>
      </c>
      <c r="H27" s="1">
        <v>1</v>
      </c>
      <c r="I27" s="8" t="s">
        <v>24</v>
      </c>
      <c r="J27" s="8">
        <v>5</v>
      </c>
      <c r="K27" s="8" t="s">
        <v>145</v>
      </c>
      <c r="L27" s="1" t="s">
        <v>534</v>
      </c>
      <c r="M27" s="1" t="s">
        <v>534</v>
      </c>
      <c r="N27" s="1">
        <v>20196159</v>
      </c>
      <c r="O27" s="8" t="s">
        <v>587</v>
      </c>
      <c r="P27" s="19" t="s">
        <v>21</v>
      </c>
      <c r="Q27" s="19" t="s">
        <v>558</v>
      </c>
      <c r="R27" s="19" t="s">
        <v>686</v>
      </c>
      <c r="S27" s="19" t="s">
        <v>559</v>
      </c>
      <c r="T27" s="1" t="str">
        <f t="shared" si="0"/>
        <v>kings,scramentopround</v>
      </c>
      <c r="U27" s="1" t="s">
        <v>618</v>
      </c>
      <c r="V27" s="19" t="s">
        <v>686</v>
      </c>
      <c r="W27" s="19" t="s">
        <v>718</v>
      </c>
      <c r="X27" s="19" t="s">
        <v>669</v>
      </c>
      <c r="Y27" s="19" t="s">
        <v>688</v>
      </c>
    </row>
    <row r="28" spans="1:25" ht="15" customHeight="1" x14ac:dyDescent="0.25">
      <c r="A28" s="1">
        <v>27</v>
      </c>
      <c r="B28" s="1">
        <v>27</v>
      </c>
      <c r="C28" s="1" t="s">
        <v>472</v>
      </c>
      <c r="D28" s="1" t="s">
        <v>133</v>
      </c>
      <c r="E28" s="19" t="s">
        <v>209</v>
      </c>
      <c r="F28" s="19" t="s">
        <v>560</v>
      </c>
      <c r="G28" s="19">
        <v>1</v>
      </c>
      <c r="H28" s="1">
        <v>1</v>
      </c>
      <c r="I28" s="8" t="s">
        <v>24</v>
      </c>
      <c r="J28" s="8">
        <v>6</v>
      </c>
      <c r="K28" s="8" t="s">
        <v>144</v>
      </c>
      <c r="L28" s="1" t="s">
        <v>563</v>
      </c>
      <c r="M28" s="1" t="s">
        <v>135</v>
      </c>
      <c r="N28" s="1">
        <v>73406718</v>
      </c>
      <c r="O28" s="8" t="s">
        <v>588</v>
      </c>
      <c r="P28" s="19" t="s">
        <v>472</v>
      </c>
      <c r="Q28" s="19" t="s">
        <v>561</v>
      </c>
      <c r="R28" s="19" t="s">
        <v>669</v>
      </c>
      <c r="S28" s="19" t="s">
        <v>562</v>
      </c>
      <c r="T28" s="1" t="str">
        <f t="shared" si="0"/>
        <v>spurs,gospursgo</v>
      </c>
      <c r="U28" s="1" t="s">
        <v>619</v>
      </c>
      <c r="V28" s="19" t="s">
        <v>717</v>
      </c>
      <c r="W28" s="19" t="s">
        <v>669</v>
      </c>
      <c r="X28" s="19" t="s">
        <v>688</v>
      </c>
      <c r="Y28" s="19" t="s">
        <v>688</v>
      </c>
    </row>
    <row r="29" spans="1:25" ht="15" customHeight="1" x14ac:dyDescent="0.25">
      <c r="A29" s="1">
        <v>28</v>
      </c>
      <c r="B29" s="1">
        <v>28</v>
      </c>
      <c r="C29" s="1" t="s">
        <v>2</v>
      </c>
      <c r="D29" s="1" t="s">
        <v>135</v>
      </c>
      <c r="E29" s="19" t="s">
        <v>210</v>
      </c>
      <c r="F29" s="19" t="s">
        <v>563</v>
      </c>
      <c r="G29" s="19">
        <v>1</v>
      </c>
      <c r="H29" s="1">
        <v>1</v>
      </c>
      <c r="I29" s="8" t="s">
        <v>24</v>
      </c>
      <c r="J29" s="8">
        <v>1</v>
      </c>
      <c r="K29" s="8" t="s">
        <v>147</v>
      </c>
      <c r="L29" s="1" t="s">
        <v>651</v>
      </c>
      <c r="M29" s="1" t="s">
        <v>554</v>
      </c>
      <c r="N29" s="1">
        <v>6395222</v>
      </c>
      <c r="O29" s="8" t="s">
        <v>589</v>
      </c>
      <c r="P29" s="19" t="s">
        <v>2</v>
      </c>
      <c r="Q29" s="19" t="s">
        <v>496</v>
      </c>
      <c r="R29" s="19" t="s">
        <v>671</v>
      </c>
      <c r="S29" s="19" t="s">
        <v>564</v>
      </c>
      <c r="T29" s="1" t="str">
        <f t="shared" si="0"/>
        <v>raptors,wethenorth</v>
      </c>
      <c r="U29" s="1" t="s">
        <v>620</v>
      </c>
      <c r="V29" s="19" t="s">
        <v>671</v>
      </c>
      <c r="W29" s="19" t="s">
        <v>669</v>
      </c>
      <c r="X29" s="19" t="s">
        <v>693</v>
      </c>
      <c r="Y29" s="19" t="s">
        <v>711</v>
      </c>
    </row>
    <row r="30" spans="1:25" ht="15" customHeight="1" x14ac:dyDescent="0.25">
      <c r="A30" s="1">
        <v>29</v>
      </c>
      <c r="B30" s="1">
        <v>29</v>
      </c>
      <c r="C30" s="1" t="s">
        <v>473</v>
      </c>
      <c r="D30" s="1" t="s">
        <v>136</v>
      </c>
      <c r="E30" s="19" t="s">
        <v>466</v>
      </c>
      <c r="F30" s="19" t="s">
        <v>565</v>
      </c>
      <c r="G30" s="19">
        <v>1</v>
      </c>
      <c r="H30" s="1">
        <v>1</v>
      </c>
      <c r="I30" s="8" t="s">
        <v>24</v>
      </c>
      <c r="J30" s="8">
        <v>4</v>
      </c>
      <c r="K30" s="8" t="s">
        <v>149</v>
      </c>
      <c r="L30" s="1" t="s">
        <v>643</v>
      </c>
      <c r="M30" s="1" t="s">
        <v>136</v>
      </c>
      <c r="N30" s="1">
        <v>18360370</v>
      </c>
      <c r="O30" s="8" t="s">
        <v>590</v>
      </c>
      <c r="P30" s="19" t="s">
        <v>473</v>
      </c>
      <c r="Q30" s="19" t="s">
        <v>566</v>
      </c>
      <c r="R30" s="19" t="s">
        <v>682</v>
      </c>
      <c r="S30" s="19" t="s">
        <v>567</v>
      </c>
      <c r="T30" s="1" t="str">
        <f t="shared" si="0"/>
        <v>jazz,takenote</v>
      </c>
      <c r="U30" s="1" t="s">
        <v>621</v>
      </c>
      <c r="V30" s="19" t="s">
        <v>682</v>
      </c>
      <c r="W30" s="19" t="s">
        <v>705</v>
      </c>
      <c r="X30" s="19" t="s">
        <v>680</v>
      </c>
      <c r="Y30" s="19" t="s">
        <v>701</v>
      </c>
    </row>
    <row r="31" spans="1:25" ht="15" customHeight="1" x14ac:dyDescent="0.25">
      <c r="A31" s="1">
        <v>30</v>
      </c>
      <c r="B31" s="1">
        <v>30</v>
      </c>
      <c r="C31" s="20" t="s">
        <v>474</v>
      </c>
      <c r="D31" s="1" t="s">
        <v>138</v>
      </c>
      <c r="E31" s="19" t="s">
        <v>476</v>
      </c>
      <c r="F31" s="19" t="s">
        <v>568</v>
      </c>
      <c r="G31" s="19">
        <v>1</v>
      </c>
      <c r="H31" s="1">
        <v>1</v>
      </c>
      <c r="I31" s="8" t="s">
        <v>24</v>
      </c>
      <c r="J31" s="8">
        <v>3</v>
      </c>
      <c r="K31" s="8" t="s">
        <v>148</v>
      </c>
      <c r="L31" s="1" t="s">
        <v>648</v>
      </c>
      <c r="M31" s="1" t="s">
        <v>138</v>
      </c>
      <c r="N31" s="1">
        <v>14992591</v>
      </c>
      <c r="O31" s="8" t="s">
        <v>591</v>
      </c>
      <c r="P31" s="19" t="s">
        <v>474</v>
      </c>
      <c r="Q31" s="19" t="s">
        <v>538</v>
      </c>
      <c r="R31" s="19" t="s">
        <v>682</v>
      </c>
      <c r="S31" s="19" t="s">
        <v>569</v>
      </c>
      <c r="T31" s="1" t="str">
        <f t="shared" si="0"/>
        <v>wizards,dcfamily</v>
      </c>
      <c r="U31" s="1" t="s">
        <v>622</v>
      </c>
      <c r="V31" s="19" t="s">
        <v>682</v>
      </c>
      <c r="W31" s="19" t="s">
        <v>710</v>
      </c>
      <c r="X31" s="19" t="s">
        <v>719</v>
      </c>
      <c r="Y31" s="19" t="s">
        <v>688</v>
      </c>
    </row>
    <row r="32" spans="1:25" ht="15" customHeight="1" x14ac:dyDescent="0.25">
      <c r="A32" s="1">
        <v>31</v>
      </c>
      <c r="B32">
        <v>3</v>
      </c>
      <c r="C32" s="6" t="s">
        <v>480</v>
      </c>
      <c r="D32" s="1" t="s">
        <v>370</v>
      </c>
      <c r="E32" s="1" t="s">
        <v>192</v>
      </c>
      <c r="F32" s="8" t="s">
        <v>489</v>
      </c>
      <c r="G32" s="19">
        <v>0</v>
      </c>
      <c r="H32" s="8">
        <v>1</v>
      </c>
      <c r="I32" s="8" t="s">
        <v>24</v>
      </c>
      <c r="J32">
        <v>1</v>
      </c>
      <c r="K32" t="s">
        <v>147</v>
      </c>
      <c r="L32" s="19"/>
      <c r="M32" s="19"/>
      <c r="N32" s="19"/>
      <c r="O32" s="8"/>
      <c r="P32" s="6"/>
    </row>
    <row r="33" spans="1:16" ht="15" customHeight="1" x14ac:dyDescent="0.25">
      <c r="A33" s="1">
        <v>32</v>
      </c>
      <c r="B33" s="1">
        <v>19</v>
      </c>
      <c r="C33" s="6" t="s">
        <v>478</v>
      </c>
      <c r="D33" s="1" t="s">
        <v>369</v>
      </c>
      <c r="E33" s="8" t="s">
        <v>203</v>
      </c>
      <c r="F33" s="8" t="s">
        <v>492</v>
      </c>
      <c r="G33" s="19">
        <v>0</v>
      </c>
      <c r="H33" s="8">
        <v>2</v>
      </c>
      <c r="I33" s="8" t="s">
        <v>25</v>
      </c>
      <c r="J33" s="19">
        <v>6</v>
      </c>
      <c r="K33" s="19" t="s">
        <v>144</v>
      </c>
      <c r="L33" s="19"/>
      <c r="M33" s="19"/>
      <c r="N33" s="19"/>
      <c r="O33" s="8"/>
      <c r="P33" s="6"/>
    </row>
    <row r="34" spans="1:16" ht="15" customHeight="1" x14ac:dyDescent="0.25">
      <c r="A34" s="1">
        <v>33</v>
      </c>
      <c r="B34">
        <v>4</v>
      </c>
      <c r="C34" s="6" t="s">
        <v>8</v>
      </c>
      <c r="D34" s="1" t="s">
        <v>371</v>
      </c>
      <c r="E34" s="8" t="s">
        <v>193</v>
      </c>
      <c r="F34" s="8" t="s">
        <v>571</v>
      </c>
      <c r="G34" s="19">
        <v>0</v>
      </c>
      <c r="H34" s="8">
        <v>1</v>
      </c>
      <c r="I34" s="8" t="s">
        <v>24</v>
      </c>
      <c r="J34" s="19">
        <v>3</v>
      </c>
      <c r="K34" s="19" t="s">
        <v>148</v>
      </c>
      <c r="L34" s="19"/>
      <c r="M34" s="19"/>
      <c r="N34" s="19"/>
      <c r="O34" s="8"/>
      <c r="P34" s="6"/>
    </row>
    <row r="35" spans="1:16" ht="15" customHeight="1" x14ac:dyDescent="0.25">
      <c r="A35" s="1">
        <v>34</v>
      </c>
      <c r="B35">
        <v>21</v>
      </c>
      <c r="C35" s="6" t="s">
        <v>479</v>
      </c>
      <c r="D35" s="1" t="s">
        <v>372</v>
      </c>
      <c r="E35" s="8" t="s">
        <v>482</v>
      </c>
      <c r="F35" s="8" t="s">
        <v>572</v>
      </c>
      <c r="G35" s="19">
        <v>0</v>
      </c>
      <c r="H35" s="8">
        <v>2</v>
      </c>
      <c r="I35" s="8" t="s">
        <v>25</v>
      </c>
      <c r="J35">
        <v>6</v>
      </c>
      <c r="K35" t="s">
        <v>144</v>
      </c>
      <c r="L35" s="19"/>
      <c r="M35" s="19"/>
      <c r="N35" s="19"/>
      <c r="O35" s="8"/>
      <c r="P35" s="6"/>
    </row>
    <row r="36" spans="1:16" ht="15" customHeight="1" x14ac:dyDescent="0.25">
      <c r="A36" s="8">
        <v>35</v>
      </c>
      <c r="B36" s="1">
        <v>19</v>
      </c>
      <c r="C36" s="6" t="s">
        <v>481</v>
      </c>
      <c r="D36" s="1" t="s">
        <v>369</v>
      </c>
      <c r="E36" s="8" t="s">
        <v>465</v>
      </c>
      <c r="F36" s="8" t="s">
        <v>492</v>
      </c>
      <c r="G36" s="8">
        <v>0</v>
      </c>
      <c r="H36" s="8">
        <v>2</v>
      </c>
      <c r="I36" s="8" t="s">
        <v>25</v>
      </c>
      <c r="J36" s="19">
        <v>6</v>
      </c>
      <c r="K36" s="19" t="s">
        <v>144</v>
      </c>
      <c r="L36" s="19"/>
      <c r="M36" s="19"/>
      <c r="N36" s="19"/>
      <c r="O36" s="8"/>
      <c r="P36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zoomScale="80" zoomScaleNormal="80" workbookViewId="0">
      <selection activeCell="A2" sqref="A2:I5"/>
    </sheetView>
  </sheetViews>
  <sheetFormatPr defaultRowHeight="15" x14ac:dyDescent="0.25"/>
  <sheetData>
    <row r="1" spans="1:9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8" t="s">
        <v>420</v>
      </c>
      <c r="G1" s="14" t="s">
        <v>160</v>
      </c>
      <c r="H1" t="s">
        <v>421</v>
      </c>
      <c r="I1" s="15" t="s">
        <v>161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zoomScale="80" zoomScaleNormal="80" workbookViewId="0"/>
  </sheetViews>
  <sheetFormatPr defaultRowHeight="15" x14ac:dyDescent="0.25"/>
  <sheetData>
    <row r="1" spans="1:6" x14ac:dyDescent="0.25">
      <c r="A1" t="s">
        <v>409</v>
      </c>
      <c r="B1" t="s">
        <v>424</v>
      </c>
      <c r="C1" t="s">
        <v>375</v>
      </c>
      <c r="D1" t="s">
        <v>376</v>
      </c>
      <c r="E1" t="s">
        <v>377</v>
      </c>
      <c r="F1" t="s">
        <v>378</v>
      </c>
    </row>
    <row r="2" spans="1:6" x14ac:dyDescent="0.25">
      <c r="A2">
        <v>1</v>
      </c>
      <c r="B2">
        <v>2005</v>
      </c>
      <c r="C2" t="s">
        <v>379</v>
      </c>
      <c r="D2" t="s">
        <v>380</v>
      </c>
      <c r="E2" s="13">
        <v>38652</v>
      </c>
      <c r="F2" t="s">
        <v>381</v>
      </c>
    </row>
    <row r="3" spans="1:6" x14ac:dyDescent="0.25">
      <c r="A3">
        <v>2</v>
      </c>
      <c r="B3">
        <v>2006</v>
      </c>
      <c r="C3" t="s">
        <v>382</v>
      </c>
      <c r="D3" t="s">
        <v>383</v>
      </c>
      <c r="E3" s="13">
        <v>39007</v>
      </c>
      <c r="F3" t="s">
        <v>384</v>
      </c>
    </row>
    <row r="4" spans="1:6" x14ac:dyDescent="0.25">
      <c r="A4">
        <v>3</v>
      </c>
      <c r="B4">
        <v>2007</v>
      </c>
      <c r="C4" t="s">
        <v>385</v>
      </c>
      <c r="D4" t="s">
        <v>386</v>
      </c>
      <c r="E4" s="13">
        <v>39367</v>
      </c>
      <c r="F4" t="s">
        <v>387</v>
      </c>
    </row>
    <row r="5" spans="1:6" x14ac:dyDescent="0.25">
      <c r="A5">
        <v>4</v>
      </c>
      <c r="B5">
        <v>2008</v>
      </c>
      <c r="C5" t="s">
        <v>388</v>
      </c>
      <c r="D5" t="s">
        <v>389</v>
      </c>
      <c r="E5" s="13">
        <v>39738</v>
      </c>
      <c r="F5" t="s">
        <v>390</v>
      </c>
    </row>
    <row r="6" spans="1:6" x14ac:dyDescent="0.25">
      <c r="A6">
        <v>5</v>
      </c>
      <c r="B6">
        <v>2009</v>
      </c>
      <c r="C6" t="s">
        <v>391</v>
      </c>
      <c r="D6" t="s">
        <v>391</v>
      </c>
      <c r="E6" s="13">
        <v>40112</v>
      </c>
      <c r="F6" t="s">
        <v>392</v>
      </c>
    </row>
    <row r="7" spans="1:6" x14ac:dyDescent="0.25">
      <c r="A7">
        <v>6</v>
      </c>
      <c r="B7">
        <v>2010</v>
      </c>
      <c r="C7" t="s">
        <v>391</v>
      </c>
      <c r="D7" t="s">
        <v>391</v>
      </c>
      <c r="E7" s="13">
        <v>40477</v>
      </c>
      <c r="F7" t="s">
        <v>393</v>
      </c>
    </row>
    <row r="8" spans="1:6" x14ac:dyDescent="0.25">
      <c r="A8">
        <v>7</v>
      </c>
      <c r="B8">
        <v>2011</v>
      </c>
      <c r="C8" t="s">
        <v>394</v>
      </c>
      <c r="D8" t="s">
        <v>394</v>
      </c>
      <c r="E8" s="13">
        <v>40901</v>
      </c>
      <c r="F8" t="s">
        <v>395</v>
      </c>
    </row>
    <row r="9" spans="1:6" x14ac:dyDescent="0.25">
      <c r="A9">
        <v>8</v>
      </c>
      <c r="B9">
        <v>2012</v>
      </c>
      <c r="C9" t="s">
        <v>391</v>
      </c>
      <c r="D9" t="s">
        <v>391</v>
      </c>
      <c r="E9" s="13">
        <v>41212</v>
      </c>
      <c r="F9" t="s">
        <v>396</v>
      </c>
    </row>
    <row r="10" spans="1:6" x14ac:dyDescent="0.25">
      <c r="A10">
        <v>9</v>
      </c>
      <c r="B10">
        <v>2013</v>
      </c>
      <c r="C10" t="s">
        <v>391</v>
      </c>
      <c r="D10" t="s">
        <v>391</v>
      </c>
      <c r="E10" s="13">
        <v>41575</v>
      </c>
      <c r="F10" t="s">
        <v>397</v>
      </c>
    </row>
    <row r="11" spans="1:6" x14ac:dyDescent="0.25">
      <c r="A11">
        <v>10</v>
      </c>
      <c r="B11">
        <v>2014</v>
      </c>
      <c r="C11" t="s">
        <v>398</v>
      </c>
      <c r="D11" t="s">
        <v>398</v>
      </c>
      <c r="E11" s="13">
        <v>41940</v>
      </c>
      <c r="F11" t="s">
        <v>399</v>
      </c>
    </row>
    <row r="12" spans="1:6" x14ac:dyDescent="0.25">
      <c r="A12">
        <v>11</v>
      </c>
      <c r="B12">
        <v>2015</v>
      </c>
      <c r="C12" t="s">
        <v>400</v>
      </c>
      <c r="D12" t="s">
        <v>400</v>
      </c>
      <c r="E12" s="13">
        <v>42304</v>
      </c>
      <c r="F12" t="s">
        <v>401</v>
      </c>
    </row>
    <row r="13" spans="1:6" x14ac:dyDescent="0.25">
      <c r="A13">
        <v>12</v>
      </c>
      <c r="B13">
        <v>2016</v>
      </c>
      <c r="C13" t="s">
        <v>400</v>
      </c>
      <c r="D13" t="s">
        <v>400</v>
      </c>
      <c r="E13" s="13">
        <v>42668</v>
      </c>
      <c r="F13" t="s">
        <v>402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O151"/>
  <sheetViews>
    <sheetView zoomScale="80" zoomScaleNormal="80" workbookViewId="0"/>
  </sheetViews>
  <sheetFormatPr defaultRowHeight="15" customHeight="1" x14ac:dyDescent="0.25"/>
  <cols>
    <col min="1" max="7" width="9.140625" customWidth="1"/>
  </cols>
  <sheetData>
    <row r="1" spans="1:7" ht="15" customHeight="1" x14ac:dyDescent="0.25">
      <c r="A1" t="s">
        <v>409</v>
      </c>
      <c r="B1" t="s">
        <v>103</v>
      </c>
      <c r="C1" t="s">
        <v>424</v>
      </c>
      <c r="D1" s="8" t="s">
        <v>211</v>
      </c>
      <c r="E1" s="8" t="s">
        <v>177</v>
      </c>
      <c r="F1" s="8" t="s">
        <v>162</v>
      </c>
      <c r="G1" s="8" t="s">
        <v>403</v>
      </c>
    </row>
    <row r="2" spans="1:7" ht="15" customHeight="1" x14ac:dyDescent="0.25">
      <c r="A2">
        <v>1</v>
      </c>
      <c r="B2" t="s">
        <v>219</v>
      </c>
      <c r="C2">
        <v>2012</v>
      </c>
      <c r="D2" s="1" t="s">
        <v>5</v>
      </c>
      <c r="E2" s="1">
        <v>43.5</v>
      </c>
      <c r="F2" s="1">
        <v>44</v>
      </c>
      <c r="G2" s="1" t="str">
        <f>IF($F2="","",IF($F2&gt;$E2,"O",IF($F2=$E2,"E","U")))</f>
        <v>O</v>
      </c>
    </row>
    <row r="3" spans="1:7" ht="15" customHeight="1" x14ac:dyDescent="0.25">
      <c r="A3">
        <v>2</v>
      </c>
      <c r="B3" t="s">
        <v>220</v>
      </c>
      <c r="C3">
        <v>2012</v>
      </c>
      <c r="D3" s="1" t="s">
        <v>17</v>
      </c>
      <c r="E3" s="1">
        <v>51.5</v>
      </c>
      <c r="F3" s="1">
        <v>41</v>
      </c>
      <c r="G3" s="1" t="str">
        <f t="shared" ref="G3:G66" si="0">IF($F3="","",IF($F3&gt;$E3,"O",IF($F3=$E3,"E","U")))</f>
        <v>U</v>
      </c>
    </row>
    <row r="4" spans="1:7" ht="15" customHeight="1" x14ac:dyDescent="0.25">
      <c r="A4">
        <v>3</v>
      </c>
      <c r="B4" t="s">
        <v>221</v>
      </c>
      <c r="C4">
        <v>2012</v>
      </c>
      <c r="D4" s="1" t="s">
        <v>22</v>
      </c>
      <c r="E4" s="1">
        <v>43.5</v>
      </c>
      <c r="F4" s="1">
        <v>49</v>
      </c>
      <c r="G4" s="1" t="str">
        <f t="shared" si="0"/>
        <v>O</v>
      </c>
    </row>
    <row r="5" spans="1:7" ht="15" customHeight="1" x14ac:dyDescent="0.25">
      <c r="A5">
        <v>4</v>
      </c>
      <c r="B5" t="s">
        <v>222</v>
      </c>
      <c r="C5">
        <v>2012</v>
      </c>
      <c r="D5" s="1" t="s">
        <v>8</v>
      </c>
      <c r="E5" s="1">
        <v>21.5</v>
      </c>
      <c r="F5" s="1">
        <v>21</v>
      </c>
      <c r="G5" s="1" t="str">
        <f t="shared" si="0"/>
        <v>U</v>
      </c>
    </row>
    <row r="6" spans="1:7" ht="15" customHeight="1" x14ac:dyDescent="0.25">
      <c r="A6">
        <v>5</v>
      </c>
      <c r="B6" t="s">
        <v>223</v>
      </c>
      <c r="C6">
        <v>2012</v>
      </c>
      <c r="D6" s="1" t="s">
        <v>0</v>
      </c>
      <c r="E6" s="1">
        <v>47.5</v>
      </c>
      <c r="F6" s="1">
        <v>45</v>
      </c>
      <c r="G6" s="1" t="str">
        <f t="shared" si="0"/>
        <v>U</v>
      </c>
    </row>
    <row r="7" spans="1:7" ht="15" customHeight="1" x14ac:dyDescent="0.25">
      <c r="A7">
        <v>6</v>
      </c>
      <c r="B7" t="s">
        <v>224</v>
      </c>
      <c r="C7">
        <v>2012</v>
      </c>
      <c r="D7" s="1" t="s">
        <v>6</v>
      </c>
      <c r="E7" s="1">
        <v>32.5</v>
      </c>
      <c r="F7" s="1">
        <v>24</v>
      </c>
      <c r="G7" s="1" t="str">
        <f t="shared" si="0"/>
        <v>U</v>
      </c>
    </row>
    <row r="8" spans="1:7" ht="15" customHeight="1" x14ac:dyDescent="0.25">
      <c r="A8">
        <v>7</v>
      </c>
      <c r="B8" t="s">
        <v>225</v>
      </c>
      <c r="C8">
        <v>2012</v>
      </c>
      <c r="D8" s="1" t="s">
        <v>16</v>
      </c>
      <c r="E8" s="1">
        <v>45.5</v>
      </c>
      <c r="F8" s="1">
        <v>41</v>
      </c>
      <c r="G8" s="1" t="str">
        <f t="shared" si="0"/>
        <v>U</v>
      </c>
    </row>
    <row r="9" spans="1:7" ht="15" customHeight="1" x14ac:dyDescent="0.25">
      <c r="A9">
        <v>8</v>
      </c>
      <c r="B9" t="s">
        <v>226</v>
      </c>
      <c r="C9">
        <v>2012</v>
      </c>
      <c r="D9" s="1" t="s">
        <v>23</v>
      </c>
      <c r="E9" s="1">
        <v>49.5</v>
      </c>
      <c r="F9" s="1">
        <v>57</v>
      </c>
      <c r="G9" s="1" t="str">
        <f t="shared" si="0"/>
        <v>O</v>
      </c>
    </row>
    <row r="10" spans="1:7" ht="15" customHeight="1" x14ac:dyDescent="0.25">
      <c r="A10">
        <v>9</v>
      </c>
      <c r="B10" t="s">
        <v>227</v>
      </c>
      <c r="C10">
        <v>2012</v>
      </c>
      <c r="D10" s="1" t="s">
        <v>7</v>
      </c>
      <c r="E10" s="1">
        <v>32.5</v>
      </c>
      <c r="F10" s="1">
        <v>29</v>
      </c>
      <c r="G10" s="1" t="str">
        <f t="shared" si="0"/>
        <v>U</v>
      </c>
    </row>
    <row r="11" spans="1:7" ht="15" customHeight="1" x14ac:dyDescent="0.25">
      <c r="A11">
        <v>10</v>
      </c>
      <c r="B11" t="s">
        <v>228</v>
      </c>
      <c r="C11">
        <v>2012</v>
      </c>
      <c r="D11" s="1" t="s">
        <v>114</v>
      </c>
      <c r="E11" s="1">
        <v>34.5</v>
      </c>
      <c r="F11" s="1">
        <v>47</v>
      </c>
      <c r="G11" s="1" t="str">
        <f t="shared" si="0"/>
        <v>O</v>
      </c>
    </row>
    <row r="12" spans="1:7" ht="15" customHeight="1" x14ac:dyDescent="0.25">
      <c r="A12">
        <v>11</v>
      </c>
      <c r="B12" t="s">
        <v>229</v>
      </c>
      <c r="C12">
        <v>2012</v>
      </c>
      <c r="D12" s="1" t="s">
        <v>4</v>
      </c>
      <c r="E12" s="1">
        <v>30.5</v>
      </c>
      <c r="F12" s="1">
        <v>45</v>
      </c>
      <c r="G12" s="1" t="str">
        <f t="shared" si="0"/>
        <v>O</v>
      </c>
    </row>
    <row r="13" spans="1:7" ht="15" customHeight="1" x14ac:dyDescent="0.25">
      <c r="A13">
        <v>12</v>
      </c>
      <c r="B13" t="s">
        <v>230</v>
      </c>
      <c r="C13">
        <v>2012</v>
      </c>
      <c r="D13" s="1" t="s">
        <v>13</v>
      </c>
      <c r="E13" s="1">
        <v>51.5</v>
      </c>
      <c r="F13" s="1">
        <v>49</v>
      </c>
      <c r="G13" s="1" t="str">
        <f t="shared" si="0"/>
        <v>U</v>
      </c>
    </row>
    <row r="14" spans="1:7" ht="15" customHeight="1" x14ac:dyDescent="0.25">
      <c r="A14">
        <v>13</v>
      </c>
      <c r="B14" t="s">
        <v>231</v>
      </c>
      <c r="C14">
        <v>2012</v>
      </c>
      <c r="D14" s="1" t="s">
        <v>14</v>
      </c>
      <c r="E14" s="1">
        <v>48.5</v>
      </c>
      <c r="F14" s="1">
        <v>56</v>
      </c>
      <c r="G14" s="1" t="str">
        <f t="shared" si="0"/>
        <v>O</v>
      </c>
    </row>
    <row r="15" spans="1:7" ht="15" customHeight="1" x14ac:dyDescent="0.25">
      <c r="A15">
        <v>14</v>
      </c>
      <c r="B15" t="s">
        <v>232</v>
      </c>
      <c r="C15">
        <v>2012</v>
      </c>
      <c r="D15" s="1" t="s">
        <v>18</v>
      </c>
      <c r="E15" s="1">
        <v>60.5</v>
      </c>
      <c r="F15" s="1">
        <v>45</v>
      </c>
      <c r="G15" s="1" t="str">
        <f t="shared" si="0"/>
        <v>U</v>
      </c>
    </row>
    <row r="16" spans="1:7" ht="15" customHeight="1" x14ac:dyDescent="0.25">
      <c r="A16">
        <v>15</v>
      </c>
      <c r="B16" t="s">
        <v>233</v>
      </c>
      <c r="C16">
        <v>2012</v>
      </c>
      <c r="D16" s="1" t="s">
        <v>9</v>
      </c>
      <c r="E16" s="1">
        <v>48.5</v>
      </c>
      <c r="F16" s="1">
        <v>56</v>
      </c>
      <c r="G16" s="1" t="str">
        <f t="shared" si="0"/>
        <v>O</v>
      </c>
    </row>
    <row r="17" spans="1:7" ht="15" customHeight="1" x14ac:dyDescent="0.25">
      <c r="A17">
        <v>16</v>
      </c>
      <c r="B17" t="s">
        <v>234</v>
      </c>
      <c r="C17">
        <v>2012</v>
      </c>
      <c r="D17" s="1" t="s">
        <v>15</v>
      </c>
      <c r="E17" s="1">
        <v>60.5</v>
      </c>
      <c r="F17" s="1">
        <v>66</v>
      </c>
      <c r="G17" s="1" t="str">
        <f t="shared" si="0"/>
        <v>O</v>
      </c>
    </row>
    <row r="18" spans="1:7" ht="15" customHeight="1" x14ac:dyDescent="0.25">
      <c r="A18">
        <v>17</v>
      </c>
      <c r="B18" t="s">
        <v>235</v>
      </c>
      <c r="C18">
        <v>2012</v>
      </c>
      <c r="D18" s="1" t="s">
        <v>10</v>
      </c>
      <c r="E18" s="1">
        <v>36.5</v>
      </c>
      <c r="F18" s="1">
        <v>38</v>
      </c>
      <c r="G18" s="1" t="str">
        <f t="shared" si="0"/>
        <v>O</v>
      </c>
    </row>
    <row r="19" spans="1:7" ht="15" customHeight="1" x14ac:dyDescent="0.25">
      <c r="A19">
        <v>18</v>
      </c>
      <c r="B19" t="s">
        <v>236</v>
      </c>
      <c r="C19">
        <v>2012</v>
      </c>
      <c r="D19" s="1" t="s">
        <v>3</v>
      </c>
      <c r="E19" s="1">
        <v>39.5</v>
      </c>
      <c r="F19" s="1">
        <v>31</v>
      </c>
      <c r="G19" s="1" t="str">
        <f t="shared" si="0"/>
        <v>U</v>
      </c>
    </row>
    <row r="20" spans="1:7" ht="15" customHeight="1" x14ac:dyDescent="0.25">
      <c r="A20">
        <v>19</v>
      </c>
      <c r="B20" t="s">
        <v>237</v>
      </c>
      <c r="C20">
        <v>2012</v>
      </c>
      <c r="D20" s="1" t="s">
        <v>124</v>
      </c>
      <c r="E20" s="1">
        <v>25.5</v>
      </c>
      <c r="F20" s="1">
        <v>27</v>
      </c>
      <c r="G20" s="1" t="str">
        <f t="shared" si="0"/>
        <v>O</v>
      </c>
    </row>
    <row r="21" spans="1:7" ht="15" customHeight="1" x14ac:dyDescent="0.25">
      <c r="A21">
        <v>20</v>
      </c>
      <c r="B21" t="s">
        <v>238</v>
      </c>
      <c r="C21">
        <v>2012</v>
      </c>
      <c r="D21" s="1" t="s">
        <v>126</v>
      </c>
      <c r="E21" s="1">
        <v>45.5</v>
      </c>
      <c r="F21" s="1">
        <v>54</v>
      </c>
      <c r="G21" s="1" t="str">
        <f t="shared" si="0"/>
        <v>O</v>
      </c>
    </row>
    <row r="22" spans="1:7" ht="15" customHeight="1" x14ac:dyDescent="0.25">
      <c r="A22">
        <v>21</v>
      </c>
      <c r="B22" t="s">
        <v>239</v>
      </c>
      <c r="C22">
        <v>2012</v>
      </c>
      <c r="D22" s="1" t="s">
        <v>12</v>
      </c>
      <c r="E22" s="1">
        <v>59.5</v>
      </c>
      <c r="F22" s="1">
        <v>60</v>
      </c>
      <c r="G22" s="1" t="str">
        <f t="shared" si="0"/>
        <v>O</v>
      </c>
    </row>
    <row r="23" spans="1:7" ht="15" customHeight="1" x14ac:dyDescent="0.25">
      <c r="A23">
        <v>22</v>
      </c>
      <c r="B23" t="s">
        <v>240</v>
      </c>
      <c r="C23">
        <v>2012</v>
      </c>
      <c r="D23" s="1" t="s">
        <v>11</v>
      </c>
      <c r="E23" s="1">
        <v>24.5</v>
      </c>
      <c r="F23" s="1">
        <v>20</v>
      </c>
      <c r="G23" s="1" t="str">
        <f t="shared" si="0"/>
        <v>U</v>
      </c>
    </row>
    <row r="24" spans="1:7" ht="15" customHeight="1" x14ac:dyDescent="0.25">
      <c r="A24">
        <v>23</v>
      </c>
      <c r="B24" t="s">
        <v>241</v>
      </c>
      <c r="C24">
        <v>2012</v>
      </c>
      <c r="D24" s="1" t="s">
        <v>20</v>
      </c>
      <c r="E24" s="1">
        <v>47.5</v>
      </c>
      <c r="F24" s="1">
        <v>34</v>
      </c>
      <c r="G24" s="1" t="str">
        <f t="shared" si="0"/>
        <v>U</v>
      </c>
    </row>
    <row r="25" spans="1:7" ht="15" customHeight="1" x14ac:dyDescent="0.25">
      <c r="A25">
        <v>24</v>
      </c>
      <c r="B25" t="s">
        <v>242</v>
      </c>
      <c r="C25">
        <v>2012</v>
      </c>
      <c r="D25" s="1" t="s">
        <v>19</v>
      </c>
      <c r="E25" s="1">
        <v>34.5</v>
      </c>
      <c r="F25" s="1">
        <v>25</v>
      </c>
      <c r="G25" s="1" t="str">
        <f t="shared" si="0"/>
        <v>U</v>
      </c>
    </row>
    <row r="26" spans="1:7" ht="15" customHeight="1" x14ac:dyDescent="0.25">
      <c r="A26">
        <v>25</v>
      </c>
      <c r="B26" t="s">
        <v>243</v>
      </c>
      <c r="C26">
        <v>2012</v>
      </c>
      <c r="D26" s="1" t="s">
        <v>1</v>
      </c>
      <c r="E26" s="1">
        <v>35.5</v>
      </c>
      <c r="F26" s="1">
        <v>33</v>
      </c>
      <c r="G26" s="1" t="str">
        <f t="shared" si="0"/>
        <v>U</v>
      </c>
    </row>
    <row r="27" spans="1:7" ht="15" customHeight="1" x14ac:dyDescent="0.25">
      <c r="A27">
        <v>26</v>
      </c>
      <c r="B27" t="s">
        <v>244</v>
      </c>
      <c r="C27">
        <v>2012</v>
      </c>
      <c r="D27" s="1" t="s">
        <v>21</v>
      </c>
      <c r="E27" s="1">
        <v>29.5</v>
      </c>
      <c r="F27" s="1">
        <v>28</v>
      </c>
      <c r="G27" s="1" t="str">
        <f t="shared" si="0"/>
        <v>U</v>
      </c>
    </row>
    <row r="28" spans="1:7" ht="15" customHeight="1" x14ac:dyDescent="0.25">
      <c r="A28">
        <v>27</v>
      </c>
      <c r="B28" t="s">
        <v>245</v>
      </c>
      <c r="C28">
        <v>2012</v>
      </c>
      <c r="D28" s="1" t="s">
        <v>134</v>
      </c>
      <c r="E28" s="1">
        <v>55.5</v>
      </c>
      <c r="F28" s="1">
        <v>58</v>
      </c>
      <c r="G28" s="1" t="str">
        <f t="shared" si="0"/>
        <v>O</v>
      </c>
    </row>
    <row r="29" spans="1:7" ht="15" customHeight="1" x14ac:dyDescent="0.25">
      <c r="A29">
        <v>28</v>
      </c>
      <c r="B29" t="s">
        <v>246</v>
      </c>
      <c r="C29">
        <v>2012</v>
      </c>
      <c r="D29" s="1" t="s">
        <v>2</v>
      </c>
      <c r="E29" s="1">
        <v>31.5</v>
      </c>
      <c r="F29" s="1">
        <v>34</v>
      </c>
      <c r="G29" s="1" t="str">
        <f t="shared" si="0"/>
        <v>O</v>
      </c>
    </row>
    <row r="30" spans="1:7" ht="15" customHeight="1" x14ac:dyDescent="0.25">
      <c r="A30">
        <v>29</v>
      </c>
      <c r="B30" t="s">
        <v>247</v>
      </c>
      <c r="C30">
        <v>2012</v>
      </c>
      <c r="D30" s="1" t="s">
        <v>137</v>
      </c>
      <c r="E30" s="1">
        <v>42.5</v>
      </c>
      <c r="F30" s="1">
        <v>43</v>
      </c>
      <c r="G30" s="1" t="str">
        <f t="shared" si="0"/>
        <v>O</v>
      </c>
    </row>
    <row r="31" spans="1:7" ht="15" customHeight="1" x14ac:dyDescent="0.25">
      <c r="A31">
        <v>30</v>
      </c>
      <c r="B31" t="s">
        <v>248</v>
      </c>
      <c r="C31">
        <v>2012</v>
      </c>
      <c r="D31" s="1" t="s">
        <v>139</v>
      </c>
      <c r="E31" s="1">
        <v>31.5</v>
      </c>
      <c r="F31" s="1">
        <v>29</v>
      </c>
      <c r="G31" s="1" t="str">
        <f t="shared" si="0"/>
        <v>U</v>
      </c>
    </row>
    <row r="32" spans="1:7" ht="15" customHeight="1" x14ac:dyDescent="0.25">
      <c r="A32">
        <v>31</v>
      </c>
      <c r="B32" t="s">
        <v>249</v>
      </c>
      <c r="C32">
        <v>2013</v>
      </c>
      <c r="D32" s="1" t="s">
        <v>5</v>
      </c>
      <c r="E32" s="1">
        <v>40</v>
      </c>
      <c r="F32" s="1">
        <v>38</v>
      </c>
      <c r="G32" s="1" t="str">
        <f t="shared" si="0"/>
        <v>U</v>
      </c>
    </row>
    <row r="33" spans="1:7" ht="15" customHeight="1" x14ac:dyDescent="0.25">
      <c r="A33">
        <v>32</v>
      </c>
      <c r="B33" t="s">
        <v>250</v>
      </c>
      <c r="C33">
        <v>2013</v>
      </c>
      <c r="D33" s="1" t="s">
        <v>17</v>
      </c>
      <c r="E33" s="1">
        <v>27.5</v>
      </c>
      <c r="F33" s="1">
        <v>25</v>
      </c>
      <c r="G33" s="1" t="str">
        <f t="shared" si="0"/>
        <v>U</v>
      </c>
    </row>
    <row r="34" spans="1:7" ht="15" customHeight="1" x14ac:dyDescent="0.25">
      <c r="A34">
        <v>33</v>
      </c>
      <c r="B34" t="s">
        <v>251</v>
      </c>
      <c r="C34">
        <v>2013</v>
      </c>
      <c r="D34" s="1" t="s">
        <v>22</v>
      </c>
      <c r="E34" s="1">
        <v>52.5</v>
      </c>
      <c r="F34" s="1">
        <v>44</v>
      </c>
      <c r="G34" s="1" t="str">
        <f t="shared" si="0"/>
        <v>U</v>
      </c>
    </row>
    <row r="35" spans="1:7" ht="15" customHeight="1" x14ac:dyDescent="0.25">
      <c r="A35">
        <v>34</v>
      </c>
      <c r="B35" t="s">
        <v>252</v>
      </c>
      <c r="C35">
        <v>2013</v>
      </c>
      <c r="D35" s="1" t="s">
        <v>8</v>
      </c>
      <c r="E35" s="1">
        <v>27.5</v>
      </c>
      <c r="F35" s="1">
        <v>43</v>
      </c>
      <c r="G35" s="1" t="str">
        <f t="shared" si="0"/>
        <v>O</v>
      </c>
    </row>
    <row r="36" spans="1:7" ht="15" customHeight="1" x14ac:dyDescent="0.25">
      <c r="A36">
        <v>35</v>
      </c>
      <c r="B36" t="s">
        <v>253</v>
      </c>
      <c r="C36">
        <v>2013</v>
      </c>
      <c r="D36" s="1" t="s">
        <v>0</v>
      </c>
      <c r="E36" s="1">
        <v>56.5</v>
      </c>
      <c r="F36" s="1">
        <v>48</v>
      </c>
      <c r="G36" s="1" t="str">
        <f t="shared" si="0"/>
        <v>U</v>
      </c>
    </row>
    <row r="37" spans="1:7" ht="15" customHeight="1" x14ac:dyDescent="0.25">
      <c r="A37">
        <v>36</v>
      </c>
      <c r="B37" t="s">
        <v>254</v>
      </c>
      <c r="C37">
        <v>2013</v>
      </c>
      <c r="D37" s="1" t="s">
        <v>6</v>
      </c>
      <c r="E37" s="1">
        <v>40.5</v>
      </c>
      <c r="F37" s="1">
        <v>33</v>
      </c>
      <c r="G37" s="1" t="str">
        <f t="shared" si="0"/>
        <v>U</v>
      </c>
    </row>
    <row r="38" spans="1:7" ht="15" customHeight="1" x14ac:dyDescent="0.25">
      <c r="A38">
        <v>37</v>
      </c>
      <c r="B38" t="s">
        <v>255</v>
      </c>
      <c r="C38">
        <v>2013</v>
      </c>
      <c r="D38" s="1" t="s">
        <v>16</v>
      </c>
      <c r="E38" s="1">
        <v>44</v>
      </c>
      <c r="F38" s="1">
        <v>49</v>
      </c>
      <c r="G38" s="1" t="str">
        <f t="shared" si="0"/>
        <v>O</v>
      </c>
    </row>
    <row r="39" spans="1:7" ht="15" customHeight="1" x14ac:dyDescent="0.25">
      <c r="A39">
        <v>38</v>
      </c>
      <c r="B39" t="s">
        <v>256</v>
      </c>
      <c r="C39">
        <v>2013</v>
      </c>
      <c r="D39" s="1" t="s">
        <v>23</v>
      </c>
      <c r="E39" s="1">
        <v>47</v>
      </c>
      <c r="F39" s="1">
        <v>36</v>
      </c>
      <c r="G39" s="1" t="str">
        <f t="shared" si="0"/>
        <v>U</v>
      </c>
    </row>
    <row r="40" spans="1:7" ht="15" customHeight="1" x14ac:dyDescent="0.25">
      <c r="A40">
        <v>39</v>
      </c>
      <c r="B40" t="s">
        <v>257</v>
      </c>
      <c r="C40">
        <v>2013</v>
      </c>
      <c r="D40" s="1" t="s">
        <v>7</v>
      </c>
      <c r="E40" s="1">
        <v>41</v>
      </c>
      <c r="F40" s="1">
        <v>29</v>
      </c>
      <c r="G40" s="1" t="str">
        <f t="shared" si="0"/>
        <v>U</v>
      </c>
    </row>
    <row r="41" spans="1:7" ht="15" customHeight="1" x14ac:dyDescent="0.25">
      <c r="A41">
        <v>40</v>
      </c>
      <c r="B41" t="s">
        <v>258</v>
      </c>
      <c r="C41">
        <v>2013</v>
      </c>
      <c r="D41" s="1" t="s">
        <v>114</v>
      </c>
      <c r="E41" s="1">
        <v>49.5</v>
      </c>
      <c r="F41" s="1">
        <v>51</v>
      </c>
      <c r="G41" s="1" t="str">
        <f t="shared" si="0"/>
        <v>O</v>
      </c>
    </row>
    <row r="42" spans="1:7" ht="15" customHeight="1" x14ac:dyDescent="0.25">
      <c r="A42">
        <v>41</v>
      </c>
      <c r="B42" t="s">
        <v>259</v>
      </c>
      <c r="C42">
        <v>2013</v>
      </c>
      <c r="D42" s="1" t="s">
        <v>4</v>
      </c>
      <c r="E42" s="1">
        <v>54.5</v>
      </c>
      <c r="F42" s="1">
        <v>54</v>
      </c>
      <c r="G42" s="1" t="str">
        <f t="shared" si="0"/>
        <v>U</v>
      </c>
    </row>
    <row r="43" spans="1:7" ht="15" customHeight="1" x14ac:dyDescent="0.25">
      <c r="A43">
        <v>42</v>
      </c>
      <c r="B43" t="s">
        <v>260</v>
      </c>
      <c r="C43">
        <v>2013</v>
      </c>
      <c r="D43" s="1" t="s">
        <v>13</v>
      </c>
      <c r="E43" s="1">
        <v>53.5</v>
      </c>
      <c r="F43" s="1">
        <v>56</v>
      </c>
      <c r="G43" s="1" t="str">
        <f t="shared" si="0"/>
        <v>O</v>
      </c>
    </row>
    <row r="44" spans="1:7" ht="15" customHeight="1" x14ac:dyDescent="0.25">
      <c r="A44">
        <v>43</v>
      </c>
      <c r="B44" t="s">
        <v>261</v>
      </c>
      <c r="C44">
        <v>2013</v>
      </c>
      <c r="D44" s="1" t="s">
        <v>14</v>
      </c>
      <c r="E44" s="1">
        <v>57</v>
      </c>
      <c r="F44" s="1">
        <v>57</v>
      </c>
      <c r="G44" s="1" t="str">
        <f t="shared" si="0"/>
        <v>E</v>
      </c>
    </row>
    <row r="45" spans="1:7" ht="15" customHeight="1" x14ac:dyDescent="0.25">
      <c r="A45">
        <v>44</v>
      </c>
      <c r="B45" t="s">
        <v>262</v>
      </c>
      <c r="C45">
        <v>2013</v>
      </c>
      <c r="D45" s="1" t="s">
        <v>18</v>
      </c>
      <c r="E45" s="1">
        <v>33.5</v>
      </c>
      <c r="F45" s="1">
        <v>27</v>
      </c>
      <c r="G45" s="1" t="str">
        <f t="shared" si="0"/>
        <v>U</v>
      </c>
    </row>
    <row r="46" spans="1:7" ht="15" customHeight="1" x14ac:dyDescent="0.25">
      <c r="A46">
        <v>45</v>
      </c>
      <c r="B46" t="s">
        <v>263</v>
      </c>
      <c r="C46">
        <v>2013</v>
      </c>
      <c r="D46" s="1" t="s">
        <v>9</v>
      </c>
      <c r="E46" s="1">
        <v>49</v>
      </c>
      <c r="F46" s="1">
        <v>50</v>
      </c>
      <c r="G46" s="1" t="str">
        <f t="shared" si="0"/>
        <v>O</v>
      </c>
    </row>
    <row r="47" spans="1:7" ht="15" customHeight="1" x14ac:dyDescent="0.25">
      <c r="A47">
        <v>46</v>
      </c>
      <c r="B47" t="s">
        <v>264</v>
      </c>
      <c r="C47">
        <v>2013</v>
      </c>
      <c r="D47" s="1" t="s">
        <v>15</v>
      </c>
      <c r="E47" s="1">
        <v>60</v>
      </c>
      <c r="F47" s="1">
        <v>54</v>
      </c>
      <c r="G47" s="1" t="str">
        <f t="shared" si="0"/>
        <v>U</v>
      </c>
    </row>
    <row r="48" spans="1:7" ht="15" customHeight="1" x14ac:dyDescent="0.25">
      <c r="A48">
        <v>47</v>
      </c>
      <c r="B48" t="s">
        <v>265</v>
      </c>
      <c r="C48">
        <v>2013</v>
      </c>
      <c r="D48" s="1" t="s">
        <v>10</v>
      </c>
      <c r="E48" s="1">
        <v>28.5</v>
      </c>
      <c r="F48" s="1">
        <v>15</v>
      </c>
      <c r="G48" s="1" t="str">
        <f t="shared" si="0"/>
        <v>U</v>
      </c>
    </row>
    <row r="49" spans="1:7" ht="15" customHeight="1" x14ac:dyDescent="0.25">
      <c r="A49">
        <v>48</v>
      </c>
      <c r="B49" t="s">
        <v>266</v>
      </c>
      <c r="C49">
        <v>2013</v>
      </c>
      <c r="D49" s="1" t="s">
        <v>3</v>
      </c>
      <c r="E49" s="1">
        <v>41</v>
      </c>
      <c r="F49" s="1">
        <v>40</v>
      </c>
      <c r="G49" s="1" t="str">
        <f t="shared" si="0"/>
        <v>U</v>
      </c>
    </row>
    <row r="50" spans="1:7" ht="15" customHeight="1" x14ac:dyDescent="0.25">
      <c r="A50">
        <v>49</v>
      </c>
      <c r="B50" t="s">
        <v>267</v>
      </c>
      <c r="C50">
        <v>2013</v>
      </c>
      <c r="D50" s="1" t="s">
        <v>124</v>
      </c>
      <c r="E50" s="1">
        <v>40</v>
      </c>
      <c r="F50" s="1">
        <v>34</v>
      </c>
      <c r="G50" s="1" t="str">
        <f t="shared" si="0"/>
        <v>U</v>
      </c>
    </row>
    <row r="51" spans="1:7" ht="15" customHeight="1" x14ac:dyDescent="0.25">
      <c r="A51">
        <v>50</v>
      </c>
      <c r="B51" t="s">
        <v>268</v>
      </c>
      <c r="C51">
        <v>2013</v>
      </c>
      <c r="D51" s="1" t="s">
        <v>126</v>
      </c>
      <c r="E51" s="1">
        <v>49.5</v>
      </c>
      <c r="F51" s="1">
        <v>37</v>
      </c>
      <c r="G51" s="1" t="str">
        <f t="shared" si="0"/>
        <v>U</v>
      </c>
    </row>
    <row r="52" spans="1:7" ht="15" customHeight="1" x14ac:dyDescent="0.25">
      <c r="A52">
        <v>51</v>
      </c>
      <c r="B52" t="s">
        <v>269</v>
      </c>
      <c r="C52">
        <v>2013</v>
      </c>
      <c r="D52" s="1" t="s">
        <v>12</v>
      </c>
      <c r="E52" s="1">
        <v>50.5</v>
      </c>
      <c r="F52" s="1">
        <v>59</v>
      </c>
      <c r="G52" s="1" t="str">
        <f t="shared" si="0"/>
        <v>O</v>
      </c>
    </row>
    <row r="53" spans="1:7" ht="15" customHeight="1" x14ac:dyDescent="0.25">
      <c r="A53">
        <v>52</v>
      </c>
      <c r="B53" t="s">
        <v>270</v>
      </c>
      <c r="C53">
        <v>2013</v>
      </c>
      <c r="D53" s="1" t="s">
        <v>11</v>
      </c>
      <c r="E53" s="1">
        <v>24.5</v>
      </c>
      <c r="F53" s="1">
        <v>23</v>
      </c>
      <c r="G53" s="1" t="str">
        <f t="shared" si="0"/>
        <v>U</v>
      </c>
    </row>
    <row r="54" spans="1:7" ht="15" customHeight="1" x14ac:dyDescent="0.25">
      <c r="A54">
        <v>53</v>
      </c>
      <c r="B54" t="s">
        <v>271</v>
      </c>
      <c r="C54">
        <v>2013</v>
      </c>
      <c r="D54" s="1" t="s">
        <v>20</v>
      </c>
      <c r="E54" s="1">
        <v>16.5</v>
      </c>
      <c r="F54" s="1">
        <v>19</v>
      </c>
      <c r="G54" s="1" t="str">
        <f t="shared" si="0"/>
        <v>O</v>
      </c>
    </row>
    <row r="55" spans="1:7" ht="15" customHeight="1" x14ac:dyDescent="0.25">
      <c r="A55">
        <v>54</v>
      </c>
      <c r="B55" t="s">
        <v>272</v>
      </c>
      <c r="C55">
        <v>2013</v>
      </c>
      <c r="D55" s="1" t="s">
        <v>19</v>
      </c>
      <c r="E55" s="1">
        <v>21.5</v>
      </c>
      <c r="F55" s="1">
        <v>48</v>
      </c>
      <c r="G55" s="1" t="str">
        <f t="shared" si="0"/>
        <v>O</v>
      </c>
    </row>
    <row r="56" spans="1:7" ht="15" customHeight="1" x14ac:dyDescent="0.25">
      <c r="A56">
        <v>55</v>
      </c>
      <c r="B56" t="s">
        <v>273</v>
      </c>
      <c r="C56">
        <v>2013</v>
      </c>
      <c r="D56" s="1" t="s">
        <v>1</v>
      </c>
      <c r="E56" s="1">
        <v>38.5</v>
      </c>
      <c r="F56" s="1">
        <v>54</v>
      </c>
      <c r="G56" s="1" t="str">
        <f t="shared" si="0"/>
        <v>O</v>
      </c>
    </row>
    <row r="57" spans="1:7" ht="15" customHeight="1" x14ac:dyDescent="0.25">
      <c r="A57">
        <v>56</v>
      </c>
      <c r="B57" t="s">
        <v>274</v>
      </c>
      <c r="C57">
        <v>2013</v>
      </c>
      <c r="D57" s="1" t="s">
        <v>21</v>
      </c>
      <c r="E57" s="1">
        <v>31.5</v>
      </c>
      <c r="F57" s="1">
        <v>28</v>
      </c>
      <c r="G57" s="1" t="str">
        <f t="shared" si="0"/>
        <v>U</v>
      </c>
    </row>
    <row r="58" spans="1:7" ht="15" customHeight="1" x14ac:dyDescent="0.25">
      <c r="A58">
        <v>57</v>
      </c>
      <c r="B58" t="s">
        <v>275</v>
      </c>
      <c r="C58">
        <v>2013</v>
      </c>
      <c r="D58" s="1" t="s">
        <v>134</v>
      </c>
      <c r="E58" s="1">
        <v>55.5</v>
      </c>
      <c r="F58" s="1">
        <v>62</v>
      </c>
      <c r="G58" s="1" t="str">
        <f t="shared" si="0"/>
        <v>O</v>
      </c>
    </row>
    <row r="59" spans="1:7" ht="15" customHeight="1" x14ac:dyDescent="0.25">
      <c r="A59">
        <v>58</v>
      </c>
      <c r="B59" t="s">
        <v>276</v>
      </c>
      <c r="C59">
        <v>2013</v>
      </c>
      <c r="D59" s="1" t="s">
        <v>2</v>
      </c>
      <c r="E59" s="1">
        <v>36.5</v>
      </c>
      <c r="F59" s="1">
        <v>48</v>
      </c>
      <c r="G59" s="1" t="str">
        <f t="shared" si="0"/>
        <v>O</v>
      </c>
    </row>
    <row r="60" spans="1:7" ht="15" customHeight="1" x14ac:dyDescent="0.25">
      <c r="A60">
        <v>59</v>
      </c>
      <c r="B60" t="s">
        <v>277</v>
      </c>
      <c r="C60">
        <v>2013</v>
      </c>
      <c r="D60" s="1" t="s">
        <v>137</v>
      </c>
      <c r="E60" s="1">
        <v>27.5</v>
      </c>
      <c r="F60" s="1">
        <v>25</v>
      </c>
      <c r="G60" s="1" t="str">
        <f t="shared" si="0"/>
        <v>U</v>
      </c>
    </row>
    <row r="61" spans="1:7" ht="15" customHeight="1" x14ac:dyDescent="0.25">
      <c r="A61">
        <v>60</v>
      </c>
      <c r="B61" t="s">
        <v>278</v>
      </c>
      <c r="C61">
        <v>2013</v>
      </c>
      <c r="D61" s="1" t="s">
        <v>139</v>
      </c>
      <c r="E61" s="1">
        <v>42</v>
      </c>
      <c r="F61" s="1">
        <v>44</v>
      </c>
      <c r="G61" s="1" t="str">
        <f t="shared" si="0"/>
        <v>O</v>
      </c>
    </row>
    <row r="62" spans="1:7" ht="15" customHeight="1" x14ac:dyDescent="0.25">
      <c r="A62">
        <v>61</v>
      </c>
      <c r="B62" t="s">
        <v>279</v>
      </c>
      <c r="C62">
        <v>2014</v>
      </c>
      <c r="D62" s="1" t="s">
        <v>5</v>
      </c>
      <c r="E62" s="1">
        <v>40.5</v>
      </c>
      <c r="F62" s="1">
        <v>60</v>
      </c>
      <c r="G62" s="1" t="str">
        <f t="shared" si="0"/>
        <v>O</v>
      </c>
    </row>
    <row r="63" spans="1:7" ht="15" customHeight="1" x14ac:dyDescent="0.25">
      <c r="A63">
        <v>62</v>
      </c>
      <c r="B63" t="s">
        <v>280</v>
      </c>
      <c r="C63">
        <v>2014</v>
      </c>
      <c r="D63" s="1" t="s">
        <v>17</v>
      </c>
      <c r="E63" s="8">
        <v>26.5</v>
      </c>
      <c r="F63" s="8">
        <v>40</v>
      </c>
      <c r="G63" s="1" t="str">
        <f t="shared" si="0"/>
        <v>O</v>
      </c>
    </row>
    <row r="64" spans="1:7" ht="15" customHeight="1" x14ac:dyDescent="0.25">
      <c r="A64">
        <v>63</v>
      </c>
      <c r="B64" t="s">
        <v>281</v>
      </c>
      <c r="C64">
        <v>2014</v>
      </c>
      <c r="D64" s="1" t="s">
        <v>22</v>
      </c>
      <c r="E64" s="8">
        <v>41.5</v>
      </c>
      <c r="F64" s="8">
        <v>38</v>
      </c>
      <c r="G64" s="1" t="str">
        <f t="shared" si="0"/>
        <v>U</v>
      </c>
    </row>
    <row r="65" spans="1:7" ht="15" customHeight="1" x14ac:dyDescent="0.25">
      <c r="A65">
        <v>64</v>
      </c>
      <c r="B65" t="s">
        <v>282</v>
      </c>
      <c r="C65">
        <v>2014</v>
      </c>
      <c r="D65" s="1" t="s">
        <v>8</v>
      </c>
      <c r="E65" s="8">
        <v>45.5</v>
      </c>
      <c r="F65" s="8">
        <v>33</v>
      </c>
      <c r="G65" s="1" t="str">
        <f t="shared" si="0"/>
        <v>U</v>
      </c>
    </row>
    <row r="66" spans="1:7" ht="15" customHeight="1" x14ac:dyDescent="0.25">
      <c r="A66">
        <v>65</v>
      </c>
      <c r="B66" t="s">
        <v>283</v>
      </c>
      <c r="C66">
        <v>2014</v>
      </c>
      <c r="D66" s="1" t="s">
        <v>0</v>
      </c>
      <c r="E66" s="8">
        <v>55.5</v>
      </c>
      <c r="F66" s="8">
        <v>50</v>
      </c>
      <c r="G66" s="1" t="str">
        <f t="shared" si="0"/>
        <v>U</v>
      </c>
    </row>
    <row r="67" spans="1:7" ht="15" customHeight="1" x14ac:dyDescent="0.25">
      <c r="A67">
        <v>66</v>
      </c>
      <c r="B67" t="s">
        <v>284</v>
      </c>
      <c r="C67">
        <v>2014</v>
      </c>
      <c r="D67" s="1" t="s">
        <v>6</v>
      </c>
      <c r="E67" s="8">
        <v>58.5</v>
      </c>
      <c r="F67" s="8">
        <v>53</v>
      </c>
      <c r="G67" s="1" t="str">
        <f t="shared" ref="G67:G121" si="1">IF($F67="","",IF($F67&gt;$E67,"O",IF($F67=$E67,"E","U")))</f>
        <v>U</v>
      </c>
    </row>
    <row r="68" spans="1:7" ht="15" customHeight="1" x14ac:dyDescent="0.25">
      <c r="A68">
        <v>67</v>
      </c>
      <c r="B68" t="s">
        <v>285</v>
      </c>
      <c r="C68">
        <v>2014</v>
      </c>
      <c r="D68" s="1" t="s">
        <v>16</v>
      </c>
      <c r="E68" s="8">
        <v>49.5</v>
      </c>
      <c r="F68" s="8">
        <v>50</v>
      </c>
      <c r="G68" s="1" t="str">
        <f t="shared" si="1"/>
        <v>O</v>
      </c>
    </row>
    <row r="69" spans="1:7" ht="15" customHeight="1" x14ac:dyDescent="0.25">
      <c r="A69">
        <v>68</v>
      </c>
      <c r="B69" t="s">
        <v>286</v>
      </c>
      <c r="C69">
        <v>2014</v>
      </c>
      <c r="D69" s="1" t="s">
        <v>23</v>
      </c>
      <c r="E69" s="8">
        <v>40.5</v>
      </c>
      <c r="F69" s="8">
        <v>30</v>
      </c>
      <c r="G69" s="1" t="str">
        <f t="shared" si="1"/>
        <v>U</v>
      </c>
    </row>
    <row r="70" spans="1:7" ht="15" customHeight="1" x14ac:dyDescent="0.25">
      <c r="A70">
        <v>69</v>
      </c>
      <c r="B70" t="s">
        <v>287</v>
      </c>
      <c r="C70">
        <v>2014</v>
      </c>
      <c r="D70" s="1" t="s">
        <v>7</v>
      </c>
      <c r="E70" s="8">
        <v>36.5</v>
      </c>
      <c r="F70" s="8">
        <v>32</v>
      </c>
      <c r="G70" s="1" t="str">
        <f t="shared" si="1"/>
        <v>U</v>
      </c>
    </row>
    <row r="71" spans="1:7" ht="15" customHeight="1" x14ac:dyDescent="0.25">
      <c r="A71">
        <v>70</v>
      </c>
      <c r="B71" t="s">
        <v>288</v>
      </c>
      <c r="C71">
        <v>2014</v>
      </c>
      <c r="D71" s="1" t="s">
        <v>114</v>
      </c>
      <c r="E71" s="8">
        <v>50.5</v>
      </c>
      <c r="F71" s="8">
        <v>67</v>
      </c>
      <c r="G71" s="1" t="str">
        <f t="shared" si="1"/>
        <v>O</v>
      </c>
    </row>
    <row r="72" spans="1:7" ht="15" customHeight="1" x14ac:dyDescent="0.25">
      <c r="A72">
        <v>71</v>
      </c>
      <c r="B72" t="s">
        <v>289</v>
      </c>
      <c r="C72">
        <v>2014</v>
      </c>
      <c r="D72" s="1" t="s">
        <v>4</v>
      </c>
      <c r="E72" s="8">
        <v>49.5</v>
      </c>
      <c r="F72" s="8">
        <v>56</v>
      </c>
      <c r="G72" s="1" t="str">
        <f t="shared" si="1"/>
        <v>O</v>
      </c>
    </row>
    <row r="73" spans="1:7" ht="15" customHeight="1" x14ac:dyDescent="0.25">
      <c r="A73">
        <v>72</v>
      </c>
      <c r="B73" t="s">
        <v>290</v>
      </c>
      <c r="C73">
        <v>2014</v>
      </c>
      <c r="D73" s="1" t="s">
        <v>13</v>
      </c>
      <c r="E73" s="8">
        <v>32.5</v>
      </c>
      <c r="F73" s="8">
        <v>38</v>
      </c>
      <c r="G73" s="1" t="str">
        <f t="shared" si="1"/>
        <v>O</v>
      </c>
    </row>
    <row r="74" spans="1:7" ht="15" customHeight="1" x14ac:dyDescent="0.25">
      <c r="A74">
        <v>73</v>
      </c>
      <c r="B74" t="s">
        <v>291</v>
      </c>
      <c r="C74">
        <v>2014</v>
      </c>
      <c r="D74" s="1" t="s">
        <v>14</v>
      </c>
      <c r="E74" s="8">
        <v>55.5</v>
      </c>
      <c r="F74" s="8">
        <v>56</v>
      </c>
      <c r="G74" s="1" t="str">
        <f t="shared" si="1"/>
        <v>O</v>
      </c>
    </row>
    <row r="75" spans="1:7" ht="15" customHeight="1" x14ac:dyDescent="0.25">
      <c r="A75">
        <v>74</v>
      </c>
      <c r="B75" t="s">
        <v>292</v>
      </c>
      <c r="C75">
        <v>2014</v>
      </c>
      <c r="D75" s="1" t="s">
        <v>18</v>
      </c>
      <c r="E75" s="8">
        <v>31.5</v>
      </c>
      <c r="F75" s="8">
        <v>21</v>
      </c>
      <c r="G75" s="1" t="str">
        <f t="shared" si="1"/>
        <v>U</v>
      </c>
    </row>
    <row r="76" spans="1:7" ht="15" customHeight="1" x14ac:dyDescent="0.25">
      <c r="A76">
        <v>75</v>
      </c>
      <c r="B76" t="s">
        <v>293</v>
      </c>
      <c r="C76">
        <v>2014</v>
      </c>
      <c r="D76" s="1" t="s">
        <v>9</v>
      </c>
      <c r="E76" s="8">
        <v>48.5</v>
      </c>
      <c r="F76" s="8">
        <v>55</v>
      </c>
      <c r="G76" s="1" t="str">
        <f t="shared" si="1"/>
        <v>O</v>
      </c>
    </row>
    <row r="77" spans="1:7" ht="15" customHeight="1" x14ac:dyDescent="0.25">
      <c r="A77">
        <v>76</v>
      </c>
      <c r="B77" t="s">
        <v>294</v>
      </c>
      <c r="C77">
        <v>2014</v>
      </c>
      <c r="D77" s="1" t="s">
        <v>15</v>
      </c>
      <c r="E77" s="8">
        <v>43.5</v>
      </c>
      <c r="F77" s="8">
        <v>37</v>
      </c>
      <c r="G77" s="1" t="str">
        <f t="shared" si="1"/>
        <v>U</v>
      </c>
    </row>
    <row r="78" spans="1:7" ht="15" customHeight="1" x14ac:dyDescent="0.25">
      <c r="A78">
        <v>77</v>
      </c>
      <c r="B78" t="s">
        <v>295</v>
      </c>
      <c r="C78">
        <v>2014</v>
      </c>
      <c r="D78" s="1" t="s">
        <v>10</v>
      </c>
      <c r="E78" s="8">
        <v>24.5</v>
      </c>
      <c r="F78" s="8">
        <v>41</v>
      </c>
      <c r="G78" s="1" t="str">
        <f t="shared" si="1"/>
        <v>O</v>
      </c>
    </row>
    <row r="79" spans="1:7" ht="15" customHeight="1" x14ac:dyDescent="0.25">
      <c r="A79">
        <v>78</v>
      </c>
      <c r="B79" t="s">
        <v>296</v>
      </c>
      <c r="C79">
        <v>2014</v>
      </c>
      <c r="D79" s="1" t="s">
        <v>3</v>
      </c>
      <c r="E79" s="8">
        <v>25.5</v>
      </c>
      <c r="F79" s="8">
        <v>16</v>
      </c>
      <c r="G79" s="1" t="str">
        <f t="shared" si="1"/>
        <v>U</v>
      </c>
    </row>
    <row r="80" spans="1:7" ht="15" customHeight="1" x14ac:dyDescent="0.25">
      <c r="A80">
        <v>79</v>
      </c>
      <c r="B80" t="s">
        <v>297</v>
      </c>
      <c r="C80">
        <v>2014</v>
      </c>
      <c r="D80" s="1" t="s">
        <v>124</v>
      </c>
      <c r="E80" s="8">
        <v>41.5</v>
      </c>
      <c r="F80" s="8">
        <v>45</v>
      </c>
      <c r="G80" s="1" t="str">
        <f t="shared" si="1"/>
        <v>O</v>
      </c>
    </row>
    <row r="81" spans="1:7" ht="15" customHeight="1" x14ac:dyDescent="0.25">
      <c r="A81">
        <v>80</v>
      </c>
      <c r="B81" t="s">
        <v>298</v>
      </c>
      <c r="C81">
        <v>2014</v>
      </c>
      <c r="D81" s="1" t="s">
        <v>126</v>
      </c>
      <c r="E81" s="8">
        <v>40.5</v>
      </c>
      <c r="F81" s="8">
        <v>17</v>
      </c>
      <c r="G81" s="1" t="str">
        <f t="shared" si="1"/>
        <v>U</v>
      </c>
    </row>
    <row r="82" spans="1:7" ht="15" customHeight="1" x14ac:dyDescent="0.25">
      <c r="A82">
        <v>81</v>
      </c>
      <c r="B82" t="s">
        <v>299</v>
      </c>
      <c r="C82">
        <v>2014</v>
      </c>
      <c r="D82" s="1" t="s">
        <v>12</v>
      </c>
      <c r="E82" s="8">
        <v>57.5</v>
      </c>
      <c r="F82" s="8">
        <v>45</v>
      </c>
      <c r="G82" s="1" t="str">
        <f t="shared" si="1"/>
        <v>U</v>
      </c>
    </row>
    <row r="83" spans="1:7" ht="15" customHeight="1" x14ac:dyDescent="0.25">
      <c r="A83">
        <v>82</v>
      </c>
      <c r="B83" t="s">
        <v>300</v>
      </c>
      <c r="C83">
        <v>2014</v>
      </c>
      <c r="D83" s="1" t="s">
        <v>11</v>
      </c>
      <c r="E83" s="8">
        <v>28.5</v>
      </c>
      <c r="F83" s="8">
        <v>25</v>
      </c>
      <c r="G83" s="1" t="str">
        <f t="shared" si="1"/>
        <v>U</v>
      </c>
    </row>
    <row r="84" spans="1:7" ht="15" customHeight="1" x14ac:dyDescent="0.25">
      <c r="A84">
        <v>83</v>
      </c>
      <c r="B84" t="s">
        <v>301</v>
      </c>
      <c r="C84">
        <v>2014</v>
      </c>
      <c r="D84" s="1" t="s">
        <v>20</v>
      </c>
      <c r="E84" s="8">
        <v>15.5</v>
      </c>
      <c r="F84" s="8">
        <v>18</v>
      </c>
      <c r="G84" s="1" t="str">
        <f t="shared" si="1"/>
        <v>O</v>
      </c>
    </row>
    <row r="85" spans="1:7" ht="15" customHeight="1" x14ac:dyDescent="0.25">
      <c r="A85">
        <v>84</v>
      </c>
      <c r="B85" t="s">
        <v>302</v>
      </c>
      <c r="C85">
        <v>2014</v>
      </c>
      <c r="D85" s="1" t="s">
        <v>19</v>
      </c>
      <c r="E85" s="8">
        <v>42.5</v>
      </c>
      <c r="F85" s="8">
        <v>39</v>
      </c>
      <c r="G85" s="1" t="str">
        <f t="shared" si="1"/>
        <v>U</v>
      </c>
    </row>
    <row r="86" spans="1:7" ht="15" customHeight="1" x14ac:dyDescent="0.25">
      <c r="A86">
        <v>85</v>
      </c>
      <c r="B86" t="s">
        <v>303</v>
      </c>
      <c r="C86">
        <v>2014</v>
      </c>
      <c r="D86" s="1" t="s">
        <v>1</v>
      </c>
      <c r="E86" s="8">
        <v>48.5</v>
      </c>
      <c r="F86" s="8">
        <v>51</v>
      </c>
      <c r="G86" s="1" t="str">
        <f t="shared" si="1"/>
        <v>O</v>
      </c>
    </row>
    <row r="87" spans="1:7" ht="15" customHeight="1" x14ac:dyDescent="0.25">
      <c r="A87">
        <v>86</v>
      </c>
      <c r="B87" t="s">
        <v>304</v>
      </c>
      <c r="C87">
        <v>2014</v>
      </c>
      <c r="D87" s="1" t="s">
        <v>21</v>
      </c>
      <c r="E87" s="8">
        <v>30.5</v>
      </c>
      <c r="F87" s="8">
        <v>29</v>
      </c>
      <c r="G87" s="1" t="str">
        <f t="shared" si="1"/>
        <v>U</v>
      </c>
    </row>
    <row r="88" spans="1:7" ht="15" customHeight="1" x14ac:dyDescent="0.25">
      <c r="A88">
        <v>87</v>
      </c>
      <c r="B88" t="s">
        <v>305</v>
      </c>
      <c r="C88">
        <v>2014</v>
      </c>
      <c r="D88" s="1" t="s">
        <v>134</v>
      </c>
      <c r="E88" s="8">
        <v>56.5</v>
      </c>
      <c r="F88" s="8">
        <v>55</v>
      </c>
      <c r="G88" s="1" t="str">
        <f t="shared" si="1"/>
        <v>U</v>
      </c>
    </row>
    <row r="89" spans="1:7" ht="15" customHeight="1" x14ac:dyDescent="0.25">
      <c r="A89">
        <v>88</v>
      </c>
      <c r="B89" t="s">
        <v>306</v>
      </c>
      <c r="C89">
        <v>2014</v>
      </c>
      <c r="D89" s="1" t="s">
        <v>2</v>
      </c>
      <c r="E89" s="8">
        <v>49.5</v>
      </c>
      <c r="F89" s="8">
        <v>49</v>
      </c>
      <c r="G89" s="1" t="str">
        <f t="shared" si="1"/>
        <v>U</v>
      </c>
    </row>
    <row r="90" spans="1:7" ht="15" customHeight="1" x14ac:dyDescent="0.25">
      <c r="A90">
        <v>89</v>
      </c>
      <c r="B90" t="s">
        <v>307</v>
      </c>
      <c r="C90">
        <v>2014</v>
      </c>
      <c r="D90" s="1" t="s">
        <v>137</v>
      </c>
      <c r="E90" s="8">
        <v>25.5</v>
      </c>
      <c r="F90" s="8">
        <v>38</v>
      </c>
      <c r="G90" s="1" t="str">
        <f t="shared" si="1"/>
        <v>O</v>
      </c>
    </row>
    <row r="91" spans="1:7" ht="15" customHeight="1" x14ac:dyDescent="0.25">
      <c r="A91">
        <v>90</v>
      </c>
      <c r="B91" t="s">
        <v>308</v>
      </c>
      <c r="C91">
        <v>2014</v>
      </c>
      <c r="D91" s="1" t="s">
        <v>139</v>
      </c>
      <c r="E91" s="8">
        <v>49.5</v>
      </c>
      <c r="F91" s="8">
        <v>46</v>
      </c>
      <c r="G91" s="1" t="str">
        <f t="shared" si="1"/>
        <v>U</v>
      </c>
    </row>
    <row r="92" spans="1:7" ht="15" customHeight="1" x14ac:dyDescent="0.25">
      <c r="A92">
        <v>91</v>
      </c>
      <c r="B92" t="s">
        <v>309</v>
      </c>
      <c r="C92">
        <v>2015</v>
      </c>
      <c r="D92" s="1" t="s">
        <v>5</v>
      </c>
      <c r="E92" s="1">
        <v>49.5</v>
      </c>
      <c r="F92" s="1">
        <v>48</v>
      </c>
      <c r="G92" s="1" t="str">
        <f t="shared" si="1"/>
        <v>U</v>
      </c>
    </row>
    <row r="93" spans="1:7" ht="15" customHeight="1" x14ac:dyDescent="0.25">
      <c r="A93">
        <v>92</v>
      </c>
      <c r="B93" t="s">
        <v>310</v>
      </c>
      <c r="C93">
        <v>2015</v>
      </c>
      <c r="D93" s="1" t="s">
        <v>17</v>
      </c>
      <c r="E93" s="8">
        <v>42.5</v>
      </c>
      <c r="F93" s="8">
        <v>48</v>
      </c>
      <c r="G93" s="1" t="str">
        <f t="shared" si="1"/>
        <v>O</v>
      </c>
    </row>
    <row r="94" spans="1:7" ht="15" customHeight="1" x14ac:dyDescent="0.25">
      <c r="A94">
        <v>93</v>
      </c>
      <c r="B94" t="s">
        <v>311</v>
      </c>
      <c r="C94">
        <v>2015</v>
      </c>
      <c r="D94" s="1" t="s">
        <v>22</v>
      </c>
      <c r="E94" s="8">
        <v>28.5</v>
      </c>
      <c r="F94" s="8">
        <v>21</v>
      </c>
      <c r="G94" s="1" t="str">
        <f t="shared" si="1"/>
        <v>U</v>
      </c>
    </row>
    <row r="95" spans="1:7" ht="15" customHeight="1" x14ac:dyDescent="0.25">
      <c r="A95">
        <v>94</v>
      </c>
      <c r="B95" t="s">
        <v>312</v>
      </c>
      <c r="C95">
        <v>2015</v>
      </c>
      <c r="D95" s="1" t="s">
        <v>8</v>
      </c>
      <c r="E95" s="8">
        <v>32.5</v>
      </c>
      <c r="F95" s="8">
        <v>48</v>
      </c>
      <c r="G95" s="1" t="str">
        <f t="shared" si="1"/>
        <v>O</v>
      </c>
    </row>
    <row r="96" spans="1:7" ht="15" customHeight="1" x14ac:dyDescent="0.25">
      <c r="A96">
        <v>95</v>
      </c>
      <c r="B96" t="s">
        <v>313</v>
      </c>
      <c r="C96">
        <v>2015</v>
      </c>
      <c r="D96" s="1" t="s">
        <v>0</v>
      </c>
      <c r="E96" s="8">
        <v>49.5</v>
      </c>
      <c r="F96" s="8">
        <v>42</v>
      </c>
      <c r="G96" s="1" t="str">
        <f t="shared" si="1"/>
        <v>U</v>
      </c>
    </row>
    <row r="97" spans="1:7" ht="15" customHeight="1" x14ac:dyDescent="0.25">
      <c r="A97">
        <v>96</v>
      </c>
      <c r="B97" t="s">
        <v>314</v>
      </c>
      <c r="C97">
        <v>2015</v>
      </c>
      <c r="D97" s="1" t="s">
        <v>6</v>
      </c>
      <c r="E97" s="8">
        <v>56.5</v>
      </c>
      <c r="F97" s="8">
        <v>57</v>
      </c>
      <c r="G97" s="1" t="str">
        <f t="shared" si="1"/>
        <v>O</v>
      </c>
    </row>
    <row r="98" spans="1:7" ht="15" customHeight="1" x14ac:dyDescent="0.25">
      <c r="A98">
        <v>97</v>
      </c>
      <c r="B98" t="s">
        <v>315</v>
      </c>
      <c r="C98">
        <v>2015</v>
      </c>
      <c r="D98" s="1" t="s">
        <v>16</v>
      </c>
      <c r="E98" s="8">
        <v>38.5</v>
      </c>
      <c r="F98" s="8">
        <v>42</v>
      </c>
      <c r="G98" s="1" t="str">
        <f t="shared" si="1"/>
        <v>O</v>
      </c>
    </row>
    <row r="99" spans="1:7" ht="15" customHeight="1" x14ac:dyDescent="0.25">
      <c r="A99">
        <v>98</v>
      </c>
      <c r="B99" t="s">
        <v>316</v>
      </c>
      <c r="C99">
        <v>2015</v>
      </c>
      <c r="D99" s="1" t="s">
        <v>23</v>
      </c>
      <c r="E99" s="8">
        <v>26.5</v>
      </c>
      <c r="F99" s="8">
        <v>33</v>
      </c>
      <c r="G99" s="1" t="str">
        <f t="shared" si="1"/>
        <v>O</v>
      </c>
    </row>
    <row r="100" spans="1:7" ht="15" customHeight="1" x14ac:dyDescent="0.25">
      <c r="A100">
        <v>99</v>
      </c>
      <c r="B100" t="s">
        <v>317</v>
      </c>
      <c r="C100">
        <v>2015</v>
      </c>
      <c r="D100" s="1" t="s">
        <v>7</v>
      </c>
      <c r="E100" s="8">
        <v>33.5</v>
      </c>
      <c r="F100" s="8">
        <v>44</v>
      </c>
      <c r="G100" s="1" t="str">
        <f t="shared" si="1"/>
        <v>O</v>
      </c>
    </row>
    <row r="101" spans="1:7" ht="15" customHeight="1" x14ac:dyDescent="0.25">
      <c r="A101">
        <v>100</v>
      </c>
      <c r="B101" t="s">
        <v>318</v>
      </c>
      <c r="C101">
        <v>2015</v>
      </c>
      <c r="D101" s="1" t="s">
        <v>114</v>
      </c>
      <c r="E101" s="8">
        <v>60.5</v>
      </c>
      <c r="F101" s="8">
        <v>73</v>
      </c>
      <c r="G101" s="1" t="str">
        <f t="shared" si="1"/>
        <v>O</v>
      </c>
    </row>
    <row r="102" spans="1:7" ht="15" customHeight="1" x14ac:dyDescent="0.25">
      <c r="A102">
        <v>101</v>
      </c>
      <c r="B102" t="s">
        <v>319</v>
      </c>
      <c r="C102">
        <v>2015</v>
      </c>
      <c r="D102" s="1" t="s">
        <v>4</v>
      </c>
      <c r="E102" s="8">
        <v>54.5</v>
      </c>
      <c r="F102" s="8">
        <v>41</v>
      </c>
      <c r="G102" s="1" t="str">
        <f t="shared" si="1"/>
        <v>U</v>
      </c>
    </row>
    <row r="103" spans="1:7" ht="15" customHeight="1" x14ac:dyDescent="0.25">
      <c r="A103">
        <v>102</v>
      </c>
      <c r="B103" t="s">
        <v>320</v>
      </c>
      <c r="C103">
        <v>2015</v>
      </c>
      <c r="D103" s="1" t="s">
        <v>13</v>
      </c>
      <c r="E103" s="8">
        <v>42.5</v>
      </c>
      <c r="F103" s="8">
        <v>45</v>
      </c>
      <c r="G103" s="1" t="str">
        <f t="shared" si="1"/>
        <v>O</v>
      </c>
    </row>
    <row r="104" spans="1:7" ht="15" customHeight="1" x14ac:dyDescent="0.25">
      <c r="A104">
        <v>103</v>
      </c>
      <c r="B104" t="s">
        <v>321</v>
      </c>
      <c r="C104">
        <v>2015</v>
      </c>
      <c r="D104" s="1" t="s">
        <v>14</v>
      </c>
      <c r="E104" s="8">
        <v>56.5</v>
      </c>
      <c r="F104" s="8">
        <v>53</v>
      </c>
      <c r="G104" s="1" t="str">
        <f t="shared" si="1"/>
        <v>U</v>
      </c>
    </row>
    <row r="105" spans="1:7" ht="15" customHeight="1" x14ac:dyDescent="0.25">
      <c r="A105">
        <v>104</v>
      </c>
      <c r="B105" t="s">
        <v>322</v>
      </c>
      <c r="C105">
        <v>2015</v>
      </c>
      <c r="D105" s="1" t="s">
        <v>18</v>
      </c>
      <c r="E105" s="8">
        <v>29.5</v>
      </c>
      <c r="F105" s="8">
        <v>17</v>
      </c>
      <c r="G105" s="1" t="str">
        <f t="shared" si="1"/>
        <v>U</v>
      </c>
    </row>
    <row r="106" spans="1:7" ht="15" customHeight="1" x14ac:dyDescent="0.25">
      <c r="A106">
        <v>105</v>
      </c>
      <c r="B106" t="s">
        <v>323</v>
      </c>
      <c r="C106">
        <v>2015</v>
      </c>
      <c r="D106" s="1" t="s">
        <v>9</v>
      </c>
      <c r="E106" s="8">
        <v>50.5</v>
      </c>
      <c r="F106" s="8">
        <v>42</v>
      </c>
      <c r="G106" s="1" t="str">
        <f t="shared" si="1"/>
        <v>U</v>
      </c>
    </row>
    <row r="107" spans="1:7" ht="15" customHeight="1" x14ac:dyDescent="0.25">
      <c r="A107">
        <v>106</v>
      </c>
      <c r="B107" t="s">
        <v>324</v>
      </c>
      <c r="C107">
        <v>2015</v>
      </c>
      <c r="D107" s="1" t="s">
        <v>15</v>
      </c>
      <c r="E107" s="8">
        <v>45.5</v>
      </c>
      <c r="F107" s="8">
        <v>48</v>
      </c>
      <c r="G107" s="1" t="str">
        <f t="shared" si="1"/>
        <v>O</v>
      </c>
    </row>
    <row r="108" spans="1:7" ht="15" customHeight="1" x14ac:dyDescent="0.25">
      <c r="A108">
        <v>107</v>
      </c>
      <c r="B108" t="s">
        <v>325</v>
      </c>
      <c r="C108">
        <v>2015</v>
      </c>
      <c r="D108" s="1" t="s">
        <v>10</v>
      </c>
      <c r="E108" s="8">
        <v>43.5</v>
      </c>
      <c r="F108" s="8">
        <v>33</v>
      </c>
      <c r="G108" s="1" t="str">
        <f t="shared" si="1"/>
        <v>U</v>
      </c>
    </row>
    <row r="109" spans="1:7" ht="15" customHeight="1" x14ac:dyDescent="0.25">
      <c r="A109">
        <v>108</v>
      </c>
      <c r="B109" t="s">
        <v>326</v>
      </c>
      <c r="C109">
        <v>2015</v>
      </c>
      <c r="D109" s="1" t="s">
        <v>3</v>
      </c>
      <c r="E109" s="8">
        <v>25.5</v>
      </c>
      <c r="F109" s="8">
        <v>29</v>
      </c>
      <c r="G109" s="1" t="str">
        <f t="shared" si="1"/>
        <v>O</v>
      </c>
    </row>
    <row r="110" spans="1:7" ht="15" customHeight="1" x14ac:dyDescent="0.25">
      <c r="A110">
        <v>109</v>
      </c>
      <c r="B110" t="s">
        <v>327</v>
      </c>
      <c r="C110">
        <v>2015</v>
      </c>
      <c r="D110" s="1" t="s">
        <v>124</v>
      </c>
      <c r="E110" s="8">
        <v>47.5</v>
      </c>
      <c r="F110" s="8">
        <v>30</v>
      </c>
      <c r="G110" s="1" t="str">
        <f t="shared" si="1"/>
        <v>U</v>
      </c>
    </row>
    <row r="111" spans="1:7" ht="15" customHeight="1" x14ac:dyDescent="0.25">
      <c r="A111">
        <v>110</v>
      </c>
      <c r="B111" t="s">
        <v>328</v>
      </c>
      <c r="C111">
        <v>2015</v>
      </c>
      <c r="D111" s="1" t="s">
        <v>126</v>
      </c>
      <c r="E111" s="8">
        <v>31.5</v>
      </c>
      <c r="F111" s="8">
        <v>32</v>
      </c>
      <c r="G111" s="1" t="str">
        <f t="shared" si="1"/>
        <v>O</v>
      </c>
    </row>
    <row r="112" spans="1:7" ht="15" customHeight="1" x14ac:dyDescent="0.25">
      <c r="A112">
        <v>111</v>
      </c>
      <c r="B112" t="s">
        <v>329</v>
      </c>
      <c r="C112">
        <v>2015</v>
      </c>
      <c r="D112" s="1" t="s">
        <v>12</v>
      </c>
      <c r="E112" s="8">
        <v>57.5</v>
      </c>
      <c r="F112" s="8">
        <v>55</v>
      </c>
      <c r="G112" s="1" t="str">
        <f t="shared" si="1"/>
        <v>U</v>
      </c>
    </row>
    <row r="113" spans="1:15" ht="15" customHeight="1" x14ac:dyDescent="0.25">
      <c r="A113">
        <v>112</v>
      </c>
      <c r="B113" t="s">
        <v>330</v>
      </c>
      <c r="C113">
        <v>2015</v>
      </c>
      <c r="D113" s="1" t="s">
        <v>11</v>
      </c>
      <c r="E113" s="8">
        <v>32.5</v>
      </c>
      <c r="F113" s="8">
        <v>35</v>
      </c>
      <c r="G113" s="1" t="str">
        <f t="shared" si="1"/>
        <v>O</v>
      </c>
    </row>
    <row r="114" spans="1:15" ht="15" customHeight="1" x14ac:dyDescent="0.25">
      <c r="A114">
        <v>113</v>
      </c>
      <c r="B114" t="s">
        <v>331</v>
      </c>
      <c r="C114">
        <v>2015</v>
      </c>
      <c r="D114" s="1" t="s">
        <v>20</v>
      </c>
      <c r="E114" s="8">
        <v>21.5</v>
      </c>
      <c r="F114" s="8">
        <v>10</v>
      </c>
      <c r="G114" s="1" t="str">
        <f t="shared" si="1"/>
        <v>U</v>
      </c>
    </row>
    <row r="115" spans="1:15" ht="15" customHeight="1" x14ac:dyDescent="0.25">
      <c r="A115">
        <v>114</v>
      </c>
      <c r="B115" t="s">
        <v>332</v>
      </c>
      <c r="C115">
        <v>2015</v>
      </c>
      <c r="D115" s="1" t="s">
        <v>19</v>
      </c>
      <c r="E115" s="8">
        <v>36.5</v>
      </c>
      <c r="F115" s="8">
        <v>23</v>
      </c>
      <c r="G115" s="1" t="str">
        <f t="shared" si="1"/>
        <v>U</v>
      </c>
    </row>
    <row r="116" spans="1:15" ht="15" customHeight="1" x14ac:dyDescent="0.25">
      <c r="A116">
        <v>115</v>
      </c>
      <c r="B116" t="s">
        <v>333</v>
      </c>
      <c r="C116">
        <v>2015</v>
      </c>
      <c r="D116" s="1" t="s">
        <v>1</v>
      </c>
      <c r="E116" s="8">
        <v>26.5</v>
      </c>
      <c r="F116" s="8">
        <v>44</v>
      </c>
      <c r="G116" s="1" t="str">
        <f t="shared" si="1"/>
        <v>O</v>
      </c>
    </row>
    <row r="117" spans="1:15" ht="15" customHeight="1" x14ac:dyDescent="0.25">
      <c r="A117">
        <v>116</v>
      </c>
      <c r="B117" t="s">
        <v>334</v>
      </c>
      <c r="C117">
        <v>2015</v>
      </c>
      <c r="D117" s="1" t="s">
        <v>21</v>
      </c>
      <c r="E117" s="8">
        <v>30.5</v>
      </c>
      <c r="F117" s="8">
        <v>33</v>
      </c>
      <c r="G117" s="1" t="str">
        <f t="shared" si="1"/>
        <v>O</v>
      </c>
    </row>
    <row r="118" spans="1:15" ht="15" customHeight="1" x14ac:dyDescent="0.25">
      <c r="A118">
        <v>117</v>
      </c>
      <c r="B118" t="s">
        <v>335</v>
      </c>
      <c r="C118">
        <v>2015</v>
      </c>
      <c r="D118" s="1" t="s">
        <v>134</v>
      </c>
      <c r="E118" s="8">
        <v>58.5</v>
      </c>
      <c r="F118" s="8">
        <v>67</v>
      </c>
      <c r="G118" s="1" t="str">
        <f t="shared" si="1"/>
        <v>O</v>
      </c>
    </row>
    <row r="119" spans="1:15" ht="15" customHeight="1" x14ac:dyDescent="0.25">
      <c r="A119">
        <v>118</v>
      </c>
      <c r="B119" t="s">
        <v>336</v>
      </c>
      <c r="C119">
        <v>2015</v>
      </c>
      <c r="D119" s="1" t="s">
        <v>2</v>
      </c>
      <c r="E119" s="8">
        <v>45.5</v>
      </c>
      <c r="F119" s="8">
        <v>56</v>
      </c>
      <c r="G119" s="1" t="str">
        <f t="shared" si="1"/>
        <v>O</v>
      </c>
    </row>
    <row r="120" spans="1:15" ht="15" customHeight="1" x14ac:dyDescent="0.25">
      <c r="A120">
        <v>119</v>
      </c>
      <c r="B120" t="s">
        <v>337</v>
      </c>
      <c r="C120">
        <v>2015</v>
      </c>
      <c r="D120" s="1" t="s">
        <v>137</v>
      </c>
      <c r="E120" s="8">
        <v>40.5</v>
      </c>
      <c r="F120" s="8">
        <v>40</v>
      </c>
      <c r="G120" s="1" t="str">
        <f t="shared" si="1"/>
        <v>U</v>
      </c>
    </row>
    <row r="121" spans="1:15" ht="15" customHeight="1" x14ac:dyDescent="0.25">
      <c r="A121">
        <v>120</v>
      </c>
      <c r="B121" t="s">
        <v>338</v>
      </c>
      <c r="C121">
        <v>2015</v>
      </c>
      <c r="D121" s="1" t="s">
        <v>139</v>
      </c>
      <c r="E121" s="8">
        <v>45.5</v>
      </c>
      <c r="F121" s="8">
        <v>41</v>
      </c>
      <c r="G121" s="1" t="str">
        <f t="shared" si="1"/>
        <v>U</v>
      </c>
    </row>
    <row r="122" spans="1:15" ht="15" customHeight="1" x14ac:dyDescent="0.25">
      <c r="A122">
        <v>121</v>
      </c>
      <c r="B122" t="s">
        <v>339</v>
      </c>
      <c r="C122">
        <v>2016</v>
      </c>
      <c r="D122" s="8" t="s">
        <v>5</v>
      </c>
      <c r="E122" s="8">
        <v>43.5</v>
      </c>
      <c r="F122" s="8">
        <v>43</v>
      </c>
      <c r="G122" s="1" t="str">
        <f t="shared" ref="G122:G151" si="2">IF($F122="","",IF($F122&gt;$E122,"O",IF($F122=$E122,"E","U")))</f>
        <v>U</v>
      </c>
      <c r="L122" s="8"/>
      <c r="M122" s="8"/>
      <c r="N122" s="8"/>
      <c r="O122" s="1"/>
    </row>
    <row r="123" spans="1:15" ht="15" customHeight="1" x14ac:dyDescent="0.25">
      <c r="A123">
        <v>122</v>
      </c>
      <c r="B123" t="s">
        <v>340</v>
      </c>
      <c r="C123">
        <v>2016</v>
      </c>
      <c r="D123" s="8" t="s">
        <v>22</v>
      </c>
      <c r="E123" s="8">
        <v>20.5</v>
      </c>
      <c r="F123" s="8">
        <v>20</v>
      </c>
      <c r="G123" s="1" t="str">
        <f t="shared" si="2"/>
        <v>U</v>
      </c>
      <c r="L123" s="8"/>
      <c r="M123" s="8"/>
      <c r="N123" s="8"/>
      <c r="O123" s="1"/>
    </row>
    <row r="124" spans="1:15" ht="15" customHeight="1" x14ac:dyDescent="0.25">
      <c r="A124">
        <v>123</v>
      </c>
      <c r="B124" t="s">
        <v>341</v>
      </c>
      <c r="C124">
        <v>2016</v>
      </c>
      <c r="D124" s="8" t="s">
        <v>17</v>
      </c>
      <c r="E124" s="8">
        <v>52.5</v>
      </c>
      <c r="F124" s="8">
        <v>53</v>
      </c>
      <c r="G124" s="1" t="str">
        <f t="shared" si="2"/>
        <v>O</v>
      </c>
      <c r="L124" s="8"/>
      <c r="M124" s="8"/>
      <c r="N124" s="8"/>
      <c r="O124" s="1"/>
    </row>
    <row r="125" spans="1:15" ht="15" customHeight="1" x14ac:dyDescent="0.25">
      <c r="A125">
        <v>124</v>
      </c>
      <c r="B125" t="s">
        <v>342</v>
      </c>
      <c r="C125">
        <v>2016</v>
      </c>
      <c r="D125" s="8" t="s">
        <v>8</v>
      </c>
      <c r="E125" s="8">
        <v>42.5</v>
      </c>
      <c r="F125" s="8">
        <v>36</v>
      </c>
      <c r="G125" s="1" t="str">
        <f t="shared" si="2"/>
        <v>U</v>
      </c>
      <c r="L125" s="8"/>
      <c r="M125" s="8"/>
      <c r="N125" s="8"/>
      <c r="O125" s="1"/>
    </row>
    <row r="126" spans="1:15" ht="15" customHeight="1" x14ac:dyDescent="0.25">
      <c r="A126">
        <v>125</v>
      </c>
      <c r="B126" t="s">
        <v>343</v>
      </c>
      <c r="C126">
        <v>2016</v>
      </c>
      <c r="D126" s="8" t="s">
        <v>0</v>
      </c>
      <c r="E126" s="8">
        <v>38.5</v>
      </c>
      <c r="F126" s="8">
        <v>41</v>
      </c>
      <c r="G126" s="1" t="str">
        <f t="shared" si="2"/>
        <v>O</v>
      </c>
      <c r="L126" s="8"/>
      <c r="M126" s="8"/>
      <c r="N126" s="8"/>
      <c r="O126" s="1"/>
    </row>
    <row r="127" spans="1:15" ht="15" customHeight="1" x14ac:dyDescent="0.25">
      <c r="A127">
        <v>126</v>
      </c>
      <c r="B127" t="s">
        <v>344</v>
      </c>
      <c r="C127">
        <v>2016</v>
      </c>
      <c r="D127" s="8" t="s">
        <v>6</v>
      </c>
      <c r="E127" s="8">
        <v>56.5</v>
      </c>
      <c r="F127" s="8">
        <v>51</v>
      </c>
      <c r="G127" s="1" t="str">
        <f t="shared" si="2"/>
        <v>U</v>
      </c>
      <c r="L127" s="8"/>
      <c r="M127" s="8"/>
      <c r="N127" s="8"/>
      <c r="O127" s="1"/>
    </row>
    <row r="128" spans="1:15" ht="15" customHeight="1" x14ac:dyDescent="0.25">
      <c r="A128">
        <v>127</v>
      </c>
      <c r="B128" t="s">
        <v>345</v>
      </c>
      <c r="C128">
        <v>2016</v>
      </c>
      <c r="D128" s="8" t="s">
        <v>16</v>
      </c>
      <c r="E128" s="8">
        <v>38.5</v>
      </c>
      <c r="F128" s="8">
        <v>33</v>
      </c>
      <c r="G128" s="1" t="str">
        <f t="shared" si="2"/>
        <v>U</v>
      </c>
      <c r="L128" s="8"/>
      <c r="M128" s="8"/>
      <c r="N128" s="8"/>
      <c r="O128" s="1"/>
    </row>
    <row r="129" spans="1:15" ht="15" customHeight="1" x14ac:dyDescent="0.25">
      <c r="A129">
        <v>128</v>
      </c>
      <c r="B129" t="s">
        <v>346</v>
      </c>
      <c r="C129">
        <v>2016</v>
      </c>
      <c r="D129" s="8" t="s">
        <v>23</v>
      </c>
      <c r="E129" s="8">
        <v>37</v>
      </c>
      <c r="F129" s="8">
        <v>40</v>
      </c>
      <c r="G129" s="1" t="str">
        <f t="shared" si="2"/>
        <v>O</v>
      </c>
      <c r="L129" s="8"/>
      <c r="M129" s="8"/>
      <c r="N129" s="8"/>
      <c r="O129" s="1"/>
    </row>
    <row r="130" spans="1:15" ht="15" customHeight="1" x14ac:dyDescent="0.25">
      <c r="A130">
        <v>129</v>
      </c>
      <c r="B130" t="s">
        <v>347</v>
      </c>
      <c r="C130">
        <v>2016</v>
      </c>
      <c r="D130" s="8" t="s">
        <v>7</v>
      </c>
      <c r="E130" s="8">
        <v>44.5</v>
      </c>
      <c r="F130" s="8">
        <v>37</v>
      </c>
      <c r="G130" s="1" t="str">
        <f t="shared" si="2"/>
        <v>U</v>
      </c>
      <c r="L130" s="8"/>
      <c r="M130" s="8"/>
      <c r="N130" s="8"/>
      <c r="O130" s="1"/>
    </row>
    <row r="131" spans="1:15" ht="15" customHeight="1" x14ac:dyDescent="0.25">
      <c r="A131">
        <v>130</v>
      </c>
      <c r="B131" t="s">
        <v>348</v>
      </c>
      <c r="C131">
        <v>2016</v>
      </c>
      <c r="D131" s="8" t="s">
        <v>114</v>
      </c>
      <c r="E131" s="1">
        <v>66.5</v>
      </c>
      <c r="F131" s="1">
        <v>67</v>
      </c>
      <c r="G131" s="1" t="str">
        <f t="shared" si="2"/>
        <v>O</v>
      </c>
      <c r="L131" s="8"/>
      <c r="M131" s="1"/>
      <c r="N131" s="1"/>
      <c r="O131" s="1"/>
    </row>
    <row r="132" spans="1:15" ht="15" customHeight="1" x14ac:dyDescent="0.25">
      <c r="A132">
        <v>131</v>
      </c>
      <c r="B132" t="s">
        <v>349</v>
      </c>
      <c r="C132">
        <v>2016</v>
      </c>
      <c r="D132" s="8" t="s">
        <v>4</v>
      </c>
      <c r="E132" s="8">
        <v>44</v>
      </c>
      <c r="F132" s="8">
        <v>55</v>
      </c>
      <c r="G132" s="1" t="str">
        <f t="shared" si="2"/>
        <v>O</v>
      </c>
      <c r="L132" s="8"/>
      <c r="M132" s="8"/>
      <c r="N132" s="8"/>
      <c r="O132" s="1"/>
    </row>
    <row r="133" spans="1:15" ht="15" customHeight="1" x14ac:dyDescent="0.25">
      <c r="A133">
        <v>132</v>
      </c>
      <c r="B133" t="s">
        <v>350</v>
      </c>
      <c r="C133">
        <v>2016</v>
      </c>
      <c r="D133" s="8" t="s">
        <v>13</v>
      </c>
      <c r="E133" s="8">
        <v>44.5</v>
      </c>
      <c r="F133" s="8">
        <v>42</v>
      </c>
      <c r="G133" s="1" t="str">
        <f t="shared" si="2"/>
        <v>U</v>
      </c>
      <c r="L133" s="8"/>
      <c r="M133" s="8"/>
      <c r="N133" s="8"/>
      <c r="O133" s="1"/>
    </row>
    <row r="134" spans="1:15" ht="15" customHeight="1" x14ac:dyDescent="0.25">
      <c r="A134">
        <v>133</v>
      </c>
      <c r="B134" t="s">
        <v>351</v>
      </c>
      <c r="C134">
        <v>2016</v>
      </c>
      <c r="D134" s="8" t="s">
        <v>14</v>
      </c>
      <c r="E134" s="8">
        <v>53.5</v>
      </c>
      <c r="F134" s="8">
        <v>51</v>
      </c>
      <c r="G134" s="1" t="str">
        <f t="shared" si="2"/>
        <v>U</v>
      </c>
      <c r="L134" s="8"/>
      <c r="M134" s="8"/>
      <c r="N134" s="8"/>
      <c r="O134" s="1"/>
    </row>
    <row r="135" spans="1:15" ht="15" customHeight="1" x14ac:dyDescent="0.25">
      <c r="A135">
        <v>134</v>
      </c>
      <c r="B135" t="s">
        <v>352</v>
      </c>
      <c r="C135">
        <v>2016</v>
      </c>
      <c r="D135" s="8" t="s">
        <v>18</v>
      </c>
      <c r="E135" s="8">
        <v>24.5</v>
      </c>
      <c r="F135" s="8">
        <v>26</v>
      </c>
      <c r="G135" s="1" t="str">
        <f t="shared" si="2"/>
        <v>O</v>
      </c>
      <c r="L135" s="8"/>
      <c r="M135" s="8"/>
      <c r="N135" s="8"/>
      <c r="O135" s="1"/>
    </row>
    <row r="136" spans="1:15" ht="15" customHeight="1" x14ac:dyDescent="0.25">
      <c r="A136">
        <v>135</v>
      </c>
      <c r="B136" t="s">
        <v>353</v>
      </c>
      <c r="C136">
        <v>2016</v>
      </c>
      <c r="D136" s="8" t="s">
        <v>9</v>
      </c>
      <c r="E136" s="8">
        <v>42.5</v>
      </c>
      <c r="F136" s="8">
        <v>43</v>
      </c>
      <c r="G136" s="1" t="str">
        <f t="shared" si="2"/>
        <v>O</v>
      </c>
      <c r="L136" s="8"/>
      <c r="M136" s="8"/>
      <c r="N136" s="8"/>
      <c r="O136" s="1"/>
    </row>
    <row r="137" spans="1:15" ht="15" customHeight="1" x14ac:dyDescent="0.25">
      <c r="A137">
        <v>136</v>
      </c>
      <c r="B137" t="s">
        <v>354</v>
      </c>
      <c r="C137">
        <v>2016</v>
      </c>
      <c r="D137" s="8" t="s">
        <v>15</v>
      </c>
      <c r="E137" s="8">
        <v>34.5</v>
      </c>
      <c r="F137" s="8">
        <v>41</v>
      </c>
      <c r="G137" s="1" t="str">
        <f t="shared" si="2"/>
        <v>O</v>
      </c>
      <c r="L137" s="8"/>
      <c r="M137" s="8"/>
      <c r="N137" s="8"/>
      <c r="O137" s="1"/>
    </row>
    <row r="138" spans="1:15" ht="15" customHeight="1" x14ac:dyDescent="0.25">
      <c r="A138">
        <v>137</v>
      </c>
      <c r="B138" t="s">
        <v>355</v>
      </c>
      <c r="C138">
        <v>2016</v>
      </c>
      <c r="D138" s="8" t="s">
        <v>10</v>
      </c>
      <c r="E138" s="8">
        <v>34.5</v>
      </c>
      <c r="F138" s="8">
        <v>42</v>
      </c>
      <c r="G138" s="1" t="str">
        <f t="shared" si="2"/>
        <v>O</v>
      </c>
      <c r="L138" s="8"/>
      <c r="M138" s="8"/>
      <c r="N138" s="8"/>
      <c r="O138" s="1"/>
    </row>
    <row r="139" spans="1:15" ht="15" customHeight="1" x14ac:dyDescent="0.25">
      <c r="A139">
        <v>138</v>
      </c>
      <c r="B139" t="s">
        <v>356</v>
      </c>
      <c r="C139">
        <v>2016</v>
      </c>
      <c r="D139" s="8" t="s">
        <v>3</v>
      </c>
      <c r="E139" s="8">
        <v>40.5</v>
      </c>
      <c r="F139" s="8">
        <v>31</v>
      </c>
      <c r="G139" s="1" t="str">
        <f t="shared" si="2"/>
        <v>U</v>
      </c>
      <c r="L139" s="8"/>
      <c r="M139" s="8"/>
      <c r="N139" s="8"/>
      <c r="O139" s="1"/>
    </row>
    <row r="140" spans="1:15" ht="15" customHeight="1" x14ac:dyDescent="0.25">
      <c r="A140">
        <v>139</v>
      </c>
      <c r="B140" t="s">
        <v>357</v>
      </c>
      <c r="C140">
        <v>2016</v>
      </c>
      <c r="D140" s="8" t="s">
        <v>124</v>
      </c>
      <c r="E140" s="8">
        <v>37</v>
      </c>
      <c r="F140" s="8">
        <v>34</v>
      </c>
      <c r="G140" s="1" t="str">
        <f t="shared" si="2"/>
        <v>U</v>
      </c>
      <c r="L140" s="8"/>
      <c r="M140" s="8"/>
      <c r="N140" s="8"/>
      <c r="O140" s="1"/>
    </row>
    <row r="141" spans="1:15" ht="15" customHeight="1" x14ac:dyDescent="0.25">
      <c r="A141">
        <v>140</v>
      </c>
      <c r="B141" t="s">
        <v>358</v>
      </c>
      <c r="C141">
        <v>2016</v>
      </c>
      <c r="D141" s="8" t="s">
        <v>126</v>
      </c>
      <c r="E141" s="8">
        <v>38.5</v>
      </c>
      <c r="F141" s="8">
        <v>31</v>
      </c>
      <c r="G141" s="1" t="str">
        <f t="shared" si="2"/>
        <v>U</v>
      </c>
      <c r="L141" s="8"/>
      <c r="M141" s="8"/>
      <c r="N141" s="8"/>
      <c r="O141" s="1"/>
    </row>
    <row r="142" spans="1:15" ht="15" customHeight="1" x14ac:dyDescent="0.25">
      <c r="A142">
        <v>141</v>
      </c>
      <c r="B142" t="s">
        <v>359</v>
      </c>
      <c r="C142">
        <v>2016</v>
      </c>
      <c r="D142" s="8" t="s">
        <v>12</v>
      </c>
      <c r="E142" s="8">
        <v>43.5</v>
      </c>
      <c r="F142" s="8">
        <v>47</v>
      </c>
      <c r="G142" s="1" t="str">
        <f t="shared" si="2"/>
        <v>O</v>
      </c>
      <c r="L142" s="8"/>
      <c r="M142" s="8"/>
      <c r="N142" s="8"/>
      <c r="O142" s="1"/>
    </row>
    <row r="143" spans="1:15" ht="15" customHeight="1" x14ac:dyDescent="0.25">
      <c r="A143">
        <v>142</v>
      </c>
      <c r="B143" t="s">
        <v>360</v>
      </c>
      <c r="C143">
        <v>2016</v>
      </c>
      <c r="D143" s="8" t="s">
        <v>11</v>
      </c>
      <c r="E143" s="8">
        <v>37.5</v>
      </c>
      <c r="F143" s="8">
        <v>29</v>
      </c>
      <c r="G143" s="1" t="str">
        <f t="shared" si="2"/>
        <v>U</v>
      </c>
      <c r="L143" s="8"/>
      <c r="M143" s="8"/>
      <c r="N143" s="8"/>
      <c r="O143" s="1"/>
    </row>
    <row r="144" spans="1:15" ht="15" customHeight="1" x14ac:dyDescent="0.25">
      <c r="A144">
        <v>143</v>
      </c>
      <c r="B144" t="s">
        <v>361</v>
      </c>
      <c r="C144">
        <v>2016</v>
      </c>
      <c r="D144" s="8" t="s">
        <v>20</v>
      </c>
      <c r="E144" s="8">
        <v>24.5</v>
      </c>
      <c r="F144" s="8">
        <v>28</v>
      </c>
      <c r="G144" s="1" t="str">
        <f t="shared" si="2"/>
        <v>O</v>
      </c>
      <c r="L144" s="8"/>
      <c r="M144" s="8"/>
      <c r="N144" s="8"/>
      <c r="O144" s="1"/>
    </row>
    <row r="145" spans="1:15" ht="15" customHeight="1" x14ac:dyDescent="0.25">
      <c r="A145">
        <v>144</v>
      </c>
      <c r="B145" t="s">
        <v>362</v>
      </c>
      <c r="C145">
        <v>2016</v>
      </c>
      <c r="D145" s="8" t="s">
        <v>19</v>
      </c>
      <c r="E145" s="8">
        <v>30</v>
      </c>
      <c r="F145" s="8">
        <v>24</v>
      </c>
      <c r="G145" s="1" t="str">
        <f t="shared" si="2"/>
        <v>U</v>
      </c>
      <c r="L145" s="8"/>
      <c r="M145" s="8"/>
      <c r="N145" s="8"/>
      <c r="O145" s="1"/>
    </row>
    <row r="146" spans="1:15" ht="15" customHeight="1" x14ac:dyDescent="0.25">
      <c r="A146">
        <v>145</v>
      </c>
      <c r="B146" t="s">
        <v>363</v>
      </c>
      <c r="C146">
        <v>2016</v>
      </c>
      <c r="D146" s="8" t="s">
        <v>1</v>
      </c>
      <c r="E146" s="8">
        <v>45.5</v>
      </c>
      <c r="F146" s="8">
        <v>41</v>
      </c>
      <c r="G146" s="1" t="str">
        <f t="shared" si="2"/>
        <v>U</v>
      </c>
      <c r="L146" s="8"/>
      <c r="M146" s="8"/>
      <c r="N146" s="8"/>
      <c r="O146" s="1"/>
    </row>
    <row r="147" spans="1:15" ht="15" customHeight="1" x14ac:dyDescent="0.25">
      <c r="A147">
        <v>146</v>
      </c>
      <c r="B147" t="s">
        <v>364</v>
      </c>
      <c r="C147">
        <v>2016</v>
      </c>
      <c r="D147" s="8" t="s">
        <v>21</v>
      </c>
      <c r="E147" s="8">
        <v>34</v>
      </c>
      <c r="F147" s="8">
        <v>32</v>
      </c>
      <c r="G147" s="1" t="str">
        <f t="shared" si="2"/>
        <v>U</v>
      </c>
      <c r="L147" s="8"/>
      <c r="M147" s="8"/>
      <c r="N147" s="8"/>
      <c r="O147" s="1"/>
    </row>
    <row r="148" spans="1:15" ht="15" customHeight="1" x14ac:dyDescent="0.25">
      <c r="A148">
        <v>147</v>
      </c>
      <c r="B148" t="s">
        <v>365</v>
      </c>
      <c r="C148">
        <v>2016</v>
      </c>
      <c r="D148" s="8" t="s">
        <v>134</v>
      </c>
      <c r="E148" s="8">
        <v>56.5</v>
      </c>
      <c r="F148" s="8">
        <v>61</v>
      </c>
      <c r="G148" s="1" t="str">
        <f t="shared" si="2"/>
        <v>O</v>
      </c>
      <c r="L148" s="8"/>
      <c r="M148" s="8"/>
      <c r="N148" s="8"/>
      <c r="O148" s="1"/>
    </row>
    <row r="149" spans="1:15" ht="15" customHeight="1" x14ac:dyDescent="0.25">
      <c r="A149">
        <v>148</v>
      </c>
      <c r="B149" t="s">
        <v>366</v>
      </c>
      <c r="C149">
        <v>2016</v>
      </c>
      <c r="D149" s="8" t="s">
        <v>2</v>
      </c>
      <c r="E149" s="8">
        <v>50.5</v>
      </c>
      <c r="F149" s="8">
        <v>51</v>
      </c>
      <c r="G149" s="1" t="str">
        <f t="shared" si="2"/>
        <v>O</v>
      </c>
      <c r="L149" s="8"/>
      <c r="M149" s="8"/>
      <c r="N149" s="8"/>
      <c r="O149" s="1"/>
    </row>
    <row r="150" spans="1:15" ht="15" customHeight="1" x14ac:dyDescent="0.25">
      <c r="A150">
        <v>149</v>
      </c>
      <c r="B150" t="s">
        <v>367</v>
      </c>
      <c r="C150">
        <v>2016</v>
      </c>
      <c r="D150" s="8" t="s">
        <v>137</v>
      </c>
      <c r="E150" s="8">
        <v>49</v>
      </c>
      <c r="F150" s="8">
        <v>51</v>
      </c>
      <c r="G150" s="1" t="str">
        <f t="shared" si="2"/>
        <v>O</v>
      </c>
      <c r="L150" s="8"/>
      <c r="M150" s="8"/>
      <c r="N150" s="8"/>
      <c r="O150" s="1"/>
    </row>
    <row r="151" spans="1:15" ht="15" customHeight="1" x14ac:dyDescent="0.25">
      <c r="A151">
        <v>150</v>
      </c>
      <c r="B151" t="s">
        <v>368</v>
      </c>
      <c r="C151">
        <v>2016</v>
      </c>
      <c r="D151" s="8" t="s">
        <v>139</v>
      </c>
      <c r="E151" s="8">
        <v>42.5</v>
      </c>
      <c r="F151" s="8">
        <v>49</v>
      </c>
      <c r="G151" s="1" t="str">
        <f t="shared" si="2"/>
        <v>O</v>
      </c>
      <c r="L151" s="8"/>
      <c r="M151" s="8"/>
      <c r="N151" s="8"/>
      <c r="O15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1"/>
  <sheetViews>
    <sheetView zoomScale="80" zoomScaleNormal="80" workbookViewId="0"/>
  </sheetViews>
  <sheetFormatPr defaultRowHeight="15" x14ac:dyDescent="0.25"/>
  <cols>
    <col min="2" max="2" width="25.5703125" bestFit="1" customWidth="1"/>
    <col min="14" max="14" width="9.140625" customWidth="1"/>
  </cols>
  <sheetData>
    <row r="1" spans="1:16" x14ac:dyDescent="0.25">
      <c r="A1" t="s">
        <v>409</v>
      </c>
      <c r="B1" s="15" t="s">
        <v>425</v>
      </c>
      <c r="C1" t="s">
        <v>424</v>
      </c>
      <c r="D1" t="s">
        <v>422</v>
      </c>
      <c r="E1" t="s">
        <v>177</v>
      </c>
      <c r="F1" t="s">
        <v>373</v>
      </c>
      <c r="G1" t="s">
        <v>374</v>
      </c>
      <c r="H1" t="s">
        <v>162</v>
      </c>
      <c r="I1" s="16" t="s">
        <v>403</v>
      </c>
      <c r="J1" s="16" t="s">
        <v>404</v>
      </c>
      <c r="K1" s="16" t="s">
        <v>405</v>
      </c>
      <c r="L1" s="16" t="s">
        <v>408</v>
      </c>
      <c r="M1" s="16" t="s">
        <v>406</v>
      </c>
      <c r="N1" s="16" t="s">
        <v>407</v>
      </c>
      <c r="O1" s="8"/>
      <c r="P1" s="8"/>
    </row>
    <row r="2" spans="1:16" x14ac:dyDescent="0.25">
      <c r="A2">
        <v>1</v>
      </c>
      <c r="B2" t="str">
        <f t="shared" ref="B2:B65" si="0">CONCATENATE(C2,"_",D2)</f>
        <v>2005_ATL</v>
      </c>
      <c r="C2">
        <v>2005</v>
      </c>
      <c r="D2" t="s">
        <v>5</v>
      </c>
      <c r="E2">
        <v>21.5</v>
      </c>
      <c r="F2" t="s">
        <v>186</v>
      </c>
      <c r="G2" t="s">
        <v>186</v>
      </c>
      <c r="H2">
        <v>26</v>
      </c>
      <c r="I2" t="str">
        <f>IF(NOT(OR(ISBLANK(E2),ISBLANK(H2))),IF(E2&lt;H2,"O",IF(E2&gt;H2,"U","E")),"")</f>
        <v>O</v>
      </c>
      <c r="J2" t="str">
        <f t="shared" ref="J2:J65" si="1">IF(ISNUMBER(F2),IF(F2&lt;0,-F2/(-F2+100),100/(F2+100)),"na")</f>
        <v>na</v>
      </c>
      <c r="K2" t="str">
        <f t="shared" ref="K2:K65" si="2">IF(ISNUMBER(G2),IF(G2&lt;0,-G2/(-G2+100),100/(G2+100)),"na")</f>
        <v>na</v>
      </c>
      <c r="L2" t="str">
        <f>IF(AND(ISNUMBER(J2),ISNUMBER(K2)),J2-K2,"na")</f>
        <v>na</v>
      </c>
      <c r="M2" t="str">
        <f t="shared" ref="M2:M65" si="3">IF(ISNUMBER(F2),IF(F2&gt;0,1,0),"na")</f>
        <v>na</v>
      </c>
      <c r="N2" t="str">
        <f t="shared" ref="N2:N65" si="4">IF(ISNUMBER(G2),IF(G2&gt;0,1,0),"na")</f>
        <v>na</v>
      </c>
    </row>
    <row r="3" spans="1:16" x14ac:dyDescent="0.25">
      <c r="A3">
        <v>2</v>
      </c>
      <c r="B3" t="str">
        <f t="shared" si="0"/>
        <v>2005_BOS</v>
      </c>
      <c r="C3">
        <v>2005</v>
      </c>
      <c r="D3" t="s">
        <v>17</v>
      </c>
      <c r="E3">
        <v>40.5</v>
      </c>
      <c r="F3" t="s">
        <v>186</v>
      </c>
      <c r="G3" t="s">
        <v>186</v>
      </c>
      <c r="H3">
        <v>33</v>
      </c>
      <c r="I3" t="str">
        <f t="shared" ref="I3:I66" si="5">IF(NOT(OR(ISBLANK(E3),ISBLANK(H3))),IF(E3&lt;H3,"O",IF(E3&gt;H3,"U","E")),"")</f>
        <v>U</v>
      </c>
      <c r="J3" t="str">
        <f t="shared" si="1"/>
        <v>na</v>
      </c>
      <c r="K3" t="str">
        <f t="shared" si="2"/>
        <v>na</v>
      </c>
      <c r="L3" t="str">
        <f t="shared" ref="L3:L66" si="6">IF(AND(ISNUMBER(J3),ISNUMBER(K3)),J3-K3,"na")</f>
        <v>na</v>
      </c>
      <c r="M3" t="str">
        <f t="shared" si="3"/>
        <v>na</v>
      </c>
      <c r="N3" t="str">
        <f t="shared" si="4"/>
        <v>na</v>
      </c>
    </row>
    <row r="4" spans="1:16" x14ac:dyDescent="0.25">
      <c r="A4">
        <v>3</v>
      </c>
      <c r="B4" t="str">
        <f t="shared" si="0"/>
        <v>2005_NOP</v>
      </c>
      <c r="C4">
        <v>2005</v>
      </c>
      <c r="D4" t="s">
        <v>469</v>
      </c>
      <c r="E4">
        <v>21</v>
      </c>
      <c r="F4" t="s">
        <v>186</v>
      </c>
      <c r="G4" t="s">
        <v>186</v>
      </c>
      <c r="H4">
        <v>26</v>
      </c>
      <c r="I4" t="str">
        <f t="shared" si="5"/>
        <v>O</v>
      </c>
      <c r="J4" t="str">
        <f t="shared" si="1"/>
        <v>na</v>
      </c>
      <c r="K4" t="str">
        <f t="shared" si="2"/>
        <v>na</v>
      </c>
      <c r="L4" t="str">
        <f t="shared" si="6"/>
        <v>na</v>
      </c>
      <c r="M4" t="str">
        <f t="shared" si="3"/>
        <v>na</v>
      </c>
      <c r="N4" t="str">
        <f t="shared" si="4"/>
        <v>na</v>
      </c>
    </row>
    <row r="5" spans="1:16" x14ac:dyDescent="0.25">
      <c r="A5">
        <v>4</v>
      </c>
      <c r="B5" t="str">
        <f t="shared" si="0"/>
        <v>2005_CHI</v>
      </c>
      <c r="C5">
        <v>2005</v>
      </c>
      <c r="D5" t="s">
        <v>0</v>
      </c>
      <c r="E5">
        <v>43</v>
      </c>
      <c r="F5" t="s">
        <v>186</v>
      </c>
      <c r="G5" t="s">
        <v>186</v>
      </c>
      <c r="H5">
        <v>41</v>
      </c>
      <c r="I5" t="str">
        <f t="shared" si="5"/>
        <v>U</v>
      </c>
      <c r="J5" t="str">
        <f t="shared" si="1"/>
        <v>na</v>
      </c>
      <c r="K5" t="str">
        <f t="shared" si="2"/>
        <v>na</v>
      </c>
      <c r="L5" t="str">
        <f t="shared" si="6"/>
        <v>na</v>
      </c>
      <c r="M5" t="str">
        <f t="shared" si="3"/>
        <v>na</v>
      </c>
      <c r="N5" t="str">
        <f t="shared" si="4"/>
        <v>na</v>
      </c>
    </row>
    <row r="6" spans="1:16" x14ac:dyDescent="0.25">
      <c r="A6">
        <v>5</v>
      </c>
      <c r="B6" t="str">
        <f t="shared" si="0"/>
        <v>2005_CLE</v>
      </c>
      <c r="C6">
        <v>2005</v>
      </c>
      <c r="D6" t="s">
        <v>6</v>
      </c>
      <c r="E6">
        <v>49.5</v>
      </c>
      <c r="F6" t="s">
        <v>186</v>
      </c>
      <c r="G6" t="s">
        <v>186</v>
      </c>
      <c r="H6">
        <v>50</v>
      </c>
      <c r="I6" t="str">
        <f t="shared" si="5"/>
        <v>O</v>
      </c>
      <c r="J6" t="str">
        <f t="shared" si="1"/>
        <v>na</v>
      </c>
      <c r="K6" t="str">
        <f t="shared" si="2"/>
        <v>na</v>
      </c>
      <c r="L6" t="str">
        <f t="shared" si="6"/>
        <v>na</v>
      </c>
      <c r="M6" t="str">
        <f t="shared" si="3"/>
        <v>na</v>
      </c>
      <c r="N6" t="str">
        <f t="shared" si="4"/>
        <v>na</v>
      </c>
    </row>
    <row r="7" spans="1:16" x14ac:dyDescent="0.25">
      <c r="A7">
        <v>6</v>
      </c>
      <c r="B7" t="str">
        <f t="shared" si="0"/>
        <v>2005_DAL</v>
      </c>
      <c r="C7">
        <v>2005</v>
      </c>
      <c r="D7" t="s">
        <v>16</v>
      </c>
      <c r="E7">
        <v>52.5</v>
      </c>
      <c r="F7" t="s">
        <v>186</v>
      </c>
      <c r="G7" t="s">
        <v>186</v>
      </c>
      <c r="H7">
        <v>60</v>
      </c>
      <c r="I7" t="str">
        <f t="shared" si="5"/>
        <v>O</v>
      </c>
      <c r="J7" t="str">
        <f t="shared" si="1"/>
        <v>na</v>
      </c>
      <c r="K7" t="str">
        <f t="shared" si="2"/>
        <v>na</v>
      </c>
      <c r="L7" t="str">
        <f t="shared" si="6"/>
        <v>na</v>
      </c>
      <c r="M7" t="str">
        <f t="shared" si="3"/>
        <v>na</v>
      </c>
      <c r="N7" t="str">
        <f t="shared" si="4"/>
        <v>na</v>
      </c>
    </row>
    <row r="8" spans="1:16" x14ac:dyDescent="0.25">
      <c r="A8">
        <v>7</v>
      </c>
      <c r="B8" t="str">
        <f t="shared" si="0"/>
        <v>2005_DEN</v>
      </c>
      <c r="C8">
        <v>2005</v>
      </c>
      <c r="D8" t="s">
        <v>23</v>
      </c>
      <c r="E8">
        <v>50.5</v>
      </c>
      <c r="F8" t="s">
        <v>186</v>
      </c>
      <c r="G8" t="s">
        <v>186</v>
      </c>
      <c r="H8">
        <v>44</v>
      </c>
      <c r="I8" t="str">
        <f t="shared" si="5"/>
        <v>U</v>
      </c>
      <c r="J8" t="str">
        <f t="shared" si="1"/>
        <v>na</v>
      </c>
      <c r="K8" t="str">
        <f t="shared" si="2"/>
        <v>na</v>
      </c>
      <c r="L8" t="str">
        <f t="shared" si="6"/>
        <v>na</v>
      </c>
      <c r="M8" t="str">
        <f t="shared" si="3"/>
        <v>na</v>
      </c>
      <c r="N8" t="str">
        <f t="shared" si="4"/>
        <v>na</v>
      </c>
    </row>
    <row r="9" spans="1:16" x14ac:dyDescent="0.25">
      <c r="A9">
        <v>8</v>
      </c>
      <c r="B9" t="str">
        <f t="shared" si="0"/>
        <v>2005_DET</v>
      </c>
      <c r="C9">
        <v>2005</v>
      </c>
      <c r="D9" t="s">
        <v>7</v>
      </c>
      <c r="E9">
        <v>51.5</v>
      </c>
      <c r="F9" t="s">
        <v>186</v>
      </c>
      <c r="G9" t="s">
        <v>186</v>
      </c>
      <c r="H9">
        <v>64</v>
      </c>
      <c r="I9" t="str">
        <f t="shared" si="5"/>
        <v>O</v>
      </c>
      <c r="J9" t="str">
        <f t="shared" si="1"/>
        <v>na</v>
      </c>
      <c r="K9" t="str">
        <f t="shared" si="2"/>
        <v>na</v>
      </c>
      <c r="L9" t="str">
        <f t="shared" si="6"/>
        <v>na</v>
      </c>
      <c r="M9" t="str">
        <f t="shared" si="3"/>
        <v>na</v>
      </c>
      <c r="N9" t="str">
        <f t="shared" si="4"/>
        <v>na</v>
      </c>
    </row>
    <row r="10" spans="1:16" x14ac:dyDescent="0.25">
      <c r="A10">
        <v>9</v>
      </c>
      <c r="B10" t="str">
        <f t="shared" si="0"/>
        <v>2005_GSW</v>
      </c>
      <c r="C10">
        <v>2005</v>
      </c>
      <c r="D10" t="s">
        <v>468</v>
      </c>
      <c r="E10">
        <v>41.5</v>
      </c>
      <c r="F10" t="s">
        <v>186</v>
      </c>
      <c r="G10" t="s">
        <v>186</v>
      </c>
      <c r="H10">
        <v>34</v>
      </c>
      <c r="I10" t="str">
        <f t="shared" si="5"/>
        <v>U</v>
      </c>
      <c r="J10" t="str">
        <f t="shared" si="1"/>
        <v>na</v>
      </c>
      <c r="K10" t="str">
        <f t="shared" si="2"/>
        <v>na</v>
      </c>
      <c r="L10" t="str">
        <f t="shared" si="6"/>
        <v>na</v>
      </c>
      <c r="M10" t="str">
        <f t="shared" si="3"/>
        <v>na</v>
      </c>
      <c r="N10" t="str">
        <f t="shared" si="4"/>
        <v>na</v>
      </c>
    </row>
    <row r="11" spans="1:16" x14ac:dyDescent="0.25">
      <c r="A11">
        <v>10</v>
      </c>
      <c r="B11" t="str">
        <f t="shared" si="0"/>
        <v>2005_HOU</v>
      </c>
      <c r="C11">
        <v>2005</v>
      </c>
      <c r="D11" t="s">
        <v>4</v>
      </c>
      <c r="E11">
        <v>53</v>
      </c>
      <c r="F11" t="s">
        <v>186</v>
      </c>
      <c r="G11" t="s">
        <v>186</v>
      </c>
      <c r="H11">
        <v>34</v>
      </c>
      <c r="I11" t="str">
        <f t="shared" si="5"/>
        <v>U</v>
      </c>
      <c r="J11" t="str">
        <f t="shared" si="1"/>
        <v>na</v>
      </c>
      <c r="K11" t="str">
        <f t="shared" si="2"/>
        <v>na</v>
      </c>
      <c r="L11" t="str">
        <f t="shared" si="6"/>
        <v>na</v>
      </c>
      <c r="M11" t="str">
        <f t="shared" si="3"/>
        <v>na</v>
      </c>
      <c r="N11" t="str">
        <f t="shared" si="4"/>
        <v>na</v>
      </c>
    </row>
    <row r="12" spans="1:16" x14ac:dyDescent="0.25">
      <c r="A12">
        <v>11</v>
      </c>
      <c r="B12" t="str">
        <f t="shared" si="0"/>
        <v>2005_IND</v>
      </c>
      <c r="C12">
        <v>2005</v>
      </c>
      <c r="D12" t="s">
        <v>13</v>
      </c>
      <c r="E12">
        <v>52.5</v>
      </c>
      <c r="F12" t="s">
        <v>186</v>
      </c>
      <c r="G12" t="s">
        <v>186</v>
      </c>
      <c r="H12">
        <v>41</v>
      </c>
      <c r="I12" t="str">
        <f t="shared" si="5"/>
        <v>U</v>
      </c>
      <c r="J12" t="str">
        <f t="shared" si="1"/>
        <v>na</v>
      </c>
      <c r="K12" t="str">
        <f t="shared" si="2"/>
        <v>na</v>
      </c>
      <c r="L12" t="str">
        <f t="shared" si="6"/>
        <v>na</v>
      </c>
      <c r="M12" t="str">
        <f t="shared" si="3"/>
        <v>na</v>
      </c>
      <c r="N12" t="str">
        <f t="shared" si="4"/>
        <v>na</v>
      </c>
    </row>
    <row r="13" spans="1:16" x14ac:dyDescent="0.25">
      <c r="A13">
        <v>12</v>
      </c>
      <c r="B13" t="str">
        <f t="shared" si="0"/>
        <v>2005_LAC</v>
      </c>
      <c r="C13">
        <v>2005</v>
      </c>
      <c r="D13" t="s">
        <v>14</v>
      </c>
      <c r="E13">
        <v>38.5</v>
      </c>
      <c r="F13" t="s">
        <v>186</v>
      </c>
      <c r="G13" t="s">
        <v>186</v>
      </c>
      <c r="H13">
        <v>47</v>
      </c>
      <c r="I13" t="str">
        <f t="shared" si="5"/>
        <v>O</v>
      </c>
      <c r="J13" t="str">
        <f t="shared" si="1"/>
        <v>na</v>
      </c>
      <c r="K13" t="str">
        <f t="shared" si="2"/>
        <v>na</v>
      </c>
      <c r="L13" t="str">
        <f t="shared" si="6"/>
        <v>na</v>
      </c>
      <c r="M13" t="str">
        <f t="shared" si="3"/>
        <v>na</v>
      </c>
      <c r="N13" t="str">
        <f t="shared" si="4"/>
        <v>na</v>
      </c>
    </row>
    <row r="14" spans="1:16" x14ac:dyDescent="0.25">
      <c r="A14">
        <v>13</v>
      </c>
      <c r="B14" t="str">
        <f t="shared" si="0"/>
        <v>2005_LAL</v>
      </c>
      <c r="C14">
        <v>2005</v>
      </c>
      <c r="D14" t="s">
        <v>18</v>
      </c>
      <c r="E14">
        <v>41.5</v>
      </c>
      <c r="F14" t="s">
        <v>186</v>
      </c>
      <c r="G14" t="s">
        <v>186</v>
      </c>
      <c r="H14">
        <v>45</v>
      </c>
      <c r="I14" t="str">
        <f t="shared" si="5"/>
        <v>O</v>
      </c>
      <c r="J14" t="str">
        <f t="shared" si="1"/>
        <v>na</v>
      </c>
      <c r="K14" t="str">
        <f t="shared" si="2"/>
        <v>na</v>
      </c>
      <c r="L14" t="str">
        <f t="shared" si="6"/>
        <v>na</v>
      </c>
      <c r="M14" t="str">
        <f t="shared" si="3"/>
        <v>na</v>
      </c>
      <c r="N14" t="str">
        <f t="shared" si="4"/>
        <v>na</v>
      </c>
    </row>
    <row r="15" spans="1:16" x14ac:dyDescent="0.25">
      <c r="A15">
        <v>14</v>
      </c>
      <c r="B15" t="str">
        <f t="shared" si="0"/>
        <v>2005_MEM</v>
      </c>
      <c r="C15">
        <v>2005</v>
      </c>
      <c r="D15" t="s">
        <v>9</v>
      </c>
      <c r="E15">
        <v>42.5</v>
      </c>
      <c r="F15" t="s">
        <v>186</v>
      </c>
      <c r="G15" t="s">
        <v>186</v>
      </c>
      <c r="H15">
        <v>49</v>
      </c>
      <c r="I15" t="str">
        <f t="shared" si="5"/>
        <v>O</v>
      </c>
      <c r="J15" t="str">
        <f t="shared" si="1"/>
        <v>na</v>
      </c>
      <c r="K15" t="str">
        <f t="shared" si="2"/>
        <v>na</v>
      </c>
      <c r="L15" t="str">
        <f t="shared" si="6"/>
        <v>na</v>
      </c>
      <c r="M15" t="str">
        <f t="shared" si="3"/>
        <v>na</v>
      </c>
      <c r="N15" t="str">
        <f t="shared" si="4"/>
        <v>na</v>
      </c>
    </row>
    <row r="16" spans="1:16" x14ac:dyDescent="0.25">
      <c r="A16">
        <v>15</v>
      </c>
      <c r="B16" t="str">
        <f t="shared" si="0"/>
        <v>2005_MIA</v>
      </c>
      <c r="C16">
        <v>2005</v>
      </c>
      <c r="D16" t="s">
        <v>15</v>
      </c>
      <c r="E16">
        <v>58</v>
      </c>
      <c r="F16" t="s">
        <v>186</v>
      </c>
      <c r="G16" t="s">
        <v>186</v>
      </c>
      <c r="H16">
        <v>52</v>
      </c>
      <c r="I16" t="str">
        <f t="shared" si="5"/>
        <v>U</v>
      </c>
      <c r="J16" t="str">
        <f t="shared" si="1"/>
        <v>na</v>
      </c>
      <c r="K16" t="str">
        <f t="shared" si="2"/>
        <v>na</v>
      </c>
      <c r="L16" t="str">
        <f t="shared" si="6"/>
        <v>na</v>
      </c>
      <c r="M16" t="str">
        <f t="shared" si="3"/>
        <v>na</v>
      </c>
      <c r="N16" t="str">
        <f t="shared" si="4"/>
        <v>na</v>
      </c>
    </row>
    <row r="17" spans="1:14" x14ac:dyDescent="0.25">
      <c r="A17">
        <v>16</v>
      </c>
      <c r="B17" t="str">
        <f t="shared" si="0"/>
        <v>2005_MIL</v>
      </c>
      <c r="C17">
        <v>2005</v>
      </c>
      <c r="D17" t="s">
        <v>10</v>
      </c>
      <c r="E17">
        <v>35.5</v>
      </c>
      <c r="F17" t="s">
        <v>186</v>
      </c>
      <c r="G17" t="s">
        <v>186</v>
      </c>
      <c r="H17">
        <v>40</v>
      </c>
      <c r="I17" t="str">
        <f t="shared" si="5"/>
        <v>O</v>
      </c>
      <c r="J17" t="str">
        <f t="shared" si="1"/>
        <v>na</v>
      </c>
      <c r="K17" t="str">
        <f t="shared" si="2"/>
        <v>na</v>
      </c>
      <c r="L17" t="str">
        <f t="shared" si="6"/>
        <v>na</v>
      </c>
      <c r="M17" t="str">
        <f t="shared" si="3"/>
        <v>na</v>
      </c>
      <c r="N17" t="str">
        <f t="shared" si="4"/>
        <v>na</v>
      </c>
    </row>
    <row r="18" spans="1:14" x14ac:dyDescent="0.25">
      <c r="A18">
        <v>17</v>
      </c>
      <c r="B18" t="str">
        <f t="shared" si="0"/>
        <v>2005_MIN</v>
      </c>
      <c r="C18">
        <v>2005</v>
      </c>
      <c r="D18" t="s">
        <v>3</v>
      </c>
      <c r="E18">
        <v>44</v>
      </c>
      <c r="F18" t="s">
        <v>186</v>
      </c>
      <c r="G18" t="s">
        <v>186</v>
      </c>
      <c r="H18">
        <v>33</v>
      </c>
      <c r="I18" t="str">
        <f t="shared" si="5"/>
        <v>U</v>
      </c>
      <c r="J18" t="str">
        <f t="shared" si="1"/>
        <v>na</v>
      </c>
      <c r="K18" t="str">
        <f t="shared" si="2"/>
        <v>na</v>
      </c>
      <c r="L18" t="str">
        <f t="shared" si="6"/>
        <v>na</v>
      </c>
      <c r="M18" t="str">
        <f t="shared" si="3"/>
        <v>na</v>
      </c>
      <c r="N18" t="str">
        <f t="shared" si="4"/>
        <v>na</v>
      </c>
    </row>
    <row r="19" spans="1:14" x14ac:dyDescent="0.25">
      <c r="A19">
        <v>18</v>
      </c>
      <c r="B19" t="str">
        <f t="shared" si="0"/>
        <v>2005_BRK</v>
      </c>
      <c r="C19">
        <v>2005</v>
      </c>
      <c r="D19" t="s">
        <v>80</v>
      </c>
      <c r="E19">
        <v>47</v>
      </c>
      <c r="F19" t="s">
        <v>186</v>
      </c>
      <c r="G19" t="s">
        <v>186</v>
      </c>
      <c r="H19">
        <v>49</v>
      </c>
      <c r="I19" t="str">
        <f t="shared" si="5"/>
        <v>O</v>
      </c>
      <c r="J19" t="str">
        <f t="shared" si="1"/>
        <v>na</v>
      </c>
      <c r="K19" t="str">
        <f t="shared" si="2"/>
        <v>na</v>
      </c>
      <c r="L19" t="str">
        <f t="shared" si="6"/>
        <v>na</v>
      </c>
      <c r="M19" t="str">
        <f t="shared" si="3"/>
        <v>na</v>
      </c>
      <c r="N19" t="str">
        <f t="shared" si="4"/>
        <v>na</v>
      </c>
    </row>
    <row r="20" spans="1:14" x14ac:dyDescent="0.25">
      <c r="A20">
        <v>19</v>
      </c>
      <c r="B20" t="str">
        <f t="shared" si="0"/>
        <v>2005_CHO</v>
      </c>
      <c r="C20">
        <v>2005</v>
      </c>
      <c r="D20" t="s">
        <v>467</v>
      </c>
      <c r="E20">
        <v>21.5</v>
      </c>
      <c r="F20" t="s">
        <v>186</v>
      </c>
      <c r="G20" t="s">
        <v>186</v>
      </c>
      <c r="H20">
        <v>38</v>
      </c>
      <c r="I20" t="str">
        <f t="shared" si="5"/>
        <v>O</v>
      </c>
      <c r="J20" t="str">
        <f t="shared" si="1"/>
        <v>na</v>
      </c>
      <c r="K20" t="str">
        <f t="shared" si="2"/>
        <v>na</v>
      </c>
      <c r="L20" t="str">
        <f t="shared" si="6"/>
        <v>na</v>
      </c>
      <c r="M20" t="str">
        <f t="shared" si="3"/>
        <v>na</v>
      </c>
      <c r="N20" t="str">
        <f t="shared" si="4"/>
        <v>na</v>
      </c>
    </row>
    <row r="21" spans="1:14" x14ac:dyDescent="0.25">
      <c r="A21">
        <v>20</v>
      </c>
      <c r="B21" t="str">
        <f t="shared" si="0"/>
        <v>2005_NYK</v>
      </c>
      <c r="C21">
        <v>2005</v>
      </c>
      <c r="D21" t="s">
        <v>470</v>
      </c>
      <c r="E21">
        <v>41.5</v>
      </c>
      <c r="F21" t="s">
        <v>186</v>
      </c>
      <c r="G21" t="s">
        <v>186</v>
      </c>
      <c r="H21">
        <v>23</v>
      </c>
      <c r="I21" t="str">
        <f t="shared" si="5"/>
        <v>U</v>
      </c>
      <c r="J21" t="str">
        <f t="shared" si="1"/>
        <v>na</v>
      </c>
      <c r="K21" t="str">
        <f t="shared" si="2"/>
        <v>na</v>
      </c>
      <c r="L21" t="str">
        <f t="shared" si="6"/>
        <v>na</v>
      </c>
      <c r="M21" t="str">
        <f t="shared" si="3"/>
        <v>na</v>
      </c>
      <c r="N21" t="str">
        <f t="shared" si="4"/>
        <v>na</v>
      </c>
    </row>
    <row r="22" spans="1:14" x14ac:dyDescent="0.25">
      <c r="A22">
        <v>21</v>
      </c>
      <c r="B22" t="str">
        <f t="shared" si="0"/>
        <v>2005_ORL</v>
      </c>
      <c r="C22">
        <v>2005</v>
      </c>
      <c r="D22" t="s">
        <v>11</v>
      </c>
      <c r="E22">
        <v>34.5</v>
      </c>
      <c r="F22" t="s">
        <v>186</v>
      </c>
      <c r="G22" t="s">
        <v>186</v>
      </c>
      <c r="H22">
        <v>36</v>
      </c>
      <c r="I22" t="str">
        <f t="shared" si="5"/>
        <v>O</v>
      </c>
      <c r="J22" t="str">
        <f t="shared" si="1"/>
        <v>na</v>
      </c>
      <c r="K22" t="str">
        <f t="shared" si="2"/>
        <v>na</v>
      </c>
      <c r="L22" t="str">
        <f t="shared" si="6"/>
        <v>na</v>
      </c>
      <c r="M22" t="str">
        <f t="shared" si="3"/>
        <v>na</v>
      </c>
      <c r="N22" t="str">
        <f t="shared" si="4"/>
        <v>na</v>
      </c>
    </row>
    <row r="23" spans="1:14" x14ac:dyDescent="0.25">
      <c r="A23">
        <v>22</v>
      </c>
      <c r="B23" t="str">
        <f t="shared" si="0"/>
        <v>2005_PHI</v>
      </c>
      <c r="C23">
        <v>2005</v>
      </c>
      <c r="D23" t="s">
        <v>20</v>
      </c>
      <c r="E23">
        <v>42.5</v>
      </c>
      <c r="F23" t="s">
        <v>186</v>
      </c>
      <c r="G23" t="s">
        <v>186</v>
      </c>
      <c r="H23">
        <v>38</v>
      </c>
      <c r="I23" t="str">
        <f t="shared" si="5"/>
        <v>U</v>
      </c>
      <c r="J23" t="str">
        <f t="shared" si="1"/>
        <v>na</v>
      </c>
      <c r="K23" t="str">
        <f t="shared" si="2"/>
        <v>na</v>
      </c>
      <c r="L23" t="str">
        <f t="shared" si="6"/>
        <v>na</v>
      </c>
      <c r="M23" t="str">
        <f t="shared" si="3"/>
        <v>na</v>
      </c>
      <c r="N23" t="str">
        <f t="shared" si="4"/>
        <v>na</v>
      </c>
    </row>
    <row r="24" spans="1:14" x14ac:dyDescent="0.25">
      <c r="A24">
        <v>23</v>
      </c>
      <c r="B24" t="str">
        <f t="shared" si="0"/>
        <v>2005_PHO</v>
      </c>
      <c r="C24">
        <v>2005</v>
      </c>
      <c r="D24" t="s">
        <v>471</v>
      </c>
      <c r="E24">
        <v>43.5</v>
      </c>
      <c r="F24" t="s">
        <v>186</v>
      </c>
      <c r="G24" t="s">
        <v>186</v>
      </c>
      <c r="H24">
        <v>54</v>
      </c>
      <c r="I24" t="str">
        <f t="shared" si="5"/>
        <v>O</v>
      </c>
      <c r="J24" t="str">
        <f t="shared" si="1"/>
        <v>na</v>
      </c>
      <c r="K24" t="str">
        <f t="shared" si="2"/>
        <v>na</v>
      </c>
      <c r="L24" t="str">
        <f t="shared" si="6"/>
        <v>na</v>
      </c>
      <c r="M24" t="str">
        <f t="shared" si="3"/>
        <v>na</v>
      </c>
      <c r="N24" t="str">
        <f t="shared" si="4"/>
        <v>na</v>
      </c>
    </row>
    <row r="25" spans="1:14" x14ac:dyDescent="0.25">
      <c r="A25">
        <v>24</v>
      </c>
      <c r="B25" t="str">
        <f t="shared" si="0"/>
        <v>2005_POR</v>
      </c>
      <c r="C25">
        <v>2005</v>
      </c>
      <c r="D25" t="s">
        <v>1</v>
      </c>
      <c r="E25">
        <v>28.5</v>
      </c>
      <c r="F25" t="s">
        <v>186</v>
      </c>
      <c r="G25" t="s">
        <v>186</v>
      </c>
      <c r="H25">
        <v>21</v>
      </c>
      <c r="I25" t="str">
        <f t="shared" si="5"/>
        <v>U</v>
      </c>
      <c r="J25" t="str">
        <f t="shared" si="1"/>
        <v>na</v>
      </c>
      <c r="K25" t="str">
        <f t="shared" si="2"/>
        <v>na</v>
      </c>
      <c r="L25" t="str">
        <f t="shared" si="6"/>
        <v>na</v>
      </c>
      <c r="M25" t="str">
        <f t="shared" si="3"/>
        <v>na</v>
      </c>
      <c r="N25" t="str">
        <f t="shared" si="4"/>
        <v>na</v>
      </c>
    </row>
    <row r="26" spans="1:14" x14ac:dyDescent="0.25">
      <c r="A26">
        <v>25</v>
      </c>
      <c r="B26" t="str">
        <f t="shared" si="0"/>
        <v>2005_SAC</v>
      </c>
      <c r="C26">
        <v>2005</v>
      </c>
      <c r="D26" t="s">
        <v>21</v>
      </c>
      <c r="E26">
        <v>49.5</v>
      </c>
      <c r="F26" t="s">
        <v>186</v>
      </c>
      <c r="G26" t="s">
        <v>186</v>
      </c>
      <c r="H26">
        <v>44</v>
      </c>
      <c r="I26" t="str">
        <f t="shared" si="5"/>
        <v>U</v>
      </c>
      <c r="J26" t="str">
        <f t="shared" si="1"/>
        <v>na</v>
      </c>
      <c r="K26" t="str">
        <f t="shared" si="2"/>
        <v>na</v>
      </c>
      <c r="L26" t="str">
        <f t="shared" si="6"/>
        <v>na</v>
      </c>
      <c r="M26" t="str">
        <f t="shared" si="3"/>
        <v>na</v>
      </c>
      <c r="N26" t="str">
        <f t="shared" si="4"/>
        <v>na</v>
      </c>
    </row>
    <row r="27" spans="1:14" x14ac:dyDescent="0.25">
      <c r="A27">
        <v>26</v>
      </c>
      <c r="B27" t="str">
        <f t="shared" si="0"/>
        <v>2005_SAS</v>
      </c>
      <c r="C27">
        <v>2005</v>
      </c>
      <c r="D27" t="s">
        <v>472</v>
      </c>
      <c r="E27">
        <v>58.5</v>
      </c>
      <c r="F27" t="s">
        <v>186</v>
      </c>
      <c r="G27" t="s">
        <v>186</v>
      </c>
      <c r="H27">
        <v>63</v>
      </c>
      <c r="I27" t="str">
        <f t="shared" si="5"/>
        <v>O</v>
      </c>
      <c r="J27" t="str">
        <f t="shared" si="1"/>
        <v>na</v>
      </c>
      <c r="K27" t="str">
        <f t="shared" si="2"/>
        <v>na</v>
      </c>
      <c r="L27" t="str">
        <f t="shared" si="6"/>
        <v>na</v>
      </c>
      <c r="M27" t="str">
        <f t="shared" si="3"/>
        <v>na</v>
      </c>
      <c r="N27" t="str">
        <f t="shared" si="4"/>
        <v>na</v>
      </c>
    </row>
    <row r="28" spans="1:14" x14ac:dyDescent="0.25">
      <c r="A28">
        <v>27</v>
      </c>
      <c r="B28" t="str">
        <f t="shared" si="0"/>
        <v>2005_OKC</v>
      </c>
      <c r="C28">
        <v>2005</v>
      </c>
      <c r="D28" t="s">
        <v>12</v>
      </c>
      <c r="E28">
        <v>43</v>
      </c>
      <c r="F28" t="s">
        <v>186</v>
      </c>
      <c r="G28" t="s">
        <v>186</v>
      </c>
      <c r="H28">
        <v>35</v>
      </c>
      <c r="I28" t="str">
        <f t="shared" si="5"/>
        <v>U</v>
      </c>
      <c r="J28" t="str">
        <f t="shared" si="1"/>
        <v>na</v>
      </c>
      <c r="K28" t="str">
        <f t="shared" si="2"/>
        <v>na</v>
      </c>
      <c r="L28" t="str">
        <f t="shared" si="6"/>
        <v>na</v>
      </c>
      <c r="M28" t="str">
        <f t="shared" si="3"/>
        <v>na</v>
      </c>
      <c r="N28" t="str">
        <f t="shared" si="4"/>
        <v>na</v>
      </c>
    </row>
    <row r="29" spans="1:14" x14ac:dyDescent="0.25">
      <c r="A29">
        <v>28</v>
      </c>
      <c r="B29" t="str">
        <f t="shared" si="0"/>
        <v>2005_TOR</v>
      </c>
      <c r="C29">
        <v>2005</v>
      </c>
      <c r="D29" t="s">
        <v>2</v>
      </c>
      <c r="E29">
        <v>28.5</v>
      </c>
      <c r="F29" t="s">
        <v>186</v>
      </c>
      <c r="G29" t="s">
        <v>186</v>
      </c>
      <c r="H29">
        <v>27</v>
      </c>
      <c r="I29" t="str">
        <f t="shared" si="5"/>
        <v>U</v>
      </c>
      <c r="J29" t="str">
        <f t="shared" si="1"/>
        <v>na</v>
      </c>
      <c r="K29" t="str">
        <f t="shared" si="2"/>
        <v>na</v>
      </c>
      <c r="L29" t="str">
        <f t="shared" si="6"/>
        <v>na</v>
      </c>
      <c r="M29" t="str">
        <f t="shared" si="3"/>
        <v>na</v>
      </c>
      <c r="N29" t="str">
        <f t="shared" si="4"/>
        <v>na</v>
      </c>
    </row>
    <row r="30" spans="1:14" x14ac:dyDescent="0.25">
      <c r="A30">
        <v>29</v>
      </c>
      <c r="B30" t="str">
        <f t="shared" si="0"/>
        <v>2005_UTA</v>
      </c>
      <c r="C30">
        <v>2005</v>
      </c>
      <c r="D30" t="s">
        <v>473</v>
      </c>
      <c r="E30">
        <v>34</v>
      </c>
      <c r="F30" t="s">
        <v>186</v>
      </c>
      <c r="G30" t="s">
        <v>186</v>
      </c>
      <c r="H30">
        <v>41</v>
      </c>
      <c r="I30" t="str">
        <f t="shared" si="5"/>
        <v>O</v>
      </c>
      <c r="J30" t="str">
        <f t="shared" si="1"/>
        <v>na</v>
      </c>
      <c r="K30" t="str">
        <f t="shared" si="2"/>
        <v>na</v>
      </c>
      <c r="L30" t="str">
        <f t="shared" si="6"/>
        <v>na</v>
      </c>
      <c r="M30" t="str">
        <f t="shared" si="3"/>
        <v>na</v>
      </c>
      <c r="N30" t="str">
        <f t="shared" si="4"/>
        <v>na</v>
      </c>
    </row>
    <row r="31" spans="1:14" x14ac:dyDescent="0.25">
      <c r="A31">
        <v>30</v>
      </c>
      <c r="B31" t="str">
        <f t="shared" si="0"/>
        <v>2005_WAS</v>
      </c>
      <c r="C31">
        <v>2005</v>
      </c>
      <c r="D31" t="s">
        <v>474</v>
      </c>
      <c r="E31">
        <v>40</v>
      </c>
      <c r="F31" t="s">
        <v>186</v>
      </c>
      <c r="G31" t="s">
        <v>186</v>
      </c>
      <c r="H31">
        <v>42</v>
      </c>
      <c r="I31" t="str">
        <f t="shared" si="5"/>
        <v>O</v>
      </c>
      <c r="J31" t="str">
        <f t="shared" si="1"/>
        <v>na</v>
      </c>
      <c r="K31" t="str">
        <f t="shared" si="2"/>
        <v>na</v>
      </c>
      <c r="L31" t="str">
        <f t="shared" si="6"/>
        <v>na</v>
      </c>
      <c r="M31" t="str">
        <f t="shared" si="3"/>
        <v>na</v>
      </c>
      <c r="N31" t="str">
        <f t="shared" si="4"/>
        <v>na</v>
      </c>
    </row>
    <row r="32" spans="1:14" x14ac:dyDescent="0.25">
      <c r="A32">
        <v>31</v>
      </c>
      <c r="B32" t="str">
        <f t="shared" si="0"/>
        <v>2006_ATL</v>
      </c>
      <c r="C32">
        <v>2006</v>
      </c>
      <c r="D32" t="s">
        <v>5</v>
      </c>
      <c r="E32">
        <v>28</v>
      </c>
      <c r="F32" t="s">
        <v>186</v>
      </c>
      <c r="G32" t="s">
        <v>186</v>
      </c>
      <c r="H32">
        <v>30</v>
      </c>
      <c r="I32" t="str">
        <f t="shared" si="5"/>
        <v>O</v>
      </c>
      <c r="J32" t="str">
        <f t="shared" si="1"/>
        <v>na</v>
      </c>
      <c r="K32" t="str">
        <f t="shared" si="2"/>
        <v>na</v>
      </c>
      <c r="L32" t="str">
        <f t="shared" si="6"/>
        <v>na</v>
      </c>
      <c r="M32" t="str">
        <f t="shared" si="3"/>
        <v>na</v>
      </c>
      <c r="N32" t="str">
        <f t="shared" si="4"/>
        <v>na</v>
      </c>
    </row>
    <row r="33" spans="1:14" x14ac:dyDescent="0.25">
      <c r="A33">
        <v>32</v>
      </c>
      <c r="B33" t="str">
        <f t="shared" si="0"/>
        <v>2006_BOS</v>
      </c>
      <c r="C33">
        <v>2006</v>
      </c>
      <c r="D33" t="s">
        <v>17</v>
      </c>
      <c r="E33">
        <v>35</v>
      </c>
      <c r="F33" t="s">
        <v>186</v>
      </c>
      <c r="G33" t="s">
        <v>186</v>
      </c>
      <c r="H33">
        <v>24</v>
      </c>
      <c r="I33" t="str">
        <f t="shared" si="5"/>
        <v>U</v>
      </c>
      <c r="J33" t="str">
        <f t="shared" si="1"/>
        <v>na</v>
      </c>
      <c r="K33" t="str">
        <f t="shared" si="2"/>
        <v>na</v>
      </c>
      <c r="L33" t="str">
        <f t="shared" si="6"/>
        <v>na</v>
      </c>
      <c r="M33" t="str">
        <f t="shared" si="3"/>
        <v>na</v>
      </c>
      <c r="N33" t="str">
        <f t="shared" si="4"/>
        <v>na</v>
      </c>
    </row>
    <row r="34" spans="1:14" x14ac:dyDescent="0.25">
      <c r="A34">
        <v>33</v>
      </c>
      <c r="B34" t="str">
        <f t="shared" si="0"/>
        <v>2006_NOP</v>
      </c>
      <c r="C34">
        <v>2006</v>
      </c>
      <c r="D34" t="s">
        <v>469</v>
      </c>
      <c r="E34">
        <v>32</v>
      </c>
      <c r="F34" t="s">
        <v>186</v>
      </c>
      <c r="G34" t="s">
        <v>186</v>
      </c>
      <c r="H34">
        <v>33</v>
      </c>
      <c r="I34" t="str">
        <f t="shared" si="5"/>
        <v>O</v>
      </c>
      <c r="J34" t="str">
        <f t="shared" si="1"/>
        <v>na</v>
      </c>
      <c r="K34" t="str">
        <f t="shared" si="2"/>
        <v>na</v>
      </c>
      <c r="L34" t="str">
        <f t="shared" si="6"/>
        <v>na</v>
      </c>
      <c r="M34" t="str">
        <f t="shared" si="3"/>
        <v>na</v>
      </c>
      <c r="N34" t="str">
        <f t="shared" si="4"/>
        <v>na</v>
      </c>
    </row>
    <row r="35" spans="1:14" x14ac:dyDescent="0.25">
      <c r="A35">
        <v>34</v>
      </c>
      <c r="B35" t="str">
        <f t="shared" si="0"/>
        <v>2006_CHI</v>
      </c>
      <c r="C35">
        <v>2006</v>
      </c>
      <c r="D35" t="s">
        <v>0</v>
      </c>
      <c r="E35">
        <v>48</v>
      </c>
      <c r="F35" t="s">
        <v>186</v>
      </c>
      <c r="G35" t="s">
        <v>186</v>
      </c>
      <c r="H35">
        <v>49</v>
      </c>
      <c r="I35" t="str">
        <f t="shared" si="5"/>
        <v>O</v>
      </c>
      <c r="J35" t="str">
        <f t="shared" si="1"/>
        <v>na</v>
      </c>
      <c r="K35" t="str">
        <f t="shared" si="2"/>
        <v>na</v>
      </c>
      <c r="L35" t="str">
        <f t="shared" si="6"/>
        <v>na</v>
      </c>
      <c r="M35" t="str">
        <f t="shared" si="3"/>
        <v>na</v>
      </c>
      <c r="N35" t="str">
        <f t="shared" si="4"/>
        <v>na</v>
      </c>
    </row>
    <row r="36" spans="1:14" x14ac:dyDescent="0.25">
      <c r="A36">
        <v>35</v>
      </c>
      <c r="B36" t="str">
        <f t="shared" si="0"/>
        <v>2006_CLE</v>
      </c>
      <c r="C36">
        <v>2006</v>
      </c>
      <c r="D36" t="s">
        <v>6</v>
      </c>
      <c r="E36">
        <v>48</v>
      </c>
      <c r="F36" t="s">
        <v>186</v>
      </c>
      <c r="G36" t="s">
        <v>186</v>
      </c>
      <c r="H36">
        <v>50</v>
      </c>
      <c r="I36" t="str">
        <f t="shared" si="5"/>
        <v>O</v>
      </c>
      <c r="J36" t="str">
        <f t="shared" si="1"/>
        <v>na</v>
      </c>
      <c r="K36" t="str">
        <f t="shared" si="2"/>
        <v>na</v>
      </c>
      <c r="L36" t="str">
        <f t="shared" si="6"/>
        <v>na</v>
      </c>
      <c r="M36" t="str">
        <f t="shared" si="3"/>
        <v>na</v>
      </c>
      <c r="N36" t="str">
        <f t="shared" si="4"/>
        <v>na</v>
      </c>
    </row>
    <row r="37" spans="1:14" x14ac:dyDescent="0.25">
      <c r="A37">
        <v>36</v>
      </c>
      <c r="B37" t="str">
        <f t="shared" si="0"/>
        <v>2006_DAL</v>
      </c>
      <c r="C37">
        <v>2006</v>
      </c>
      <c r="D37" t="s">
        <v>16</v>
      </c>
      <c r="E37">
        <v>56</v>
      </c>
      <c r="F37" t="s">
        <v>186</v>
      </c>
      <c r="G37" t="s">
        <v>186</v>
      </c>
      <c r="H37">
        <v>67</v>
      </c>
      <c r="I37" t="str">
        <f t="shared" si="5"/>
        <v>O</v>
      </c>
      <c r="J37" t="str">
        <f t="shared" si="1"/>
        <v>na</v>
      </c>
      <c r="K37" t="str">
        <f t="shared" si="2"/>
        <v>na</v>
      </c>
      <c r="L37" t="str">
        <f t="shared" si="6"/>
        <v>na</v>
      </c>
      <c r="M37" t="str">
        <f t="shared" si="3"/>
        <v>na</v>
      </c>
      <c r="N37" t="str">
        <f t="shared" si="4"/>
        <v>na</v>
      </c>
    </row>
    <row r="38" spans="1:14" x14ac:dyDescent="0.25">
      <c r="A38">
        <v>37</v>
      </c>
      <c r="B38" t="str">
        <f t="shared" si="0"/>
        <v>2006_DEN</v>
      </c>
      <c r="C38">
        <v>2006</v>
      </c>
      <c r="D38" t="s">
        <v>23</v>
      </c>
      <c r="E38">
        <v>41.5</v>
      </c>
      <c r="F38" t="s">
        <v>186</v>
      </c>
      <c r="G38" t="s">
        <v>186</v>
      </c>
      <c r="H38">
        <v>45</v>
      </c>
      <c r="I38" t="str">
        <f t="shared" si="5"/>
        <v>O</v>
      </c>
      <c r="J38" t="str">
        <f t="shared" si="1"/>
        <v>na</v>
      </c>
      <c r="K38" t="str">
        <f t="shared" si="2"/>
        <v>na</v>
      </c>
      <c r="L38" t="str">
        <f t="shared" si="6"/>
        <v>na</v>
      </c>
      <c r="M38" t="str">
        <f t="shared" si="3"/>
        <v>na</v>
      </c>
      <c r="N38" t="str">
        <f t="shared" si="4"/>
        <v>na</v>
      </c>
    </row>
    <row r="39" spans="1:14" x14ac:dyDescent="0.25">
      <c r="A39">
        <v>38</v>
      </c>
      <c r="B39" t="str">
        <f t="shared" si="0"/>
        <v>2006_DET</v>
      </c>
      <c r="C39">
        <v>2006</v>
      </c>
      <c r="D39" t="s">
        <v>7</v>
      </c>
      <c r="E39">
        <v>51.5</v>
      </c>
      <c r="F39" t="s">
        <v>186</v>
      </c>
      <c r="G39" t="s">
        <v>186</v>
      </c>
      <c r="H39">
        <v>53</v>
      </c>
      <c r="I39" t="str">
        <f t="shared" si="5"/>
        <v>O</v>
      </c>
      <c r="J39" t="str">
        <f t="shared" si="1"/>
        <v>na</v>
      </c>
      <c r="K39" t="str">
        <f t="shared" si="2"/>
        <v>na</v>
      </c>
      <c r="L39" t="str">
        <f t="shared" si="6"/>
        <v>na</v>
      </c>
      <c r="M39" t="str">
        <f t="shared" si="3"/>
        <v>na</v>
      </c>
      <c r="N39" t="str">
        <f t="shared" si="4"/>
        <v>na</v>
      </c>
    </row>
    <row r="40" spans="1:14" x14ac:dyDescent="0.25">
      <c r="A40">
        <v>39</v>
      </c>
      <c r="B40" t="str">
        <f t="shared" si="0"/>
        <v>2006_GSW</v>
      </c>
      <c r="C40">
        <v>2006</v>
      </c>
      <c r="D40" t="s">
        <v>468</v>
      </c>
      <c r="E40">
        <v>35</v>
      </c>
      <c r="F40" t="s">
        <v>186</v>
      </c>
      <c r="G40" t="s">
        <v>186</v>
      </c>
      <c r="H40">
        <v>42</v>
      </c>
      <c r="I40" t="str">
        <f t="shared" si="5"/>
        <v>O</v>
      </c>
      <c r="J40" t="str">
        <f t="shared" si="1"/>
        <v>na</v>
      </c>
      <c r="K40" t="str">
        <f t="shared" si="2"/>
        <v>na</v>
      </c>
      <c r="L40" t="str">
        <f t="shared" si="6"/>
        <v>na</v>
      </c>
      <c r="M40" t="str">
        <f t="shared" si="3"/>
        <v>na</v>
      </c>
      <c r="N40" t="str">
        <f t="shared" si="4"/>
        <v>na</v>
      </c>
    </row>
    <row r="41" spans="1:14" x14ac:dyDescent="0.25">
      <c r="A41">
        <v>40</v>
      </c>
      <c r="B41" t="str">
        <f t="shared" si="0"/>
        <v>2006_HOU</v>
      </c>
      <c r="C41">
        <v>2006</v>
      </c>
      <c r="D41" t="s">
        <v>4</v>
      </c>
      <c r="E41">
        <v>45.5</v>
      </c>
      <c r="F41" t="s">
        <v>186</v>
      </c>
      <c r="G41" t="s">
        <v>186</v>
      </c>
      <c r="H41">
        <v>52</v>
      </c>
      <c r="I41" t="str">
        <f t="shared" si="5"/>
        <v>O</v>
      </c>
      <c r="J41" t="str">
        <f t="shared" si="1"/>
        <v>na</v>
      </c>
      <c r="K41" t="str">
        <f t="shared" si="2"/>
        <v>na</v>
      </c>
      <c r="L41" t="str">
        <f t="shared" si="6"/>
        <v>na</v>
      </c>
      <c r="M41" t="str">
        <f t="shared" si="3"/>
        <v>na</v>
      </c>
      <c r="N41" t="str">
        <f t="shared" si="4"/>
        <v>na</v>
      </c>
    </row>
    <row r="42" spans="1:14" x14ac:dyDescent="0.25">
      <c r="A42">
        <v>41</v>
      </c>
      <c r="B42" t="str">
        <f t="shared" si="0"/>
        <v>2006_IND</v>
      </c>
      <c r="C42">
        <v>2006</v>
      </c>
      <c r="D42" t="s">
        <v>13</v>
      </c>
      <c r="E42">
        <v>44.5</v>
      </c>
      <c r="F42" t="s">
        <v>186</v>
      </c>
      <c r="G42" t="s">
        <v>186</v>
      </c>
      <c r="H42">
        <v>35</v>
      </c>
      <c r="I42" t="str">
        <f t="shared" si="5"/>
        <v>U</v>
      </c>
      <c r="J42" t="str">
        <f t="shared" si="1"/>
        <v>na</v>
      </c>
      <c r="K42" t="str">
        <f t="shared" si="2"/>
        <v>na</v>
      </c>
      <c r="L42" t="str">
        <f t="shared" si="6"/>
        <v>na</v>
      </c>
      <c r="M42" t="str">
        <f t="shared" si="3"/>
        <v>na</v>
      </c>
      <c r="N42" t="str">
        <f t="shared" si="4"/>
        <v>na</v>
      </c>
    </row>
    <row r="43" spans="1:14" x14ac:dyDescent="0.25">
      <c r="A43">
        <v>42</v>
      </c>
      <c r="B43" t="str">
        <f t="shared" si="0"/>
        <v>2006_LAC</v>
      </c>
      <c r="C43">
        <v>2006</v>
      </c>
      <c r="D43" t="s">
        <v>14</v>
      </c>
      <c r="E43">
        <v>47</v>
      </c>
      <c r="F43" t="s">
        <v>186</v>
      </c>
      <c r="G43" t="s">
        <v>186</v>
      </c>
      <c r="H43">
        <v>40</v>
      </c>
      <c r="I43" t="str">
        <f t="shared" si="5"/>
        <v>U</v>
      </c>
      <c r="J43" t="str">
        <f t="shared" si="1"/>
        <v>na</v>
      </c>
      <c r="K43" t="str">
        <f t="shared" si="2"/>
        <v>na</v>
      </c>
      <c r="L43" t="str">
        <f t="shared" si="6"/>
        <v>na</v>
      </c>
      <c r="M43" t="str">
        <f t="shared" si="3"/>
        <v>na</v>
      </c>
      <c r="N43" t="str">
        <f t="shared" si="4"/>
        <v>na</v>
      </c>
    </row>
    <row r="44" spans="1:14" x14ac:dyDescent="0.25">
      <c r="A44">
        <v>43</v>
      </c>
      <c r="B44" t="str">
        <f t="shared" si="0"/>
        <v>2006_LAL</v>
      </c>
      <c r="C44">
        <v>2006</v>
      </c>
      <c r="D44" t="s">
        <v>18</v>
      </c>
      <c r="E44">
        <v>42.5</v>
      </c>
      <c r="F44" t="s">
        <v>186</v>
      </c>
      <c r="G44" t="s">
        <v>186</v>
      </c>
      <c r="H44">
        <v>42</v>
      </c>
      <c r="I44" t="str">
        <f t="shared" si="5"/>
        <v>U</v>
      </c>
      <c r="J44" t="str">
        <f t="shared" si="1"/>
        <v>na</v>
      </c>
      <c r="K44" t="str">
        <f t="shared" si="2"/>
        <v>na</v>
      </c>
      <c r="L44" t="str">
        <f t="shared" si="6"/>
        <v>na</v>
      </c>
      <c r="M44" t="str">
        <f t="shared" si="3"/>
        <v>na</v>
      </c>
      <c r="N44" t="str">
        <f t="shared" si="4"/>
        <v>na</v>
      </c>
    </row>
    <row r="45" spans="1:14" x14ac:dyDescent="0.25">
      <c r="A45">
        <v>44</v>
      </c>
      <c r="B45" t="str">
        <f t="shared" si="0"/>
        <v>2006_MEM</v>
      </c>
      <c r="C45">
        <v>2006</v>
      </c>
      <c r="D45" t="s">
        <v>9</v>
      </c>
      <c r="E45">
        <v>40</v>
      </c>
      <c r="F45" t="s">
        <v>186</v>
      </c>
      <c r="G45" t="s">
        <v>186</v>
      </c>
      <c r="H45">
        <v>22</v>
      </c>
      <c r="I45" t="str">
        <f t="shared" si="5"/>
        <v>U</v>
      </c>
      <c r="J45" t="str">
        <f t="shared" si="1"/>
        <v>na</v>
      </c>
      <c r="K45" t="str">
        <f t="shared" si="2"/>
        <v>na</v>
      </c>
      <c r="L45" t="str">
        <f t="shared" si="6"/>
        <v>na</v>
      </c>
      <c r="M45" t="str">
        <f t="shared" si="3"/>
        <v>na</v>
      </c>
      <c r="N45" t="str">
        <f t="shared" si="4"/>
        <v>na</v>
      </c>
    </row>
    <row r="46" spans="1:14" x14ac:dyDescent="0.25">
      <c r="A46">
        <v>45</v>
      </c>
      <c r="B46" t="str">
        <f t="shared" si="0"/>
        <v>2006_MIA</v>
      </c>
      <c r="C46">
        <v>2006</v>
      </c>
      <c r="D46" t="s">
        <v>15</v>
      </c>
      <c r="E46">
        <v>51.5</v>
      </c>
      <c r="F46" t="s">
        <v>186</v>
      </c>
      <c r="G46" t="s">
        <v>186</v>
      </c>
      <c r="H46">
        <v>44</v>
      </c>
      <c r="I46" t="str">
        <f t="shared" si="5"/>
        <v>U</v>
      </c>
      <c r="J46" t="str">
        <f t="shared" si="1"/>
        <v>na</v>
      </c>
      <c r="K46" t="str">
        <f t="shared" si="2"/>
        <v>na</v>
      </c>
      <c r="L46" t="str">
        <f t="shared" si="6"/>
        <v>na</v>
      </c>
      <c r="M46" t="str">
        <f t="shared" si="3"/>
        <v>na</v>
      </c>
      <c r="N46" t="str">
        <f t="shared" si="4"/>
        <v>na</v>
      </c>
    </row>
    <row r="47" spans="1:14" x14ac:dyDescent="0.25">
      <c r="A47">
        <v>46</v>
      </c>
      <c r="B47" t="str">
        <f t="shared" si="0"/>
        <v>2006_MIL</v>
      </c>
      <c r="C47">
        <v>2006</v>
      </c>
      <c r="D47" t="s">
        <v>10</v>
      </c>
      <c r="E47">
        <v>42</v>
      </c>
      <c r="F47" t="s">
        <v>186</v>
      </c>
      <c r="G47" t="s">
        <v>186</v>
      </c>
      <c r="H47">
        <v>28</v>
      </c>
      <c r="I47" t="str">
        <f t="shared" si="5"/>
        <v>U</v>
      </c>
      <c r="J47" t="str">
        <f t="shared" si="1"/>
        <v>na</v>
      </c>
      <c r="K47" t="str">
        <f t="shared" si="2"/>
        <v>na</v>
      </c>
      <c r="L47" t="str">
        <f t="shared" si="6"/>
        <v>na</v>
      </c>
      <c r="M47" t="str">
        <f t="shared" si="3"/>
        <v>na</v>
      </c>
      <c r="N47" t="str">
        <f t="shared" si="4"/>
        <v>na</v>
      </c>
    </row>
    <row r="48" spans="1:14" x14ac:dyDescent="0.25">
      <c r="A48">
        <v>47</v>
      </c>
      <c r="B48" t="str">
        <f t="shared" si="0"/>
        <v>2006_MIN</v>
      </c>
      <c r="C48">
        <v>2006</v>
      </c>
      <c r="D48" t="s">
        <v>3</v>
      </c>
      <c r="E48">
        <v>36</v>
      </c>
      <c r="F48" t="s">
        <v>186</v>
      </c>
      <c r="G48" t="s">
        <v>186</v>
      </c>
      <c r="H48">
        <v>32</v>
      </c>
      <c r="I48" t="str">
        <f t="shared" si="5"/>
        <v>U</v>
      </c>
      <c r="J48" t="str">
        <f t="shared" si="1"/>
        <v>na</v>
      </c>
      <c r="K48" t="str">
        <f t="shared" si="2"/>
        <v>na</v>
      </c>
      <c r="L48" t="str">
        <f t="shared" si="6"/>
        <v>na</v>
      </c>
      <c r="M48" t="str">
        <f t="shared" si="3"/>
        <v>na</v>
      </c>
      <c r="N48" t="str">
        <f t="shared" si="4"/>
        <v>na</v>
      </c>
    </row>
    <row r="49" spans="1:14" x14ac:dyDescent="0.25">
      <c r="A49">
        <v>48</v>
      </c>
      <c r="B49" t="str">
        <f t="shared" si="0"/>
        <v>2006_BRK</v>
      </c>
      <c r="C49">
        <v>2006</v>
      </c>
      <c r="D49" t="s">
        <v>80</v>
      </c>
      <c r="E49">
        <v>46.5</v>
      </c>
      <c r="F49" t="s">
        <v>186</v>
      </c>
      <c r="G49" t="s">
        <v>186</v>
      </c>
      <c r="H49">
        <v>41</v>
      </c>
      <c r="I49" t="str">
        <f t="shared" si="5"/>
        <v>U</v>
      </c>
      <c r="J49" t="str">
        <f t="shared" si="1"/>
        <v>na</v>
      </c>
      <c r="K49" t="str">
        <f t="shared" si="2"/>
        <v>na</v>
      </c>
      <c r="L49" t="str">
        <f t="shared" si="6"/>
        <v>na</v>
      </c>
      <c r="M49" t="str">
        <f t="shared" si="3"/>
        <v>na</v>
      </c>
      <c r="N49" t="str">
        <f t="shared" si="4"/>
        <v>na</v>
      </c>
    </row>
    <row r="50" spans="1:14" x14ac:dyDescent="0.25">
      <c r="A50">
        <v>49</v>
      </c>
      <c r="B50" t="str">
        <f t="shared" si="0"/>
        <v>2006_CHO</v>
      </c>
      <c r="C50">
        <v>2006</v>
      </c>
      <c r="D50" t="s">
        <v>467</v>
      </c>
      <c r="E50">
        <v>40.5</v>
      </c>
      <c r="F50" t="s">
        <v>186</v>
      </c>
      <c r="G50" t="s">
        <v>186</v>
      </c>
      <c r="H50">
        <v>39</v>
      </c>
      <c r="I50" t="str">
        <f t="shared" si="5"/>
        <v>U</v>
      </c>
      <c r="J50" t="str">
        <f t="shared" si="1"/>
        <v>na</v>
      </c>
      <c r="K50" t="str">
        <f t="shared" si="2"/>
        <v>na</v>
      </c>
      <c r="L50" t="str">
        <f t="shared" si="6"/>
        <v>na</v>
      </c>
      <c r="M50" t="str">
        <f t="shared" si="3"/>
        <v>na</v>
      </c>
      <c r="N50" t="str">
        <f t="shared" si="4"/>
        <v>na</v>
      </c>
    </row>
    <row r="51" spans="1:14" x14ac:dyDescent="0.25">
      <c r="A51">
        <v>50</v>
      </c>
      <c r="B51" t="str">
        <f t="shared" si="0"/>
        <v>2006_NYK</v>
      </c>
      <c r="C51">
        <v>2006</v>
      </c>
      <c r="D51" t="s">
        <v>470</v>
      </c>
      <c r="E51">
        <v>30.5</v>
      </c>
      <c r="F51" t="s">
        <v>186</v>
      </c>
      <c r="G51" t="s">
        <v>186</v>
      </c>
      <c r="H51">
        <v>33</v>
      </c>
      <c r="I51" t="str">
        <f t="shared" si="5"/>
        <v>O</v>
      </c>
      <c r="J51" t="str">
        <f t="shared" si="1"/>
        <v>na</v>
      </c>
      <c r="K51" t="str">
        <f t="shared" si="2"/>
        <v>na</v>
      </c>
      <c r="L51" t="str">
        <f t="shared" si="6"/>
        <v>na</v>
      </c>
      <c r="M51" t="str">
        <f t="shared" si="3"/>
        <v>na</v>
      </c>
      <c r="N51" t="str">
        <f t="shared" si="4"/>
        <v>na</v>
      </c>
    </row>
    <row r="52" spans="1:14" x14ac:dyDescent="0.25">
      <c r="A52">
        <v>51</v>
      </c>
      <c r="B52" t="str">
        <f t="shared" si="0"/>
        <v>2006_ORL</v>
      </c>
      <c r="C52">
        <v>2006</v>
      </c>
      <c r="D52" t="s">
        <v>11</v>
      </c>
      <c r="E52">
        <v>37</v>
      </c>
      <c r="F52" t="s">
        <v>186</v>
      </c>
      <c r="G52" t="s">
        <v>186</v>
      </c>
      <c r="H52">
        <v>40</v>
      </c>
      <c r="I52" t="str">
        <f t="shared" si="5"/>
        <v>O</v>
      </c>
      <c r="J52" t="str">
        <f t="shared" si="1"/>
        <v>na</v>
      </c>
      <c r="K52" t="str">
        <f t="shared" si="2"/>
        <v>na</v>
      </c>
      <c r="L52" t="str">
        <f t="shared" si="6"/>
        <v>na</v>
      </c>
      <c r="M52" t="str">
        <f t="shared" si="3"/>
        <v>na</v>
      </c>
      <c r="N52" t="str">
        <f t="shared" si="4"/>
        <v>na</v>
      </c>
    </row>
    <row r="53" spans="1:14" x14ac:dyDescent="0.25">
      <c r="A53">
        <v>52</v>
      </c>
      <c r="B53" t="str">
        <f t="shared" si="0"/>
        <v>2006_PHI</v>
      </c>
      <c r="C53">
        <v>2006</v>
      </c>
      <c r="D53" t="s">
        <v>20</v>
      </c>
      <c r="E53">
        <v>35.5</v>
      </c>
      <c r="F53" t="s">
        <v>186</v>
      </c>
      <c r="G53" t="s">
        <v>186</v>
      </c>
      <c r="H53">
        <v>35</v>
      </c>
      <c r="I53" t="str">
        <f t="shared" si="5"/>
        <v>U</v>
      </c>
      <c r="J53" t="str">
        <f t="shared" si="1"/>
        <v>na</v>
      </c>
      <c r="K53" t="str">
        <f t="shared" si="2"/>
        <v>na</v>
      </c>
      <c r="L53" t="str">
        <f t="shared" si="6"/>
        <v>na</v>
      </c>
      <c r="M53" t="str">
        <f t="shared" si="3"/>
        <v>na</v>
      </c>
      <c r="N53" t="str">
        <f t="shared" si="4"/>
        <v>na</v>
      </c>
    </row>
    <row r="54" spans="1:14" x14ac:dyDescent="0.25">
      <c r="A54">
        <v>53</v>
      </c>
      <c r="B54" t="str">
        <f t="shared" si="0"/>
        <v>2006_PHO</v>
      </c>
      <c r="C54">
        <v>2006</v>
      </c>
      <c r="D54" t="s">
        <v>471</v>
      </c>
      <c r="E54">
        <v>55</v>
      </c>
      <c r="F54" t="s">
        <v>186</v>
      </c>
      <c r="G54" t="s">
        <v>186</v>
      </c>
      <c r="H54">
        <v>61</v>
      </c>
      <c r="I54" t="str">
        <f t="shared" si="5"/>
        <v>O</v>
      </c>
      <c r="J54" t="str">
        <f t="shared" si="1"/>
        <v>na</v>
      </c>
      <c r="K54" t="str">
        <f t="shared" si="2"/>
        <v>na</v>
      </c>
      <c r="L54" t="str">
        <f t="shared" si="6"/>
        <v>na</v>
      </c>
      <c r="M54" t="str">
        <f t="shared" si="3"/>
        <v>na</v>
      </c>
      <c r="N54" t="str">
        <f t="shared" si="4"/>
        <v>na</v>
      </c>
    </row>
    <row r="55" spans="1:14" x14ac:dyDescent="0.25">
      <c r="A55">
        <v>54</v>
      </c>
      <c r="B55" t="str">
        <f t="shared" si="0"/>
        <v>2006_POR</v>
      </c>
      <c r="C55">
        <v>2006</v>
      </c>
      <c r="D55" t="s">
        <v>1</v>
      </c>
      <c r="E55">
        <v>24</v>
      </c>
      <c r="F55" t="s">
        <v>186</v>
      </c>
      <c r="G55" t="s">
        <v>186</v>
      </c>
      <c r="H55">
        <v>32</v>
      </c>
      <c r="I55" t="str">
        <f t="shared" si="5"/>
        <v>O</v>
      </c>
      <c r="J55" t="str">
        <f t="shared" si="1"/>
        <v>na</v>
      </c>
      <c r="K55" t="str">
        <f t="shared" si="2"/>
        <v>na</v>
      </c>
      <c r="L55" t="str">
        <f t="shared" si="6"/>
        <v>na</v>
      </c>
      <c r="M55" t="str">
        <f t="shared" si="3"/>
        <v>na</v>
      </c>
      <c r="N55" t="str">
        <f t="shared" si="4"/>
        <v>na</v>
      </c>
    </row>
    <row r="56" spans="1:14" x14ac:dyDescent="0.25">
      <c r="A56">
        <v>55</v>
      </c>
      <c r="B56" t="str">
        <f t="shared" si="0"/>
        <v>2006_SAC</v>
      </c>
      <c r="C56">
        <v>2006</v>
      </c>
      <c r="D56" t="s">
        <v>21</v>
      </c>
      <c r="E56">
        <v>44</v>
      </c>
      <c r="F56" t="s">
        <v>186</v>
      </c>
      <c r="G56" t="s">
        <v>186</v>
      </c>
      <c r="H56">
        <v>33</v>
      </c>
      <c r="I56" t="str">
        <f t="shared" si="5"/>
        <v>U</v>
      </c>
      <c r="J56" t="str">
        <f t="shared" si="1"/>
        <v>na</v>
      </c>
      <c r="K56" t="str">
        <f t="shared" si="2"/>
        <v>na</v>
      </c>
      <c r="L56" t="str">
        <f t="shared" si="6"/>
        <v>na</v>
      </c>
      <c r="M56" t="str">
        <f t="shared" si="3"/>
        <v>na</v>
      </c>
      <c r="N56" t="str">
        <f t="shared" si="4"/>
        <v>na</v>
      </c>
    </row>
    <row r="57" spans="1:14" x14ac:dyDescent="0.25">
      <c r="A57">
        <v>56</v>
      </c>
      <c r="B57" t="str">
        <f t="shared" si="0"/>
        <v>2006_SAS</v>
      </c>
      <c r="C57">
        <v>2006</v>
      </c>
      <c r="D57" t="s">
        <v>472</v>
      </c>
      <c r="E57">
        <v>56</v>
      </c>
      <c r="F57" t="s">
        <v>186</v>
      </c>
      <c r="G57" t="s">
        <v>186</v>
      </c>
      <c r="H57">
        <v>58</v>
      </c>
      <c r="I57" t="str">
        <f t="shared" si="5"/>
        <v>O</v>
      </c>
      <c r="J57" t="str">
        <f t="shared" si="1"/>
        <v>na</v>
      </c>
      <c r="K57" t="str">
        <f t="shared" si="2"/>
        <v>na</v>
      </c>
      <c r="L57" t="str">
        <f t="shared" si="6"/>
        <v>na</v>
      </c>
      <c r="M57" t="str">
        <f t="shared" si="3"/>
        <v>na</v>
      </c>
      <c r="N57" t="str">
        <f t="shared" si="4"/>
        <v>na</v>
      </c>
    </row>
    <row r="58" spans="1:14" x14ac:dyDescent="0.25">
      <c r="A58">
        <v>57</v>
      </c>
      <c r="B58" t="str">
        <f t="shared" si="0"/>
        <v>2006_OKC</v>
      </c>
      <c r="C58">
        <v>2006</v>
      </c>
      <c r="D58" t="s">
        <v>12</v>
      </c>
      <c r="E58">
        <v>35.5</v>
      </c>
      <c r="F58" t="s">
        <v>186</v>
      </c>
      <c r="G58" t="s">
        <v>186</v>
      </c>
      <c r="H58">
        <v>31</v>
      </c>
      <c r="I58" t="str">
        <f t="shared" si="5"/>
        <v>U</v>
      </c>
      <c r="J58" t="str">
        <f t="shared" si="1"/>
        <v>na</v>
      </c>
      <c r="K58" t="str">
        <f t="shared" si="2"/>
        <v>na</v>
      </c>
      <c r="L58" t="str">
        <f t="shared" si="6"/>
        <v>na</v>
      </c>
      <c r="M58" t="str">
        <f t="shared" si="3"/>
        <v>na</v>
      </c>
      <c r="N58" t="str">
        <f t="shared" si="4"/>
        <v>na</v>
      </c>
    </row>
    <row r="59" spans="1:14" x14ac:dyDescent="0.25">
      <c r="A59">
        <v>58</v>
      </c>
      <c r="B59" t="str">
        <f t="shared" si="0"/>
        <v>2006_TOR</v>
      </c>
      <c r="C59">
        <v>2006</v>
      </c>
      <c r="D59" t="s">
        <v>2</v>
      </c>
      <c r="E59">
        <v>32.5</v>
      </c>
      <c r="F59" t="s">
        <v>186</v>
      </c>
      <c r="G59" t="s">
        <v>186</v>
      </c>
      <c r="H59">
        <v>47</v>
      </c>
      <c r="I59" t="str">
        <f t="shared" si="5"/>
        <v>O</v>
      </c>
      <c r="J59" t="str">
        <f t="shared" si="1"/>
        <v>na</v>
      </c>
      <c r="K59" t="str">
        <f t="shared" si="2"/>
        <v>na</v>
      </c>
      <c r="L59" t="str">
        <f t="shared" si="6"/>
        <v>na</v>
      </c>
      <c r="M59" t="str">
        <f t="shared" si="3"/>
        <v>na</v>
      </c>
      <c r="N59" t="str">
        <f t="shared" si="4"/>
        <v>na</v>
      </c>
    </row>
    <row r="60" spans="1:14" x14ac:dyDescent="0.25">
      <c r="A60">
        <v>59</v>
      </c>
      <c r="B60" t="str">
        <f t="shared" si="0"/>
        <v>2006_UTA</v>
      </c>
      <c r="C60">
        <v>2006</v>
      </c>
      <c r="D60" t="s">
        <v>473</v>
      </c>
      <c r="E60">
        <v>39</v>
      </c>
      <c r="F60" t="s">
        <v>186</v>
      </c>
      <c r="G60" t="s">
        <v>186</v>
      </c>
      <c r="H60">
        <v>51</v>
      </c>
      <c r="I60" t="str">
        <f t="shared" si="5"/>
        <v>O</v>
      </c>
      <c r="J60" t="str">
        <f t="shared" si="1"/>
        <v>na</v>
      </c>
      <c r="K60" t="str">
        <f t="shared" si="2"/>
        <v>na</v>
      </c>
      <c r="L60" t="str">
        <f t="shared" si="6"/>
        <v>na</v>
      </c>
      <c r="M60" t="str">
        <f t="shared" si="3"/>
        <v>na</v>
      </c>
      <c r="N60" t="str">
        <f t="shared" si="4"/>
        <v>na</v>
      </c>
    </row>
    <row r="61" spans="1:14" x14ac:dyDescent="0.25">
      <c r="A61">
        <v>60</v>
      </c>
      <c r="B61" t="str">
        <f t="shared" si="0"/>
        <v>2006_WAS</v>
      </c>
      <c r="C61">
        <v>2006</v>
      </c>
      <c r="D61" t="s">
        <v>474</v>
      </c>
      <c r="E61">
        <v>39</v>
      </c>
      <c r="F61" t="s">
        <v>186</v>
      </c>
      <c r="G61" t="s">
        <v>186</v>
      </c>
      <c r="H61">
        <v>41</v>
      </c>
      <c r="I61" t="str">
        <f t="shared" si="5"/>
        <v>O</v>
      </c>
      <c r="J61" t="str">
        <f t="shared" si="1"/>
        <v>na</v>
      </c>
      <c r="K61" t="str">
        <f t="shared" si="2"/>
        <v>na</v>
      </c>
      <c r="L61" t="str">
        <f t="shared" si="6"/>
        <v>na</v>
      </c>
      <c r="M61" t="str">
        <f t="shared" si="3"/>
        <v>na</v>
      </c>
      <c r="N61" t="str">
        <f t="shared" si="4"/>
        <v>na</v>
      </c>
    </row>
    <row r="62" spans="1:14" x14ac:dyDescent="0.25">
      <c r="A62">
        <v>61</v>
      </c>
      <c r="B62" t="str">
        <f t="shared" si="0"/>
        <v>2007_ATL</v>
      </c>
      <c r="C62">
        <v>2007</v>
      </c>
      <c r="D62" t="s">
        <v>5</v>
      </c>
      <c r="E62">
        <v>38.5</v>
      </c>
      <c r="F62">
        <v>-115</v>
      </c>
      <c r="G62">
        <v>-115</v>
      </c>
      <c r="H62">
        <v>37</v>
      </c>
      <c r="I62" t="str">
        <f t="shared" si="5"/>
        <v>U</v>
      </c>
      <c r="J62">
        <f t="shared" si="1"/>
        <v>0.53488372093023251</v>
      </c>
      <c r="K62">
        <f t="shared" si="2"/>
        <v>0.53488372093023251</v>
      </c>
      <c r="L62">
        <f t="shared" si="6"/>
        <v>0</v>
      </c>
      <c r="M62">
        <f t="shared" si="3"/>
        <v>0</v>
      </c>
      <c r="N62">
        <f t="shared" si="4"/>
        <v>0</v>
      </c>
    </row>
    <row r="63" spans="1:14" x14ac:dyDescent="0.25">
      <c r="A63">
        <v>62</v>
      </c>
      <c r="B63" t="str">
        <f t="shared" si="0"/>
        <v>2007_BOS</v>
      </c>
      <c r="C63">
        <v>2007</v>
      </c>
      <c r="D63" t="s">
        <v>17</v>
      </c>
      <c r="E63">
        <v>49.5</v>
      </c>
      <c r="F63">
        <v>-115</v>
      </c>
      <c r="G63">
        <v>-115</v>
      </c>
      <c r="H63">
        <v>66</v>
      </c>
      <c r="I63" t="str">
        <f t="shared" si="5"/>
        <v>O</v>
      </c>
      <c r="J63">
        <f t="shared" si="1"/>
        <v>0.53488372093023251</v>
      </c>
      <c r="K63">
        <f t="shared" si="2"/>
        <v>0.53488372093023251</v>
      </c>
      <c r="L63">
        <f t="shared" si="6"/>
        <v>0</v>
      </c>
      <c r="M63">
        <f t="shared" si="3"/>
        <v>0</v>
      </c>
      <c r="N63">
        <f t="shared" si="4"/>
        <v>0</v>
      </c>
    </row>
    <row r="64" spans="1:14" x14ac:dyDescent="0.25">
      <c r="A64">
        <v>63</v>
      </c>
      <c r="B64" t="str">
        <f t="shared" si="0"/>
        <v>2007_NOP</v>
      </c>
      <c r="C64">
        <v>2007</v>
      </c>
      <c r="D64" t="s">
        <v>469</v>
      </c>
      <c r="E64">
        <v>35.5</v>
      </c>
      <c r="F64">
        <v>-115</v>
      </c>
      <c r="G64">
        <v>-115</v>
      </c>
      <c r="H64">
        <v>32</v>
      </c>
      <c r="I64" t="str">
        <f t="shared" si="5"/>
        <v>U</v>
      </c>
      <c r="J64">
        <f t="shared" si="1"/>
        <v>0.53488372093023251</v>
      </c>
      <c r="K64">
        <f t="shared" si="2"/>
        <v>0.53488372093023251</v>
      </c>
      <c r="L64">
        <f t="shared" si="6"/>
        <v>0</v>
      </c>
      <c r="M64">
        <f t="shared" si="3"/>
        <v>0</v>
      </c>
      <c r="N64">
        <f t="shared" si="4"/>
        <v>0</v>
      </c>
    </row>
    <row r="65" spans="1:14" x14ac:dyDescent="0.25">
      <c r="A65">
        <v>64</v>
      </c>
      <c r="B65" t="str">
        <f t="shared" si="0"/>
        <v>2007_CHI</v>
      </c>
      <c r="C65">
        <v>2007</v>
      </c>
      <c r="D65" t="s">
        <v>0</v>
      </c>
      <c r="E65">
        <v>50.5</v>
      </c>
      <c r="F65">
        <v>-115</v>
      </c>
      <c r="G65">
        <v>-115</v>
      </c>
      <c r="H65">
        <v>33</v>
      </c>
      <c r="I65" t="str">
        <f t="shared" si="5"/>
        <v>U</v>
      </c>
      <c r="J65">
        <f t="shared" si="1"/>
        <v>0.53488372093023251</v>
      </c>
      <c r="K65">
        <f t="shared" si="2"/>
        <v>0.53488372093023251</v>
      </c>
      <c r="L65">
        <f t="shared" si="6"/>
        <v>0</v>
      </c>
      <c r="M65">
        <f t="shared" si="3"/>
        <v>0</v>
      </c>
      <c r="N65">
        <f t="shared" si="4"/>
        <v>0</v>
      </c>
    </row>
    <row r="66" spans="1:14" x14ac:dyDescent="0.25">
      <c r="A66">
        <v>65</v>
      </c>
      <c r="B66" t="str">
        <f t="shared" ref="B66:B129" si="7">CONCATENATE(C66,"_",D66)</f>
        <v>2007_CLE</v>
      </c>
      <c r="C66">
        <v>2007</v>
      </c>
      <c r="D66" t="s">
        <v>6</v>
      </c>
      <c r="E66">
        <v>49.5</v>
      </c>
      <c r="F66">
        <v>-115</v>
      </c>
      <c r="G66">
        <v>-115</v>
      </c>
      <c r="H66">
        <v>45</v>
      </c>
      <c r="I66" t="str">
        <f t="shared" si="5"/>
        <v>U</v>
      </c>
      <c r="J66">
        <f t="shared" ref="J66:J129" si="8">IF(ISNUMBER(F66),IF(F66&lt;0,-F66/(-F66+100),100/(F66+100)),"na")</f>
        <v>0.53488372093023251</v>
      </c>
      <c r="K66">
        <f t="shared" ref="K66:K129" si="9">IF(ISNUMBER(G66),IF(G66&lt;0,-G66/(-G66+100),100/(G66+100)),"na")</f>
        <v>0.53488372093023251</v>
      </c>
      <c r="L66">
        <f t="shared" si="6"/>
        <v>0</v>
      </c>
      <c r="M66">
        <f t="shared" ref="M66:M129" si="10">IF(ISNUMBER(F66),IF(F66&gt;0,1,0),"na")</f>
        <v>0</v>
      </c>
      <c r="N66">
        <f t="shared" ref="N66:N129" si="11">IF(ISNUMBER(G66),IF(G66&gt;0,1,0),"na")</f>
        <v>0</v>
      </c>
    </row>
    <row r="67" spans="1:14" x14ac:dyDescent="0.25">
      <c r="A67">
        <v>66</v>
      </c>
      <c r="B67" t="str">
        <f t="shared" si="7"/>
        <v>2007_DAL</v>
      </c>
      <c r="C67">
        <v>2007</v>
      </c>
      <c r="D67" t="s">
        <v>16</v>
      </c>
      <c r="E67">
        <v>56.5</v>
      </c>
      <c r="F67">
        <v>-115</v>
      </c>
      <c r="G67">
        <v>-115</v>
      </c>
      <c r="H67">
        <v>51</v>
      </c>
      <c r="I67" t="str">
        <f t="shared" ref="I67:I130" si="12">IF(NOT(OR(ISBLANK(E67),ISBLANK(H67))),IF(E67&lt;H67,"O",IF(E67&gt;H67,"U","E")),"")</f>
        <v>U</v>
      </c>
      <c r="J67">
        <f t="shared" si="8"/>
        <v>0.53488372093023251</v>
      </c>
      <c r="K67">
        <f t="shared" si="9"/>
        <v>0.53488372093023251</v>
      </c>
      <c r="L67">
        <f t="shared" ref="L67:L130" si="13">IF(AND(ISNUMBER(J67),ISNUMBER(K67)),J67-K67,"na")</f>
        <v>0</v>
      </c>
      <c r="M67">
        <f t="shared" si="10"/>
        <v>0</v>
      </c>
      <c r="N67">
        <f t="shared" si="11"/>
        <v>0</v>
      </c>
    </row>
    <row r="68" spans="1:14" x14ac:dyDescent="0.25">
      <c r="A68">
        <v>67</v>
      </c>
      <c r="B68" t="str">
        <f t="shared" si="7"/>
        <v>2007_DEN</v>
      </c>
      <c r="C68">
        <v>2007</v>
      </c>
      <c r="D68" t="s">
        <v>23</v>
      </c>
      <c r="E68">
        <v>48.5</v>
      </c>
      <c r="F68">
        <v>-115</v>
      </c>
      <c r="G68">
        <v>-115</v>
      </c>
      <c r="H68">
        <v>50</v>
      </c>
      <c r="I68" t="str">
        <f t="shared" si="12"/>
        <v>O</v>
      </c>
      <c r="J68">
        <f t="shared" si="8"/>
        <v>0.53488372093023251</v>
      </c>
      <c r="K68">
        <f t="shared" si="9"/>
        <v>0.53488372093023251</v>
      </c>
      <c r="L68">
        <f t="shared" si="13"/>
        <v>0</v>
      </c>
      <c r="M68">
        <f t="shared" si="10"/>
        <v>0</v>
      </c>
      <c r="N68">
        <f t="shared" si="11"/>
        <v>0</v>
      </c>
    </row>
    <row r="69" spans="1:14" x14ac:dyDescent="0.25">
      <c r="A69">
        <v>68</v>
      </c>
      <c r="B69" t="str">
        <f t="shared" si="7"/>
        <v>2007_DET</v>
      </c>
      <c r="C69">
        <v>2007</v>
      </c>
      <c r="D69" t="s">
        <v>7</v>
      </c>
      <c r="E69">
        <v>50.5</v>
      </c>
      <c r="F69">
        <v>-115</v>
      </c>
      <c r="G69">
        <v>-115</v>
      </c>
      <c r="H69">
        <v>59</v>
      </c>
      <c r="I69" t="str">
        <f t="shared" si="12"/>
        <v>O</v>
      </c>
      <c r="J69">
        <f t="shared" si="8"/>
        <v>0.53488372093023251</v>
      </c>
      <c r="K69">
        <f t="shared" si="9"/>
        <v>0.53488372093023251</v>
      </c>
      <c r="L69">
        <f t="shared" si="13"/>
        <v>0</v>
      </c>
      <c r="M69">
        <f t="shared" si="10"/>
        <v>0</v>
      </c>
      <c r="N69">
        <f t="shared" si="11"/>
        <v>0</v>
      </c>
    </row>
    <row r="70" spans="1:14" x14ac:dyDescent="0.25">
      <c r="A70">
        <v>69</v>
      </c>
      <c r="B70" t="str">
        <f t="shared" si="7"/>
        <v>2007_GSW</v>
      </c>
      <c r="C70">
        <v>2007</v>
      </c>
      <c r="D70" t="s">
        <v>468</v>
      </c>
      <c r="E70">
        <v>42.5</v>
      </c>
      <c r="F70">
        <v>-115</v>
      </c>
      <c r="G70">
        <v>-115</v>
      </c>
      <c r="H70">
        <v>48</v>
      </c>
      <c r="I70" t="str">
        <f t="shared" si="12"/>
        <v>O</v>
      </c>
      <c r="J70">
        <f t="shared" si="8"/>
        <v>0.53488372093023251</v>
      </c>
      <c r="K70">
        <f t="shared" si="9"/>
        <v>0.53488372093023251</v>
      </c>
      <c r="L70">
        <f t="shared" si="13"/>
        <v>0</v>
      </c>
      <c r="M70">
        <f t="shared" si="10"/>
        <v>0</v>
      </c>
      <c r="N70">
        <f t="shared" si="11"/>
        <v>0</v>
      </c>
    </row>
    <row r="71" spans="1:14" x14ac:dyDescent="0.25">
      <c r="A71">
        <v>70</v>
      </c>
      <c r="B71" t="str">
        <f t="shared" si="7"/>
        <v>2007_HOU</v>
      </c>
      <c r="C71">
        <v>2007</v>
      </c>
      <c r="D71" t="s">
        <v>4</v>
      </c>
      <c r="E71">
        <v>53.5</v>
      </c>
      <c r="F71">
        <v>-115</v>
      </c>
      <c r="G71">
        <v>-115</v>
      </c>
      <c r="H71">
        <v>55</v>
      </c>
      <c r="I71" t="str">
        <f t="shared" si="12"/>
        <v>O</v>
      </c>
      <c r="J71">
        <f t="shared" si="8"/>
        <v>0.53488372093023251</v>
      </c>
      <c r="K71">
        <f t="shared" si="9"/>
        <v>0.53488372093023251</v>
      </c>
      <c r="L71">
        <f t="shared" si="13"/>
        <v>0</v>
      </c>
      <c r="M71">
        <f t="shared" si="10"/>
        <v>0</v>
      </c>
      <c r="N71">
        <f t="shared" si="11"/>
        <v>0</v>
      </c>
    </row>
    <row r="72" spans="1:14" x14ac:dyDescent="0.25">
      <c r="A72">
        <v>71</v>
      </c>
      <c r="B72" t="str">
        <f t="shared" si="7"/>
        <v>2007_IND</v>
      </c>
      <c r="C72">
        <v>2007</v>
      </c>
      <c r="D72" t="s">
        <v>13</v>
      </c>
      <c r="E72">
        <v>30.5</v>
      </c>
      <c r="F72">
        <v>-115</v>
      </c>
      <c r="G72">
        <v>-115</v>
      </c>
      <c r="H72">
        <v>36</v>
      </c>
      <c r="I72" t="str">
        <f t="shared" si="12"/>
        <v>O</v>
      </c>
      <c r="J72">
        <f t="shared" si="8"/>
        <v>0.53488372093023251</v>
      </c>
      <c r="K72">
        <f t="shared" si="9"/>
        <v>0.53488372093023251</v>
      </c>
      <c r="L72">
        <f t="shared" si="13"/>
        <v>0</v>
      </c>
      <c r="M72">
        <f t="shared" si="10"/>
        <v>0</v>
      </c>
      <c r="N72">
        <f t="shared" si="11"/>
        <v>0</v>
      </c>
    </row>
    <row r="73" spans="1:14" x14ac:dyDescent="0.25">
      <c r="A73">
        <v>72</v>
      </c>
      <c r="B73" t="str">
        <f t="shared" si="7"/>
        <v>2007_LAC</v>
      </c>
      <c r="C73">
        <v>2007</v>
      </c>
      <c r="D73" t="s">
        <v>14</v>
      </c>
      <c r="E73">
        <v>30.5</v>
      </c>
      <c r="F73">
        <v>-115</v>
      </c>
      <c r="G73">
        <v>-115</v>
      </c>
      <c r="H73">
        <v>23</v>
      </c>
      <c r="I73" t="str">
        <f t="shared" si="12"/>
        <v>U</v>
      </c>
      <c r="J73">
        <f t="shared" si="8"/>
        <v>0.53488372093023251</v>
      </c>
      <c r="K73">
        <f t="shared" si="9"/>
        <v>0.53488372093023251</v>
      </c>
      <c r="L73">
        <f t="shared" si="13"/>
        <v>0</v>
      </c>
      <c r="M73">
        <f t="shared" si="10"/>
        <v>0</v>
      </c>
      <c r="N73">
        <f t="shared" si="11"/>
        <v>0</v>
      </c>
    </row>
    <row r="74" spans="1:14" x14ac:dyDescent="0.25">
      <c r="A74">
        <v>73</v>
      </c>
      <c r="B74" t="str">
        <f t="shared" si="7"/>
        <v>2007_LAL</v>
      </c>
      <c r="C74">
        <v>2007</v>
      </c>
      <c r="D74" t="s">
        <v>18</v>
      </c>
      <c r="E74">
        <v>43.5</v>
      </c>
      <c r="F74">
        <v>-115</v>
      </c>
      <c r="G74">
        <v>-115</v>
      </c>
      <c r="H74">
        <v>57</v>
      </c>
      <c r="I74" t="str">
        <f t="shared" si="12"/>
        <v>O</v>
      </c>
      <c r="J74">
        <f t="shared" si="8"/>
        <v>0.53488372093023251</v>
      </c>
      <c r="K74">
        <f t="shared" si="9"/>
        <v>0.53488372093023251</v>
      </c>
      <c r="L74">
        <f t="shared" si="13"/>
        <v>0</v>
      </c>
      <c r="M74">
        <f t="shared" si="10"/>
        <v>0</v>
      </c>
      <c r="N74">
        <f t="shared" si="11"/>
        <v>0</v>
      </c>
    </row>
    <row r="75" spans="1:14" x14ac:dyDescent="0.25">
      <c r="A75">
        <v>74</v>
      </c>
      <c r="B75" t="str">
        <f t="shared" si="7"/>
        <v>2007_MEM</v>
      </c>
      <c r="C75">
        <v>2007</v>
      </c>
      <c r="D75" t="s">
        <v>9</v>
      </c>
      <c r="E75">
        <v>32.5</v>
      </c>
      <c r="F75">
        <v>-115</v>
      </c>
      <c r="G75">
        <v>-115</v>
      </c>
      <c r="H75">
        <v>22</v>
      </c>
      <c r="I75" t="str">
        <f t="shared" si="12"/>
        <v>U</v>
      </c>
      <c r="J75">
        <f t="shared" si="8"/>
        <v>0.53488372093023251</v>
      </c>
      <c r="K75">
        <f t="shared" si="9"/>
        <v>0.53488372093023251</v>
      </c>
      <c r="L75">
        <f t="shared" si="13"/>
        <v>0</v>
      </c>
      <c r="M75">
        <f t="shared" si="10"/>
        <v>0</v>
      </c>
      <c r="N75">
        <f t="shared" si="11"/>
        <v>0</v>
      </c>
    </row>
    <row r="76" spans="1:14" x14ac:dyDescent="0.25">
      <c r="A76">
        <v>75</v>
      </c>
      <c r="B76" t="str">
        <f t="shared" si="7"/>
        <v>2007_MIA</v>
      </c>
      <c r="C76">
        <v>2007</v>
      </c>
      <c r="D76" t="s">
        <v>15</v>
      </c>
      <c r="E76">
        <v>46.5</v>
      </c>
      <c r="F76">
        <v>-115</v>
      </c>
      <c r="G76">
        <v>-115</v>
      </c>
      <c r="H76">
        <v>15</v>
      </c>
      <c r="I76" t="str">
        <f t="shared" si="12"/>
        <v>U</v>
      </c>
      <c r="J76">
        <f t="shared" si="8"/>
        <v>0.53488372093023251</v>
      </c>
      <c r="K76">
        <f t="shared" si="9"/>
        <v>0.53488372093023251</v>
      </c>
      <c r="L76">
        <f t="shared" si="13"/>
        <v>0</v>
      </c>
      <c r="M76">
        <f t="shared" si="10"/>
        <v>0</v>
      </c>
      <c r="N76">
        <f t="shared" si="11"/>
        <v>0</v>
      </c>
    </row>
    <row r="77" spans="1:14" x14ac:dyDescent="0.25">
      <c r="A77">
        <v>76</v>
      </c>
      <c r="B77" t="str">
        <f t="shared" si="7"/>
        <v>2007_MIL</v>
      </c>
      <c r="C77">
        <v>2007</v>
      </c>
      <c r="D77" t="s">
        <v>10</v>
      </c>
      <c r="E77">
        <v>35.5</v>
      </c>
      <c r="F77">
        <v>-115</v>
      </c>
      <c r="G77">
        <v>-115</v>
      </c>
      <c r="H77">
        <v>26</v>
      </c>
      <c r="I77" t="str">
        <f t="shared" si="12"/>
        <v>U</v>
      </c>
      <c r="J77">
        <f t="shared" si="8"/>
        <v>0.53488372093023251</v>
      </c>
      <c r="K77">
        <f t="shared" si="9"/>
        <v>0.53488372093023251</v>
      </c>
      <c r="L77">
        <f t="shared" si="13"/>
        <v>0</v>
      </c>
      <c r="M77">
        <f t="shared" si="10"/>
        <v>0</v>
      </c>
      <c r="N77">
        <f t="shared" si="11"/>
        <v>0</v>
      </c>
    </row>
    <row r="78" spans="1:14" x14ac:dyDescent="0.25">
      <c r="A78">
        <v>77</v>
      </c>
      <c r="B78" t="str">
        <f t="shared" si="7"/>
        <v>2007_MIN</v>
      </c>
      <c r="C78">
        <v>2007</v>
      </c>
      <c r="D78" t="s">
        <v>3</v>
      </c>
      <c r="E78">
        <v>19.5</v>
      </c>
      <c r="F78">
        <v>-115</v>
      </c>
      <c r="G78">
        <v>-115</v>
      </c>
      <c r="H78">
        <v>22</v>
      </c>
      <c r="I78" t="str">
        <f t="shared" si="12"/>
        <v>O</v>
      </c>
      <c r="J78">
        <f t="shared" si="8"/>
        <v>0.53488372093023251</v>
      </c>
      <c r="K78">
        <f t="shared" si="9"/>
        <v>0.53488372093023251</v>
      </c>
      <c r="L78">
        <f t="shared" si="13"/>
        <v>0</v>
      </c>
      <c r="M78">
        <f t="shared" si="10"/>
        <v>0</v>
      </c>
      <c r="N78">
        <f t="shared" si="11"/>
        <v>0</v>
      </c>
    </row>
    <row r="79" spans="1:14" x14ac:dyDescent="0.25">
      <c r="A79">
        <v>78</v>
      </c>
      <c r="B79" t="str">
        <f t="shared" si="7"/>
        <v>2007_BRK</v>
      </c>
      <c r="C79">
        <v>2007</v>
      </c>
      <c r="D79" t="s">
        <v>80</v>
      </c>
      <c r="E79">
        <v>43.5</v>
      </c>
      <c r="F79">
        <v>-115</v>
      </c>
      <c r="G79">
        <v>-115</v>
      </c>
      <c r="H79">
        <v>34</v>
      </c>
      <c r="I79" t="str">
        <f t="shared" si="12"/>
        <v>U</v>
      </c>
      <c r="J79">
        <f t="shared" si="8"/>
        <v>0.53488372093023251</v>
      </c>
      <c r="K79">
        <f t="shared" si="9"/>
        <v>0.53488372093023251</v>
      </c>
      <c r="L79">
        <f t="shared" si="13"/>
        <v>0</v>
      </c>
      <c r="M79">
        <f t="shared" si="10"/>
        <v>0</v>
      </c>
      <c r="N79">
        <f t="shared" si="11"/>
        <v>0</v>
      </c>
    </row>
    <row r="80" spans="1:14" x14ac:dyDescent="0.25">
      <c r="A80">
        <v>79</v>
      </c>
      <c r="B80" t="str">
        <f t="shared" si="7"/>
        <v>2007_CHO</v>
      </c>
      <c r="C80">
        <v>2007</v>
      </c>
      <c r="D80" t="s">
        <v>467</v>
      </c>
      <c r="E80">
        <v>37.5</v>
      </c>
      <c r="F80">
        <v>-115</v>
      </c>
      <c r="G80">
        <v>-115</v>
      </c>
      <c r="H80">
        <v>56</v>
      </c>
      <c r="I80" t="str">
        <f t="shared" si="12"/>
        <v>O</v>
      </c>
      <c r="J80">
        <f t="shared" si="8"/>
        <v>0.53488372093023251</v>
      </c>
      <c r="K80">
        <f t="shared" si="9"/>
        <v>0.53488372093023251</v>
      </c>
      <c r="L80">
        <f t="shared" si="13"/>
        <v>0</v>
      </c>
      <c r="M80">
        <f t="shared" si="10"/>
        <v>0</v>
      </c>
      <c r="N80">
        <f t="shared" si="11"/>
        <v>0</v>
      </c>
    </row>
    <row r="81" spans="1:14" x14ac:dyDescent="0.25">
      <c r="A81">
        <v>80</v>
      </c>
      <c r="B81" t="str">
        <f t="shared" si="7"/>
        <v>2007_NYK</v>
      </c>
      <c r="C81">
        <v>2007</v>
      </c>
      <c r="D81" t="s">
        <v>470</v>
      </c>
      <c r="E81">
        <v>37.5</v>
      </c>
      <c r="F81">
        <v>-115</v>
      </c>
      <c r="G81">
        <v>-115</v>
      </c>
      <c r="H81">
        <v>23</v>
      </c>
      <c r="I81" t="str">
        <f t="shared" si="12"/>
        <v>U</v>
      </c>
      <c r="J81">
        <f t="shared" si="8"/>
        <v>0.53488372093023251</v>
      </c>
      <c r="K81">
        <f t="shared" si="9"/>
        <v>0.53488372093023251</v>
      </c>
      <c r="L81">
        <f t="shared" si="13"/>
        <v>0</v>
      </c>
      <c r="M81">
        <f t="shared" si="10"/>
        <v>0</v>
      </c>
      <c r="N81">
        <f t="shared" si="11"/>
        <v>0</v>
      </c>
    </row>
    <row r="82" spans="1:14" x14ac:dyDescent="0.25">
      <c r="A82">
        <v>81</v>
      </c>
      <c r="B82" t="str">
        <f t="shared" si="7"/>
        <v>2007_ORL</v>
      </c>
      <c r="C82">
        <v>2007</v>
      </c>
      <c r="D82" t="s">
        <v>11</v>
      </c>
      <c r="E82">
        <v>47.5</v>
      </c>
      <c r="F82">
        <v>-105</v>
      </c>
      <c r="G82">
        <v>-125</v>
      </c>
      <c r="H82">
        <v>52</v>
      </c>
      <c r="I82" t="str">
        <f t="shared" si="12"/>
        <v>O</v>
      </c>
      <c r="J82">
        <f t="shared" si="8"/>
        <v>0.51219512195121952</v>
      </c>
      <c r="K82">
        <f t="shared" si="9"/>
        <v>0.55555555555555558</v>
      </c>
      <c r="L82">
        <f t="shared" si="13"/>
        <v>-4.3360433604336057E-2</v>
      </c>
      <c r="M82">
        <f t="shared" si="10"/>
        <v>0</v>
      </c>
      <c r="N82">
        <f t="shared" si="11"/>
        <v>0</v>
      </c>
    </row>
    <row r="83" spans="1:14" x14ac:dyDescent="0.25">
      <c r="A83">
        <v>82</v>
      </c>
      <c r="B83" t="str">
        <f t="shared" si="7"/>
        <v>2007_PHI</v>
      </c>
      <c r="C83">
        <v>2007</v>
      </c>
      <c r="D83" t="s">
        <v>20</v>
      </c>
      <c r="E83">
        <v>32.5</v>
      </c>
      <c r="F83">
        <v>-115</v>
      </c>
      <c r="G83">
        <v>-115</v>
      </c>
      <c r="H83">
        <v>40</v>
      </c>
      <c r="I83" t="str">
        <f t="shared" si="12"/>
        <v>O</v>
      </c>
      <c r="J83">
        <f t="shared" si="8"/>
        <v>0.53488372093023251</v>
      </c>
      <c r="K83">
        <f t="shared" si="9"/>
        <v>0.53488372093023251</v>
      </c>
      <c r="L83">
        <f t="shared" si="13"/>
        <v>0</v>
      </c>
      <c r="M83">
        <f t="shared" si="10"/>
        <v>0</v>
      </c>
      <c r="N83">
        <f t="shared" si="11"/>
        <v>0</v>
      </c>
    </row>
    <row r="84" spans="1:14" x14ac:dyDescent="0.25">
      <c r="A84">
        <v>83</v>
      </c>
      <c r="B84" t="str">
        <f t="shared" si="7"/>
        <v>2007_PHO</v>
      </c>
      <c r="C84">
        <v>2007</v>
      </c>
      <c r="D84" t="s">
        <v>471</v>
      </c>
      <c r="E84">
        <v>55.5</v>
      </c>
      <c r="F84">
        <v>-115</v>
      </c>
      <c r="G84">
        <v>-115</v>
      </c>
      <c r="H84">
        <v>55</v>
      </c>
      <c r="I84" t="str">
        <f t="shared" si="12"/>
        <v>U</v>
      </c>
      <c r="J84">
        <f t="shared" si="8"/>
        <v>0.53488372093023251</v>
      </c>
      <c r="K84">
        <f t="shared" si="9"/>
        <v>0.53488372093023251</v>
      </c>
      <c r="L84">
        <f t="shared" si="13"/>
        <v>0</v>
      </c>
      <c r="M84">
        <f t="shared" si="10"/>
        <v>0</v>
      </c>
      <c r="N84">
        <f t="shared" si="11"/>
        <v>0</v>
      </c>
    </row>
    <row r="85" spans="1:14" x14ac:dyDescent="0.25">
      <c r="A85">
        <v>84</v>
      </c>
      <c r="B85" t="str">
        <f t="shared" si="7"/>
        <v>2007_POR</v>
      </c>
      <c r="C85">
        <v>2007</v>
      </c>
      <c r="D85" t="s">
        <v>1</v>
      </c>
      <c r="E85">
        <v>30.5</v>
      </c>
      <c r="F85">
        <v>-115</v>
      </c>
      <c r="G85">
        <v>-115</v>
      </c>
      <c r="H85">
        <v>41</v>
      </c>
      <c r="I85" t="str">
        <f t="shared" si="12"/>
        <v>O</v>
      </c>
      <c r="J85">
        <f t="shared" si="8"/>
        <v>0.53488372093023251</v>
      </c>
      <c r="K85">
        <f t="shared" si="9"/>
        <v>0.53488372093023251</v>
      </c>
      <c r="L85">
        <f t="shared" si="13"/>
        <v>0</v>
      </c>
      <c r="M85">
        <f t="shared" si="10"/>
        <v>0</v>
      </c>
      <c r="N85">
        <f t="shared" si="11"/>
        <v>0</v>
      </c>
    </row>
    <row r="86" spans="1:14" x14ac:dyDescent="0.25">
      <c r="A86">
        <v>85</v>
      </c>
      <c r="B86" t="str">
        <f t="shared" si="7"/>
        <v>2007_SAC</v>
      </c>
      <c r="C86">
        <v>2007</v>
      </c>
      <c r="D86" t="s">
        <v>21</v>
      </c>
      <c r="E86">
        <v>34.5</v>
      </c>
      <c r="F86">
        <v>-115</v>
      </c>
      <c r="G86">
        <v>-115</v>
      </c>
      <c r="H86">
        <v>38</v>
      </c>
      <c r="I86" t="str">
        <f t="shared" si="12"/>
        <v>O</v>
      </c>
      <c r="J86">
        <f t="shared" si="8"/>
        <v>0.53488372093023251</v>
      </c>
      <c r="K86">
        <f t="shared" si="9"/>
        <v>0.53488372093023251</v>
      </c>
      <c r="L86">
        <f t="shared" si="13"/>
        <v>0</v>
      </c>
      <c r="M86">
        <f t="shared" si="10"/>
        <v>0</v>
      </c>
      <c r="N86">
        <f t="shared" si="11"/>
        <v>0</v>
      </c>
    </row>
    <row r="87" spans="1:14" x14ac:dyDescent="0.25">
      <c r="A87">
        <v>86</v>
      </c>
      <c r="B87" t="str">
        <f t="shared" si="7"/>
        <v>2007_SAS</v>
      </c>
      <c r="C87">
        <v>2007</v>
      </c>
      <c r="D87" t="s">
        <v>472</v>
      </c>
      <c r="E87">
        <v>54.5</v>
      </c>
      <c r="F87">
        <v>-125</v>
      </c>
      <c r="G87">
        <v>-105</v>
      </c>
      <c r="H87">
        <v>56</v>
      </c>
      <c r="I87" t="str">
        <f t="shared" si="12"/>
        <v>O</v>
      </c>
      <c r="J87">
        <f t="shared" si="8"/>
        <v>0.55555555555555558</v>
      </c>
      <c r="K87">
        <f t="shared" si="9"/>
        <v>0.51219512195121952</v>
      </c>
      <c r="L87">
        <f t="shared" si="13"/>
        <v>4.3360433604336057E-2</v>
      </c>
      <c r="M87">
        <f t="shared" si="10"/>
        <v>0</v>
      </c>
      <c r="N87">
        <f t="shared" si="11"/>
        <v>0</v>
      </c>
    </row>
    <row r="88" spans="1:14" x14ac:dyDescent="0.25">
      <c r="A88">
        <v>87</v>
      </c>
      <c r="B88" t="str">
        <f t="shared" si="7"/>
        <v>2007_OKC</v>
      </c>
      <c r="C88">
        <v>2007</v>
      </c>
      <c r="D88" t="s">
        <v>12</v>
      </c>
      <c r="E88">
        <v>27.5</v>
      </c>
      <c r="F88">
        <v>-115</v>
      </c>
      <c r="G88">
        <v>-115</v>
      </c>
      <c r="H88">
        <v>20</v>
      </c>
      <c r="I88" t="str">
        <f t="shared" si="12"/>
        <v>U</v>
      </c>
      <c r="J88">
        <f t="shared" si="8"/>
        <v>0.53488372093023251</v>
      </c>
      <c r="K88">
        <f t="shared" si="9"/>
        <v>0.53488372093023251</v>
      </c>
      <c r="L88">
        <f t="shared" si="13"/>
        <v>0</v>
      </c>
      <c r="M88">
        <f t="shared" si="10"/>
        <v>0</v>
      </c>
      <c r="N88">
        <f t="shared" si="11"/>
        <v>0</v>
      </c>
    </row>
    <row r="89" spans="1:14" x14ac:dyDescent="0.25">
      <c r="A89">
        <v>88</v>
      </c>
      <c r="B89" t="str">
        <f t="shared" si="7"/>
        <v>2007_TOR</v>
      </c>
      <c r="C89">
        <v>2007</v>
      </c>
      <c r="D89" t="s">
        <v>2</v>
      </c>
      <c r="E89">
        <v>41.5</v>
      </c>
      <c r="F89">
        <v>-115</v>
      </c>
      <c r="G89">
        <v>-115</v>
      </c>
      <c r="H89">
        <v>41</v>
      </c>
      <c r="I89" t="str">
        <f t="shared" si="12"/>
        <v>U</v>
      </c>
      <c r="J89">
        <f t="shared" si="8"/>
        <v>0.53488372093023251</v>
      </c>
      <c r="K89">
        <f t="shared" si="9"/>
        <v>0.53488372093023251</v>
      </c>
      <c r="L89">
        <f t="shared" si="13"/>
        <v>0</v>
      </c>
      <c r="M89">
        <f t="shared" si="10"/>
        <v>0</v>
      </c>
      <c r="N89">
        <f t="shared" si="11"/>
        <v>0</v>
      </c>
    </row>
    <row r="90" spans="1:14" x14ac:dyDescent="0.25">
      <c r="A90">
        <v>89</v>
      </c>
      <c r="B90" t="str">
        <f t="shared" si="7"/>
        <v>2007_UTA</v>
      </c>
      <c r="C90">
        <v>2007</v>
      </c>
      <c r="D90" t="s">
        <v>473</v>
      </c>
      <c r="E90">
        <v>47.5</v>
      </c>
      <c r="F90">
        <v>-115</v>
      </c>
      <c r="G90">
        <v>-115</v>
      </c>
      <c r="H90">
        <v>54</v>
      </c>
      <c r="I90" t="str">
        <f t="shared" si="12"/>
        <v>O</v>
      </c>
      <c r="J90">
        <f t="shared" si="8"/>
        <v>0.53488372093023251</v>
      </c>
      <c r="K90">
        <f t="shared" si="9"/>
        <v>0.53488372093023251</v>
      </c>
      <c r="L90">
        <f t="shared" si="13"/>
        <v>0</v>
      </c>
      <c r="M90">
        <f t="shared" si="10"/>
        <v>0</v>
      </c>
      <c r="N90">
        <f t="shared" si="11"/>
        <v>0</v>
      </c>
    </row>
    <row r="91" spans="1:14" x14ac:dyDescent="0.25">
      <c r="A91">
        <v>90</v>
      </c>
      <c r="B91" t="str">
        <f t="shared" si="7"/>
        <v>2007_WAS</v>
      </c>
      <c r="C91">
        <v>2007</v>
      </c>
      <c r="D91" t="s">
        <v>474</v>
      </c>
      <c r="E91">
        <v>39.5</v>
      </c>
      <c r="F91">
        <v>-115</v>
      </c>
      <c r="G91">
        <v>-115</v>
      </c>
      <c r="H91">
        <v>43</v>
      </c>
      <c r="I91" t="str">
        <f t="shared" si="12"/>
        <v>O</v>
      </c>
      <c r="J91">
        <f t="shared" si="8"/>
        <v>0.53488372093023251</v>
      </c>
      <c r="K91">
        <f t="shared" si="9"/>
        <v>0.53488372093023251</v>
      </c>
      <c r="L91">
        <f t="shared" si="13"/>
        <v>0</v>
      </c>
      <c r="M91">
        <f t="shared" si="10"/>
        <v>0</v>
      </c>
      <c r="N91">
        <f t="shared" si="11"/>
        <v>0</v>
      </c>
    </row>
    <row r="92" spans="1:14" x14ac:dyDescent="0.25">
      <c r="A92">
        <v>91</v>
      </c>
      <c r="B92" t="str">
        <f t="shared" si="7"/>
        <v>2008_ATL</v>
      </c>
      <c r="C92">
        <v>2008</v>
      </c>
      <c r="D92" t="s">
        <v>5</v>
      </c>
      <c r="E92">
        <v>36.5</v>
      </c>
      <c r="F92">
        <v>-125</v>
      </c>
      <c r="G92">
        <v>100</v>
      </c>
      <c r="H92">
        <v>47</v>
      </c>
      <c r="I92" t="str">
        <f t="shared" si="12"/>
        <v>O</v>
      </c>
      <c r="J92">
        <f t="shared" si="8"/>
        <v>0.55555555555555558</v>
      </c>
      <c r="K92">
        <f t="shared" si="9"/>
        <v>0.5</v>
      </c>
      <c r="L92">
        <f t="shared" si="13"/>
        <v>5.555555555555558E-2</v>
      </c>
      <c r="M92">
        <f t="shared" si="10"/>
        <v>0</v>
      </c>
      <c r="N92">
        <f t="shared" si="11"/>
        <v>1</v>
      </c>
    </row>
    <row r="93" spans="1:14" x14ac:dyDescent="0.25">
      <c r="A93">
        <v>92</v>
      </c>
      <c r="B93" t="str">
        <f t="shared" si="7"/>
        <v>2008_BOS</v>
      </c>
      <c r="C93">
        <v>2008</v>
      </c>
      <c r="D93" t="s">
        <v>17</v>
      </c>
      <c r="E93">
        <v>53.5</v>
      </c>
      <c r="F93">
        <v>-125</v>
      </c>
      <c r="G93">
        <v>100</v>
      </c>
      <c r="H93">
        <v>62</v>
      </c>
      <c r="I93" t="str">
        <f t="shared" si="12"/>
        <v>O</v>
      </c>
      <c r="J93">
        <f t="shared" si="8"/>
        <v>0.55555555555555558</v>
      </c>
      <c r="K93">
        <f t="shared" si="9"/>
        <v>0.5</v>
      </c>
      <c r="L93">
        <f t="shared" si="13"/>
        <v>5.555555555555558E-2</v>
      </c>
      <c r="M93">
        <f t="shared" si="10"/>
        <v>0</v>
      </c>
      <c r="N93">
        <f t="shared" si="11"/>
        <v>1</v>
      </c>
    </row>
    <row r="94" spans="1:14" x14ac:dyDescent="0.25">
      <c r="A94">
        <v>93</v>
      </c>
      <c r="B94" t="str">
        <f t="shared" si="7"/>
        <v>2008_NOP</v>
      </c>
      <c r="C94">
        <v>2008</v>
      </c>
      <c r="D94" t="s">
        <v>469</v>
      </c>
      <c r="E94">
        <v>36.5</v>
      </c>
      <c r="F94">
        <v>100</v>
      </c>
      <c r="G94">
        <v>-125</v>
      </c>
      <c r="H94">
        <v>35</v>
      </c>
      <c r="I94" t="str">
        <f t="shared" si="12"/>
        <v>U</v>
      </c>
      <c r="J94">
        <f t="shared" si="8"/>
        <v>0.5</v>
      </c>
      <c r="K94">
        <f t="shared" si="9"/>
        <v>0.55555555555555558</v>
      </c>
      <c r="L94">
        <f t="shared" si="13"/>
        <v>-5.555555555555558E-2</v>
      </c>
      <c r="M94">
        <f t="shared" si="10"/>
        <v>1</v>
      </c>
      <c r="N94">
        <f t="shared" si="11"/>
        <v>0</v>
      </c>
    </row>
    <row r="95" spans="1:14" x14ac:dyDescent="0.25">
      <c r="A95">
        <v>94</v>
      </c>
      <c r="B95" t="str">
        <f t="shared" si="7"/>
        <v>2008_CHI</v>
      </c>
      <c r="C95">
        <v>2008</v>
      </c>
      <c r="D95" t="s">
        <v>0</v>
      </c>
      <c r="E95">
        <v>40.5</v>
      </c>
      <c r="F95">
        <v>-125</v>
      </c>
      <c r="G95">
        <v>100</v>
      </c>
      <c r="H95">
        <v>41</v>
      </c>
      <c r="I95" t="str">
        <f t="shared" si="12"/>
        <v>O</v>
      </c>
      <c r="J95">
        <f t="shared" si="8"/>
        <v>0.55555555555555558</v>
      </c>
      <c r="K95">
        <f t="shared" si="9"/>
        <v>0.5</v>
      </c>
      <c r="L95">
        <f t="shared" si="13"/>
        <v>5.555555555555558E-2</v>
      </c>
      <c r="M95">
        <f t="shared" si="10"/>
        <v>0</v>
      </c>
      <c r="N95">
        <f t="shared" si="11"/>
        <v>1</v>
      </c>
    </row>
    <row r="96" spans="1:14" x14ac:dyDescent="0.25">
      <c r="A96">
        <v>95</v>
      </c>
      <c r="B96" t="str">
        <f t="shared" si="7"/>
        <v>2008_CLE</v>
      </c>
      <c r="C96">
        <v>2008</v>
      </c>
      <c r="D96" t="s">
        <v>6</v>
      </c>
      <c r="E96">
        <v>47.5</v>
      </c>
      <c r="F96">
        <v>-110</v>
      </c>
      <c r="G96">
        <v>-110</v>
      </c>
      <c r="H96">
        <v>66</v>
      </c>
      <c r="I96" t="str">
        <f t="shared" si="12"/>
        <v>O</v>
      </c>
      <c r="J96">
        <f t="shared" si="8"/>
        <v>0.52380952380952384</v>
      </c>
      <c r="K96">
        <f t="shared" si="9"/>
        <v>0.52380952380952384</v>
      </c>
      <c r="L96">
        <f t="shared" si="13"/>
        <v>0</v>
      </c>
      <c r="M96">
        <f t="shared" si="10"/>
        <v>0</v>
      </c>
      <c r="N96">
        <f t="shared" si="11"/>
        <v>0</v>
      </c>
    </row>
    <row r="97" spans="1:14" x14ac:dyDescent="0.25">
      <c r="A97">
        <v>96</v>
      </c>
      <c r="B97" t="str">
        <f t="shared" si="7"/>
        <v>2008_DAL</v>
      </c>
      <c r="C97">
        <v>2008</v>
      </c>
      <c r="D97" t="s">
        <v>16</v>
      </c>
      <c r="E97">
        <v>46.5</v>
      </c>
      <c r="F97">
        <v>-125</v>
      </c>
      <c r="G97">
        <v>100</v>
      </c>
      <c r="H97">
        <v>50</v>
      </c>
      <c r="I97" t="str">
        <f t="shared" si="12"/>
        <v>O</v>
      </c>
      <c r="J97">
        <f t="shared" si="8"/>
        <v>0.55555555555555558</v>
      </c>
      <c r="K97">
        <f t="shared" si="9"/>
        <v>0.5</v>
      </c>
      <c r="L97">
        <f t="shared" si="13"/>
        <v>5.555555555555558E-2</v>
      </c>
      <c r="M97">
        <f t="shared" si="10"/>
        <v>0</v>
      </c>
      <c r="N97">
        <f t="shared" si="11"/>
        <v>1</v>
      </c>
    </row>
    <row r="98" spans="1:14" x14ac:dyDescent="0.25">
      <c r="A98">
        <v>97</v>
      </c>
      <c r="B98" t="str">
        <f t="shared" si="7"/>
        <v>2008_DEN</v>
      </c>
      <c r="C98">
        <v>2008</v>
      </c>
      <c r="D98" t="s">
        <v>23</v>
      </c>
      <c r="E98">
        <v>40.5</v>
      </c>
      <c r="F98">
        <v>-135</v>
      </c>
      <c r="G98">
        <v>110</v>
      </c>
      <c r="H98">
        <v>54</v>
      </c>
      <c r="I98" t="str">
        <f t="shared" si="12"/>
        <v>O</v>
      </c>
      <c r="J98">
        <f t="shared" si="8"/>
        <v>0.57446808510638303</v>
      </c>
      <c r="K98">
        <f t="shared" si="9"/>
        <v>0.47619047619047616</v>
      </c>
      <c r="L98">
        <f t="shared" si="13"/>
        <v>9.8277608915906867E-2</v>
      </c>
      <c r="M98">
        <f t="shared" si="10"/>
        <v>0</v>
      </c>
      <c r="N98">
        <f t="shared" si="11"/>
        <v>1</v>
      </c>
    </row>
    <row r="99" spans="1:14" x14ac:dyDescent="0.25">
      <c r="A99">
        <v>98</v>
      </c>
      <c r="B99" t="str">
        <f t="shared" si="7"/>
        <v>2008_DET</v>
      </c>
      <c r="C99">
        <v>2008</v>
      </c>
      <c r="D99" t="s">
        <v>7</v>
      </c>
      <c r="E99">
        <v>50.5</v>
      </c>
      <c r="F99">
        <v>-125</v>
      </c>
      <c r="G99">
        <v>100</v>
      </c>
      <c r="H99">
        <v>39</v>
      </c>
      <c r="I99" t="str">
        <f t="shared" si="12"/>
        <v>U</v>
      </c>
      <c r="J99">
        <f t="shared" si="8"/>
        <v>0.55555555555555558</v>
      </c>
      <c r="K99">
        <f t="shared" si="9"/>
        <v>0.5</v>
      </c>
      <c r="L99">
        <f t="shared" si="13"/>
        <v>5.555555555555558E-2</v>
      </c>
      <c r="M99">
        <f t="shared" si="10"/>
        <v>0</v>
      </c>
      <c r="N99">
        <f t="shared" si="11"/>
        <v>1</v>
      </c>
    </row>
    <row r="100" spans="1:14" x14ac:dyDescent="0.25">
      <c r="A100">
        <v>99</v>
      </c>
      <c r="B100" t="str">
        <f t="shared" si="7"/>
        <v>2008_GSW</v>
      </c>
      <c r="C100">
        <v>2008</v>
      </c>
      <c r="D100" t="s">
        <v>468</v>
      </c>
      <c r="E100">
        <v>37.5</v>
      </c>
      <c r="F100">
        <v>-110</v>
      </c>
      <c r="G100">
        <v>-110</v>
      </c>
      <c r="H100">
        <v>29</v>
      </c>
      <c r="I100" t="str">
        <f t="shared" si="12"/>
        <v>U</v>
      </c>
      <c r="J100">
        <f t="shared" si="8"/>
        <v>0.52380952380952384</v>
      </c>
      <c r="K100">
        <f t="shared" si="9"/>
        <v>0.52380952380952384</v>
      </c>
      <c r="L100">
        <f t="shared" si="13"/>
        <v>0</v>
      </c>
      <c r="M100">
        <f t="shared" si="10"/>
        <v>0</v>
      </c>
      <c r="N100">
        <f t="shared" si="11"/>
        <v>0</v>
      </c>
    </row>
    <row r="101" spans="1:14" x14ac:dyDescent="0.25">
      <c r="A101">
        <v>100</v>
      </c>
      <c r="B101" t="str">
        <f t="shared" si="7"/>
        <v>2008_HOU</v>
      </c>
      <c r="C101">
        <v>2008</v>
      </c>
      <c r="D101" t="s">
        <v>4</v>
      </c>
      <c r="E101">
        <v>53.5</v>
      </c>
      <c r="F101">
        <v>-110</v>
      </c>
      <c r="G101">
        <v>-110</v>
      </c>
      <c r="H101">
        <v>53</v>
      </c>
      <c r="I101" t="str">
        <f t="shared" si="12"/>
        <v>U</v>
      </c>
      <c r="J101">
        <f t="shared" si="8"/>
        <v>0.52380952380952384</v>
      </c>
      <c r="K101">
        <f t="shared" si="9"/>
        <v>0.52380952380952384</v>
      </c>
      <c r="L101">
        <f t="shared" si="13"/>
        <v>0</v>
      </c>
      <c r="M101">
        <f t="shared" si="10"/>
        <v>0</v>
      </c>
      <c r="N101">
        <f t="shared" si="11"/>
        <v>0</v>
      </c>
    </row>
    <row r="102" spans="1:14" x14ac:dyDescent="0.25">
      <c r="A102">
        <v>101</v>
      </c>
      <c r="B102" t="str">
        <f t="shared" si="7"/>
        <v>2008_IND</v>
      </c>
      <c r="C102">
        <v>2008</v>
      </c>
      <c r="D102" t="s">
        <v>13</v>
      </c>
      <c r="E102">
        <v>35.5</v>
      </c>
      <c r="F102">
        <v>100</v>
      </c>
      <c r="G102">
        <v>-125</v>
      </c>
      <c r="H102">
        <v>36</v>
      </c>
      <c r="I102" t="str">
        <f t="shared" si="12"/>
        <v>O</v>
      </c>
      <c r="J102">
        <f t="shared" si="8"/>
        <v>0.5</v>
      </c>
      <c r="K102">
        <f t="shared" si="9"/>
        <v>0.55555555555555558</v>
      </c>
      <c r="L102">
        <f t="shared" si="13"/>
        <v>-5.555555555555558E-2</v>
      </c>
      <c r="M102">
        <f t="shared" si="10"/>
        <v>1</v>
      </c>
      <c r="N102">
        <f t="shared" si="11"/>
        <v>0</v>
      </c>
    </row>
    <row r="103" spans="1:14" x14ac:dyDescent="0.25">
      <c r="A103">
        <v>102</v>
      </c>
      <c r="B103" t="str">
        <f t="shared" si="7"/>
        <v>2008_LAC</v>
      </c>
      <c r="C103">
        <v>2008</v>
      </c>
      <c r="D103" t="s">
        <v>14</v>
      </c>
      <c r="E103">
        <v>34.5</v>
      </c>
      <c r="F103">
        <v>100</v>
      </c>
      <c r="G103">
        <v>-125</v>
      </c>
      <c r="H103">
        <v>19</v>
      </c>
      <c r="I103" t="str">
        <f t="shared" si="12"/>
        <v>U</v>
      </c>
      <c r="J103">
        <f t="shared" si="8"/>
        <v>0.5</v>
      </c>
      <c r="K103">
        <f t="shared" si="9"/>
        <v>0.55555555555555558</v>
      </c>
      <c r="L103">
        <f t="shared" si="13"/>
        <v>-5.555555555555558E-2</v>
      </c>
      <c r="M103">
        <f t="shared" si="10"/>
        <v>1</v>
      </c>
      <c r="N103">
        <f t="shared" si="11"/>
        <v>0</v>
      </c>
    </row>
    <row r="104" spans="1:14" x14ac:dyDescent="0.25">
      <c r="A104">
        <v>103</v>
      </c>
      <c r="B104" t="str">
        <f t="shared" si="7"/>
        <v>2008_LAL</v>
      </c>
      <c r="C104">
        <v>2008</v>
      </c>
      <c r="D104" t="s">
        <v>18</v>
      </c>
      <c r="E104">
        <v>54.5</v>
      </c>
      <c r="F104">
        <v>-110</v>
      </c>
      <c r="G104">
        <v>-110</v>
      </c>
      <c r="H104">
        <v>65</v>
      </c>
      <c r="I104" t="str">
        <f t="shared" si="12"/>
        <v>O</v>
      </c>
      <c r="J104">
        <f t="shared" si="8"/>
        <v>0.52380952380952384</v>
      </c>
      <c r="K104">
        <f t="shared" si="9"/>
        <v>0.52380952380952384</v>
      </c>
      <c r="L104">
        <f t="shared" si="13"/>
        <v>0</v>
      </c>
      <c r="M104">
        <f t="shared" si="10"/>
        <v>0</v>
      </c>
      <c r="N104">
        <f t="shared" si="11"/>
        <v>0</v>
      </c>
    </row>
    <row r="105" spans="1:14" x14ac:dyDescent="0.25">
      <c r="A105">
        <v>104</v>
      </c>
      <c r="B105" t="str">
        <f t="shared" si="7"/>
        <v>2008_MEM</v>
      </c>
      <c r="C105">
        <v>2008</v>
      </c>
      <c r="D105" t="s">
        <v>9</v>
      </c>
      <c r="E105">
        <v>22.5</v>
      </c>
      <c r="F105">
        <v>-135</v>
      </c>
      <c r="G105">
        <v>110</v>
      </c>
      <c r="H105">
        <v>24</v>
      </c>
      <c r="I105" t="str">
        <f t="shared" si="12"/>
        <v>O</v>
      </c>
      <c r="J105">
        <f t="shared" si="8"/>
        <v>0.57446808510638303</v>
      </c>
      <c r="K105">
        <f t="shared" si="9"/>
        <v>0.47619047619047616</v>
      </c>
      <c r="L105">
        <f t="shared" si="13"/>
        <v>9.8277608915906867E-2</v>
      </c>
      <c r="M105">
        <f t="shared" si="10"/>
        <v>0</v>
      </c>
      <c r="N105">
        <f t="shared" si="11"/>
        <v>1</v>
      </c>
    </row>
    <row r="106" spans="1:14" x14ac:dyDescent="0.25">
      <c r="A106">
        <v>105</v>
      </c>
      <c r="B106" t="str">
        <f t="shared" si="7"/>
        <v>2008_MIA</v>
      </c>
      <c r="C106">
        <v>2008</v>
      </c>
      <c r="D106" t="s">
        <v>15</v>
      </c>
      <c r="E106">
        <v>37.5</v>
      </c>
      <c r="F106">
        <v>-125</v>
      </c>
      <c r="G106">
        <v>100</v>
      </c>
      <c r="H106">
        <v>43</v>
      </c>
      <c r="I106" t="str">
        <f t="shared" si="12"/>
        <v>O</v>
      </c>
      <c r="J106">
        <f t="shared" si="8"/>
        <v>0.55555555555555558</v>
      </c>
      <c r="K106">
        <f t="shared" si="9"/>
        <v>0.5</v>
      </c>
      <c r="L106">
        <f t="shared" si="13"/>
        <v>5.555555555555558E-2</v>
      </c>
      <c r="M106">
        <f t="shared" si="10"/>
        <v>0</v>
      </c>
      <c r="N106">
        <f t="shared" si="11"/>
        <v>1</v>
      </c>
    </row>
    <row r="107" spans="1:14" x14ac:dyDescent="0.25">
      <c r="A107">
        <v>106</v>
      </c>
      <c r="B107" t="str">
        <f t="shared" si="7"/>
        <v>2008_MIL</v>
      </c>
      <c r="C107">
        <v>2008</v>
      </c>
      <c r="D107" t="s">
        <v>10</v>
      </c>
      <c r="E107">
        <v>30.5</v>
      </c>
      <c r="F107">
        <v>-125</v>
      </c>
      <c r="G107">
        <v>100</v>
      </c>
      <c r="H107">
        <v>34</v>
      </c>
      <c r="I107" t="str">
        <f t="shared" si="12"/>
        <v>O</v>
      </c>
      <c r="J107">
        <f t="shared" si="8"/>
        <v>0.55555555555555558</v>
      </c>
      <c r="K107">
        <f t="shared" si="9"/>
        <v>0.5</v>
      </c>
      <c r="L107">
        <f t="shared" si="13"/>
        <v>5.555555555555558E-2</v>
      </c>
      <c r="M107">
        <f t="shared" si="10"/>
        <v>0</v>
      </c>
      <c r="N107">
        <f t="shared" si="11"/>
        <v>1</v>
      </c>
    </row>
    <row r="108" spans="1:14" x14ac:dyDescent="0.25">
      <c r="A108">
        <v>107</v>
      </c>
      <c r="B108" t="str">
        <f t="shared" si="7"/>
        <v>2008_MIN</v>
      </c>
      <c r="C108">
        <v>2008</v>
      </c>
      <c r="D108" t="s">
        <v>3</v>
      </c>
      <c r="E108">
        <v>30.5</v>
      </c>
      <c r="F108">
        <v>-110</v>
      </c>
      <c r="G108">
        <v>-110</v>
      </c>
      <c r="H108">
        <v>24</v>
      </c>
      <c r="I108" t="str">
        <f t="shared" si="12"/>
        <v>U</v>
      </c>
      <c r="J108">
        <f t="shared" si="8"/>
        <v>0.52380952380952384</v>
      </c>
      <c r="K108">
        <f t="shared" si="9"/>
        <v>0.52380952380952384</v>
      </c>
      <c r="L108">
        <f t="shared" si="13"/>
        <v>0</v>
      </c>
      <c r="M108">
        <f t="shared" si="10"/>
        <v>0</v>
      </c>
      <c r="N108">
        <f t="shared" si="11"/>
        <v>0</v>
      </c>
    </row>
    <row r="109" spans="1:14" x14ac:dyDescent="0.25">
      <c r="A109">
        <v>108</v>
      </c>
      <c r="B109" t="str">
        <f t="shared" si="7"/>
        <v>2008_BRK</v>
      </c>
      <c r="C109">
        <v>2008</v>
      </c>
      <c r="D109" t="s">
        <v>80</v>
      </c>
      <c r="E109">
        <v>27.5</v>
      </c>
      <c r="F109">
        <v>-110</v>
      </c>
      <c r="G109">
        <v>-110</v>
      </c>
      <c r="H109">
        <v>34</v>
      </c>
      <c r="I109" t="str">
        <f t="shared" si="12"/>
        <v>O</v>
      </c>
      <c r="J109">
        <f t="shared" si="8"/>
        <v>0.52380952380952384</v>
      </c>
      <c r="K109">
        <f t="shared" si="9"/>
        <v>0.52380952380952384</v>
      </c>
      <c r="L109">
        <f t="shared" si="13"/>
        <v>0</v>
      </c>
      <c r="M109">
        <f t="shared" si="10"/>
        <v>0</v>
      </c>
      <c r="N109">
        <f t="shared" si="11"/>
        <v>0</v>
      </c>
    </row>
    <row r="110" spans="1:14" x14ac:dyDescent="0.25">
      <c r="A110">
        <v>109</v>
      </c>
      <c r="B110" t="str">
        <f t="shared" si="7"/>
        <v>2008_CHO</v>
      </c>
      <c r="C110">
        <v>2008</v>
      </c>
      <c r="D110" t="s">
        <v>467</v>
      </c>
      <c r="E110">
        <v>51.5</v>
      </c>
      <c r="F110">
        <v>-110</v>
      </c>
      <c r="G110">
        <v>-110</v>
      </c>
      <c r="H110">
        <v>49</v>
      </c>
      <c r="I110" t="str">
        <f t="shared" si="12"/>
        <v>U</v>
      </c>
      <c r="J110">
        <f t="shared" si="8"/>
        <v>0.52380952380952384</v>
      </c>
      <c r="K110">
        <f t="shared" si="9"/>
        <v>0.52380952380952384</v>
      </c>
      <c r="L110">
        <f t="shared" si="13"/>
        <v>0</v>
      </c>
      <c r="M110">
        <f t="shared" si="10"/>
        <v>0</v>
      </c>
      <c r="N110">
        <f t="shared" si="11"/>
        <v>0</v>
      </c>
    </row>
    <row r="111" spans="1:14" x14ac:dyDescent="0.25">
      <c r="A111">
        <v>110</v>
      </c>
      <c r="B111" t="str">
        <f t="shared" si="7"/>
        <v>2008_NYK</v>
      </c>
      <c r="C111">
        <v>2008</v>
      </c>
      <c r="D111" t="s">
        <v>470</v>
      </c>
      <c r="E111">
        <v>32.5</v>
      </c>
      <c r="F111">
        <v>-110</v>
      </c>
      <c r="G111">
        <v>-110</v>
      </c>
      <c r="H111">
        <v>32</v>
      </c>
      <c r="I111" t="str">
        <f t="shared" si="12"/>
        <v>U</v>
      </c>
      <c r="J111">
        <f t="shared" si="8"/>
        <v>0.52380952380952384</v>
      </c>
      <c r="K111">
        <f t="shared" si="9"/>
        <v>0.52380952380952384</v>
      </c>
      <c r="L111">
        <f t="shared" si="13"/>
        <v>0</v>
      </c>
      <c r="M111">
        <f t="shared" si="10"/>
        <v>0</v>
      </c>
      <c r="N111">
        <f t="shared" si="11"/>
        <v>0</v>
      </c>
    </row>
    <row r="112" spans="1:14" x14ac:dyDescent="0.25">
      <c r="A112">
        <v>111</v>
      </c>
      <c r="B112" t="str">
        <f t="shared" si="7"/>
        <v>2008_OKC</v>
      </c>
      <c r="C112">
        <v>2008</v>
      </c>
      <c r="D112" t="s">
        <v>12</v>
      </c>
      <c r="E112">
        <v>25.5</v>
      </c>
      <c r="F112">
        <v>100</v>
      </c>
      <c r="G112">
        <v>-125</v>
      </c>
      <c r="H112">
        <v>23</v>
      </c>
      <c r="I112" t="str">
        <f t="shared" si="12"/>
        <v>U</v>
      </c>
      <c r="J112">
        <f t="shared" si="8"/>
        <v>0.5</v>
      </c>
      <c r="K112">
        <f t="shared" si="9"/>
        <v>0.55555555555555558</v>
      </c>
      <c r="L112">
        <f t="shared" si="13"/>
        <v>-5.555555555555558E-2</v>
      </c>
      <c r="M112">
        <f t="shared" si="10"/>
        <v>1</v>
      </c>
      <c r="N112">
        <f t="shared" si="11"/>
        <v>0</v>
      </c>
    </row>
    <row r="113" spans="1:14" x14ac:dyDescent="0.25">
      <c r="A113">
        <v>112</v>
      </c>
      <c r="B113" t="str">
        <f t="shared" si="7"/>
        <v>2008_ORL</v>
      </c>
      <c r="C113">
        <v>2008</v>
      </c>
      <c r="D113" t="s">
        <v>11</v>
      </c>
      <c r="E113">
        <v>47.5</v>
      </c>
      <c r="F113">
        <v>-105</v>
      </c>
      <c r="G113">
        <v>-120</v>
      </c>
      <c r="H113">
        <v>59</v>
      </c>
      <c r="I113" t="str">
        <f t="shared" si="12"/>
        <v>O</v>
      </c>
      <c r="J113">
        <f t="shared" si="8"/>
        <v>0.51219512195121952</v>
      </c>
      <c r="K113">
        <f t="shared" si="9"/>
        <v>0.54545454545454541</v>
      </c>
      <c r="L113">
        <f t="shared" si="13"/>
        <v>-3.3259423503325891E-2</v>
      </c>
      <c r="M113">
        <f t="shared" si="10"/>
        <v>0</v>
      </c>
      <c r="N113">
        <f t="shared" si="11"/>
        <v>0</v>
      </c>
    </row>
    <row r="114" spans="1:14" x14ac:dyDescent="0.25">
      <c r="A114">
        <v>113</v>
      </c>
      <c r="B114" t="str">
        <f t="shared" si="7"/>
        <v>2008_PHI</v>
      </c>
      <c r="C114">
        <v>2008</v>
      </c>
      <c r="D114" t="s">
        <v>20</v>
      </c>
      <c r="E114">
        <v>48.5</v>
      </c>
      <c r="F114">
        <v>-110</v>
      </c>
      <c r="G114">
        <v>-110</v>
      </c>
      <c r="H114">
        <v>41</v>
      </c>
      <c r="I114" t="str">
        <f t="shared" si="12"/>
        <v>U</v>
      </c>
      <c r="J114">
        <f t="shared" si="8"/>
        <v>0.52380952380952384</v>
      </c>
      <c r="K114">
        <f t="shared" si="9"/>
        <v>0.52380952380952384</v>
      </c>
      <c r="L114">
        <f t="shared" si="13"/>
        <v>0</v>
      </c>
      <c r="M114">
        <f t="shared" si="10"/>
        <v>0</v>
      </c>
      <c r="N114">
        <f t="shared" si="11"/>
        <v>0</v>
      </c>
    </row>
    <row r="115" spans="1:14" x14ac:dyDescent="0.25">
      <c r="A115">
        <v>114</v>
      </c>
      <c r="B115" t="str">
        <f t="shared" si="7"/>
        <v>2008_PHO</v>
      </c>
      <c r="C115">
        <v>2008</v>
      </c>
      <c r="D115" t="s">
        <v>471</v>
      </c>
      <c r="E115">
        <v>46.5</v>
      </c>
      <c r="F115">
        <v>-125</v>
      </c>
      <c r="G115">
        <v>100</v>
      </c>
      <c r="H115">
        <v>46</v>
      </c>
      <c r="I115" t="str">
        <f t="shared" si="12"/>
        <v>U</v>
      </c>
      <c r="J115">
        <f t="shared" si="8"/>
        <v>0.55555555555555558</v>
      </c>
      <c r="K115">
        <f t="shared" si="9"/>
        <v>0.5</v>
      </c>
      <c r="L115">
        <f t="shared" si="13"/>
        <v>5.555555555555558E-2</v>
      </c>
      <c r="M115">
        <f t="shared" si="10"/>
        <v>0</v>
      </c>
      <c r="N115">
        <f t="shared" si="11"/>
        <v>1</v>
      </c>
    </row>
    <row r="116" spans="1:14" x14ac:dyDescent="0.25">
      <c r="A116">
        <v>115</v>
      </c>
      <c r="B116" t="str">
        <f t="shared" si="7"/>
        <v>2008_POR</v>
      </c>
      <c r="C116">
        <v>2008</v>
      </c>
      <c r="D116" t="s">
        <v>1</v>
      </c>
      <c r="E116">
        <v>44.5</v>
      </c>
      <c r="F116">
        <v>-125</v>
      </c>
      <c r="G116">
        <v>100</v>
      </c>
      <c r="H116">
        <v>54</v>
      </c>
      <c r="I116" t="str">
        <f t="shared" si="12"/>
        <v>O</v>
      </c>
      <c r="J116">
        <f t="shared" si="8"/>
        <v>0.55555555555555558</v>
      </c>
      <c r="K116">
        <f t="shared" si="9"/>
        <v>0.5</v>
      </c>
      <c r="L116">
        <f t="shared" si="13"/>
        <v>5.555555555555558E-2</v>
      </c>
      <c r="M116">
        <f t="shared" si="10"/>
        <v>0</v>
      </c>
      <c r="N116">
        <f t="shared" si="11"/>
        <v>1</v>
      </c>
    </row>
    <row r="117" spans="1:14" x14ac:dyDescent="0.25">
      <c r="A117">
        <v>116</v>
      </c>
      <c r="B117" t="str">
        <f t="shared" si="7"/>
        <v>2008_SAC</v>
      </c>
      <c r="C117">
        <v>2008</v>
      </c>
      <c r="D117" t="s">
        <v>21</v>
      </c>
      <c r="E117">
        <v>28.5</v>
      </c>
      <c r="F117">
        <v>-110</v>
      </c>
      <c r="G117">
        <v>-110</v>
      </c>
      <c r="H117">
        <v>17</v>
      </c>
      <c r="I117" t="str">
        <f t="shared" si="12"/>
        <v>U</v>
      </c>
      <c r="J117">
        <f t="shared" si="8"/>
        <v>0.52380952380952384</v>
      </c>
      <c r="K117">
        <f t="shared" si="9"/>
        <v>0.52380952380952384</v>
      </c>
      <c r="L117">
        <f t="shared" si="13"/>
        <v>0</v>
      </c>
      <c r="M117">
        <f t="shared" si="10"/>
        <v>0</v>
      </c>
      <c r="N117">
        <f t="shared" si="11"/>
        <v>0</v>
      </c>
    </row>
    <row r="118" spans="1:14" x14ac:dyDescent="0.25">
      <c r="A118">
        <v>117</v>
      </c>
      <c r="B118" t="str">
        <f t="shared" si="7"/>
        <v>2008_SAS</v>
      </c>
      <c r="C118">
        <v>2008</v>
      </c>
      <c r="D118" t="s">
        <v>472</v>
      </c>
      <c r="E118">
        <v>48.5</v>
      </c>
      <c r="F118">
        <v>-125</v>
      </c>
      <c r="G118">
        <v>100</v>
      </c>
      <c r="H118">
        <v>54</v>
      </c>
      <c r="I118" t="str">
        <f t="shared" si="12"/>
        <v>O</v>
      </c>
      <c r="J118">
        <f t="shared" si="8"/>
        <v>0.55555555555555558</v>
      </c>
      <c r="K118">
        <f t="shared" si="9"/>
        <v>0.5</v>
      </c>
      <c r="L118">
        <f t="shared" si="13"/>
        <v>5.555555555555558E-2</v>
      </c>
      <c r="M118">
        <f t="shared" si="10"/>
        <v>0</v>
      </c>
      <c r="N118">
        <f t="shared" si="11"/>
        <v>1</v>
      </c>
    </row>
    <row r="119" spans="1:14" x14ac:dyDescent="0.25">
      <c r="A119">
        <v>118</v>
      </c>
      <c r="B119" t="str">
        <f t="shared" si="7"/>
        <v>2008_TOR</v>
      </c>
      <c r="C119">
        <v>2008</v>
      </c>
      <c r="D119" t="s">
        <v>2</v>
      </c>
      <c r="E119">
        <v>47.5</v>
      </c>
      <c r="F119">
        <v>-110</v>
      </c>
      <c r="G119">
        <v>-110</v>
      </c>
      <c r="H119">
        <v>33</v>
      </c>
      <c r="I119" t="str">
        <f t="shared" si="12"/>
        <v>U</v>
      </c>
      <c r="J119">
        <f t="shared" si="8"/>
        <v>0.52380952380952384</v>
      </c>
      <c r="K119">
        <f t="shared" si="9"/>
        <v>0.52380952380952384</v>
      </c>
      <c r="L119">
        <f t="shared" si="13"/>
        <v>0</v>
      </c>
      <c r="M119">
        <f t="shared" si="10"/>
        <v>0</v>
      </c>
      <c r="N119">
        <f t="shared" si="11"/>
        <v>0</v>
      </c>
    </row>
    <row r="120" spans="1:14" x14ac:dyDescent="0.25">
      <c r="A120">
        <v>119</v>
      </c>
      <c r="B120" t="str">
        <f t="shared" si="7"/>
        <v>2008_UTA</v>
      </c>
      <c r="C120">
        <v>2008</v>
      </c>
      <c r="D120" t="s">
        <v>473</v>
      </c>
      <c r="E120">
        <v>51.5</v>
      </c>
      <c r="F120">
        <v>-125</v>
      </c>
      <c r="G120">
        <v>100</v>
      </c>
      <c r="H120">
        <v>48</v>
      </c>
      <c r="I120" t="str">
        <f t="shared" si="12"/>
        <v>U</v>
      </c>
      <c r="J120">
        <f t="shared" si="8"/>
        <v>0.55555555555555558</v>
      </c>
      <c r="K120">
        <f t="shared" si="9"/>
        <v>0.5</v>
      </c>
      <c r="L120">
        <f t="shared" si="13"/>
        <v>5.555555555555558E-2</v>
      </c>
      <c r="M120">
        <f t="shared" si="10"/>
        <v>0</v>
      </c>
      <c r="N120">
        <f t="shared" si="11"/>
        <v>1</v>
      </c>
    </row>
    <row r="121" spans="1:14" x14ac:dyDescent="0.25">
      <c r="A121">
        <v>120</v>
      </c>
      <c r="B121" t="str">
        <f t="shared" si="7"/>
        <v>2008_WAS</v>
      </c>
      <c r="C121">
        <v>2008</v>
      </c>
      <c r="D121" t="s">
        <v>474</v>
      </c>
      <c r="E121">
        <v>38.5</v>
      </c>
      <c r="F121">
        <v>100</v>
      </c>
      <c r="G121">
        <v>-125</v>
      </c>
      <c r="H121">
        <v>19</v>
      </c>
      <c r="I121" t="str">
        <f t="shared" si="12"/>
        <v>U</v>
      </c>
      <c r="J121">
        <f t="shared" si="8"/>
        <v>0.5</v>
      </c>
      <c r="K121">
        <f t="shared" si="9"/>
        <v>0.55555555555555558</v>
      </c>
      <c r="L121">
        <f t="shared" si="13"/>
        <v>-5.555555555555558E-2</v>
      </c>
      <c r="M121">
        <f t="shared" si="10"/>
        <v>1</v>
      </c>
      <c r="N121">
        <f t="shared" si="11"/>
        <v>0</v>
      </c>
    </row>
    <row r="122" spans="1:14" x14ac:dyDescent="0.25">
      <c r="A122">
        <v>121</v>
      </c>
      <c r="B122" t="str">
        <f t="shared" si="7"/>
        <v>2009_ATL</v>
      </c>
      <c r="C122">
        <v>2009</v>
      </c>
      <c r="D122" t="s">
        <v>5</v>
      </c>
      <c r="E122">
        <v>44.5</v>
      </c>
      <c r="F122">
        <v>-115</v>
      </c>
      <c r="G122">
        <v>-115</v>
      </c>
      <c r="H122">
        <v>53</v>
      </c>
      <c r="I122" t="str">
        <f t="shared" si="12"/>
        <v>O</v>
      </c>
      <c r="J122">
        <f t="shared" si="8"/>
        <v>0.53488372093023251</v>
      </c>
      <c r="K122">
        <f t="shared" si="9"/>
        <v>0.53488372093023251</v>
      </c>
      <c r="L122">
        <f t="shared" si="13"/>
        <v>0</v>
      </c>
      <c r="M122">
        <f t="shared" si="10"/>
        <v>0</v>
      </c>
      <c r="N122">
        <f t="shared" si="11"/>
        <v>0</v>
      </c>
    </row>
    <row r="123" spans="1:14" x14ac:dyDescent="0.25">
      <c r="A123">
        <v>122</v>
      </c>
      <c r="B123" t="str">
        <f t="shared" si="7"/>
        <v>2009_BOS</v>
      </c>
      <c r="C123">
        <v>2009</v>
      </c>
      <c r="D123" t="s">
        <v>17</v>
      </c>
      <c r="E123">
        <v>56.5</v>
      </c>
      <c r="F123">
        <v>-140</v>
      </c>
      <c r="G123">
        <v>110</v>
      </c>
      <c r="H123">
        <v>50</v>
      </c>
      <c r="I123" t="str">
        <f t="shared" si="12"/>
        <v>U</v>
      </c>
      <c r="J123">
        <f t="shared" si="8"/>
        <v>0.58333333333333337</v>
      </c>
      <c r="K123">
        <f t="shared" si="9"/>
        <v>0.47619047619047616</v>
      </c>
      <c r="L123">
        <f t="shared" si="13"/>
        <v>0.10714285714285721</v>
      </c>
      <c r="M123">
        <f t="shared" si="10"/>
        <v>0</v>
      </c>
      <c r="N123">
        <f t="shared" si="11"/>
        <v>1</v>
      </c>
    </row>
    <row r="124" spans="1:14" x14ac:dyDescent="0.25">
      <c r="A124">
        <v>123</v>
      </c>
      <c r="B124" t="str">
        <f t="shared" si="7"/>
        <v>2009_NOP</v>
      </c>
      <c r="C124">
        <v>2009</v>
      </c>
      <c r="D124" t="s">
        <v>469</v>
      </c>
      <c r="E124">
        <v>36.5</v>
      </c>
      <c r="F124">
        <v>-110</v>
      </c>
      <c r="G124">
        <v>-120</v>
      </c>
      <c r="H124">
        <v>44</v>
      </c>
      <c r="I124" t="str">
        <f t="shared" si="12"/>
        <v>O</v>
      </c>
      <c r="J124">
        <f t="shared" si="8"/>
        <v>0.52380952380952384</v>
      </c>
      <c r="K124">
        <f t="shared" si="9"/>
        <v>0.54545454545454541</v>
      </c>
      <c r="L124">
        <f t="shared" si="13"/>
        <v>-2.1645021645021578E-2</v>
      </c>
      <c r="M124">
        <f t="shared" si="10"/>
        <v>0</v>
      </c>
      <c r="N124">
        <f t="shared" si="11"/>
        <v>0</v>
      </c>
    </row>
    <row r="125" spans="1:14" x14ac:dyDescent="0.25">
      <c r="A125">
        <v>124</v>
      </c>
      <c r="B125" t="str">
        <f t="shared" si="7"/>
        <v>2009_CHI</v>
      </c>
      <c r="C125">
        <v>2009</v>
      </c>
      <c r="D125" t="s">
        <v>0</v>
      </c>
      <c r="E125">
        <v>40.5</v>
      </c>
      <c r="F125">
        <v>-140</v>
      </c>
      <c r="G125">
        <v>110</v>
      </c>
      <c r="H125">
        <v>41</v>
      </c>
      <c r="I125" t="str">
        <f t="shared" si="12"/>
        <v>O</v>
      </c>
      <c r="J125">
        <f t="shared" si="8"/>
        <v>0.58333333333333337</v>
      </c>
      <c r="K125">
        <f t="shared" si="9"/>
        <v>0.47619047619047616</v>
      </c>
      <c r="L125">
        <f t="shared" si="13"/>
        <v>0.10714285714285721</v>
      </c>
      <c r="M125">
        <f t="shared" si="10"/>
        <v>0</v>
      </c>
      <c r="N125">
        <f t="shared" si="11"/>
        <v>1</v>
      </c>
    </row>
    <row r="126" spans="1:14" x14ac:dyDescent="0.25">
      <c r="A126">
        <v>125</v>
      </c>
      <c r="B126" t="str">
        <f t="shared" si="7"/>
        <v>2009_CLE</v>
      </c>
      <c r="C126">
        <v>2009</v>
      </c>
      <c r="D126" t="s">
        <v>6</v>
      </c>
      <c r="E126">
        <v>61.5</v>
      </c>
      <c r="F126">
        <v>-125</v>
      </c>
      <c r="G126">
        <v>-105</v>
      </c>
      <c r="H126">
        <v>61</v>
      </c>
      <c r="I126" t="str">
        <f t="shared" si="12"/>
        <v>U</v>
      </c>
      <c r="J126">
        <f t="shared" si="8"/>
        <v>0.55555555555555558</v>
      </c>
      <c r="K126">
        <f t="shared" si="9"/>
        <v>0.51219512195121952</v>
      </c>
      <c r="L126">
        <f t="shared" si="13"/>
        <v>4.3360433604336057E-2</v>
      </c>
      <c r="M126">
        <f t="shared" si="10"/>
        <v>0</v>
      </c>
      <c r="N126">
        <f t="shared" si="11"/>
        <v>0</v>
      </c>
    </row>
    <row r="127" spans="1:14" x14ac:dyDescent="0.25">
      <c r="A127">
        <v>126</v>
      </c>
      <c r="B127" t="str">
        <f t="shared" si="7"/>
        <v>2009_DAL</v>
      </c>
      <c r="C127">
        <v>2009</v>
      </c>
      <c r="D127" t="s">
        <v>16</v>
      </c>
      <c r="E127">
        <v>48.5</v>
      </c>
      <c r="F127">
        <v>-120</v>
      </c>
      <c r="G127">
        <v>-110</v>
      </c>
      <c r="H127">
        <v>55</v>
      </c>
      <c r="I127" t="str">
        <f t="shared" si="12"/>
        <v>O</v>
      </c>
      <c r="J127">
        <f t="shared" si="8"/>
        <v>0.54545454545454541</v>
      </c>
      <c r="K127">
        <f t="shared" si="9"/>
        <v>0.52380952380952384</v>
      </c>
      <c r="L127">
        <f t="shared" si="13"/>
        <v>2.1645021645021578E-2</v>
      </c>
      <c r="M127">
        <f t="shared" si="10"/>
        <v>0</v>
      </c>
      <c r="N127">
        <f t="shared" si="11"/>
        <v>0</v>
      </c>
    </row>
    <row r="128" spans="1:14" x14ac:dyDescent="0.25">
      <c r="A128">
        <v>127</v>
      </c>
      <c r="B128" t="str">
        <f t="shared" si="7"/>
        <v>2009_DEN</v>
      </c>
      <c r="C128">
        <v>2009</v>
      </c>
      <c r="D128" t="s">
        <v>23</v>
      </c>
      <c r="E128">
        <v>52.5</v>
      </c>
      <c r="F128">
        <v>-115</v>
      </c>
      <c r="G128">
        <v>-115</v>
      </c>
      <c r="H128">
        <v>53</v>
      </c>
      <c r="I128" t="str">
        <f t="shared" si="12"/>
        <v>O</v>
      </c>
      <c r="J128">
        <f t="shared" si="8"/>
        <v>0.53488372093023251</v>
      </c>
      <c r="K128">
        <f t="shared" si="9"/>
        <v>0.53488372093023251</v>
      </c>
      <c r="L128">
        <f t="shared" si="13"/>
        <v>0</v>
      </c>
      <c r="M128">
        <f t="shared" si="10"/>
        <v>0</v>
      </c>
      <c r="N128">
        <f t="shared" si="11"/>
        <v>0</v>
      </c>
    </row>
    <row r="129" spans="1:14" x14ac:dyDescent="0.25">
      <c r="A129">
        <v>128</v>
      </c>
      <c r="B129" t="str">
        <f t="shared" si="7"/>
        <v>2009_DET</v>
      </c>
      <c r="C129">
        <v>2009</v>
      </c>
      <c r="D129" t="s">
        <v>7</v>
      </c>
      <c r="E129">
        <v>41.5</v>
      </c>
      <c r="F129">
        <v>110</v>
      </c>
      <c r="G129">
        <v>-140</v>
      </c>
      <c r="H129">
        <v>27</v>
      </c>
      <c r="I129" t="str">
        <f t="shared" si="12"/>
        <v>U</v>
      </c>
      <c r="J129">
        <f t="shared" si="8"/>
        <v>0.47619047619047616</v>
      </c>
      <c r="K129">
        <f t="shared" si="9"/>
        <v>0.58333333333333337</v>
      </c>
      <c r="L129">
        <f t="shared" si="13"/>
        <v>-0.10714285714285721</v>
      </c>
      <c r="M129">
        <f t="shared" si="10"/>
        <v>1</v>
      </c>
      <c r="N129">
        <f t="shared" si="11"/>
        <v>0</v>
      </c>
    </row>
    <row r="130" spans="1:14" x14ac:dyDescent="0.25">
      <c r="A130">
        <v>129</v>
      </c>
      <c r="B130" t="str">
        <f t="shared" ref="B130:B193" si="14">CONCATENATE(C130,"_",D130)</f>
        <v>2009_GSW</v>
      </c>
      <c r="C130">
        <v>2009</v>
      </c>
      <c r="D130" t="s">
        <v>468</v>
      </c>
      <c r="E130">
        <v>34.5</v>
      </c>
      <c r="F130">
        <v>105</v>
      </c>
      <c r="G130">
        <v>-135</v>
      </c>
      <c r="H130">
        <v>26</v>
      </c>
      <c r="I130" t="str">
        <f t="shared" si="12"/>
        <v>U</v>
      </c>
      <c r="J130">
        <f t="shared" ref="J130:J193" si="15">IF(ISNUMBER(F130),IF(F130&lt;0,-F130/(-F130+100),100/(F130+100)),"na")</f>
        <v>0.48780487804878048</v>
      </c>
      <c r="K130">
        <f t="shared" ref="K130:K193" si="16">IF(ISNUMBER(G130),IF(G130&lt;0,-G130/(-G130+100),100/(G130+100)),"na")</f>
        <v>0.57446808510638303</v>
      </c>
      <c r="L130">
        <f t="shared" si="13"/>
        <v>-8.6663207057602554E-2</v>
      </c>
      <c r="M130">
        <f t="shared" ref="M130:M193" si="17">IF(ISNUMBER(F130),IF(F130&gt;0,1,0),"na")</f>
        <v>1</v>
      </c>
      <c r="N130">
        <f t="shared" ref="N130:N193" si="18">IF(ISNUMBER(G130),IF(G130&gt;0,1,0),"na")</f>
        <v>0</v>
      </c>
    </row>
    <row r="131" spans="1:14" x14ac:dyDescent="0.25">
      <c r="A131">
        <v>130</v>
      </c>
      <c r="B131" t="str">
        <f t="shared" si="14"/>
        <v>2009_HOU</v>
      </c>
      <c r="C131">
        <v>2009</v>
      </c>
      <c r="D131" t="s">
        <v>4</v>
      </c>
      <c r="E131">
        <v>35.5</v>
      </c>
      <c r="F131">
        <v>-150</v>
      </c>
      <c r="G131">
        <v>120</v>
      </c>
      <c r="H131">
        <v>42</v>
      </c>
      <c r="I131" t="str">
        <f t="shared" ref="I131:I194" si="19">IF(NOT(OR(ISBLANK(E131),ISBLANK(H131))),IF(E131&lt;H131,"O",IF(E131&gt;H131,"U","E")),"")</f>
        <v>O</v>
      </c>
      <c r="J131">
        <f t="shared" si="15"/>
        <v>0.6</v>
      </c>
      <c r="K131">
        <f t="shared" si="16"/>
        <v>0.45454545454545453</v>
      </c>
      <c r="L131">
        <f t="shared" ref="L131:L194" si="20">IF(AND(ISNUMBER(J131),ISNUMBER(K131)),J131-K131,"na")</f>
        <v>0.14545454545454545</v>
      </c>
      <c r="M131">
        <f t="shared" si="17"/>
        <v>0</v>
      </c>
      <c r="N131">
        <f t="shared" si="18"/>
        <v>1</v>
      </c>
    </row>
    <row r="132" spans="1:14" x14ac:dyDescent="0.25">
      <c r="A132">
        <v>131</v>
      </c>
      <c r="B132" t="str">
        <f t="shared" si="14"/>
        <v>2009_IND</v>
      </c>
      <c r="C132">
        <v>2009</v>
      </c>
      <c r="D132" t="s">
        <v>13</v>
      </c>
      <c r="E132">
        <v>34.5</v>
      </c>
      <c r="F132">
        <v>-115</v>
      </c>
      <c r="G132">
        <v>-115</v>
      </c>
      <c r="H132">
        <v>32</v>
      </c>
      <c r="I132" t="str">
        <f t="shared" si="19"/>
        <v>U</v>
      </c>
      <c r="J132">
        <f t="shared" si="15"/>
        <v>0.53488372093023251</v>
      </c>
      <c r="K132">
        <f t="shared" si="16"/>
        <v>0.53488372093023251</v>
      </c>
      <c r="L132">
        <f t="shared" si="20"/>
        <v>0</v>
      </c>
      <c r="M132">
        <f t="shared" si="17"/>
        <v>0</v>
      </c>
      <c r="N132">
        <f t="shared" si="18"/>
        <v>0</v>
      </c>
    </row>
    <row r="133" spans="1:14" x14ac:dyDescent="0.25">
      <c r="A133">
        <v>132</v>
      </c>
      <c r="B133" t="str">
        <f t="shared" si="14"/>
        <v>2009_LAC</v>
      </c>
      <c r="C133">
        <v>2009</v>
      </c>
      <c r="D133" t="s">
        <v>14</v>
      </c>
      <c r="E133">
        <v>34.5</v>
      </c>
      <c r="F133">
        <v>100</v>
      </c>
      <c r="G133">
        <v>-130</v>
      </c>
      <c r="H133">
        <v>29</v>
      </c>
      <c r="I133" t="str">
        <f t="shared" si="19"/>
        <v>U</v>
      </c>
      <c r="J133">
        <f t="shared" si="15"/>
        <v>0.5</v>
      </c>
      <c r="K133">
        <f t="shared" si="16"/>
        <v>0.56521739130434778</v>
      </c>
      <c r="L133">
        <f t="shared" si="20"/>
        <v>-6.5217391304347783E-2</v>
      </c>
      <c r="M133">
        <f t="shared" si="17"/>
        <v>1</v>
      </c>
      <c r="N133">
        <f t="shared" si="18"/>
        <v>0</v>
      </c>
    </row>
    <row r="134" spans="1:14" x14ac:dyDescent="0.25">
      <c r="A134">
        <v>133</v>
      </c>
      <c r="B134" t="str">
        <f t="shared" si="14"/>
        <v>2009_LAL</v>
      </c>
      <c r="C134">
        <v>2009</v>
      </c>
      <c r="D134" t="s">
        <v>18</v>
      </c>
      <c r="E134">
        <v>62</v>
      </c>
      <c r="F134">
        <v>-115</v>
      </c>
      <c r="G134">
        <v>-115</v>
      </c>
      <c r="H134">
        <v>57</v>
      </c>
      <c r="I134" t="str">
        <f t="shared" si="19"/>
        <v>U</v>
      </c>
      <c r="J134">
        <f t="shared" si="15"/>
        <v>0.53488372093023251</v>
      </c>
      <c r="K134">
        <f t="shared" si="16"/>
        <v>0.53488372093023251</v>
      </c>
      <c r="L134">
        <f t="shared" si="20"/>
        <v>0</v>
      </c>
      <c r="M134">
        <f t="shared" si="17"/>
        <v>0</v>
      </c>
      <c r="N134">
        <f t="shared" si="18"/>
        <v>0</v>
      </c>
    </row>
    <row r="135" spans="1:14" x14ac:dyDescent="0.25">
      <c r="A135">
        <v>134</v>
      </c>
      <c r="B135" t="str">
        <f t="shared" si="14"/>
        <v>2009_MEM</v>
      </c>
      <c r="C135">
        <v>2009</v>
      </c>
      <c r="D135" t="s">
        <v>9</v>
      </c>
      <c r="E135">
        <v>27.5</v>
      </c>
      <c r="F135">
        <v>-115</v>
      </c>
      <c r="G135">
        <v>-115</v>
      </c>
      <c r="H135">
        <v>40</v>
      </c>
      <c r="I135" t="str">
        <f t="shared" si="19"/>
        <v>O</v>
      </c>
      <c r="J135">
        <f t="shared" si="15"/>
        <v>0.53488372093023251</v>
      </c>
      <c r="K135">
        <f t="shared" si="16"/>
        <v>0.53488372093023251</v>
      </c>
      <c r="L135">
        <f t="shared" si="20"/>
        <v>0</v>
      </c>
      <c r="M135">
        <f t="shared" si="17"/>
        <v>0</v>
      </c>
      <c r="N135">
        <f t="shared" si="18"/>
        <v>0</v>
      </c>
    </row>
    <row r="136" spans="1:14" x14ac:dyDescent="0.25">
      <c r="A136">
        <v>135</v>
      </c>
      <c r="B136" t="str">
        <f t="shared" si="14"/>
        <v>2009_MIA</v>
      </c>
      <c r="C136">
        <v>2009</v>
      </c>
      <c r="D136" t="s">
        <v>15</v>
      </c>
      <c r="E136">
        <v>40</v>
      </c>
      <c r="F136">
        <v>-130</v>
      </c>
      <c r="G136">
        <v>100</v>
      </c>
      <c r="H136">
        <v>47</v>
      </c>
      <c r="I136" t="str">
        <f t="shared" si="19"/>
        <v>O</v>
      </c>
      <c r="J136">
        <f t="shared" si="15"/>
        <v>0.56521739130434778</v>
      </c>
      <c r="K136">
        <f t="shared" si="16"/>
        <v>0.5</v>
      </c>
      <c r="L136">
        <f t="shared" si="20"/>
        <v>6.5217391304347783E-2</v>
      </c>
      <c r="M136">
        <f t="shared" si="17"/>
        <v>0</v>
      </c>
      <c r="N136">
        <f t="shared" si="18"/>
        <v>1</v>
      </c>
    </row>
    <row r="137" spans="1:14" x14ac:dyDescent="0.25">
      <c r="A137">
        <v>136</v>
      </c>
      <c r="B137" t="str">
        <f t="shared" si="14"/>
        <v>2009_MIL</v>
      </c>
      <c r="C137">
        <v>2009</v>
      </c>
      <c r="D137" t="s">
        <v>10</v>
      </c>
      <c r="E137">
        <v>26.5</v>
      </c>
      <c r="F137">
        <v>-115</v>
      </c>
      <c r="G137">
        <v>-115</v>
      </c>
      <c r="H137">
        <v>46</v>
      </c>
      <c r="I137" t="str">
        <f t="shared" si="19"/>
        <v>O</v>
      </c>
      <c r="J137">
        <f t="shared" si="15"/>
        <v>0.53488372093023251</v>
      </c>
      <c r="K137">
        <f t="shared" si="16"/>
        <v>0.53488372093023251</v>
      </c>
      <c r="L137">
        <f t="shared" si="20"/>
        <v>0</v>
      </c>
      <c r="M137">
        <f t="shared" si="17"/>
        <v>0</v>
      </c>
      <c r="N137">
        <f t="shared" si="18"/>
        <v>0</v>
      </c>
    </row>
    <row r="138" spans="1:14" x14ac:dyDescent="0.25">
      <c r="A138">
        <v>137</v>
      </c>
      <c r="B138" t="str">
        <f t="shared" si="14"/>
        <v>2009_MIN</v>
      </c>
      <c r="C138">
        <v>2009</v>
      </c>
      <c r="D138" t="s">
        <v>3</v>
      </c>
      <c r="E138">
        <v>26.5</v>
      </c>
      <c r="F138">
        <v>-125</v>
      </c>
      <c r="G138">
        <v>-105</v>
      </c>
      <c r="H138">
        <v>15</v>
      </c>
      <c r="I138" t="str">
        <f t="shared" si="19"/>
        <v>U</v>
      </c>
      <c r="J138">
        <f t="shared" si="15"/>
        <v>0.55555555555555558</v>
      </c>
      <c r="K138">
        <f t="shared" si="16"/>
        <v>0.51219512195121952</v>
      </c>
      <c r="L138">
        <f t="shared" si="20"/>
        <v>4.3360433604336057E-2</v>
      </c>
      <c r="M138">
        <f t="shared" si="17"/>
        <v>0</v>
      </c>
      <c r="N138">
        <f t="shared" si="18"/>
        <v>0</v>
      </c>
    </row>
    <row r="139" spans="1:14" x14ac:dyDescent="0.25">
      <c r="A139">
        <v>138</v>
      </c>
      <c r="B139" t="str">
        <f t="shared" si="14"/>
        <v>2009_BRK</v>
      </c>
      <c r="C139">
        <v>2009</v>
      </c>
      <c r="D139" t="s">
        <v>80</v>
      </c>
      <c r="E139">
        <v>27.5</v>
      </c>
      <c r="F139">
        <v>-115</v>
      </c>
      <c r="G139">
        <v>-115</v>
      </c>
      <c r="H139">
        <v>12</v>
      </c>
      <c r="I139" t="str">
        <f t="shared" si="19"/>
        <v>U</v>
      </c>
      <c r="J139">
        <f t="shared" si="15"/>
        <v>0.53488372093023251</v>
      </c>
      <c r="K139">
        <f t="shared" si="16"/>
        <v>0.53488372093023251</v>
      </c>
      <c r="L139">
        <f t="shared" si="20"/>
        <v>0</v>
      </c>
      <c r="M139">
        <f t="shared" si="17"/>
        <v>0</v>
      </c>
      <c r="N139">
        <f t="shared" si="18"/>
        <v>0</v>
      </c>
    </row>
    <row r="140" spans="1:14" x14ac:dyDescent="0.25">
      <c r="A140">
        <v>139</v>
      </c>
      <c r="B140" t="str">
        <f t="shared" si="14"/>
        <v>2009_CHO</v>
      </c>
      <c r="C140">
        <v>2009</v>
      </c>
      <c r="D140" t="s">
        <v>467</v>
      </c>
      <c r="E140">
        <v>46.5</v>
      </c>
      <c r="F140">
        <v>-110</v>
      </c>
      <c r="G140">
        <v>-120</v>
      </c>
      <c r="H140">
        <v>37</v>
      </c>
      <c r="I140" t="str">
        <f t="shared" si="19"/>
        <v>U</v>
      </c>
      <c r="J140">
        <f t="shared" si="15"/>
        <v>0.52380952380952384</v>
      </c>
      <c r="K140">
        <f t="shared" si="16"/>
        <v>0.54545454545454541</v>
      </c>
      <c r="L140">
        <f t="shared" si="20"/>
        <v>-2.1645021645021578E-2</v>
      </c>
      <c r="M140">
        <f t="shared" si="17"/>
        <v>0</v>
      </c>
      <c r="N140">
        <f t="shared" si="18"/>
        <v>0</v>
      </c>
    </row>
    <row r="141" spans="1:14" x14ac:dyDescent="0.25">
      <c r="A141">
        <v>140</v>
      </c>
      <c r="B141" t="str">
        <f t="shared" si="14"/>
        <v>2009_NYK</v>
      </c>
      <c r="C141">
        <v>2009</v>
      </c>
      <c r="D141" t="s">
        <v>470</v>
      </c>
      <c r="E141">
        <v>31.5</v>
      </c>
      <c r="F141">
        <v>100</v>
      </c>
      <c r="G141">
        <v>-130</v>
      </c>
      <c r="H141">
        <v>29</v>
      </c>
      <c r="I141" t="str">
        <f t="shared" si="19"/>
        <v>U</v>
      </c>
      <c r="J141">
        <f t="shared" si="15"/>
        <v>0.5</v>
      </c>
      <c r="K141">
        <f t="shared" si="16"/>
        <v>0.56521739130434778</v>
      </c>
      <c r="L141">
        <f t="shared" si="20"/>
        <v>-6.5217391304347783E-2</v>
      </c>
      <c r="M141">
        <f t="shared" si="17"/>
        <v>1</v>
      </c>
      <c r="N141">
        <f t="shared" si="18"/>
        <v>0</v>
      </c>
    </row>
    <row r="142" spans="1:14" x14ac:dyDescent="0.25">
      <c r="A142">
        <v>141</v>
      </c>
      <c r="B142" t="str">
        <f t="shared" si="14"/>
        <v>2009_OKC</v>
      </c>
      <c r="C142">
        <v>2009</v>
      </c>
      <c r="D142" t="s">
        <v>12</v>
      </c>
      <c r="E142">
        <v>33.5</v>
      </c>
      <c r="F142">
        <v>-120</v>
      </c>
      <c r="G142">
        <v>-110</v>
      </c>
      <c r="H142">
        <v>50</v>
      </c>
      <c r="I142" t="str">
        <f t="shared" si="19"/>
        <v>O</v>
      </c>
      <c r="J142">
        <f t="shared" si="15"/>
        <v>0.54545454545454541</v>
      </c>
      <c r="K142">
        <f t="shared" si="16"/>
        <v>0.52380952380952384</v>
      </c>
      <c r="L142">
        <f t="shared" si="20"/>
        <v>2.1645021645021578E-2</v>
      </c>
      <c r="M142">
        <f t="shared" si="17"/>
        <v>0</v>
      </c>
      <c r="N142">
        <f t="shared" si="18"/>
        <v>0</v>
      </c>
    </row>
    <row r="143" spans="1:14" x14ac:dyDescent="0.25">
      <c r="A143">
        <v>142</v>
      </c>
      <c r="B143" t="str">
        <f t="shared" si="14"/>
        <v>2009_ORL</v>
      </c>
      <c r="C143">
        <v>2009</v>
      </c>
      <c r="D143" t="s">
        <v>11</v>
      </c>
      <c r="E143">
        <v>57.5</v>
      </c>
      <c r="F143">
        <v>-130</v>
      </c>
      <c r="G143">
        <v>100</v>
      </c>
      <c r="H143">
        <v>59</v>
      </c>
      <c r="I143" t="str">
        <f t="shared" si="19"/>
        <v>O</v>
      </c>
      <c r="J143">
        <f t="shared" si="15"/>
        <v>0.56521739130434778</v>
      </c>
      <c r="K143">
        <f t="shared" si="16"/>
        <v>0.5</v>
      </c>
      <c r="L143">
        <f t="shared" si="20"/>
        <v>6.5217391304347783E-2</v>
      </c>
      <c r="M143">
        <f t="shared" si="17"/>
        <v>0</v>
      </c>
      <c r="N143">
        <f t="shared" si="18"/>
        <v>1</v>
      </c>
    </row>
    <row r="144" spans="1:14" x14ac:dyDescent="0.25">
      <c r="A144">
        <v>143</v>
      </c>
      <c r="B144" t="str">
        <f t="shared" si="14"/>
        <v>2009_PHI</v>
      </c>
      <c r="C144">
        <v>2009</v>
      </c>
      <c r="D144" t="s">
        <v>20</v>
      </c>
      <c r="E144">
        <v>40.5</v>
      </c>
      <c r="F144">
        <v>-120</v>
      </c>
      <c r="G144">
        <v>-110</v>
      </c>
      <c r="H144">
        <v>27</v>
      </c>
      <c r="I144" t="str">
        <f t="shared" si="19"/>
        <v>U</v>
      </c>
      <c r="J144">
        <f t="shared" si="15"/>
        <v>0.54545454545454541</v>
      </c>
      <c r="K144">
        <f t="shared" si="16"/>
        <v>0.52380952380952384</v>
      </c>
      <c r="L144">
        <f t="shared" si="20"/>
        <v>2.1645021645021578E-2</v>
      </c>
      <c r="M144">
        <f t="shared" si="17"/>
        <v>0</v>
      </c>
      <c r="N144">
        <f t="shared" si="18"/>
        <v>0</v>
      </c>
    </row>
    <row r="145" spans="1:14" x14ac:dyDescent="0.25">
      <c r="A145">
        <v>144</v>
      </c>
      <c r="B145" t="str">
        <f t="shared" si="14"/>
        <v>2009_PHO</v>
      </c>
      <c r="C145">
        <v>2009</v>
      </c>
      <c r="D145" t="s">
        <v>471</v>
      </c>
      <c r="E145">
        <v>40.5</v>
      </c>
      <c r="F145">
        <v>100</v>
      </c>
      <c r="G145">
        <v>-130</v>
      </c>
      <c r="H145">
        <v>54</v>
      </c>
      <c r="I145" t="str">
        <f t="shared" si="19"/>
        <v>O</v>
      </c>
      <c r="J145">
        <f t="shared" si="15"/>
        <v>0.5</v>
      </c>
      <c r="K145">
        <f t="shared" si="16"/>
        <v>0.56521739130434778</v>
      </c>
      <c r="L145">
        <f t="shared" si="20"/>
        <v>-6.5217391304347783E-2</v>
      </c>
      <c r="M145">
        <f t="shared" si="17"/>
        <v>1</v>
      </c>
      <c r="N145">
        <f t="shared" si="18"/>
        <v>0</v>
      </c>
    </row>
    <row r="146" spans="1:14" x14ac:dyDescent="0.25">
      <c r="A146">
        <v>145</v>
      </c>
      <c r="B146" t="str">
        <f t="shared" si="14"/>
        <v>2009_POR</v>
      </c>
      <c r="C146">
        <v>2009</v>
      </c>
      <c r="D146" t="s">
        <v>1</v>
      </c>
      <c r="E146">
        <v>52.5</v>
      </c>
      <c r="F146">
        <v>-135</v>
      </c>
      <c r="G146">
        <v>105</v>
      </c>
      <c r="H146">
        <v>50</v>
      </c>
      <c r="I146" t="str">
        <f t="shared" si="19"/>
        <v>U</v>
      </c>
      <c r="J146">
        <f t="shared" si="15"/>
        <v>0.57446808510638303</v>
      </c>
      <c r="K146">
        <f t="shared" si="16"/>
        <v>0.48780487804878048</v>
      </c>
      <c r="L146">
        <f t="shared" si="20"/>
        <v>8.6663207057602554E-2</v>
      </c>
      <c r="M146">
        <f t="shared" si="17"/>
        <v>0</v>
      </c>
      <c r="N146">
        <f t="shared" si="18"/>
        <v>1</v>
      </c>
    </row>
    <row r="147" spans="1:14" x14ac:dyDescent="0.25">
      <c r="A147">
        <v>146</v>
      </c>
      <c r="B147" t="str">
        <f t="shared" si="14"/>
        <v>2009_SAC</v>
      </c>
      <c r="C147">
        <v>2009</v>
      </c>
      <c r="D147" t="s">
        <v>21</v>
      </c>
      <c r="E147">
        <v>24.5</v>
      </c>
      <c r="F147">
        <v>130</v>
      </c>
      <c r="G147">
        <v>-160</v>
      </c>
      <c r="H147">
        <v>25</v>
      </c>
      <c r="I147" t="str">
        <f t="shared" si="19"/>
        <v>O</v>
      </c>
      <c r="J147">
        <f t="shared" si="15"/>
        <v>0.43478260869565216</v>
      </c>
      <c r="K147">
        <f t="shared" si="16"/>
        <v>0.61538461538461542</v>
      </c>
      <c r="L147">
        <f t="shared" si="20"/>
        <v>-0.18060200668896326</v>
      </c>
      <c r="M147">
        <f t="shared" si="17"/>
        <v>1</v>
      </c>
      <c r="N147">
        <f t="shared" si="18"/>
        <v>0</v>
      </c>
    </row>
    <row r="148" spans="1:14" x14ac:dyDescent="0.25">
      <c r="A148">
        <v>147</v>
      </c>
      <c r="B148" t="str">
        <f t="shared" si="14"/>
        <v>2009_SAS</v>
      </c>
      <c r="C148">
        <v>2009</v>
      </c>
      <c r="D148" t="s">
        <v>472</v>
      </c>
      <c r="E148">
        <v>54.5</v>
      </c>
      <c r="F148">
        <v>-125</v>
      </c>
      <c r="G148">
        <v>-105</v>
      </c>
      <c r="H148">
        <v>50</v>
      </c>
      <c r="I148" t="str">
        <f t="shared" si="19"/>
        <v>U</v>
      </c>
      <c r="J148">
        <f t="shared" si="15"/>
        <v>0.55555555555555558</v>
      </c>
      <c r="K148">
        <f t="shared" si="16"/>
        <v>0.51219512195121952</v>
      </c>
      <c r="L148">
        <f t="shared" si="20"/>
        <v>4.3360433604336057E-2</v>
      </c>
      <c r="M148">
        <f t="shared" si="17"/>
        <v>0</v>
      </c>
      <c r="N148">
        <f t="shared" si="18"/>
        <v>0</v>
      </c>
    </row>
    <row r="149" spans="1:14" x14ac:dyDescent="0.25">
      <c r="A149">
        <v>148</v>
      </c>
      <c r="B149" t="str">
        <f t="shared" si="14"/>
        <v>2009_TOR</v>
      </c>
      <c r="C149">
        <v>2009</v>
      </c>
      <c r="D149" t="s">
        <v>2</v>
      </c>
      <c r="E149">
        <v>40.5</v>
      </c>
      <c r="F149">
        <v>-115</v>
      </c>
      <c r="G149">
        <v>-115</v>
      </c>
      <c r="H149">
        <v>40</v>
      </c>
      <c r="I149" t="str">
        <f t="shared" si="19"/>
        <v>U</v>
      </c>
      <c r="J149">
        <f t="shared" si="15"/>
        <v>0.53488372093023251</v>
      </c>
      <c r="K149">
        <f t="shared" si="16"/>
        <v>0.53488372093023251</v>
      </c>
      <c r="L149">
        <f t="shared" si="20"/>
        <v>0</v>
      </c>
      <c r="M149">
        <f t="shared" si="17"/>
        <v>0</v>
      </c>
      <c r="N149">
        <f t="shared" si="18"/>
        <v>0</v>
      </c>
    </row>
    <row r="150" spans="1:14" x14ac:dyDescent="0.25">
      <c r="A150">
        <v>149</v>
      </c>
      <c r="B150" t="str">
        <f t="shared" si="14"/>
        <v>2009_UTA</v>
      </c>
      <c r="C150">
        <v>2009</v>
      </c>
      <c r="D150" t="s">
        <v>473</v>
      </c>
      <c r="E150">
        <v>49.5</v>
      </c>
      <c r="F150">
        <v>-110</v>
      </c>
      <c r="G150">
        <v>-120</v>
      </c>
      <c r="H150">
        <v>53</v>
      </c>
      <c r="I150" t="str">
        <f t="shared" si="19"/>
        <v>O</v>
      </c>
      <c r="J150">
        <f t="shared" si="15"/>
        <v>0.52380952380952384</v>
      </c>
      <c r="K150">
        <f t="shared" si="16"/>
        <v>0.54545454545454541</v>
      </c>
      <c r="L150">
        <f t="shared" si="20"/>
        <v>-2.1645021645021578E-2</v>
      </c>
      <c r="M150">
        <f t="shared" si="17"/>
        <v>0</v>
      </c>
      <c r="N150">
        <f t="shared" si="18"/>
        <v>0</v>
      </c>
    </row>
    <row r="151" spans="1:14" x14ac:dyDescent="0.25">
      <c r="A151">
        <v>150</v>
      </c>
      <c r="B151" t="str">
        <f t="shared" si="14"/>
        <v>2009_WAS</v>
      </c>
      <c r="C151">
        <v>2009</v>
      </c>
      <c r="D151" t="s">
        <v>474</v>
      </c>
      <c r="E151">
        <v>41.5</v>
      </c>
      <c r="F151">
        <v>-120</v>
      </c>
      <c r="G151">
        <v>-110</v>
      </c>
      <c r="H151">
        <v>26</v>
      </c>
      <c r="I151" t="str">
        <f t="shared" si="19"/>
        <v>U</v>
      </c>
      <c r="J151">
        <f t="shared" si="15"/>
        <v>0.54545454545454541</v>
      </c>
      <c r="K151">
        <f t="shared" si="16"/>
        <v>0.52380952380952384</v>
      </c>
      <c r="L151">
        <f t="shared" si="20"/>
        <v>2.1645021645021578E-2</v>
      </c>
      <c r="M151">
        <f t="shared" si="17"/>
        <v>0</v>
      </c>
      <c r="N151">
        <f t="shared" si="18"/>
        <v>0</v>
      </c>
    </row>
    <row r="152" spans="1:14" x14ac:dyDescent="0.25">
      <c r="A152">
        <v>151</v>
      </c>
      <c r="B152" t="str">
        <f t="shared" si="14"/>
        <v>2010_ATL</v>
      </c>
      <c r="C152">
        <v>2010</v>
      </c>
      <c r="D152" t="s">
        <v>5</v>
      </c>
      <c r="E152">
        <v>46.5</v>
      </c>
      <c r="F152">
        <v>-125</v>
      </c>
      <c r="G152">
        <v>-105</v>
      </c>
      <c r="H152">
        <v>44</v>
      </c>
      <c r="I152" t="str">
        <f t="shared" si="19"/>
        <v>U</v>
      </c>
      <c r="J152">
        <f t="shared" si="15"/>
        <v>0.55555555555555558</v>
      </c>
      <c r="K152">
        <f t="shared" si="16"/>
        <v>0.51219512195121952</v>
      </c>
      <c r="L152">
        <f t="shared" si="20"/>
        <v>4.3360433604336057E-2</v>
      </c>
      <c r="M152">
        <f t="shared" si="17"/>
        <v>0</v>
      </c>
      <c r="N152">
        <f t="shared" si="18"/>
        <v>0</v>
      </c>
    </row>
    <row r="153" spans="1:14" x14ac:dyDescent="0.25">
      <c r="A153">
        <v>152</v>
      </c>
      <c r="B153" t="str">
        <f t="shared" si="14"/>
        <v>2010_BOS</v>
      </c>
      <c r="C153">
        <v>2010</v>
      </c>
      <c r="D153" t="s">
        <v>17</v>
      </c>
      <c r="E153">
        <v>52.5</v>
      </c>
      <c r="F153">
        <v>-115</v>
      </c>
      <c r="G153">
        <v>-115</v>
      </c>
      <c r="H153">
        <v>56</v>
      </c>
      <c r="I153" t="str">
        <f t="shared" si="19"/>
        <v>O</v>
      </c>
      <c r="J153">
        <f t="shared" si="15"/>
        <v>0.53488372093023251</v>
      </c>
      <c r="K153">
        <f t="shared" si="16"/>
        <v>0.53488372093023251</v>
      </c>
      <c r="L153">
        <f t="shared" si="20"/>
        <v>0</v>
      </c>
      <c r="M153">
        <f t="shared" si="17"/>
        <v>0</v>
      </c>
      <c r="N153">
        <f t="shared" si="18"/>
        <v>0</v>
      </c>
    </row>
    <row r="154" spans="1:14" x14ac:dyDescent="0.25">
      <c r="A154">
        <v>153</v>
      </c>
      <c r="B154" t="str">
        <f t="shared" si="14"/>
        <v>2010_NOP</v>
      </c>
      <c r="C154">
        <v>2010</v>
      </c>
      <c r="D154" t="s">
        <v>469</v>
      </c>
      <c r="E154">
        <v>39.5</v>
      </c>
      <c r="F154">
        <v>100</v>
      </c>
      <c r="G154">
        <v>-130</v>
      </c>
      <c r="H154">
        <v>34</v>
      </c>
      <c r="I154" t="str">
        <f t="shared" si="19"/>
        <v>U</v>
      </c>
      <c r="J154">
        <f t="shared" si="15"/>
        <v>0.5</v>
      </c>
      <c r="K154">
        <f t="shared" si="16"/>
        <v>0.56521739130434778</v>
      </c>
      <c r="L154">
        <f t="shared" si="20"/>
        <v>-6.5217391304347783E-2</v>
      </c>
      <c r="M154">
        <f t="shared" si="17"/>
        <v>1</v>
      </c>
      <c r="N154">
        <f t="shared" si="18"/>
        <v>0</v>
      </c>
    </row>
    <row r="155" spans="1:14" x14ac:dyDescent="0.25">
      <c r="A155">
        <v>154</v>
      </c>
      <c r="B155" t="str">
        <f t="shared" si="14"/>
        <v>2010_CHI</v>
      </c>
      <c r="C155">
        <v>2010</v>
      </c>
      <c r="D155" t="s">
        <v>0</v>
      </c>
      <c r="E155">
        <v>46.5</v>
      </c>
      <c r="F155">
        <v>-125</v>
      </c>
      <c r="G155">
        <v>-105</v>
      </c>
      <c r="H155">
        <v>62</v>
      </c>
      <c r="I155" t="str">
        <f t="shared" si="19"/>
        <v>O</v>
      </c>
      <c r="J155">
        <f t="shared" si="15"/>
        <v>0.55555555555555558</v>
      </c>
      <c r="K155">
        <f t="shared" si="16"/>
        <v>0.51219512195121952</v>
      </c>
      <c r="L155">
        <f t="shared" si="20"/>
        <v>4.3360433604336057E-2</v>
      </c>
      <c r="M155">
        <f t="shared" si="17"/>
        <v>0</v>
      </c>
      <c r="N155">
        <f t="shared" si="18"/>
        <v>0</v>
      </c>
    </row>
    <row r="156" spans="1:14" x14ac:dyDescent="0.25">
      <c r="A156">
        <v>155</v>
      </c>
      <c r="B156" t="str">
        <f t="shared" si="14"/>
        <v>2010_CLE</v>
      </c>
      <c r="C156">
        <v>2010</v>
      </c>
      <c r="D156" t="s">
        <v>6</v>
      </c>
      <c r="E156">
        <v>30.5</v>
      </c>
      <c r="F156">
        <v>-110</v>
      </c>
      <c r="G156">
        <v>-120</v>
      </c>
      <c r="H156">
        <v>19</v>
      </c>
      <c r="I156" t="str">
        <f t="shared" si="19"/>
        <v>U</v>
      </c>
      <c r="J156">
        <f t="shared" si="15"/>
        <v>0.52380952380952384</v>
      </c>
      <c r="K156">
        <f t="shared" si="16"/>
        <v>0.54545454545454541</v>
      </c>
      <c r="L156">
        <f t="shared" si="20"/>
        <v>-2.1645021645021578E-2</v>
      </c>
      <c r="M156">
        <f t="shared" si="17"/>
        <v>0</v>
      </c>
      <c r="N156">
        <f t="shared" si="18"/>
        <v>0</v>
      </c>
    </row>
    <row r="157" spans="1:14" x14ac:dyDescent="0.25">
      <c r="A157">
        <v>156</v>
      </c>
      <c r="B157" t="str">
        <f t="shared" si="14"/>
        <v>2010_DAL</v>
      </c>
      <c r="C157">
        <v>2010</v>
      </c>
      <c r="D157" t="s">
        <v>16</v>
      </c>
      <c r="E157">
        <v>49.5</v>
      </c>
      <c r="F157">
        <v>-125</v>
      </c>
      <c r="G157">
        <v>-105</v>
      </c>
      <c r="H157">
        <v>57</v>
      </c>
      <c r="I157" t="str">
        <f t="shared" si="19"/>
        <v>O</v>
      </c>
      <c r="J157">
        <f t="shared" si="15"/>
        <v>0.55555555555555558</v>
      </c>
      <c r="K157">
        <f t="shared" si="16"/>
        <v>0.51219512195121952</v>
      </c>
      <c r="L157">
        <f t="shared" si="20"/>
        <v>4.3360433604336057E-2</v>
      </c>
      <c r="M157">
        <f t="shared" si="17"/>
        <v>0</v>
      </c>
      <c r="N157">
        <f t="shared" si="18"/>
        <v>0</v>
      </c>
    </row>
    <row r="158" spans="1:14" x14ac:dyDescent="0.25">
      <c r="A158">
        <v>157</v>
      </c>
      <c r="B158" t="str">
        <f t="shared" si="14"/>
        <v>2010_DEN</v>
      </c>
      <c r="C158">
        <v>2010</v>
      </c>
      <c r="D158" t="s">
        <v>23</v>
      </c>
      <c r="E158">
        <v>43.5</v>
      </c>
      <c r="F158">
        <v>-115</v>
      </c>
      <c r="G158">
        <v>-115</v>
      </c>
      <c r="H158">
        <v>50</v>
      </c>
      <c r="I158" t="str">
        <f t="shared" si="19"/>
        <v>O</v>
      </c>
      <c r="J158">
        <f t="shared" si="15"/>
        <v>0.53488372093023251</v>
      </c>
      <c r="K158">
        <f t="shared" si="16"/>
        <v>0.53488372093023251</v>
      </c>
      <c r="L158">
        <f t="shared" si="20"/>
        <v>0</v>
      </c>
      <c r="M158">
        <f t="shared" si="17"/>
        <v>0</v>
      </c>
      <c r="N158">
        <f t="shared" si="18"/>
        <v>0</v>
      </c>
    </row>
    <row r="159" spans="1:14" x14ac:dyDescent="0.25">
      <c r="A159">
        <v>158</v>
      </c>
      <c r="B159" t="str">
        <f t="shared" si="14"/>
        <v>2010_DET</v>
      </c>
      <c r="C159">
        <v>2010</v>
      </c>
      <c r="D159" t="s">
        <v>7</v>
      </c>
      <c r="E159">
        <v>30.5</v>
      </c>
      <c r="F159">
        <v>-115</v>
      </c>
      <c r="G159">
        <v>-115</v>
      </c>
      <c r="H159">
        <v>30</v>
      </c>
      <c r="I159" t="str">
        <f t="shared" si="19"/>
        <v>U</v>
      </c>
      <c r="J159">
        <f t="shared" si="15"/>
        <v>0.53488372093023251</v>
      </c>
      <c r="K159">
        <f t="shared" si="16"/>
        <v>0.53488372093023251</v>
      </c>
      <c r="L159">
        <f t="shared" si="20"/>
        <v>0</v>
      </c>
      <c r="M159">
        <f t="shared" si="17"/>
        <v>0</v>
      </c>
      <c r="N159">
        <f t="shared" si="18"/>
        <v>0</v>
      </c>
    </row>
    <row r="160" spans="1:14" x14ac:dyDescent="0.25">
      <c r="A160">
        <v>159</v>
      </c>
      <c r="B160" t="str">
        <f t="shared" si="14"/>
        <v>2010_GSW</v>
      </c>
      <c r="C160">
        <v>2010</v>
      </c>
      <c r="D160" t="s">
        <v>468</v>
      </c>
      <c r="E160">
        <v>30.5</v>
      </c>
      <c r="F160">
        <v>-145</v>
      </c>
      <c r="G160">
        <v>115</v>
      </c>
      <c r="H160">
        <v>36</v>
      </c>
      <c r="I160" t="str">
        <f t="shared" si="19"/>
        <v>O</v>
      </c>
      <c r="J160">
        <f t="shared" si="15"/>
        <v>0.59183673469387754</v>
      </c>
      <c r="K160">
        <f t="shared" si="16"/>
        <v>0.46511627906976744</v>
      </c>
      <c r="L160">
        <f t="shared" si="20"/>
        <v>0.12672045562411011</v>
      </c>
      <c r="M160">
        <f t="shared" si="17"/>
        <v>0</v>
      </c>
      <c r="N160">
        <f t="shared" si="18"/>
        <v>1</v>
      </c>
    </row>
    <row r="161" spans="1:14" x14ac:dyDescent="0.25">
      <c r="A161">
        <v>160</v>
      </c>
      <c r="B161" t="str">
        <f t="shared" si="14"/>
        <v>2010_HOU</v>
      </c>
      <c r="C161">
        <v>2010</v>
      </c>
      <c r="D161" t="s">
        <v>4</v>
      </c>
      <c r="E161">
        <v>48.5</v>
      </c>
      <c r="F161">
        <v>100</v>
      </c>
      <c r="G161">
        <v>-130</v>
      </c>
      <c r="H161">
        <v>43</v>
      </c>
      <c r="I161" t="str">
        <f t="shared" si="19"/>
        <v>U</v>
      </c>
      <c r="J161">
        <f t="shared" si="15"/>
        <v>0.5</v>
      </c>
      <c r="K161">
        <f t="shared" si="16"/>
        <v>0.56521739130434778</v>
      </c>
      <c r="L161">
        <f t="shared" si="20"/>
        <v>-6.5217391304347783E-2</v>
      </c>
      <c r="M161">
        <f t="shared" si="17"/>
        <v>1</v>
      </c>
      <c r="N161">
        <f t="shared" si="18"/>
        <v>0</v>
      </c>
    </row>
    <row r="162" spans="1:14" x14ac:dyDescent="0.25">
      <c r="A162">
        <v>161</v>
      </c>
      <c r="B162" t="str">
        <f t="shared" si="14"/>
        <v>2010_IND</v>
      </c>
      <c r="C162">
        <v>2010</v>
      </c>
      <c r="D162" t="s">
        <v>13</v>
      </c>
      <c r="E162">
        <v>33.5</v>
      </c>
      <c r="F162">
        <v>-125</v>
      </c>
      <c r="G162">
        <v>-105</v>
      </c>
      <c r="H162">
        <v>37</v>
      </c>
      <c r="I162" t="str">
        <f t="shared" si="19"/>
        <v>O</v>
      </c>
      <c r="J162">
        <f t="shared" si="15"/>
        <v>0.55555555555555558</v>
      </c>
      <c r="K162">
        <f t="shared" si="16"/>
        <v>0.51219512195121952</v>
      </c>
      <c r="L162">
        <f t="shared" si="20"/>
        <v>4.3360433604336057E-2</v>
      </c>
      <c r="M162">
        <f t="shared" si="17"/>
        <v>0</v>
      </c>
      <c r="N162">
        <f t="shared" si="18"/>
        <v>0</v>
      </c>
    </row>
    <row r="163" spans="1:14" x14ac:dyDescent="0.25">
      <c r="A163">
        <v>162</v>
      </c>
      <c r="B163" t="str">
        <f t="shared" si="14"/>
        <v>2010_LAC</v>
      </c>
      <c r="C163">
        <v>2010</v>
      </c>
      <c r="D163" t="s">
        <v>14</v>
      </c>
      <c r="E163">
        <v>36.5</v>
      </c>
      <c r="F163">
        <v>-115</v>
      </c>
      <c r="G163">
        <v>-115</v>
      </c>
      <c r="H163">
        <v>32</v>
      </c>
      <c r="I163" t="str">
        <f t="shared" si="19"/>
        <v>U</v>
      </c>
      <c r="J163">
        <f t="shared" si="15"/>
        <v>0.53488372093023251</v>
      </c>
      <c r="K163">
        <f t="shared" si="16"/>
        <v>0.53488372093023251</v>
      </c>
      <c r="L163">
        <f t="shared" si="20"/>
        <v>0</v>
      </c>
      <c r="M163">
        <f t="shared" si="17"/>
        <v>0</v>
      </c>
      <c r="N163">
        <f t="shared" si="18"/>
        <v>0</v>
      </c>
    </row>
    <row r="164" spans="1:14" x14ac:dyDescent="0.25">
      <c r="A164">
        <v>163</v>
      </c>
      <c r="B164" t="str">
        <f t="shared" si="14"/>
        <v>2010_LAL</v>
      </c>
      <c r="C164">
        <v>2010</v>
      </c>
      <c r="D164" t="s">
        <v>18</v>
      </c>
      <c r="E164">
        <v>56.5</v>
      </c>
      <c r="F164">
        <v>-115</v>
      </c>
      <c r="G164">
        <v>-115</v>
      </c>
      <c r="H164">
        <v>57</v>
      </c>
      <c r="I164" t="str">
        <f t="shared" si="19"/>
        <v>O</v>
      </c>
      <c r="J164">
        <f t="shared" si="15"/>
        <v>0.53488372093023251</v>
      </c>
      <c r="K164">
        <f t="shared" si="16"/>
        <v>0.53488372093023251</v>
      </c>
      <c r="L164">
        <f t="shared" si="20"/>
        <v>0</v>
      </c>
      <c r="M164">
        <f t="shared" si="17"/>
        <v>0</v>
      </c>
      <c r="N164">
        <f t="shared" si="18"/>
        <v>0</v>
      </c>
    </row>
    <row r="165" spans="1:14" x14ac:dyDescent="0.25">
      <c r="A165">
        <v>164</v>
      </c>
      <c r="B165" t="str">
        <f t="shared" si="14"/>
        <v>2010_MEM</v>
      </c>
      <c r="C165">
        <v>2010</v>
      </c>
      <c r="D165" t="s">
        <v>9</v>
      </c>
      <c r="E165">
        <v>38.5</v>
      </c>
      <c r="F165">
        <v>-115</v>
      </c>
      <c r="G165">
        <v>-115</v>
      </c>
      <c r="H165">
        <v>46</v>
      </c>
      <c r="I165" t="str">
        <f t="shared" si="19"/>
        <v>O</v>
      </c>
      <c r="J165">
        <f t="shared" si="15"/>
        <v>0.53488372093023251</v>
      </c>
      <c r="K165">
        <f t="shared" si="16"/>
        <v>0.53488372093023251</v>
      </c>
      <c r="L165">
        <f t="shared" si="20"/>
        <v>0</v>
      </c>
      <c r="M165">
        <f t="shared" si="17"/>
        <v>0</v>
      </c>
      <c r="N165">
        <f t="shared" si="18"/>
        <v>0</v>
      </c>
    </row>
    <row r="166" spans="1:14" x14ac:dyDescent="0.25">
      <c r="A166">
        <v>165</v>
      </c>
      <c r="B166" t="str">
        <f t="shared" si="14"/>
        <v>2010_MIA</v>
      </c>
      <c r="C166">
        <v>2010</v>
      </c>
      <c r="D166" t="s">
        <v>15</v>
      </c>
      <c r="E166">
        <v>64.5</v>
      </c>
      <c r="F166">
        <v>-125</v>
      </c>
      <c r="G166">
        <v>-105</v>
      </c>
      <c r="H166">
        <v>58</v>
      </c>
      <c r="I166" t="str">
        <f t="shared" si="19"/>
        <v>U</v>
      </c>
      <c r="J166">
        <f t="shared" si="15"/>
        <v>0.55555555555555558</v>
      </c>
      <c r="K166">
        <f t="shared" si="16"/>
        <v>0.51219512195121952</v>
      </c>
      <c r="L166">
        <f t="shared" si="20"/>
        <v>4.3360433604336057E-2</v>
      </c>
      <c r="M166">
        <f t="shared" si="17"/>
        <v>0</v>
      </c>
      <c r="N166">
        <f t="shared" si="18"/>
        <v>0</v>
      </c>
    </row>
    <row r="167" spans="1:14" x14ac:dyDescent="0.25">
      <c r="A167">
        <v>166</v>
      </c>
      <c r="B167" t="str">
        <f t="shared" si="14"/>
        <v>2010_MIL</v>
      </c>
      <c r="C167">
        <v>2010</v>
      </c>
      <c r="D167" t="s">
        <v>10</v>
      </c>
      <c r="E167">
        <v>45.5</v>
      </c>
      <c r="F167">
        <v>-120</v>
      </c>
      <c r="G167">
        <v>-110</v>
      </c>
      <c r="H167">
        <v>35</v>
      </c>
      <c r="I167" t="str">
        <f t="shared" si="19"/>
        <v>U</v>
      </c>
      <c r="J167">
        <f t="shared" si="15"/>
        <v>0.54545454545454541</v>
      </c>
      <c r="K167">
        <f t="shared" si="16"/>
        <v>0.52380952380952384</v>
      </c>
      <c r="L167">
        <f t="shared" si="20"/>
        <v>2.1645021645021578E-2</v>
      </c>
      <c r="M167">
        <f t="shared" si="17"/>
        <v>0</v>
      </c>
      <c r="N167">
        <f t="shared" si="18"/>
        <v>0</v>
      </c>
    </row>
    <row r="168" spans="1:14" x14ac:dyDescent="0.25">
      <c r="A168">
        <v>167</v>
      </c>
      <c r="B168" t="str">
        <f t="shared" si="14"/>
        <v>2010_MIN</v>
      </c>
      <c r="C168">
        <v>2010</v>
      </c>
      <c r="D168" t="s">
        <v>3</v>
      </c>
      <c r="E168">
        <v>23.5</v>
      </c>
      <c r="F168">
        <v>-115</v>
      </c>
      <c r="G168">
        <v>-115</v>
      </c>
      <c r="H168">
        <v>17</v>
      </c>
      <c r="I168" t="str">
        <f t="shared" si="19"/>
        <v>U</v>
      </c>
      <c r="J168">
        <f t="shared" si="15"/>
        <v>0.53488372093023251</v>
      </c>
      <c r="K168">
        <f t="shared" si="16"/>
        <v>0.53488372093023251</v>
      </c>
      <c r="L168">
        <f t="shared" si="20"/>
        <v>0</v>
      </c>
      <c r="M168">
        <f t="shared" si="17"/>
        <v>0</v>
      </c>
      <c r="N168">
        <f t="shared" si="18"/>
        <v>0</v>
      </c>
    </row>
    <row r="169" spans="1:14" x14ac:dyDescent="0.25">
      <c r="A169">
        <v>168</v>
      </c>
      <c r="B169" t="str">
        <f t="shared" si="14"/>
        <v>2010_BRK</v>
      </c>
      <c r="C169">
        <v>2010</v>
      </c>
      <c r="D169" t="s">
        <v>80</v>
      </c>
      <c r="E169">
        <v>24.5</v>
      </c>
      <c r="F169">
        <v>-130</v>
      </c>
      <c r="G169">
        <v>100</v>
      </c>
      <c r="H169">
        <v>24</v>
      </c>
      <c r="I169" t="str">
        <f t="shared" si="19"/>
        <v>U</v>
      </c>
      <c r="J169">
        <f t="shared" si="15"/>
        <v>0.56521739130434778</v>
      </c>
      <c r="K169">
        <f t="shared" si="16"/>
        <v>0.5</v>
      </c>
      <c r="L169">
        <f t="shared" si="20"/>
        <v>6.5217391304347783E-2</v>
      </c>
      <c r="M169">
        <f t="shared" si="17"/>
        <v>0</v>
      </c>
      <c r="N169">
        <f t="shared" si="18"/>
        <v>1</v>
      </c>
    </row>
    <row r="170" spans="1:14" x14ac:dyDescent="0.25">
      <c r="A170">
        <v>169</v>
      </c>
      <c r="B170" t="str">
        <f t="shared" si="14"/>
        <v>2010_CHO</v>
      </c>
      <c r="C170">
        <v>2010</v>
      </c>
      <c r="D170" t="s">
        <v>467</v>
      </c>
      <c r="E170">
        <v>41.5</v>
      </c>
      <c r="F170">
        <v>120</v>
      </c>
      <c r="G170">
        <v>-150</v>
      </c>
      <c r="H170">
        <v>46</v>
      </c>
      <c r="I170" t="str">
        <f t="shared" si="19"/>
        <v>O</v>
      </c>
      <c r="J170">
        <f t="shared" si="15"/>
        <v>0.45454545454545453</v>
      </c>
      <c r="K170">
        <f t="shared" si="16"/>
        <v>0.6</v>
      </c>
      <c r="L170">
        <f t="shared" si="20"/>
        <v>-0.14545454545454545</v>
      </c>
      <c r="M170">
        <f t="shared" si="17"/>
        <v>1</v>
      </c>
      <c r="N170">
        <f t="shared" si="18"/>
        <v>0</v>
      </c>
    </row>
    <row r="171" spans="1:14" x14ac:dyDescent="0.25">
      <c r="A171">
        <v>170</v>
      </c>
      <c r="B171" t="str">
        <f t="shared" si="14"/>
        <v>2010_NYK</v>
      </c>
      <c r="C171">
        <v>2010</v>
      </c>
      <c r="D171" t="s">
        <v>470</v>
      </c>
      <c r="E171">
        <v>35.5</v>
      </c>
      <c r="F171">
        <v>-115</v>
      </c>
      <c r="G171">
        <v>-115</v>
      </c>
      <c r="H171">
        <v>42</v>
      </c>
      <c r="I171" t="str">
        <f t="shared" si="19"/>
        <v>O</v>
      </c>
      <c r="J171">
        <f t="shared" si="15"/>
        <v>0.53488372093023251</v>
      </c>
      <c r="K171">
        <f t="shared" si="16"/>
        <v>0.53488372093023251</v>
      </c>
      <c r="L171">
        <f t="shared" si="20"/>
        <v>0</v>
      </c>
      <c r="M171">
        <f t="shared" si="17"/>
        <v>0</v>
      </c>
      <c r="N171">
        <f t="shared" si="18"/>
        <v>0</v>
      </c>
    </row>
    <row r="172" spans="1:14" x14ac:dyDescent="0.25">
      <c r="A172">
        <v>171</v>
      </c>
      <c r="B172" t="str">
        <f t="shared" si="14"/>
        <v>2010_OKC</v>
      </c>
      <c r="C172">
        <v>2010</v>
      </c>
      <c r="D172" t="s">
        <v>12</v>
      </c>
      <c r="E172">
        <v>51.5</v>
      </c>
      <c r="F172">
        <v>-120</v>
      </c>
      <c r="G172">
        <v>-110</v>
      </c>
      <c r="H172">
        <v>55</v>
      </c>
      <c r="I172" t="str">
        <f t="shared" si="19"/>
        <v>O</v>
      </c>
      <c r="J172">
        <f t="shared" si="15"/>
        <v>0.54545454545454541</v>
      </c>
      <c r="K172">
        <f t="shared" si="16"/>
        <v>0.52380952380952384</v>
      </c>
      <c r="L172">
        <f t="shared" si="20"/>
        <v>2.1645021645021578E-2</v>
      </c>
      <c r="M172">
        <f t="shared" si="17"/>
        <v>0</v>
      </c>
      <c r="N172">
        <f t="shared" si="18"/>
        <v>0</v>
      </c>
    </row>
    <row r="173" spans="1:14" x14ac:dyDescent="0.25">
      <c r="A173">
        <v>172</v>
      </c>
      <c r="B173" t="str">
        <f t="shared" si="14"/>
        <v>2010_ORL</v>
      </c>
      <c r="C173">
        <v>2010</v>
      </c>
      <c r="D173" t="s">
        <v>11</v>
      </c>
      <c r="E173">
        <v>54.5</v>
      </c>
      <c r="F173">
        <v>-160</v>
      </c>
      <c r="G173">
        <v>130</v>
      </c>
      <c r="H173">
        <v>52</v>
      </c>
      <c r="I173" t="str">
        <f t="shared" si="19"/>
        <v>U</v>
      </c>
      <c r="J173">
        <f t="shared" si="15"/>
        <v>0.61538461538461542</v>
      </c>
      <c r="K173">
        <f t="shared" si="16"/>
        <v>0.43478260869565216</v>
      </c>
      <c r="L173">
        <f t="shared" si="20"/>
        <v>0.18060200668896326</v>
      </c>
      <c r="M173">
        <f t="shared" si="17"/>
        <v>0</v>
      </c>
      <c r="N173">
        <f t="shared" si="18"/>
        <v>1</v>
      </c>
    </row>
    <row r="174" spans="1:14" x14ac:dyDescent="0.25">
      <c r="A174">
        <v>173</v>
      </c>
      <c r="B174" t="str">
        <f t="shared" si="14"/>
        <v>2010_PHI</v>
      </c>
      <c r="C174">
        <v>2010</v>
      </c>
      <c r="D174" t="s">
        <v>20</v>
      </c>
      <c r="E174">
        <v>34.5</v>
      </c>
      <c r="F174">
        <v>-135</v>
      </c>
      <c r="G174">
        <v>105</v>
      </c>
      <c r="H174">
        <v>41</v>
      </c>
      <c r="I174" t="str">
        <f t="shared" si="19"/>
        <v>O</v>
      </c>
      <c r="J174">
        <f t="shared" si="15"/>
        <v>0.57446808510638303</v>
      </c>
      <c r="K174">
        <f t="shared" si="16"/>
        <v>0.48780487804878048</v>
      </c>
      <c r="L174">
        <f t="shared" si="20"/>
        <v>8.6663207057602554E-2</v>
      </c>
      <c r="M174">
        <f t="shared" si="17"/>
        <v>0</v>
      </c>
      <c r="N174">
        <f t="shared" si="18"/>
        <v>1</v>
      </c>
    </row>
    <row r="175" spans="1:14" x14ac:dyDescent="0.25">
      <c r="A175">
        <v>174</v>
      </c>
      <c r="B175" t="str">
        <f t="shared" si="14"/>
        <v>2010_PHO</v>
      </c>
      <c r="C175">
        <v>2010</v>
      </c>
      <c r="D175" t="s">
        <v>471</v>
      </c>
      <c r="E175">
        <v>41.5</v>
      </c>
      <c r="F175">
        <v>-115</v>
      </c>
      <c r="G175">
        <v>-115</v>
      </c>
      <c r="H175">
        <v>40</v>
      </c>
      <c r="I175" t="str">
        <f t="shared" si="19"/>
        <v>U</v>
      </c>
      <c r="J175">
        <f t="shared" si="15"/>
        <v>0.53488372093023251</v>
      </c>
      <c r="K175">
        <f t="shared" si="16"/>
        <v>0.53488372093023251</v>
      </c>
      <c r="L175">
        <f t="shared" si="20"/>
        <v>0</v>
      </c>
      <c r="M175">
        <f t="shared" si="17"/>
        <v>0</v>
      </c>
      <c r="N175">
        <f t="shared" si="18"/>
        <v>0</v>
      </c>
    </row>
    <row r="176" spans="1:14" x14ac:dyDescent="0.25">
      <c r="A176">
        <v>175</v>
      </c>
      <c r="B176" t="str">
        <f t="shared" si="14"/>
        <v>2010_POR</v>
      </c>
      <c r="C176">
        <v>2010</v>
      </c>
      <c r="D176" t="s">
        <v>1</v>
      </c>
      <c r="E176">
        <v>51.5</v>
      </c>
      <c r="F176">
        <v>-120</v>
      </c>
      <c r="G176">
        <v>-110</v>
      </c>
      <c r="H176">
        <v>48</v>
      </c>
      <c r="I176" t="str">
        <f t="shared" si="19"/>
        <v>U</v>
      </c>
      <c r="J176">
        <f t="shared" si="15"/>
        <v>0.54545454545454541</v>
      </c>
      <c r="K176">
        <f t="shared" si="16"/>
        <v>0.52380952380952384</v>
      </c>
      <c r="L176">
        <f t="shared" si="20"/>
        <v>2.1645021645021578E-2</v>
      </c>
      <c r="M176">
        <f t="shared" si="17"/>
        <v>0</v>
      </c>
      <c r="N176">
        <f t="shared" si="18"/>
        <v>0</v>
      </c>
    </row>
    <row r="177" spans="1:14" x14ac:dyDescent="0.25">
      <c r="A177">
        <v>176</v>
      </c>
      <c r="B177" t="str">
        <f t="shared" si="14"/>
        <v>2010_SAC</v>
      </c>
      <c r="C177">
        <v>2010</v>
      </c>
      <c r="D177" t="s">
        <v>21</v>
      </c>
      <c r="E177">
        <v>27.5</v>
      </c>
      <c r="F177">
        <v>-105</v>
      </c>
      <c r="G177">
        <v>-125</v>
      </c>
      <c r="H177">
        <v>24</v>
      </c>
      <c r="I177" t="str">
        <f t="shared" si="19"/>
        <v>U</v>
      </c>
      <c r="J177">
        <f t="shared" si="15"/>
        <v>0.51219512195121952</v>
      </c>
      <c r="K177">
        <f t="shared" si="16"/>
        <v>0.55555555555555558</v>
      </c>
      <c r="L177">
        <f t="shared" si="20"/>
        <v>-4.3360433604336057E-2</v>
      </c>
      <c r="M177">
        <f t="shared" si="17"/>
        <v>0</v>
      </c>
      <c r="N177">
        <f t="shared" si="18"/>
        <v>0</v>
      </c>
    </row>
    <row r="178" spans="1:14" x14ac:dyDescent="0.25">
      <c r="A178">
        <v>177</v>
      </c>
      <c r="B178" t="str">
        <f t="shared" si="14"/>
        <v>2010_SAS</v>
      </c>
      <c r="C178">
        <v>2010</v>
      </c>
      <c r="D178" t="s">
        <v>472</v>
      </c>
      <c r="E178">
        <v>49.5</v>
      </c>
      <c r="F178">
        <v>-130</v>
      </c>
      <c r="G178">
        <v>100</v>
      </c>
      <c r="H178">
        <v>61</v>
      </c>
      <c r="I178" t="str">
        <f t="shared" si="19"/>
        <v>O</v>
      </c>
      <c r="J178">
        <f t="shared" si="15"/>
        <v>0.56521739130434778</v>
      </c>
      <c r="K178">
        <f t="shared" si="16"/>
        <v>0.5</v>
      </c>
      <c r="L178">
        <f t="shared" si="20"/>
        <v>6.5217391304347783E-2</v>
      </c>
      <c r="M178">
        <f t="shared" si="17"/>
        <v>0</v>
      </c>
      <c r="N178">
        <f t="shared" si="18"/>
        <v>1</v>
      </c>
    </row>
    <row r="179" spans="1:14" x14ac:dyDescent="0.25">
      <c r="A179">
        <v>178</v>
      </c>
      <c r="B179" t="str">
        <f t="shared" si="14"/>
        <v>2010_TOR</v>
      </c>
      <c r="C179">
        <v>2010</v>
      </c>
      <c r="D179" t="s">
        <v>2</v>
      </c>
      <c r="E179">
        <v>26.5</v>
      </c>
      <c r="F179">
        <v>-110</v>
      </c>
      <c r="G179">
        <v>-120</v>
      </c>
      <c r="H179">
        <v>22</v>
      </c>
      <c r="I179" t="str">
        <f t="shared" si="19"/>
        <v>U</v>
      </c>
      <c r="J179">
        <f t="shared" si="15"/>
        <v>0.52380952380952384</v>
      </c>
      <c r="K179">
        <f t="shared" si="16"/>
        <v>0.54545454545454541</v>
      </c>
      <c r="L179">
        <f t="shared" si="20"/>
        <v>-2.1645021645021578E-2</v>
      </c>
      <c r="M179">
        <f t="shared" si="17"/>
        <v>0</v>
      </c>
      <c r="N179">
        <f t="shared" si="18"/>
        <v>0</v>
      </c>
    </row>
    <row r="180" spans="1:14" x14ac:dyDescent="0.25">
      <c r="A180">
        <v>179</v>
      </c>
      <c r="B180" t="str">
        <f t="shared" si="14"/>
        <v>2010_UTA</v>
      </c>
      <c r="C180">
        <v>2010</v>
      </c>
      <c r="D180" t="s">
        <v>473</v>
      </c>
      <c r="E180">
        <v>49.5</v>
      </c>
      <c r="F180">
        <v>125</v>
      </c>
      <c r="G180">
        <v>-155</v>
      </c>
      <c r="H180">
        <v>39</v>
      </c>
      <c r="I180" t="str">
        <f t="shared" si="19"/>
        <v>U</v>
      </c>
      <c r="J180">
        <f t="shared" si="15"/>
        <v>0.44444444444444442</v>
      </c>
      <c r="K180">
        <f t="shared" si="16"/>
        <v>0.60784313725490191</v>
      </c>
      <c r="L180">
        <f t="shared" si="20"/>
        <v>-0.16339869281045749</v>
      </c>
      <c r="M180">
        <f t="shared" si="17"/>
        <v>1</v>
      </c>
      <c r="N180">
        <f t="shared" si="18"/>
        <v>0</v>
      </c>
    </row>
    <row r="181" spans="1:14" x14ac:dyDescent="0.25">
      <c r="A181">
        <v>180</v>
      </c>
      <c r="B181" t="str">
        <f t="shared" si="14"/>
        <v>2010_WAS</v>
      </c>
      <c r="C181">
        <v>2010</v>
      </c>
      <c r="D181" t="s">
        <v>474</v>
      </c>
      <c r="E181">
        <v>32.5</v>
      </c>
      <c r="F181">
        <v>-125</v>
      </c>
      <c r="G181">
        <v>-105</v>
      </c>
      <c r="H181">
        <v>23</v>
      </c>
      <c r="I181" t="str">
        <f t="shared" si="19"/>
        <v>U</v>
      </c>
      <c r="J181">
        <f t="shared" si="15"/>
        <v>0.55555555555555558</v>
      </c>
      <c r="K181">
        <f t="shared" si="16"/>
        <v>0.51219512195121952</v>
      </c>
      <c r="L181">
        <f t="shared" si="20"/>
        <v>4.3360433604336057E-2</v>
      </c>
      <c r="M181">
        <f t="shared" si="17"/>
        <v>0</v>
      </c>
      <c r="N181">
        <f t="shared" si="18"/>
        <v>0</v>
      </c>
    </row>
    <row r="182" spans="1:14" x14ac:dyDescent="0.25">
      <c r="A182">
        <v>181</v>
      </c>
      <c r="B182" t="str">
        <f t="shared" si="14"/>
        <v>2011_ATL</v>
      </c>
      <c r="C182">
        <v>2011</v>
      </c>
      <c r="D182" t="s">
        <v>5</v>
      </c>
      <c r="E182">
        <v>34.5</v>
      </c>
      <c r="F182">
        <v>-125</v>
      </c>
      <c r="G182">
        <v>-105</v>
      </c>
      <c r="H182">
        <v>40</v>
      </c>
      <c r="I182" t="str">
        <f t="shared" si="19"/>
        <v>O</v>
      </c>
      <c r="J182">
        <f t="shared" si="15"/>
        <v>0.55555555555555558</v>
      </c>
      <c r="K182">
        <f t="shared" si="16"/>
        <v>0.51219512195121952</v>
      </c>
      <c r="L182">
        <f t="shared" si="20"/>
        <v>4.3360433604336057E-2</v>
      </c>
      <c r="M182">
        <f t="shared" si="17"/>
        <v>0</v>
      </c>
      <c r="N182">
        <f t="shared" si="18"/>
        <v>0</v>
      </c>
    </row>
    <row r="183" spans="1:14" x14ac:dyDescent="0.25">
      <c r="A183">
        <v>182</v>
      </c>
      <c r="B183" t="str">
        <f t="shared" si="14"/>
        <v>2011_BOS</v>
      </c>
      <c r="C183">
        <v>2011</v>
      </c>
      <c r="D183" t="s">
        <v>17</v>
      </c>
      <c r="E183">
        <v>40.5</v>
      </c>
      <c r="F183">
        <v>-125</v>
      </c>
      <c r="G183">
        <v>-125</v>
      </c>
      <c r="H183">
        <v>39</v>
      </c>
      <c r="I183" t="str">
        <f t="shared" si="19"/>
        <v>U</v>
      </c>
      <c r="J183">
        <f t="shared" si="15"/>
        <v>0.55555555555555558</v>
      </c>
      <c r="K183">
        <f t="shared" si="16"/>
        <v>0.55555555555555558</v>
      </c>
      <c r="L183">
        <f t="shared" si="20"/>
        <v>0</v>
      </c>
      <c r="M183">
        <f t="shared" si="17"/>
        <v>0</v>
      </c>
      <c r="N183">
        <f t="shared" si="18"/>
        <v>0</v>
      </c>
    </row>
    <row r="184" spans="1:14" x14ac:dyDescent="0.25">
      <c r="A184">
        <v>183</v>
      </c>
      <c r="B184" t="str">
        <f t="shared" si="14"/>
        <v>2011_NOP</v>
      </c>
      <c r="C184">
        <v>2011</v>
      </c>
      <c r="D184" t="s">
        <v>469</v>
      </c>
      <c r="E184">
        <v>19.5</v>
      </c>
      <c r="F184">
        <v>-120</v>
      </c>
      <c r="G184">
        <v>-120</v>
      </c>
      <c r="H184">
        <v>7</v>
      </c>
      <c r="I184" t="str">
        <f t="shared" si="19"/>
        <v>U</v>
      </c>
      <c r="J184">
        <f t="shared" si="15"/>
        <v>0.54545454545454541</v>
      </c>
      <c r="K184">
        <f t="shared" si="16"/>
        <v>0.54545454545454541</v>
      </c>
      <c r="L184">
        <f t="shared" si="20"/>
        <v>0</v>
      </c>
      <c r="M184">
        <f t="shared" si="17"/>
        <v>0</v>
      </c>
      <c r="N184">
        <f t="shared" si="18"/>
        <v>0</v>
      </c>
    </row>
    <row r="185" spans="1:14" x14ac:dyDescent="0.25">
      <c r="A185">
        <v>184</v>
      </c>
      <c r="B185" t="str">
        <f t="shared" si="14"/>
        <v>2011_CHI</v>
      </c>
      <c r="C185">
        <v>2011</v>
      </c>
      <c r="D185" t="s">
        <v>0</v>
      </c>
      <c r="E185">
        <v>47.5</v>
      </c>
      <c r="F185">
        <v>-125</v>
      </c>
      <c r="G185">
        <v>-105</v>
      </c>
      <c r="H185">
        <v>50</v>
      </c>
      <c r="I185" t="str">
        <f t="shared" si="19"/>
        <v>O</v>
      </c>
      <c r="J185">
        <f t="shared" si="15"/>
        <v>0.55555555555555558</v>
      </c>
      <c r="K185">
        <f t="shared" si="16"/>
        <v>0.51219512195121952</v>
      </c>
      <c r="L185">
        <f t="shared" si="20"/>
        <v>4.3360433604336057E-2</v>
      </c>
      <c r="M185">
        <f t="shared" si="17"/>
        <v>0</v>
      </c>
      <c r="N185">
        <f t="shared" si="18"/>
        <v>0</v>
      </c>
    </row>
    <row r="186" spans="1:14" x14ac:dyDescent="0.25">
      <c r="A186">
        <v>185</v>
      </c>
      <c r="B186" t="str">
        <f t="shared" si="14"/>
        <v>2011_CLE</v>
      </c>
      <c r="C186">
        <v>2011</v>
      </c>
      <c r="D186" t="s">
        <v>6</v>
      </c>
      <c r="E186">
        <v>17.5</v>
      </c>
      <c r="F186">
        <v>-125</v>
      </c>
      <c r="G186">
        <v>-125</v>
      </c>
      <c r="H186">
        <v>21</v>
      </c>
      <c r="I186" t="str">
        <f t="shared" si="19"/>
        <v>O</v>
      </c>
      <c r="J186">
        <f t="shared" si="15"/>
        <v>0.55555555555555558</v>
      </c>
      <c r="K186">
        <f t="shared" si="16"/>
        <v>0.55555555555555558</v>
      </c>
      <c r="L186">
        <f t="shared" si="20"/>
        <v>0</v>
      </c>
      <c r="M186">
        <f t="shared" si="17"/>
        <v>0</v>
      </c>
      <c r="N186">
        <f t="shared" si="18"/>
        <v>0</v>
      </c>
    </row>
    <row r="187" spans="1:14" x14ac:dyDescent="0.25">
      <c r="A187">
        <v>186</v>
      </c>
      <c r="B187" t="str">
        <f t="shared" si="14"/>
        <v>2011_DAL</v>
      </c>
      <c r="C187">
        <v>2011</v>
      </c>
      <c r="D187" t="s">
        <v>16</v>
      </c>
      <c r="E187">
        <v>44.5</v>
      </c>
      <c r="F187">
        <v>-120</v>
      </c>
      <c r="G187">
        <v>-120</v>
      </c>
      <c r="H187">
        <v>36</v>
      </c>
      <c r="I187" t="str">
        <f t="shared" si="19"/>
        <v>U</v>
      </c>
      <c r="J187">
        <f t="shared" si="15"/>
        <v>0.54545454545454541</v>
      </c>
      <c r="K187">
        <f t="shared" si="16"/>
        <v>0.54545454545454541</v>
      </c>
      <c r="L187">
        <f t="shared" si="20"/>
        <v>0</v>
      </c>
      <c r="M187">
        <f t="shared" si="17"/>
        <v>0</v>
      </c>
      <c r="N187">
        <f t="shared" si="18"/>
        <v>0</v>
      </c>
    </row>
    <row r="188" spans="1:14" x14ac:dyDescent="0.25">
      <c r="A188">
        <v>187</v>
      </c>
      <c r="B188" t="str">
        <f t="shared" si="14"/>
        <v>2011_DEN</v>
      </c>
      <c r="C188">
        <v>2011</v>
      </c>
      <c r="D188" t="s">
        <v>23</v>
      </c>
      <c r="E188">
        <v>36.5</v>
      </c>
      <c r="F188">
        <v>-125</v>
      </c>
      <c r="G188">
        <v>-105</v>
      </c>
      <c r="H188">
        <v>38</v>
      </c>
      <c r="I188" t="str">
        <f t="shared" si="19"/>
        <v>O</v>
      </c>
      <c r="J188">
        <f t="shared" si="15"/>
        <v>0.55555555555555558</v>
      </c>
      <c r="K188">
        <f t="shared" si="16"/>
        <v>0.51219512195121952</v>
      </c>
      <c r="L188">
        <f t="shared" si="20"/>
        <v>4.3360433604336057E-2</v>
      </c>
      <c r="M188">
        <f t="shared" si="17"/>
        <v>0</v>
      </c>
      <c r="N188">
        <f t="shared" si="18"/>
        <v>0</v>
      </c>
    </row>
    <row r="189" spans="1:14" x14ac:dyDescent="0.25">
      <c r="A189">
        <v>188</v>
      </c>
      <c r="B189" t="str">
        <f t="shared" si="14"/>
        <v>2011_DET</v>
      </c>
      <c r="C189">
        <v>2011</v>
      </c>
      <c r="D189" t="s">
        <v>7</v>
      </c>
      <c r="E189">
        <v>21.5</v>
      </c>
      <c r="F189">
        <v>-125</v>
      </c>
      <c r="G189">
        <v>-125</v>
      </c>
      <c r="H189">
        <v>25</v>
      </c>
      <c r="I189" t="str">
        <f t="shared" si="19"/>
        <v>O</v>
      </c>
      <c r="J189">
        <f t="shared" si="15"/>
        <v>0.55555555555555558</v>
      </c>
      <c r="K189">
        <f t="shared" si="16"/>
        <v>0.55555555555555558</v>
      </c>
      <c r="L189">
        <f t="shared" si="20"/>
        <v>0</v>
      </c>
      <c r="M189">
        <f t="shared" si="17"/>
        <v>0</v>
      </c>
      <c r="N189">
        <f t="shared" si="18"/>
        <v>0</v>
      </c>
    </row>
    <row r="190" spans="1:14" x14ac:dyDescent="0.25">
      <c r="A190">
        <v>189</v>
      </c>
      <c r="B190" t="str">
        <f t="shared" si="14"/>
        <v>2011_GSW</v>
      </c>
      <c r="C190">
        <v>2011</v>
      </c>
      <c r="D190" t="s">
        <v>468</v>
      </c>
      <c r="E190">
        <v>29.5</v>
      </c>
      <c r="F190">
        <v>-120</v>
      </c>
      <c r="G190">
        <v>-120</v>
      </c>
      <c r="H190">
        <v>23</v>
      </c>
      <c r="I190" t="str">
        <f t="shared" si="19"/>
        <v>U</v>
      </c>
      <c r="J190">
        <f t="shared" si="15"/>
        <v>0.54545454545454541</v>
      </c>
      <c r="K190">
        <f t="shared" si="16"/>
        <v>0.54545454545454541</v>
      </c>
      <c r="L190">
        <f t="shared" si="20"/>
        <v>0</v>
      </c>
      <c r="M190">
        <f t="shared" si="17"/>
        <v>0</v>
      </c>
      <c r="N190">
        <f t="shared" si="18"/>
        <v>0</v>
      </c>
    </row>
    <row r="191" spans="1:14" x14ac:dyDescent="0.25">
      <c r="A191">
        <v>190</v>
      </c>
      <c r="B191" t="str">
        <f t="shared" si="14"/>
        <v>2011_HOU</v>
      </c>
      <c r="C191">
        <v>2011</v>
      </c>
      <c r="D191" t="s">
        <v>4</v>
      </c>
      <c r="E191">
        <v>33.5</v>
      </c>
      <c r="F191">
        <v>-120</v>
      </c>
      <c r="G191">
        <v>-120</v>
      </c>
      <c r="H191">
        <v>34</v>
      </c>
      <c r="I191" t="str">
        <f t="shared" si="19"/>
        <v>O</v>
      </c>
      <c r="J191">
        <f t="shared" si="15"/>
        <v>0.54545454545454541</v>
      </c>
      <c r="K191">
        <f t="shared" si="16"/>
        <v>0.54545454545454541</v>
      </c>
      <c r="L191">
        <f t="shared" si="20"/>
        <v>0</v>
      </c>
      <c r="M191">
        <f t="shared" si="17"/>
        <v>0</v>
      </c>
      <c r="N191">
        <f t="shared" si="18"/>
        <v>0</v>
      </c>
    </row>
    <row r="192" spans="1:14" x14ac:dyDescent="0.25">
      <c r="A192">
        <v>191</v>
      </c>
      <c r="B192" t="str">
        <f t="shared" si="14"/>
        <v>2011_IND</v>
      </c>
      <c r="C192">
        <v>2011</v>
      </c>
      <c r="D192" t="s">
        <v>13</v>
      </c>
      <c r="E192">
        <v>36.5</v>
      </c>
      <c r="F192">
        <v>-125</v>
      </c>
      <c r="G192">
        <v>-125</v>
      </c>
      <c r="H192">
        <v>42</v>
      </c>
      <c r="I192" t="str">
        <f t="shared" si="19"/>
        <v>O</v>
      </c>
      <c r="J192">
        <f t="shared" si="15"/>
        <v>0.55555555555555558</v>
      </c>
      <c r="K192">
        <f t="shared" si="16"/>
        <v>0.55555555555555558</v>
      </c>
      <c r="L192">
        <f t="shared" si="20"/>
        <v>0</v>
      </c>
      <c r="M192">
        <f t="shared" si="17"/>
        <v>0</v>
      </c>
      <c r="N192">
        <f t="shared" si="18"/>
        <v>0</v>
      </c>
    </row>
    <row r="193" spans="1:14" x14ac:dyDescent="0.25">
      <c r="A193">
        <v>192</v>
      </c>
      <c r="B193" t="str">
        <f t="shared" si="14"/>
        <v>2011_LAC</v>
      </c>
      <c r="C193">
        <v>2011</v>
      </c>
      <c r="D193" t="s">
        <v>14</v>
      </c>
      <c r="E193">
        <v>42.5</v>
      </c>
      <c r="F193">
        <v>-120</v>
      </c>
      <c r="G193">
        <v>-120</v>
      </c>
      <c r="H193">
        <v>40</v>
      </c>
      <c r="I193" t="str">
        <f t="shared" si="19"/>
        <v>U</v>
      </c>
      <c r="J193">
        <f t="shared" si="15"/>
        <v>0.54545454545454541</v>
      </c>
      <c r="K193">
        <f t="shared" si="16"/>
        <v>0.54545454545454541</v>
      </c>
      <c r="L193">
        <f t="shared" si="20"/>
        <v>0</v>
      </c>
      <c r="M193">
        <f t="shared" si="17"/>
        <v>0</v>
      </c>
      <c r="N193">
        <f t="shared" si="18"/>
        <v>0</v>
      </c>
    </row>
    <row r="194" spans="1:14" x14ac:dyDescent="0.25">
      <c r="A194">
        <v>193</v>
      </c>
      <c r="B194" t="str">
        <f t="shared" ref="B194:B257" si="21">CONCATENATE(C194,"_",D194)</f>
        <v>2011_LAL</v>
      </c>
      <c r="C194">
        <v>2011</v>
      </c>
      <c r="D194" t="s">
        <v>18</v>
      </c>
      <c r="E194">
        <v>42.5</v>
      </c>
      <c r="F194">
        <v>115</v>
      </c>
      <c r="G194">
        <v>-145</v>
      </c>
      <c r="H194">
        <v>41</v>
      </c>
      <c r="I194" t="str">
        <f t="shared" si="19"/>
        <v>U</v>
      </c>
      <c r="J194">
        <f t="shared" ref="J194:J257" si="22">IF(ISNUMBER(F194),IF(F194&lt;0,-F194/(-F194+100),100/(F194+100)),"na")</f>
        <v>0.46511627906976744</v>
      </c>
      <c r="K194">
        <f t="shared" ref="K194:K257" si="23">IF(ISNUMBER(G194),IF(G194&lt;0,-G194/(-G194+100),100/(G194+100)),"na")</f>
        <v>0.59183673469387754</v>
      </c>
      <c r="L194">
        <f t="shared" si="20"/>
        <v>-0.12672045562411011</v>
      </c>
      <c r="M194">
        <f t="shared" ref="M194:M257" si="24">IF(ISNUMBER(F194),IF(F194&gt;0,1,0),"na")</f>
        <v>1</v>
      </c>
      <c r="N194">
        <f t="shared" ref="N194:N257" si="25">IF(ISNUMBER(G194),IF(G194&gt;0,1,0),"na")</f>
        <v>0</v>
      </c>
    </row>
    <row r="195" spans="1:14" x14ac:dyDescent="0.25">
      <c r="A195">
        <v>194</v>
      </c>
      <c r="B195" t="str">
        <f t="shared" si="21"/>
        <v>2011_MEM</v>
      </c>
      <c r="C195">
        <v>2011</v>
      </c>
      <c r="D195" t="s">
        <v>9</v>
      </c>
      <c r="E195">
        <v>37.5</v>
      </c>
      <c r="F195">
        <v>-120</v>
      </c>
      <c r="G195">
        <v>-120</v>
      </c>
      <c r="H195">
        <v>41</v>
      </c>
      <c r="I195" t="str">
        <f t="shared" ref="I195:I258" si="26">IF(NOT(OR(ISBLANK(E195),ISBLANK(H195))),IF(E195&lt;H195,"O",IF(E195&gt;H195,"U","E")),"")</f>
        <v>O</v>
      </c>
      <c r="J195">
        <f t="shared" si="22"/>
        <v>0.54545454545454541</v>
      </c>
      <c r="K195">
        <f t="shared" si="23"/>
        <v>0.54545454545454541</v>
      </c>
      <c r="L195">
        <f t="shared" ref="L195:L258" si="27">IF(AND(ISNUMBER(J195),ISNUMBER(K195)),J195-K195,"na")</f>
        <v>0</v>
      </c>
      <c r="M195">
        <f t="shared" si="24"/>
        <v>0</v>
      </c>
      <c r="N195">
        <f t="shared" si="25"/>
        <v>0</v>
      </c>
    </row>
    <row r="196" spans="1:14" x14ac:dyDescent="0.25">
      <c r="A196">
        <v>195</v>
      </c>
      <c r="B196" t="str">
        <f t="shared" si="21"/>
        <v>2011_MIA</v>
      </c>
      <c r="C196">
        <v>2011</v>
      </c>
      <c r="D196" t="s">
        <v>15</v>
      </c>
      <c r="E196">
        <v>47.5</v>
      </c>
      <c r="F196">
        <v>-125</v>
      </c>
      <c r="G196">
        <v>-105</v>
      </c>
      <c r="H196">
        <v>46</v>
      </c>
      <c r="I196" t="str">
        <f t="shared" si="26"/>
        <v>U</v>
      </c>
      <c r="J196">
        <f t="shared" si="22"/>
        <v>0.55555555555555558</v>
      </c>
      <c r="K196">
        <f t="shared" si="23"/>
        <v>0.51219512195121952</v>
      </c>
      <c r="L196">
        <f t="shared" si="27"/>
        <v>4.3360433604336057E-2</v>
      </c>
      <c r="M196">
        <f t="shared" si="24"/>
        <v>0</v>
      </c>
      <c r="N196">
        <f t="shared" si="25"/>
        <v>0</v>
      </c>
    </row>
    <row r="197" spans="1:14" x14ac:dyDescent="0.25">
      <c r="A197">
        <v>196</v>
      </c>
      <c r="B197" t="str">
        <f t="shared" si="21"/>
        <v>2011_MIL</v>
      </c>
      <c r="C197">
        <v>2011</v>
      </c>
      <c r="D197" t="s">
        <v>10</v>
      </c>
      <c r="E197">
        <v>31.5</v>
      </c>
      <c r="F197">
        <v>-120</v>
      </c>
      <c r="G197">
        <v>-120</v>
      </c>
      <c r="H197">
        <v>31</v>
      </c>
      <c r="I197" t="str">
        <f t="shared" si="26"/>
        <v>U</v>
      </c>
      <c r="J197">
        <f t="shared" si="22"/>
        <v>0.54545454545454541</v>
      </c>
      <c r="K197">
        <f t="shared" si="23"/>
        <v>0.54545454545454541</v>
      </c>
      <c r="L197">
        <f t="shared" si="27"/>
        <v>0</v>
      </c>
      <c r="M197">
        <f t="shared" si="24"/>
        <v>0</v>
      </c>
      <c r="N197">
        <f t="shared" si="25"/>
        <v>0</v>
      </c>
    </row>
    <row r="198" spans="1:14" x14ac:dyDescent="0.25">
      <c r="A198">
        <v>197</v>
      </c>
      <c r="B198" t="str">
        <f t="shared" si="21"/>
        <v>2011_MIN</v>
      </c>
      <c r="C198">
        <v>2011</v>
      </c>
      <c r="D198" t="s">
        <v>3</v>
      </c>
      <c r="E198">
        <v>23.5</v>
      </c>
      <c r="F198">
        <v>-125</v>
      </c>
      <c r="G198">
        <v>-125</v>
      </c>
      <c r="H198">
        <v>26</v>
      </c>
      <c r="I198" t="str">
        <f t="shared" si="26"/>
        <v>O</v>
      </c>
      <c r="J198">
        <f t="shared" si="22"/>
        <v>0.55555555555555558</v>
      </c>
      <c r="K198">
        <f t="shared" si="23"/>
        <v>0.55555555555555558</v>
      </c>
      <c r="L198">
        <f t="shared" si="27"/>
        <v>0</v>
      </c>
      <c r="M198">
        <f t="shared" si="24"/>
        <v>0</v>
      </c>
      <c r="N198">
        <f t="shared" si="25"/>
        <v>0</v>
      </c>
    </row>
    <row r="199" spans="1:14" x14ac:dyDescent="0.25">
      <c r="A199">
        <v>198</v>
      </c>
      <c r="B199" t="str">
        <f t="shared" si="21"/>
        <v>2011_BRK</v>
      </c>
      <c r="C199">
        <v>2011</v>
      </c>
      <c r="D199" t="s">
        <v>80</v>
      </c>
      <c r="E199">
        <v>27.5</v>
      </c>
      <c r="F199">
        <v>-105</v>
      </c>
      <c r="G199">
        <v>-125</v>
      </c>
      <c r="H199">
        <v>22</v>
      </c>
      <c r="I199" t="str">
        <f t="shared" si="26"/>
        <v>U</v>
      </c>
      <c r="J199">
        <f t="shared" si="22"/>
        <v>0.51219512195121952</v>
      </c>
      <c r="K199">
        <f t="shared" si="23"/>
        <v>0.55555555555555558</v>
      </c>
      <c r="L199">
        <f t="shared" si="27"/>
        <v>-4.3360433604336057E-2</v>
      </c>
      <c r="M199">
        <f t="shared" si="24"/>
        <v>0</v>
      </c>
      <c r="N199">
        <f t="shared" si="25"/>
        <v>0</v>
      </c>
    </row>
    <row r="200" spans="1:14" x14ac:dyDescent="0.25">
      <c r="A200">
        <v>199</v>
      </c>
      <c r="B200" t="str">
        <f t="shared" si="21"/>
        <v>2011_CHO</v>
      </c>
      <c r="C200">
        <v>2011</v>
      </c>
      <c r="D200" t="s">
        <v>467</v>
      </c>
      <c r="E200">
        <v>25.5</v>
      </c>
      <c r="F200">
        <v>-125</v>
      </c>
      <c r="G200">
        <v>-125</v>
      </c>
      <c r="H200">
        <v>21</v>
      </c>
      <c r="I200" t="str">
        <f t="shared" si="26"/>
        <v>U</v>
      </c>
      <c r="J200">
        <f t="shared" si="22"/>
        <v>0.55555555555555558</v>
      </c>
      <c r="K200">
        <f t="shared" si="23"/>
        <v>0.55555555555555558</v>
      </c>
      <c r="L200">
        <f t="shared" si="27"/>
        <v>0</v>
      </c>
      <c r="M200">
        <f t="shared" si="24"/>
        <v>0</v>
      </c>
      <c r="N200">
        <f t="shared" si="25"/>
        <v>0</v>
      </c>
    </row>
    <row r="201" spans="1:14" x14ac:dyDescent="0.25">
      <c r="A201">
        <v>200</v>
      </c>
      <c r="B201" t="str">
        <f t="shared" si="21"/>
        <v>2011_NYK</v>
      </c>
      <c r="C201">
        <v>2011</v>
      </c>
      <c r="D201" t="s">
        <v>470</v>
      </c>
      <c r="E201">
        <v>41.5</v>
      </c>
      <c r="F201">
        <v>100</v>
      </c>
      <c r="G201">
        <v>-130</v>
      </c>
      <c r="H201">
        <v>36</v>
      </c>
      <c r="I201" t="str">
        <f t="shared" si="26"/>
        <v>U</v>
      </c>
      <c r="J201">
        <f t="shared" si="22"/>
        <v>0.5</v>
      </c>
      <c r="K201">
        <f t="shared" si="23"/>
        <v>0.56521739130434778</v>
      </c>
      <c r="L201">
        <f t="shared" si="27"/>
        <v>-6.5217391304347783E-2</v>
      </c>
      <c r="M201">
        <f t="shared" si="24"/>
        <v>1</v>
      </c>
      <c r="N201">
        <f t="shared" si="25"/>
        <v>0</v>
      </c>
    </row>
    <row r="202" spans="1:14" x14ac:dyDescent="0.25">
      <c r="A202">
        <v>201</v>
      </c>
      <c r="B202" t="str">
        <f t="shared" si="21"/>
        <v>2011_OKC</v>
      </c>
      <c r="C202">
        <v>2011</v>
      </c>
      <c r="D202" t="s">
        <v>12</v>
      </c>
      <c r="E202">
        <v>46.5</v>
      </c>
      <c r="F202">
        <v>-120</v>
      </c>
      <c r="G202">
        <v>-120</v>
      </c>
      <c r="H202">
        <v>47</v>
      </c>
      <c r="I202" t="str">
        <f t="shared" si="26"/>
        <v>O</v>
      </c>
      <c r="J202">
        <f t="shared" si="22"/>
        <v>0.54545454545454541</v>
      </c>
      <c r="K202">
        <f t="shared" si="23"/>
        <v>0.54545454545454541</v>
      </c>
      <c r="L202">
        <f t="shared" si="27"/>
        <v>0</v>
      </c>
      <c r="M202">
        <f t="shared" si="24"/>
        <v>0</v>
      </c>
      <c r="N202">
        <f t="shared" si="25"/>
        <v>0</v>
      </c>
    </row>
    <row r="203" spans="1:14" x14ac:dyDescent="0.25">
      <c r="A203">
        <v>202</v>
      </c>
      <c r="B203" t="str">
        <f t="shared" si="21"/>
        <v>2011_ORL</v>
      </c>
      <c r="C203">
        <v>2011</v>
      </c>
      <c r="D203" t="s">
        <v>11</v>
      </c>
      <c r="E203">
        <v>37.5</v>
      </c>
      <c r="F203">
        <v>110</v>
      </c>
      <c r="G203">
        <v>-140</v>
      </c>
      <c r="H203">
        <v>37</v>
      </c>
      <c r="I203" t="str">
        <f t="shared" si="26"/>
        <v>U</v>
      </c>
      <c r="J203">
        <f t="shared" si="22"/>
        <v>0.47619047619047616</v>
      </c>
      <c r="K203">
        <f t="shared" si="23"/>
        <v>0.58333333333333337</v>
      </c>
      <c r="L203">
        <f t="shared" si="27"/>
        <v>-0.10714285714285721</v>
      </c>
      <c r="M203">
        <f t="shared" si="24"/>
        <v>1</v>
      </c>
      <c r="N203">
        <f t="shared" si="25"/>
        <v>0</v>
      </c>
    </row>
    <row r="204" spans="1:14" x14ac:dyDescent="0.25">
      <c r="A204">
        <v>203</v>
      </c>
      <c r="B204" t="str">
        <f t="shared" si="21"/>
        <v>2011_PHI</v>
      </c>
      <c r="C204">
        <v>2011</v>
      </c>
      <c r="D204" t="s">
        <v>20</v>
      </c>
      <c r="E204">
        <v>36.5</v>
      </c>
      <c r="F204">
        <v>-120</v>
      </c>
      <c r="G204">
        <v>-120</v>
      </c>
      <c r="H204">
        <v>35</v>
      </c>
      <c r="I204" t="str">
        <f t="shared" si="26"/>
        <v>U</v>
      </c>
      <c r="J204">
        <f t="shared" si="22"/>
        <v>0.54545454545454541</v>
      </c>
      <c r="K204">
        <f t="shared" si="23"/>
        <v>0.54545454545454541</v>
      </c>
      <c r="L204">
        <f t="shared" si="27"/>
        <v>0</v>
      </c>
      <c r="M204">
        <f t="shared" si="24"/>
        <v>0</v>
      </c>
      <c r="N204">
        <f t="shared" si="25"/>
        <v>0</v>
      </c>
    </row>
    <row r="205" spans="1:14" x14ac:dyDescent="0.25">
      <c r="A205">
        <v>204</v>
      </c>
      <c r="B205" t="str">
        <f t="shared" si="21"/>
        <v>2011_PHO</v>
      </c>
      <c r="C205">
        <v>2011</v>
      </c>
      <c r="D205" t="s">
        <v>471</v>
      </c>
      <c r="E205">
        <v>29.5</v>
      </c>
      <c r="F205">
        <v>115</v>
      </c>
      <c r="G205">
        <v>-145</v>
      </c>
      <c r="H205">
        <v>33</v>
      </c>
      <c r="I205" t="str">
        <f t="shared" si="26"/>
        <v>O</v>
      </c>
      <c r="J205">
        <f t="shared" si="22"/>
        <v>0.46511627906976744</v>
      </c>
      <c r="K205">
        <f t="shared" si="23"/>
        <v>0.59183673469387754</v>
      </c>
      <c r="L205">
        <f t="shared" si="27"/>
        <v>-0.12672045562411011</v>
      </c>
      <c r="M205">
        <f t="shared" si="24"/>
        <v>1</v>
      </c>
      <c r="N205">
        <f t="shared" si="25"/>
        <v>0</v>
      </c>
    </row>
    <row r="206" spans="1:14" x14ac:dyDescent="0.25">
      <c r="A206">
        <v>205</v>
      </c>
      <c r="B206" t="str">
        <f t="shared" si="21"/>
        <v>2011_POR</v>
      </c>
      <c r="C206">
        <v>2011</v>
      </c>
      <c r="D206" t="s">
        <v>1</v>
      </c>
      <c r="E206">
        <v>37.5</v>
      </c>
      <c r="F206">
        <v>-120</v>
      </c>
      <c r="G206">
        <v>-120</v>
      </c>
      <c r="H206">
        <v>28</v>
      </c>
      <c r="I206" t="str">
        <f t="shared" si="26"/>
        <v>U</v>
      </c>
      <c r="J206">
        <f t="shared" si="22"/>
        <v>0.54545454545454541</v>
      </c>
      <c r="K206">
        <f t="shared" si="23"/>
        <v>0.54545454545454541</v>
      </c>
      <c r="L206">
        <f t="shared" si="27"/>
        <v>0</v>
      </c>
      <c r="M206">
        <f t="shared" si="24"/>
        <v>0</v>
      </c>
      <c r="N206">
        <f t="shared" si="25"/>
        <v>0</v>
      </c>
    </row>
    <row r="207" spans="1:14" x14ac:dyDescent="0.25">
      <c r="A207">
        <v>206</v>
      </c>
      <c r="B207" t="str">
        <f t="shared" si="21"/>
        <v>2011_SAC</v>
      </c>
      <c r="C207">
        <v>2011</v>
      </c>
      <c r="D207" t="s">
        <v>21</v>
      </c>
      <c r="E207">
        <v>20.5</v>
      </c>
      <c r="F207">
        <v>-125</v>
      </c>
      <c r="G207">
        <v>-125</v>
      </c>
      <c r="H207">
        <v>22</v>
      </c>
      <c r="I207" t="str">
        <f t="shared" si="26"/>
        <v>O</v>
      </c>
      <c r="J207">
        <f t="shared" si="22"/>
        <v>0.55555555555555558</v>
      </c>
      <c r="K207">
        <f t="shared" si="23"/>
        <v>0.55555555555555558</v>
      </c>
      <c r="L207">
        <f t="shared" si="27"/>
        <v>0</v>
      </c>
      <c r="M207">
        <f t="shared" si="24"/>
        <v>0</v>
      </c>
      <c r="N207">
        <f t="shared" si="25"/>
        <v>0</v>
      </c>
    </row>
    <row r="208" spans="1:14" x14ac:dyDescent="0.25">
      <c r="A208">
        <v>207</v>
      </c>
      <c r="B208" t="str">
        <f t="shared" si="21"/>
        <v>2011_SAS</v>
      </c>
      <c r="C208">
        <v>2011</v>
      </c>
      <c r="D208" t="s">
        <v>472</v>
      </c>
      <c r="E208">
        <v>40.5</v>
      </c>
      <c r="F208">
        <v>-120</v>
      </c>
      <c r="G208">
        <v>-120</v>
      </c>
      <c r="H208">
        <v>50</v>
      </c>
      <c r="I208" t="str">
        <f t="shared" si="26"/>
        <v>O</v>
      </c>
      <c r="J208">
        <f t="shared" si="22"/>
        <v>0.54545454545454541</v>
      </c>
      <c r="K208">
        <f t="shared" si="23"/>
        <v>0.54545454545454541</v>
      </c>
      <c r="L208">
        <f t="shared" si="27"/>
        <v>0</v>
      </c>
      <c r="M208">
        <f t="shared" si="24"/>
        <v>0</v>
      </c>
      <c r="N208">
        <f t="shared" si="25"/>
        <v>0</v>
      </c>
    </row>
    <row r="209" spans="1:14" x14ac:dyDescent="0.25">
      <c r="A209">
        <v>208</v>
      </c>
      <c r="B209" t="str">
        <f t="shared" si="21"/>
        <v>2011_TOR</v>
      </c>
      <c r="C209">
        <v>2011</v>
      </c>
      <c r="D209" t="s">
        <v>2</v>
      </c>
      <c r="E209">
        <v>16.5</v>
      </c>
      <c r="F209">
        <v>-125</v>
      </c>
      <c r="G209">
        <v>-125</v>
      </c>
      <c r="H209">
        <v>23</v>
      </c>
      <c r="I209" t="str">
        <f t="shared" si="26"/>
        <v>O</v>
      </c>
      <c r="J209">
        <f t="shared" si="22"/>
        <v>0.55555555555555558</v>
      </c>
      <c r="K209">
        <f t="shared" si="23"/>
        <v>0.55555555555555558</v>
      </c>
      <c r="L209">
        <f t="shared" si="27"/>
        <v>0</v>
      </c>
      <c r="M209">
        <f t="shared" si="24"/>
        <v>0</v>
      </c>
      <c r="N209">
        <f t="shared" si="25"/>
        <v>0</v>
      </c>
    </row>
    <row r="210" spans="1:14" x14ac:dyDescent="0.25">
      <c r="A210">
        <v>209</v>
      </c>
      <c r="B210" t="str">
        <f t="shared" si="21"/>
        <v>2011_UTA</v>
      </c>
      <c r="C210">
        <v>2011</v>
      </c>
      <c r="D210" t="s">
        <v>473</v>
      </c>
      <c r="E210">
        <v>25.5</v>
      </c>
      <c r="F210">
        <v>-130</v>
      </c>
      <c r="G210">
        <v>100</v>
      </c>
      <c r="H210">
        <v>36</v>
      </c>
      <c r="I210" t="str">
        <f t="shared" si="26"/>
        <v>O</v>
      </c>
      <c r="J210">
        <f t="shared" si="22"/>
        <v>0.56521739130434778</v>
      </c>
      <c r="K210">
        <f t="shared" si="23"/>
        <v>0.5</v>
      </c>
      <c r="L210">
        <f t="shared" si="27"/>
        <v>6.5217391304347783E-2</v>
      </c>
      <c r="M210">
        <f t="shared" si="24"/>
        <v>0</v>
      </c>
      <c r="N210">
        <f t="shared" si="25"/>
        <v>1</v>
      </c>
    </row>
    <row r="211" spans="1:14" x14ac:dyDescent="0.25">
      <c r="A211">
        <v>210</v>
      </c>
      <c r="B211" t="str">
        <f t="shared" si="21"/>
        <v>2011_WAS</v>
      </c>
      <c r="C211">
        <v>2011</v>
      </c>
      <c r="D211" t="s">
        <v>474</v>
      </c>
      <c r="E211">
        <v>20.5</v>
      </c>
      <c r="F211">
        <v>-125</v>
      </c>
      <c r="G211">
        <v>-125</v>
      </c>
      <c r="H211">
        <v>20</v>
      </c>
      <c r="I211" t="str">
        <f t="shared" si="26"/>
        <v>U</v>
      </c>
      <c r="J211">
        <f t="shared" si="22"/>
        <v>0.55555555555555558</v>
      </c>
      <c r="K211">
        <f t="shared" si="23"/>
        <v>0.55555555555555558</v>
      </c>
      <c r="L211">
        <f t="shared" si="27"/>
        <v>0</v>
      </c>
      <c r="M211">
        <f t="shared" si="24"/>
        <v>0</v>
      </c>
      <c r="N211">
        <f t="shared" si="25"/>
        <v>0</v>
      </c>
    </row>
    <row r="212" spans="1:14" x14ac:dyDescent="0.25">
      <c r="A212">
        <v>211</v>
      </c>
      <c r="B212" t="str">
        <f t="shared" si="21"/>
        <v>2012_ATL</v>
      </c>
      <c r="C212">
        <v>2012</v>
      </c>
      <c r="D212" t="s">
        <v>5</v>
      </c>
      <c r="E212">
        <v>42.5</v>
      </c>
      <c r="F212">
        <v>-130</v>
      </c>
      <c r="G212">
        <v>100</v>
      </c>
      <c r="H212">
        <v>44</v>
      </c>
      <c r="I212" t="str">
        <f t="shared" si="26"/>
        <v>O</v>
      </c>
      <c r="J212">
        <f t="shared" si="22"/>
        <v>0.56521739130434778</v>
      </c>
      <c r="K212">
        <f t="shared" si="23"/>
        <v>0.5</v>
      </c>
      <c r="L212">
        <f t="shared" si="27"/>
        <v>6.5217391304347783E-2</v>
      </c>
      <c r="M212">
        <f t="shared" si="24"/>
        <v>0</v>
      </c>
      <c r="N212">
        <f t="shared" si="25"/>
        <v>1</v>
      </c>
    </row>
    <row r="213" spans="1:14" x14ac:dyDescent="0.25">
      <c r="A213">
        <v>212</v>
      </c>
      <c r="B213" t="str">
        <f t="shared" si="21"/>
        <v>2012_BOS</v>
      </c>
      <c r="C213">
        <v>2012</v>
      </c>
      <c r="D213" t="s">
        <v>17</v>
      </c>
      <c r="E213">
        <v>51.5</v>
      </c>
      <c r="F213">
        <v>-105</v>
      </c>
      <c r="G213">
        <v>-125</v>
      </c>
      <c r="H213">
        <v>41</v>
      </c>
      <c r="I213" t="str">
        <f t="shared" si="26"/>
        <v>U</v>
      </c>
      <c r="J213">
        <f t="shared" si="22"/>
        <v>0.51219512195121952</v>
      </c>
      <c r="K213">
        <f t="shared" si="23"/>
        <v>0.55555555555555558</v>
      </c>
      <c r="L213">
        <f t="shared" si="27"/>
        <v>-4.3360433604336057E-2</v>
      </c>
      <c r="M213">
        <f t="shared" si="24"/>
        <v>0</v>
      </c>
      <c r="N213">
        <f t="shared" si="25"/>
        <v>0</v>
      </c>
    </row>
    <row r="214" spans="1:14" x14ac:dyDescent="0.25">
      <c r="A214">
        <v>213</v>
      </c>
      <c r="B214" t="str">
        <f t="shared" si="21"/>
        <v>2012_BRK</v>
      </c>
      <c r="C214">
        <v>2012</v>
      </c>
      <c r="D214" t="s">
        <v>80</v>
      </c>
      <c r="E214">
        <v>44.5</v>
      </c>
      <c r="F214">
        <v>-140</v>
      </c>
      <c r="G214">
        <v>110</v>
      </c>
      <c r="H214">
        <v>49</v>
      </c>
      <c r="I214" t="str">
        <f t="shared" si="26"/>
        <v>O</v>
      </c>
      <c r="J214">
        <f t="shared" si="22"/>
        <v>0.58333333333333337</v>
      </c>
      <c r="K214">
        <f t="shared" si="23"/>
        <v>0.47619047619047616</v>
      </c>
      <c r="L214">
        <f t="shared" si="27"/>
        <v>0.10714285714285721</v>
      </c>
      <c r="M214">
        <f t="shared" si="24"/>
        <v>0</v>
      </c>
      <c r="N214">
        <f t="shared" si="25"/>
        <v>1</v>
      </c>
    </row>
    <row r="215" spans="1:14" x14ac:dyDescent="0.25">
      <c r="A215">
        <v>214</v>
      </c>
      <c r="B215" t="str">
        <f t="shared" si="21"/>
        <v>2012_NOP</v>
      </c>
      <c r="C215">
        <v>2012</v>
      </c>
      <c r="D215" t="s">
        <v>469</v>
      </c>
      <c r="E215">
        <v>19.5</v>
      </c>
      <c r="F215">
        <v>-125</v>
      </c>
      <c r="G215">
        <v>-105</v>
      </c>
      <c r="H215">
        <v>21</v>
      </c>
      <c r="I215" t="str">
        <f t="shared" si="26"/>
        <v>O</v>
      </c>
      <c r="J215">
        <f t="shared" si="22"/>
        <v>0.55555555555555558</v>
      </c>
      <c r="K215">
        <f t="shared" si="23"/>
        <v>0.51219512195121952</v>
      </c>
      <c r="L215">
        <f t="shared" si="27"/>
        <v>4.3360433604336057E-2</v>
      </c>
      <c r="M215">
        <f t="shared" si="24"/>
        <v>0</v>
      </c>
      <c r="N215">
        <f t="shared" si="25"/>
        <v>0</v>
      </c>
    </row>
    <row r="216" spans="1:14" x14ac:dyDescent="0.25">
      <c r="A216">
        <v>215</v>
      </c>
      <c r="B216" t="str">
        <f t="shared" si="21"/>
        <v>2012_CHI</v>
      </c>
      <c r="C216">
        <v>2012</v>
      </c>
      <c r="D216" t="s">
        <v>0</v>
      </c>
      <c r="E216">
        <v>47.5</v>
      </c>
      <c r="F216">
        <v>-115</v>
      </c>
      <c r="G216">
        <v>-115</v>
      </c>
      <c r="H216">
        <v>45</v>
      </c>
      <c r="I216" t="str">
        <f t="shared" si="26"/>
        <v>U</v>
      </c>
      <c r="J216">
        <f t="shared" si="22"/>
        <v>0.53488372093023251</v>
      </c>
      <c r="K216">
        <f t="shared" si="23"/>
        <v>0.53488372093023251</v>
      </c>
      <c r="L216">
        <f t="shared" si="27"/>
        <v>0</v>
      </c>
      <c r="M216">
        <f t="shared" si="24"/>
        <v>0</v>
      </c>
      <c r="N216">
        <f t="shared" si="25"/>
        <v>0</v>
      </c>
    </row>
    <row r="217" spans="1:14" x14ac:dyDescent="0.25">
      <c r="A217">
        <v>216</v>
      </c>
      <c r="B217" t="str">
        <f t="shared" si="21"/>
        <v>2012_CLE</v>
      </c>
      <c r="C217">
        <v>2012</v>
      </c>
      <c r="D217" t="s">
        <v>6</v>
      </c>
      <c r="E217">
        <v>31.5</v>
      </c>
      <c r="F217">
        <v>-105</v>
      </c>
      <c r="G217">
        <v>-125</v>
      </c>
      <c r="H217">
        <v>24</v>
      </c>
      <c r="I217" t="str">
        <f t="shared" si="26"/>
        <v>U</v>
      </c>
      <c r="J217">
        <f t="shared" si="22"/>
        <v>0.51219512195121952</v>
      </c>
      <c r="K217">
        <f t="shared" si="23"/>
        <v>0.55555555555555558</v>
      </c>
      <c r="L217">
        <f t="shared" si="27"/>
        <v>-4.3360433604336057E-2</v>
      </c>
      <c r="M217">
        <f t="shared" si="24"/>
        <v>0</v>
      </c>
      <c r="N217">
        <f t="shared" si="25"/>
        <v>0</v>
      </c>
    </row>
    <row r="218" spans="1:14" x14ac:dyDescent="0.25">
      <c r="A218">
        <v>217</v>
      </c>
      <c r="B218" t="str">
        <f t="shared" si="21"/>
        <v>2012_DAL</v>
      </c>
      <c r="C218">
        <v>2012</v>
      </c>
      <c r="D218" t="s">
        <v>16</v>
      </c>
      <c r="E218">
        <v>44.5</v>
      </c>
      <c r="F218">
        <v>-105</v>
      </c>
      <c r="G218">
        <v>-125</v>
      </c>
      <c r="H218">
        <v>41</v>
      </c>
      <c r="I218" t="str">
        <f t="shared" si="26"/>
        <v>U</v>
      </c>
      <c r="J218">
        <f t="shared" si="22"/>
        <v>0.51219512195121952</v>
      </c>
      <c r="K218">
        <f t="shared" si="23"/>
        <v>0.55555555555555558</v>
      </c>
      <c r="L218">
        <f t="shared" si="27"/>
        <v>-4.3360433604336057E-2</v>
      </c>
      <c r="M218">
        <f t="shared" si="24"/>
        <v>0</v>
      </c>
      <c r="N218">
        <f t="shared" si="25"/>
        <v>0</v>
      </c>
    </row>
    <row r="219" spans="1:14" x14ac:dyDescent="0.25">
      <c r="A219">
        <v>218</v>
      </c>
      <c r="B219" t="str">
        <f t="shared" si="21"/>
        <v>2012_DEN</v>
      </c>
      <c r="C219">
        <v>2012</v>
      </c>
      <c r="D219" t="s">
        <v>23</v>
      </c>
      <c r="E219">
        <v>49.5</v>
      </c>
      <c r="F219">
        <v>-165</v>
      </c>
      <c r="G219">
        <v>130</v>
      </c>
      <c r="H219">
        <v>57</v>
      </c>
      <c r="I219" t="str">
        <f t="shared" si="26"/>
        <v>O</v>
      </c>
      <c r="J219">
        <f t="shared" si="22"/>
        <v>0.62264150943396224</v>
      </c>
      <c r="K219">
        <f t="shared" si="23"/>
        <v>0.43478260869565216</v>
      </c>
      <c r="L219">
        <f t="shared" si="27"/>
        <v>0.18785890073831008</v>
      </c>
      <c r="M219">
        <f t="shared" si="24"/>
        <v>0</v>
      </c>
      <c r="N219">
        <f t="shared" si="25"/>
        <v>1</v>
      </c>
    </row>
    <row r="220" spans="1:14" x14ac:dyDescent="0.25">
      <c r="A220">
        <v>219</v>
      </c>
      <c r="B220" t="str">
        <f t="shared" si="21"/>
        <v>2012_DET</v>
      </c>
      <c r="C220">
        <v>2012</v>
      </c>
      <c r="D220" t="s">
        <v>7</v>
      </c>
      <c r="E220">
        <v>32.5</v>
      </c>
      <c r="F220">
        <v>-110</v>
      </c>
      <c r="G220">
        <v>-120</v>
      </c>
      <c r="H220">
        <v>29</v>
      </c>
      <c r="I220" t="str">
        <f t="shared" si="26"/>
        <v>U</v>
      </c>
      <c r="J220">
        <f t="shared" si="22"/>
        <v>0.52380952380952384</v>
      </c>
      <c r="K220">
        <f t="shared" si="23"/>
        <v>0.54545454545454541</v>
      </c>
      <c r="L220">
        <f t="shared" si="27"/>
        <v>-2.1645021645021578E-2</v>
      </c>
      <c r="M220">
        <f t="shared" si="24"/>
        <v>0</v>
      </c>
      <c r="N220">
        <f t="shared" si="25"/>
        <v>0</v>
      </c>
    </row>
    <row r="221" spans="1:14" x14ac:dyDescent="0.25">
      <c r="A221">
        <v>220</v>
      </c>
      <c r="B221" t="str">
        <f t="shared" si="21"/>
        <v>2012_GSW</v>
      </c>
      <c r="C221">
        <v>2012</v>
      </c>
      <c r="D221" t="s">
        <v>468</v>
      </c>
      <c r="E221">
        <v>35.5</v>
      </c>
      <c r="F221">
        <v>-120</v>
      </c>
      <c r="G221">
        <v>-110</v>
      </c>
      <c r="H221">
        <v>47</v>
      </c>
      <c r="I221" t="str">
        <f t="shared" si="26"/>
        <v>O</v>
      </c>
      <c r="J221">
        <f t="shared" si="22"/>
        <v>0.54545454545454541</v>
      </c>
      <c r="K221">
        <f t="shared" si="23"/>
        <v>0.52380952380952384</v>
      </c>
      <c r="L221">
        <f t="shared" si="27"/>
        <v>2.1645021645021578E-2</v>
      </c>
      <c r="M221">
        <f t="shared" si="24"/>
        <v>0</v>
      </c>
      <c r="N221">
        <f t="shared" si="25"/>
        <v>0</v>
      </c>
    </row>
    <row r="222" spans="1:14" x14ac:dyDescent="0.25">
      <c r="A222">
        <v>221</v>
      </c>
      <c r="B222" t="str">
        <f t="shared" si="21"/>
        <v>2012_HOU</v>
      </c>
      <c r="C222">
        <v>2012</v>
      </c>
      <c r="D222" t="s">
        <v>4</v>
      </c>
      <c r="E222">
        <v>31.5</v>
      </c>
      <c r="F222">
        <v>-115</v>
      </c>
      <c r="G222">
        <v>-115</v>
      </c>
      <c r="H222">
        <v>45</v>
      </c>
      <c r="I222" t="str">
        <f t="shared" si="26"/>
        <v>O</v>
      </c>
      <c r="J222">
        <f t="shared" si="22"/>
        <v>0.53488372093023251</v>
      </c>
      <c r="K222">
        <f t="shared" si="23"/>
        <v>0.53488372093023251</v>
      </c>
      <c r="L222">
        <f t="shared" si="27"/>
        <v>0</v>
      </c>
      <c r="M222">
        <f t="shared" si="24"/>
        <v>0</v>
      </c>
      <c r="N222">
        <f t="shared" si="25"/>
        <v>0</v>
      </c>
    </row>
    <row r="223" spans="1:14" x14ac:dyDescent="0.25">
      <c r="A223">
        <v>222</v>
      </c>
      <c r="B223" t="str">
        <f t="shared" si="21"/>
        <v>2012_IND</v>
      </c>
      <c r="C223">
        <v>2012</v>
      </c>
      <c r="D223" t="s">
        <v>13</v>
      </c>
      <c r="E223">
        <v>51.5</v>
      </c>
      <c r="F223">
        <v>100</v>
      </c>
      <c r="G223">
        <v>-130</v>
      </c>
      <c r="H223">
        <v>49</v>
      </c>
      <c r="I223" t="str">
        <f t="shared" si="26"/>
        <v>U</v>
      </c>
      <c r="J223">
        <f t="shared" si="22"/>
        <v>0.5</v>
      </c>
      <c r="K223">
        <f t="shared" si="23"/>
        <v>0.56521739130434778</v>
      </c>
      <c r="L223">
        <f t="shared" si="27"/>
        <v>-6.5217391304347783E-2</v>
      </c>
      <c r="M223">
        <f t="shared" si="24"/>
        <v>1</v>
      </c>
      <c r="N223">
        <f t="shared" si="25"/>
        <v>0</v>
      </c>
    </row>
    <row r="224" spans="1:14" x14ac:dyDescent="0.25">
      <c r="A224">
        <v>223</v>
      </c>
      <c r="B224" t="str">
        <f t="shared" si="21"/>
        <v>2012_LAC</v>
      </c>
      <c r="C224">
        <v>2012</v>
      </c>
      <c r="D224" t="s">
        <v>14</v>
      </c>
      <c r="E224">
        <v>49.5</v>
      </c>
      <c r="F224">
        <v>-115</v>
      </c>
      <c r="G224">
        <v>-115</v>
      </c>
      <c r="H224">
        <v>56</v>
      </c>
      <c r="I224" t="str">
        <f t="shared" si="26"/>
        <v>O</v>
      </c>
      <c r="J224">
        <f t="shared" si="22"/>
        <v>0.53488372093023251</v>
      </c>
      <c r="K224">
        <f t="shared" si="23"/>
        <v>0.53488372093023251</v>
      </c>
      <c r="L224">
        <f t="shared" si="27"/>
        <v>0</v>
      </c>
      <c r="M224">
        <f t="shared" si="24"/>
        <v>0</v>
      </c>
      <c r="N224">
        <f t="shared" si="25"/>
        <v>0</v>
      </c>
    </row>
    <row r="225" spans="1:14" x14ac:dyDescent="0.25">
      <c r="A225">
        <v>224</v>
      </c>
      <c r="B225" t="str">
        <f t="shared" si="21"/>
        <v>2012_LAL</v>
      </c>
      <c r="C225">
        <v>2012</v>
      </c>
      <c r="D225" t="s">
        <v>18</v>
      </c>
      <c r="E225">
        <v>58.5</v>
      </c>
      <c r="F225">
        <v>-105</v>
      </c>
      <c r="G225">
        <v>-125</v>
      </c>
      <c r="H225">
        <v>45</v>
      </c>
      <c r="I225" t="str">
        <f t="shared" si="26"/>
        <v>U</v>
      </c>
      <c r="J225">
        <f t="shared" si="22"/>
        <v>0.51219512195121952</v>
      </c>
      <c r="K225">
        <f t="shared" si="23"/>
        <v>0.55555555555555558</v>
      </c>
      <c r="L225">
        <f t="shared" si="27"/>
        <v>-4.3360433604336057E-2</v>
      </c>
      <c r="M225">
        <f t="shared" si="24"/>
        <v>0</v>
      </c>
      <c r="N225">
        <f t="shared" si="25"/>
        <v>0</v>
      </c>
    </row>
    <row r="226" spans="1:14" x14ac:dyDescent="0.25">
      <c r="A226">
        <v>225</v>
      </c>
      <c r="B226" t="str">
        <f t="shared" si="21"/>
        <v>2012_MEM</v>
      </c>
      <c r="C226">
        <v>2012</v>
      </c>
      <c r="D226" t="s">
        <v>9</v>
      </c>
      <c r="E226">
        <v>48.5</v>
      </c>
      <c r="F226">
        <v>-120</v>
      </c>
      <c r="G226">
        <v>-110</v>
      </c>
      <c r="H226">
        <v>56</v>
      </c>
      <c r="I226" t="str">
        <f t="shared" si="26"/>
        <v>O</v>
      </c>
      <c r="J226">
        <f t="shared" si="22"/>
        <v>0.54545454545454541</v>
      </c>
      <c r="K226">
        <f t="shared" si="23"/>
        <v>0.52380952380952384</v>
      </c>
      <c r="L226">
        <f t="shared" si="27"/>
        <v>2.1645021645021578E-2</v>
      </c>
      <c r="M226">
        <f t="shared" si="24"/>
        <v>0</v>
      </c>
      <c r="N226">
        <f t="shared" si="25"/>
        <v>0</v>
      </c>
    </row>
    <row r="227" spans="1:14" x14ac:dyDescent="0.25">
      <c r="A227">
        <v>226</v>
      </c>
      <c r="B227" t="str">
        <f t="shared" si="21"/>
        <v>2012_MIA</v>
      </c>
      <c r="C227">
        <v>2012</v>
      </c>
      <c r="D227" t="s">
        <v>15</v>
      </c>
      <c r="E227">
        <v>60.5</v>
      </c>
      <c r="F227">
        <v>-130</v>
      </c>
      <c r="G227">
        <v>100</v>
      </c>
      <c r="H227">
        <v>66</v>
      </c>
      <c r="I227" t="str">
        <f t="shared" si="26"/>
        <v>O</v>
      </c>
      <c r="J227">
        <f t="shared" si="22"/>
        <v>0.56521739130434778</v>
      </c>
      <c r="K227">
        <f t="shared" si="23"/>
        <v>0.5</v>
      </c>
      <c r="L227">
        <f t="shared" si="27"/>
        <v>6.5217391304347783E-2</v>
      </c>
      <c r="M227">
        <f t="shared" si="24"/>
        <v>0</v>
      </c>
      <c r="N227">
        <f t="shared" si="25"/>
        <v>1</v>
      </c>
    </row>
    <row r="228" spans="1:14" x14ac:dyDescent="0.25">
      <c r="A228">
        <v>227</v>
      </c>
      <c r="B228" t="str">
        <f t="shared" si="21"/>
        <v>2012_MIL</v>
      </c>
      <c r="C228">
        <v>2012</v>
      </c>
      <c r="D228" t="s">
        <v>10</v>
      </c>
      <c r="E228">
        <v>36.5</v>
      </c>
      <c r="F228">
        <v>-150</v>
      </c>
      <c r="G228">
        <v>120</v>
      </c>
      <c r="H228">
        <v>38</v>
      </c>
      <c r="I228" t="str">
        <f t="shared" si="26"/>
        <v>O</v>
      </c>
      <c r="J228">
        <f t="shared" si="22"/>
        <v>0.6</v>
      </c>
      <c r="K228">
        <f t="shared" si="23"/>
        <v>0.45454545454545453</v>
      </c>
      <c r="L228">
        <f t="shared" si="27"/>
        <v>0.14545454545454545</v>
      </c>
      <c r="M228">
        <f t="shared" si="24"/>
        <v>0</v>
      </c>
      <c r="N228">
        <f t="shared" si="25"/>
        <v>1</v>
      </c>
    </row>
    <row r="229" spans="1:14" x14ac:dyDescent="0.25">
      <c r="A229">
        <v>228</v>
      </c>
      <c r="B229" t="str">
        <f t="shared" si="21"/>
        <v>2012_MIN</v>
      </c>
      <c r="C229">
        <v>2012</v>
      </c>
      <c r="D229" t="s">
        <v>3</v>
      </c>
      <c r="E229">
        <v>39.5</v>
      </c>
      <c r="F229">
        <v>-115</v>
      </c>
      <c r="G229">
        <v>-115</v>
      </c>
      <c r="H229">
        <v>31</v>
      </c>
      <c r="I229" t="str">
        <f t="shared" si="26"/>
        <v>U</v>
      </c>
      <c r="J229">
        <f t="shared" si="22"/>
        <v>0.53488372093023251</v>
      </c>
      <c r="K229">
        <f t="shared" si="23"/>
        <v>0.53488372093023251</v>
      </c>
      <c r="L229">
        <f t="shared" si="27"/>
        <v>0</v>
      </c>
      <c r="M229">
        <f t="shared" si="24"/>
        <v>0</v>
      </c>
      <c r="N229">
        <f t="shared" si="25"/>
        <v>0</v>
      </c>
    </row>
    <row r="230" spans="1:14" x14ac:dyDescent="0.25">
      <c r="A230">
        <v>229</v>
      </c>
      <c r="B230" t="str">
        <f t="shared" si="21"/>
        <v>2012_CHO</v>
      </c>
      <c r="C230">
        <v>2012</v>
      </c>
      <c r="D230" t="s">
        <v>467</v>
      </c>
      <c r="E230">
        <v>26.5</v>
      </c>
      <c r="F230">
        <v>-140</v>
      </c>
      <c r="G230">
        <v>110</v>
      </c>
      <c r="H230">
        <v>27</v>
      </c>
      <c r="I230" t="str">
        <f t="shared" si="26"/>
        <v>O</v>
      </c>
      <c r="J230">
        <f t="shared" si="22"/>
        <v>0.58333333333333337</v>
      </c>
      <c r="K230">
        <f t="shared" si="23"/>
        <v>0.47619047619047616</v>
      </c>
      <c r="L230">
        <f t="shared" si="27"/>
        <v>0.10714285714285721</v>
      </c>
      <c r="M230">
        <f t="shared" si="24"/>
        <v>0</v>
      </c>
      <c r="N230">
        <f t="shared" si="25"/>
        <v>1</v>
      </c>
    </row>
    <row r="231" spans="1:14" x14ac:dyDescent="0.25">
      <c r="A231">
        <v>230</v>
      </c>
      <c r="B231" t="str">
        <f t="shared" si="21"/>
        <v>2012_NYK</v>
      </c>
      <c r="C231">
        <v>2012</v>
      </c>
      <c r="D231" t="s">
        <v>470</v>
      </c>
      <c r="E231">
        <v>46.5</v>
      </c>
      <c r="F231">
        <v>-125</v>
      </c>
      <c r="G231">
        <v>-105</v>
      </c>
      <c r="H231">
        <v>54</v>
      </c>
      <c r="I231" t="str">
        <f t="shared" si="26"/>
        <v>O</v>
      </c>
      <c r="J231">
        <f t="shared" si="22"/>
        <v>0.55555555555555558</v>
      </c>
      <c r="K231">
        <f t="shared" si="23"/>
        <v>0.51219512195121952</v>
      </c>
      <c r="L231">
        <f t="shared" si="27"/>
        <v>4.3360433604336057E-2</v>
      </c>
      <c r="M231">
        <f t="shared" si="24"/>
        <v>0</v>
      </c>
      <c r="N231">
        <f t="shared" si="25"/>
        <v>0</v>
      </c>
    </row>
    <row r="232" spans="1:14" x14ac:dyDescent="0.25">
      <c r="A232">
        <v>231</v>
      </c>
      <c r="B232" t="str">
        <f t="shared" si="21"/>
        <v>2012_OKC</v>
      </c>
      <c r="C232">
        <v>2012</v>
      </c>
      <c r="D232" t="s">
        <v>12</v>
      </c>
      <c r="E232">
        <v>60.5</v>
      </c>
      <c r="F232">
        <v>-115</v>
      </c>
      <c r="G232">
        <v>-115</v>
      </c>
      <c r="H232">
        <v>60</v>
      </c>
      <c r="I232" t="str">
        <f t="shared" si="26"/>
        <v>U</v>
      </c>
      <c r="J232">
        <f t="shared" si="22"/>
        <v>0.53488372093023251</v>
      </c>
      <c r="K232">
        <f t="shared" si="23"/>
        <v>0.53488372093023251</v>
      </c>
      <c r="L232">
        <f t="shared" si="27"/>
        <v>0</v>
      </c>
      <c r="M232">
        <f t="shared" si="24"/>
        <v>0</v>
      </c>
      <c r="N232">
        <f t="shared" si="25"/>
        <v>0</v>
      </c>
    </row>
    <row r="233" spans="1:14" x14ac:dyDescent="0.25">
      <c r="A233">
        <v>232</v>
      </c>
      <c r="B233" t="str">
        <f t="shared" si="21"/>
        <v>2012_ORL</v>
      </c>
      <c r="C233">
        <v>2012</v>
      </c>
      <c r="D233" t="s">
        <v>11</v>
      </c>
      <c r="E233">
        <v>23.5</v>
      </c>
      <c r="F233">
        <v>-115</v>
      </c>
      <c r="G233">
        <v>-115</v>
      </c>
      <c r="H233">
        <v>20</v>
      </c>
      <c r="I233" t="str">
        <f t="shared" si="26"/>
        <v>U</v>
      </c>
      <c r="J233">
        <f t="shared" si="22"/>
        <v>0.53488372093023251</v>
      </c>
      <c r="K233">
        <f t="shared" si="23"/>
        <v>0.53488372093023251</v>
      </c>
      <c r="L233">
        <f t="shared" si="27"/>
        <v>0</v>
      </c>
      <c r="M233">
        <f t="shared" si="24"/>
        <v>0</v>
      </c>
      <c r="N233">
        <f t="shared" si="25"/>
        <v>0</v>
      </c>
    </row>
    <row r="234" spans="1:14" x14ac:dyDescent="0.25">
      <c r="A234">
        <v>233</v>
      </c>
      <c r="B234" t="str">
        <f t="shared" si="21"/>
        <v>2012_PHI</v>
      </c>
      <c r="C234">
        <v>2012</v>
      </c>
      <c r="D234" t="s">
        <v>20</v>
      </c>
      <c r="E234">
        <v>47.5</v>
      </c>
      <c r="F234">
        <v>100</v>
      </c>
      <c r="G234">
        <v>-130</v>
      </c>
      <c r="H234">
        <v>34</v>
      </c>
      <c r="I234" t="str">
        <f t="shared" si="26"/>
        <v>U</v>
      </c>
      <c r="J234">
        <f t="shared" si="22"/>
        <v>0.5</v>
      </c>
      <c r="K234">
        <f t="shared" si="23"/>
        <v>0.56521739130434778</v>
      </c>
      <c r="L234">
        <f t="shared" si="27"/>
        <v>-6.5217391304347783E-2</v>
      </c>
      <c r="M234">
        <f t="shared" si="24"/>
        <v>1</v>
      </c>
      <c r="N234">
        <f t="shared" si="25"/>
        <v>0</v>
      </c>
    </row>
    <row r="235" spans="1:14" x14ac:dyDescent="0.25">
      <c r="A235">
        <v>234</v>
      </c>
      <c r="B235" t="str">
        <f t="shared" si="21"/>
        <v>2012_PHO</v>
      </c>
      <c r="C235">
        <v>2012</v>
      </c>
      <c r="D235" t="s">
        <v>471</v>
      </c>
      <c r="E235">
        <v>33.5</v>
      </c>
      <c r="F235">
        <v>110</v>
      </c>
      <c r="G235">
        <v>-140</v>
      </c>
      <c r="H235">
        <v>25</v>
      </c>
      <c r="I235" t="str">
        <f t="shared" si="26"/>
        <v>U</v>
      </c>
      <c r="J235">
        <f t="shared" si="22"/>
        <v>0.47619047619047616</v>
      </c>
      <c r="K235">
        <f t="shared" si="23"/>
        <v>0.58333333333333337</v>
      </c>
      <c r="L235">
        <f t="shared" si="27"/>
        <v>-0.10714285714285721</v>
      </c>
      <c r="M235">
        <f t="shared" si="24"/>
        <v>1</v>
      </c>
      <c r="N235">
        <f t="shared" si="25"/>
        <v>0</v>
      </c>
    </row>
    <row r="236" spans="1:14" x14ac:dyDescent="0.25">
      <c r="A236">
        <v>235</v>
      </c>
      <c r="B236" t="str">
        <f t="shared" si="21"/>
        <v>2012_POR</v>
      </c>
      <c r="C236">
        <v>2012</v>
      </c>
      <c r="D236" t="s">
        <v>1</v>
      </c>
      <c r="E236">
        <v>34.5</v>
      </c>
      <c r="F236">
        <v>-115</v>
      </c>
      <c r="G236">
        <v>-115</v>
      </c>
      <c r="H236">
        <v>33</v>
      </c>
      <c r="I236" t="str">
        <f t="shared" si="26"/>
        <v>U</v>
      </c>
      <c r="J236">
        <f t="shared" si="22"/>
        <v>0.53488372093023251</v>
      </c>
      <c r="K236">
        <f t="shared" si="23"/>
        <v>0.53488372093023251</v>
      </c>
      <c r="L236">
        <f t="shared" si="27"/>
        <v>0</v>
      </c>
      <c r="M236">
        <f t="shared" si="24"/>
        <v>0</v>
      </c>
      <c r="N236">
        <f t="shared" si="25"/>
        <v>0</v>
      </c>
    </row>
    <row r="237" spans="1:14" x14ac:dyDescent="0.25">
      <c r="A237">
        <v>236</v>
      </c>
      <c r="B237" t="str">
        <f t="shared" si="21"/>
        <v>2012_SAC</v>
      </c>
      <c r="C237">
        <v>2012</v>
      </c>
      <c r="D237" t="s">
        <v>21</v>
      </c>
      <c r="E237">
        <v>29.5</v>
      </c>
      <c r="F237">
        <v>-130</v>
      </c>
      <c r="G237">
        <v>100</v>
      </c>
      <c r="H237">
        <v>28</v>
      </c>
      <c r="I237" t="str">
        <f t="shared" si="26"/>
        <v>U</v>
      </c>
      <c r="J237">
        <f t="shared" si="22"/>
        <v>0.56521739130434778</v>
      </c>
      <c r="K237">
        <f t="shared" si="23"/>
        <v>0.5</v>
      </c>
      <c r="L237">
        <f t="shared" si="27"/>
        <v>6.5217391304347783E-2</v>
      </c>
      <c r="M237">
        <f t="shared" si="24"/>
        <v>0</v>
      </c>
      <c r="N237">
        <f t="shared" si="25"/>
        <v>1</v>
      </c>
    </row>
    <row r="238" spans="1:14" x14ac:dyDescent="0.25">
      <c r="A238">
        <v>237</v>
      </c>
      <c r="B238" t="str">
        <f t="shared" si="21"/>
        <v>2012_SAS</v>
      </c>
      <c r="C238">
        <v>2012</v>
      </c>
      <c r="D238" t="s">
        <v>472</v>
      </c>
      <c r="E238">
        <v>54.5</v>
      </c>
      <c r="F238">
        <v>-150</v>
      </c>
      <c r="G238">
        <v>120</v>
      </c>
      <c r="H238">
        <v>58</v>
      </c>
      <c r="I238" t="str">
        <f t="shared" si="26"/>
        <v>O</v>
      </c>
      <c r="J238">
        <f t="shared" si="22"/>
        <v>0.6</v>
      </c>
      <c r="K238">
        <f t="shared" si="23"/>
        <v>0.45454545454545453</v>
      </c>
      <c r="L238">
        <f t="shared" si="27"/>
        <v>0.14545454545454545</v>
      </c>
      <c r="M238">
        <f t="shared" si="24"/>
        <v>0</v>
      </c>
      <c r="N238">
        <f t="shared" si="25"/>
        <v>1</v>
      </c>
    </row>
    <row r="239" spans="1:14" x14ac:dyDescent="0.25">
      <c r="A239">
        <v>238</v>
      </c>
      <c r="B239" t="str">
        <f t="shared" si="21"/>
        <v>2012_TOR</v>
      </c>
      <c r="C239">
        <v>2012</v>
      </c>
      <c r="D239" t="s">
        <v>2</v>
      </c>
      <c r="E239">
        <v>32.5</v>
      </c>
      <c r="F239">
        <v>-170</v>
      </c>
      <c r="G239">
        <v>133</v>
      </c>
      <c r="H239">
        <v>34</v>
      </c>
      <c r="I239" t="str">
        <f t="shared" si="26"/>
        <v>O</v>
      </c>
      <c r="J239">
        <f t="shared" si="22"/>
        <v>0.62962962962962965</v>
      </c>
      <c r="K239">
        <f t="shared" si="23"/>
        <v>0.42918454935622319</v>
      </c>
      <c r="L239">
        <f t="shared" si="27"/>
        <v>0.20044508027340646</v>
      </c>
      <c r="M239">
        <f t="shared" si="24"/>
        <v>0</v>
      </c>
      <c r="N239">
        <f t="shared" si="25"/>
        <v>1</v>
      </c>
    </row>
    <row r="240" spans="1:14" x14ac:dyDescent="0.25">
      <c r="A240">
        <v>239</v>
      </c>
      <c r="B240" t="str">
        <f t="shared" si="21"/>
        <v>2012_UTA</v>
      </c>
      <c r="C240">
        <v>2012</v>
      </c>
      <c r="D240" t="s">
        <v>473</v>
      </c>
      <c r="E240">
        <v>42.5</v>
      </c>
      <c r="F240">
        <v>-140</v>
      </c>
      <c r="G240">
        <v>110</v>
      </c>
      <c r="H240">
        <v>43</v>
      </c>
      <c r="I240" t="str">
        <f t="shared" si="26"/>
        <v>O</v>
      </c>
      <c r="J240">
        <f t="shared" si="22"/>
        <v>0.58333333333333337</v>
      </c>
      <c r="K240">
        <f t="shared" si="23"/>
        <v>0.47619047619047616</v>
      </c>
      <c r="L240">
        <f t="shared" si="27"/>
        <v>0.10714285714285721</v>
      </c>
      <c r="M240">
        <f t="shared" si="24"/>
        <v>0</v>
      </c>
      <c r="N240">
        <f t="shared" si="25"/>
        <v>1</v>
      </c>
    </row>
    <row r="241" spans="1:14" x14ac:dyDescent="0.25">
      <c r="A241">
        <v>240</v>
      </c>
      <c r="B241" t="str">
        <f t="shared" si="21"/>
        <v>2012_WAS</v>
      </c>
      <c r="C241">
        <v>2012</v>
      </c>
      <c r="D241" t="s">
        <v>474</v>
      </c>
      <c r="E241">
        <v>27.5</v>
      </c>
      <c r="F241">
        <v>-130</v>
      </c>
      <c r="G241">
        <v>100</v>
      </c>
      <c r="H241">
        <v>29</v>
      </c>
      <c r="I241" t="str">
        <f t="shared" si="26"/>
        <v>O</v>
      </c>
      <c r="J241">
        <f t="shared" si="22"/>
        <v>0.56521739130434778</v>
      </c>
      <c r="K241">
        <f t="shared" si="23"/>
        <v>0.5</v>
      </c>
      <c r="L241">
        <f t="shared" si="27"/>
        <v>6.5217391304347783E-2</v>
      </c>
      <c r="M241">
        <f t="shared" si="24"/>
        <v>0</v>
      </c>
      <c r="N241">
        <f t="shared" si="25"/>
        <v>1</v>
      </c>
    </row>
    <row r="242" spans="1:14" x14ac:dyDescent="0.25">
      <c r="A242">
        <v>241</v>
      </c>
      <c r="B242" t="str">
        <f t="shared" si="21"/>
        <v>2013_ATL</v>
      </c>
      <c r="C242">
        <v>2013</v>
      </c>
      <c r="D242" t="s">
        <v>5</v>
      </c>
      <c r="E242">
        <v>39.5</v>
      </c>
      <c r="F242">
        <v>-125</v>
      </c>
      <c r="G242">
        <v>-105</v>
      </c>
      <c r="H242">
        <v>38</v>
      </c>
      <c r="I242" t="str">
        <f t="shared" si="26"/>
        <v>U</v>
      </c>
      <c r="J242">
        <f t="shared" si="22"/>
        <v>0.55555555555555558</v>
      </c>
      <c r="K242">
        <f t="shared" si="23"/>
        <v>0.51219512195121952</v>
      </c>
      <c r="L242">
        <f t="shared" si="27"/>
        <v>4.3360433604336057E-2</v>
      </c>
      <c r="M242">
        <f t="shared" si="24"/>
        <v>0</v>
      </c>
      <c r="N242">
        <f t="shared" si="25"/>
        <v>0</v>
      </c>
    </row>
    <row r="243" spans="1:14" x14ac:dyDescent="0.25">
      <c r="A243">
        <v>242</v>
      </c>
      <c r="B243" t="str">
        <f t="shared" si="21"/>
        <v>2013_BOS</v>
      </c>
      <c r="C243">
        <v>2013</v>
      </c>
      <c r="D243" t="s">
        <v>17</v>
      </c>
      <c r="E243">
        <v>28.5</v>
      </c>
      <c r="F243">
        <v>-115</v>
      </c>
      <c r="G243">
        <v>-115</v>
      </c>
      <c r="H243">
        <v>25</v>
      </c>
      <c r="I243" t="str">
        <f t="shared" si="26"/>
        <v>U</v>
      </c>
      <c r="J243">
        <f t="shared" si="22"/>
        <v>0.53488372093023251</v>
      </c>
      <c r="K243">
        <f t="shared" si="23"/>
        <v>0.53488372093023251</v>
      </c>
      <c r="L243">
        <f t="shared" si="27"/>
        <v>0</v>
      </c>
      <c r="M243">
        <f t="shared" si="24"/>
        <v>0</v>
      </c>
      <c r="N243">
        <f t="shared" si="25"/>
        <v>0</v>
      </c>
    </row>
    <row r="244" spans="1:14" x14ac:dyDescent="0.25">
      <c r="A244">
        <v>243</v>
      </c>
      <c r="B244" t="str">
        <f t="shared" si="21"/>
        <v>2013_BRK</v>
      </c>
      <c r="C244">
        <v>2013</v>
      </c>
      <c r="D244" t="s">
        <v>80</v>
      </c>
      <c r="E244">
        <v>52.5</v>
      </c>
      <c r="F244">
        <v>-120</v>
      </c>
      <c r="G244">
        <v>-110</v>
      </c>
      <c r="H244">
        <v>44</v>
      </c>
      <c r="I244" t="str">
        <f t="shared" si="26"/>
        <v>U</v>
      </c>
      <c r="J244">
        <f t="shared" si="22"/>
        <v>0.54545454545454541</v>
      </c>
      <c r="K244">
        <f t="shared" si="23"/>
        <v>0.52380952380952384</v>
      </c>
      <c r="L244">
        <f t="shared" si="27"/>
        <v>2.1645021645021578E-2</v>
      </c>
      <c r="M244">
        <f t="shared" si="24"/>
        <v>0</v>
      </c>
      <c r="N244">
        <f t="shared" si="25"/>
        <v>0</v>
      </c>
    </row>
    <row r="245" spans="1:14" x14ac:dyDescent="0.25">
      <c r="A245">
        <v>244</v>
      </c>
      <c r="B245" t="str">
        <f t="shared" si="21"/>
        <v>2013_CHO</v>
      </c>
      <c r="C245">
        <v>2013</v>
      </c>
      <c r="D245" t="s">
        <v>467</v>
      </c>
      <c r="E245">
        <v>26</v>
      </c>
      <c r="F245">
        <v>-120</v>
      </c>
      <c r="G245">
        <v>-110</v>
      </c>
      <c r="H245">
        <v>43</v>
      </c>
      <c r="I245" t="str">
        <f t="shared" si="26"/>
        <v>O</v>
      </c>
      <c r="J245">
        <f t="shared" si="22"/>
        <v>0.54545454545454541</v>
      </c>
      <c r="K245">
        <f t="shared" si="23"/>
        <v>0.52380952380952384</v>
      </c>
      <c r="L245">
        <f t="shared" si="27"/>
        <v>2.1645021645021578E-2</v>
      </c>
      <c r="M245">
        <f t="shared" si="24"/>
        <v>0</v>
      </c>
      <c r="N245">
        <f t="shared" si="25"/>
        <v>0</v>
      </c>
    </row>
    <row r="246" spans="1:14" x14ac:dyDescent="0.25">
      <c r="A246">
        <v>245</v>
      </c>
      <c r="B246" t="str">
        <f t="shared" si="21"/>
        <v>2013_CHI</v>
      </c>
      <c r="C246">
        <v>2013</v>
      </c>
      <c r="D246" t="s">
        <v>0</v>
      </c>
      <c r="E246">
        <v>56.5</v>
      </c>
      <c r="F246">
        <v>-105</v>
      </c>
      <c r="G246">
        <v>-125</v>
      </c>
      <c r="H246">
        <v>48</v>
      </c>
      <c r="I246" t="str">
        <f t="shared" si="26"/>
        <v>U</v>
      </c>
      <c r="J246">
        <f t="shared" si="22"/>
        <v>0.51219512195121952</v>
      </c>
      <c r="K246">
        <f t="shared" si="23"/>
        <v>0.55555555555555558</v>
      </c>
      <c r="L246">
        <f t="shared" si="27"/>
        <v>-4.3360433604336057E-2</v>
      </c>
      <c r="M246">
        <f t="shared" si="24"/>
        <v>0</v>
      </c>
      <c r="N246">
        <f t="shared" si="25"/>
        <v>0</v>
      </c>
    </row>
    <row r="247" spans="1:14" x14ac:dyDescent="0.25">
      <c r="A247">
        <v>246</v>
      </c>
      <c r="B247" t="str">
        <f t="shared" si="21"/>
        <v>2013_CLE</v>
      </c>
      <c r="C247">
        <v>2013</v>
      </c>
      <c r="D247" t="s">
        <v>6</v>
      </c>
      <c r="E247">
        <v>40.5</v>
      </c>
      <c r="F247">
        <v>100</v>
      </c>
      <c r="G247">
        <v>-130</v>
      </c>
      <c r="H247">
        <v>33</v>
      </c>
      <c r="I247" t="str">
        <f t="shared" si="26"/>
        <v>U</v>
      </c>
      <c r="J247">
        <f t="shared" si="22"/>
        <v>0.5</v>
      </c>
      <c r="K247">
        <f t="shared" si="23"/>
        <v>0.56521739130434778</v>
      </c>
      <c r="L247">
        <f t="shared" si="27"/>
        <v>-6.5217391304347783E-2</v>
      </c>
      <c r="M247">
        <f t="shared" si="24"/>
        <v>1</v>
      </c>
      <c r="N247">
        <f t="shared" si="25"/>
        <v>0</v>
      </c>
    </row>
    <row r="248" spans="1:14" x14ac:dyDescent="0.25">
      <c r="A248">
        <v>247</v>
      </c>
      <c r="B248" t="str">
        <f t="shared" si="21"/>
        <v>2013_DAL</v>
      </c>
      <c r="C248">
        <v>2013</v>
      </c>
      <c r="D248" t="s">
        <v>16</v>
      </c>
      <c r="E248">
        <v>43.5</v>
      </c>
      <c r="F248">
        <v>-120</v>
      </c>
      <c r="G248">
        <v>-110</v>
      </c>
      <c r="H248">
        <v>49</v>
      </c>
      <c r="I248" t="str">
        <f t="shared" si="26"/>
        <v>O</v>
      </c>
      <c r="J248">
        <f t="shared" si="22"/>
        <v>0.54545454545454541</v>
      </c>
      <c r="K248">
        <f t="shared" si="23"/>
        <v>0.52380952380952384</v>
      </c>
      <c r="L248">
        <f t="shared" si="27"/>
        <v>2.1645021645021578E-2</v>
      </c>
      <c r="M248">
        <f t="shared" si="24"/>
        <v>0</v>
      </c>
      <c r="N248">
        <f t="shared" si="25"/>
        <v>0</v>
      </c>
    </row>
    <row r="249" spans="1:14" x14ac:dyDescent="0.25">
      <c r="A249">
        <v>248</v>
      </c>
      <c r="B249" t="str">
        <f t="shared" si="21"/>
        <v>2013_DEN</v>
      </c>
      <c r="C249">
        <v>2013</v>
      </c>
      <c r="D249" t="s">
        <v>23</v>
      </c>
      <c r="E249">
        <v>46.5</v>
      </c>
      <c r="F249">
        <v>-105</v>
      </c>
      <c r="G249">
        <v>-125</v>
      </c>
      <c r="H249">
        <v>36</v>
      </c>
      <c r="I249" t="str">
        <f t="shared" si="26"/>
        <v>U</v>
      </c>
      <c r="J249">
        <f t="shared" si="22"/>
        <v>0.51219512195121952</v>
      </c>
      <c r="K249">
        <f t="shared" si="23"/>
        <v>0.55555555555555558</v>
      </c>
      <c r="L249">
        <f t="shared" si="27"/>
        <v>-4.3360433604336057E-2</v>
      </c>
      <c r="M249">
        <f t="shared" si="24"/>
        <v>0</v>
      </c>
      <c r="N249">
        <f t="shared" si="25"/>
        <v>0</v>
      </c>
    </row>
    <row r="250" spans="1:14" x14ac:dyDescent="0.25">
      <c r="A250">
        <v>249</v>
      </c>
      <c r="B250" t="str">
        <f t="shared" si="21"/>
        <v>2013_DET</v>
      </c>
      <c r="C250">
        <v>2013</v>
      </c>
      <c r="D250" t="s">
        <v>7</v>
      </c>
      <c r="E250">
        <v>40.5</v>
      </c>
      <c r="F250">
        <v>105</v>
      </c>
      <c r="G250">
        <v>-135</v>
      </c>
      <c r="H250">
        <v>29</v>
      </c>
      <c r="I250" t="str">
        <f t="shared" si="26"/>
        <v>U</v>
      </c>
      <c r="J250">
        <f t="shared" si="22"/>
        <v>0.48780487804878048</v>
      </c>
      <c r="K250">
        <f t="shared" si="23"/>
        <v>0.57446808510638303</v>
      </c>
      <c r="L250">
        <f t="shared" si="27"/>
        <v>-8.6663207057602554E-2</v>
      </c>
      <c r="M250">
        <f t="shared" si="24"/>
        <v>1</v>
      </c>
      <c r="N250">
        <f t="shared" si="25"/>
        <v>0</v>
      </c>
    </row>
    <row r="251" spans="1:14" x14ac:dyDescent="0.25">
      <c r="A251">
        <v>250</v>
      </c>
      <c r="B251" t="str">
        <f t="shared" si="21"/>
        <v>2013_GSW</v>
      </c>
      <c r="C251">
        <v>2013</v>
      </c>
      <c r="D251" t="s">
        <v>468</v>
      </c>
      <c r="E251">
        <v>51</v>
      </c>
      <c r="F251">
        <v>-115</v>
      </c>
      <c r="G251">
        <v>-115</v>
      </c>
      <c r="H251">
        <v>51</v>
      </c>
      <c r="I251" t="str">
        <f t="shared" si="26"/>
        <v>E</v>
      </c>
      <c r="J251">
        <f t="shared" si="22"/>
        <v>0.53488372093023251</v>
      </c>
      <c r="K251">
        <f t="shared" si="23"/>
        <v>0.53488372093023251</v>
      </c>
      <c r="L251">
        <f t="shared" si="27"/>
        <v>0</v>
      </c>
      <c r="M251">
        <f t="shared" si="24"/>
        <v>0</v>
      </c>
      <c r="N251">
        <f t="shared" si="25"/>
        <v>0</v>
      </c>
    </row>
    <row r="252" spans="1:14" x14ac:dyDescent="0.25">
      <c r="A252">
        <v>251</v>
      </c>
      <c r="B252" t="str">
        <f t="shared" si="21"/>
        <v>2013_HOU</v>
      </c>
      <c r="C252">
        <v>2013</v>
      </c>
      <c r="D252" t="s">
        <v>4</v>
      </c>
      <c r="E252">
        <v>54.5</v>
      </c>
      <c r="F252">
        <v>-115</v>
      </c>
      <c r="G252">
        <v>-115</v>
      </c>
      <c r="H252">
        <v>54</v>
      </c>
      <c r="I252" t="str">
        <f t="shared" si="26"/>
        <v>U</v>
      </c>
      <c r="J252">
        <f t="shared" si="22"/>
        <v>0.53488372093023251</v>
      </c>
      <c r="K252">
        <f t="shared" si="23"/>
        <v>0.53488372093023251</v>
      </c>
      <c r="L252">
        <f t="shared" si="27"/>
        <v>0</v>
      </c>
      <c r="M252">
        <f t="shared" si="24"/>
        <v>0</v>
      </c>
      <c r="N252">
        <f t="shared" si="25"/>
        <v>0</v>
      </c>
    </row>
    <row r="253" spans="1:14" x14ac:dyDescent="0.25">
      <c r="A253">
        <v>252</v>
      </c>
      <c r="B253" t="str">
        <f t="shared" si="21"/>
        <v>2013_IND</v>
      </c>
      <c r="C253">
        <v>2013</v>
      </c>
      <c r="D253" t="s">
        <v>13</v>
      </c>
      <c r="E253">
        <v>54.5</v>
      </c>
      <c r="F253">
        <v>-115</v>
      </c>
      <c r="G253">
        <v>-115</v>
      </c>
      <c r="H253">
        <v>56</v>
      </c>
      <c r="I253" t="str">
        <f t="shared" si="26"/>
        <v>O</v>
      </c>
      <c r="J253">
        <f t="shared" si="22"/>
        <v>0.53488372093023251</v>
      </c>
      <c r="K253">
        <f t="shared" si="23"/>
        <v>0.53488372093023251</v>
      </c>
      <c r="L253">
        <f t="shared" si="27"/>
        <v>0</v>
      </c>
      <c r="M253">
        <f t="shared" si="24"/>
        <v>0</v>
      </c>
      <c r="N253">
        <f t="shared" si="25"/>
        <v>0</v>
      </c>
    </row>
    <row r="254" spans="1:14" x14ac:dyDescent="0.25">
      <c r="A254">
        <v>253</v>
      </c>
      <c r="B254" t="str">
        <f t="shared" si="21"/>
        <v>2013_LAC</v>
      </c>
      <c r="C254">
        <v>2013</v>
      </c>
      <c r="D254" t="s">
        <v>14</v>
      </c>
      <c r="E254">
        <v>57.5</v>
      </c>
      <c r="F254">
        <v>-105</v>
      </c>
      <c r="G254">
        <v>-125</v>
      </c>
      <c r="H254">
        <v>57</v>
      </c>
      <c r="I254" t="str">
        <f t="shared" si="26"/>
        <v>U</v>
      </c>
      <c r="J254">
        <f t="shared" si="22"/>
        <v>0.51219512195121952</v>
      </c>
      <c r="K254">
        <f t="shared" si="23"/>
        <v>0.55555555555555558</v>
      </c>
      <c r="L254">
        <f t="shared" si="27"/>
        <v>-4.3360433604336057E-2</v>
      </c>
      <c r="M254">
        <f t="shared" si="24"/>
        <v>0</v>
      </c>
      <c r="N254">
        <f t="shared" si="25"/>
        <v>0</v>
      </c>
    </row>
    <row r="255" spans="1:14" x14ac:dyDescent="0.25">
      <c r="A255">
        <v>254</v>
      </c>
      <c r="B255" t="str">
        <f t="shared" si="21"/>
        <v>2013_LAL</v>
      </c>
      <c r="C255">
        <v>2013</v>
      </c>
      <c r="D255" t="s">
        <v>18</v>
      </c>
      <c r="E255">
        <v>36.5</v>
      </c>
      <c r="F255">
        <v>100</v>
      </c>
      <c r="G255">
        <v>-130</v>
      </c>
      <c r="H255">
        <v>27</v>
      </c>
      <c r="I255" t="str">
        <f t="shared" si="26"/>
        <v>U</v>
      </c>
      <c r="J255">
        <f t="shared" si="22"/>
        <v>0.5</v>
      </c>
      <c r="K255">
        <f t="shared" si="23"/>
        <v>0.56521739130434778</v>
      </c>
      <c r="L255">
        <f t="shared" si="27"/>
        <v>-6.5217391304347783E-2</v>
      </c>
      <c r="M255">
        <f t="shared" si="24"/>
        <v>1</v>
      </c>
      <c r="N255">
        <f t="shared" si="25"/>
        <v>0</v>
      </c>
    </row>
    <row r="256" spans="1:14" x14ac:dyDescent="0.25">
      <c r="A256">
        <v>255</v>
      </c>
      <c r="B256" t="str">
        <f t="shared" si="21"/>
        <v>2013_MEM</v>
      </c>
      <c r="C256">
        <v>2013</v>
      </c>
      <c r="D256" t="s">
        <v>9</v>
      </c>
      <c r="E256">
        <v>50.5</v>
      </c>
      <c r="F256">
        <v>-140</v>
      </c>
      <c r="G256">
        <v>110</v>
      </c>
      <c r="H256">
        <v>50</v>
      </c>
      <c r="I256" t="str">
        <f t="shared" si="26"/>
        <v>U</v>
      </c>
      <c r="J256">
        <f t="shared" si="22"/>
        <v>0.58333333333333337</v>
      </c>
      <c r="K256">
        <f t="shared" si="23"/>
        <v>0.47619047619047616</v>
      </c>
      <c r="L256">
        <f t="shared" si="27"/>
        <v>0.10714285714285721</v>
      </c>
      <c r="M256">
        <f t="shared" si="24"/>
        <v>0</v>
      </c>
      <c r="N256">
        <f t="shared" si="25"/>
        <v>1</v>
      </c>
    </row>
    <row r="257" spans="1:14" x14ac:dyDescent="0.25">
      <c r="A257">
        <v>256</v>
      </c>
      <c r="B257" t="str">
        <f t="shared" si="21"/>
        <v>2013_MIA</v>
      </c>
      <c r="C257">
        <v>2013</v>
      </c>
      <c r="D257" t="s">
        <v>15</v>
      </c>
      <c r="E257">
        <v>61.5</v>
      </c>
      <c r="F257">
        <v>-115</v>
      </c>
      <c r="G257">
        <v>-115</v>
      </c>
      <c r="H257">
        <v>54</v>
      </c>
      <c r="I257" t="str">
        <f t="shared" si="26"/>
        <v>U</v>
      </c>
      <c r="J257">
        <f t="shared" si="22"/>
        <v>0.53488372093023251</v>
      </c>
      <c r="K257">
        <f t="shared" si="23"/>
        <v>0.53488372093023251</v>
      </c>
      <c r="L257">
        <f t="shared" si="27"/>
        <v>0</v>
      </c>
      <c r="M257">
        <f t="shared" si="24"/>
        <v>0</v>
      </c>
      <c r="N257">
        <f t="shared" si="25"/>
        <v>0</v>
      </c>
    </row>
    <row r="258" spans="1:14" x14ac:dyDescent="0.25">
      <c r="A258">
        <v>257</v>
      </c>
      <c r="B258" t="str">
        <f t="shared" ref="B258:B321" si="28">CONCATENATE(C258,"_",D258)</f>
        <v>2013_MIL</v>
      </c>
      <c r="C258">
        <v>2013</v>
      </c>
      <c r="D258" t="s">
        <v>10</v>
      </c>
      <c r="E258">
        <v>28.5</v>
      </c>
      <c r="F258">
        <v>-115</v>
      </c>
      <c r="G258">
        <v>-115</v>
      </c>
      <c r="H258">
        <v>15</v>
      </c>
      <c r="I258" t="str">
        <f t="shared" si="26"/>
        <v>U</v>
      </c>
      <c r="J258">
        <f t="shared" ref="J258:J321" si="29">IF(ISNUMBER(F258),IF(F258&lt;0,-F258/(-F258+100),100/(F258+100)),"na")</f>
        <v>0.53488372093023251</v>
      </c>
      <c r="K258">
        <f t="shared" ref="K258:K321" si="30">IF(ISNUMBER(G258),IF(G258&lt;0,-G258/(-G258+100),100/(G258+100)),"na")</f>
        <v>0.53488372093023251</v>
      </c>
      <c r="L258">
        <f t="shared" si="27"/>
        <v>0</v>
      </c>
      <c r="M258">
        <f t="shared" ref="M258:M322" si="31">IF(ISNUMBER(F258),IF(F258&gt;0,1,0),"na")</f>
        <v>0</v>
      </c>
      <c r="N258">
        <f t="shared" ref="N258:N322" si="32">IF(ISNUMBER(G258),IF(G258&gt;0,1,0),"na")</f>
        <v>0</v>
      </c>
    </row>
    <row r="259" spans="1:14" x14ac:dyDescent="0.25">
      <c r="A259">
        <v>258</v>
      </c>
      <c r="B259" t="str">
        <f t="shared" si="28"/>
        <v>2013_MIN</v>
      </c>
      <c r="C259">
        <v>2013</v>
      </c>
      <c r="D259" t="s">
        <v>3</v>
      </c>
      <c r="E259">
        <v>40.5</v>
      </c>
      <c r="F259">
        <v>-115</v>
      </c>
      <c r="G259">
        <v>-115</v>
      </c>
      <c r="H259">
        <v>40</v>
      </c>
      <c r="I259" t="str">
        <f t="shared" ref="I259:I322" si="33">IF(NOT(OR(ISBLANK(E259),ISBLANK(H259))),IF(E259&lt;H259,"O",IF(E259&gt;H259,"U","E")),"")</f>
        <v>U</v>
      </c>
      <c r="J259">
        <f t="shared" si="29"/>
        <v>0.53488372093023251</v>
      </c>
      <c r="K259">
        <f t="shared" si="30"/>
        <v>0.53488372093023251</v>
      </c>
      <c r="L259">
        <f t="shared" ref="L259:L322" si="34">IF(AND(ISNUMBER(J259),ISNUMBER(K259)),J259-K259,"na")</f>
        <v>0</v>
      </c>
      <c r="M259">
        <f t="shared" si="31"/>
        <v>0</v>
      </c>
      <c r="N259">
        <f t="shared" si="32"/>
        <v>0</v>
      </c>
    </row>
    <row r="260" spans="1:14" x14ac:dyDescent="0.25">
      <c r="A260">
        <v>259</v>
      </c>
      <c r="B260" t="str">
        <f t="shared" si="28"/>
        <v>2013_NOP</v>
      </c>
      <c r="C260">
        <v>2013</v>
      </c>
      <c r="D260" t="s">
        <v>469</v>
      </c>
      <c r="E260">
        <v>39</v>
      </c>
      <c r="F260">
        <v>-120</v>
      </c>
      <c r="G260">
        <v>-110</v>
      </c>
      <c r="H260">
        <v>34</v>
      </c>
      <c r="I260" t="str">
        <f t="shared" si="33"/>
        <v>U</v>
      </c>
      <c r="J260">
        <f t="shared" si="29"/>
        <v>0.54545454545454541</v>
      </c>
      <c r="K260">
        <f t="shared" si="30"/>
        <v>0.52380952380952384</v>
      </c>
      <c r="L260">
        <f t="shared" si="34"/>
        <v>2.1645021645021578E-2</v>
      </c>
      <c r="M260">
        <f t="shared" si="31"/>
        <v>0</v>
      </c>
      <c r="N260">
        <f t="shared" si="32"/>
        <v>0</v>
      </c>
    </row>
    <row r="261" spans="1:14" x14ac:dyDescent="0.25">
      <c r="A261">
        <v>260</v>
      </c>
      <c r="B261" t="str">
        <f t="shared" si="28"/>
        <v>2013_NYK</v>
      </c>
      <c r="C261">
        <v>2013</v>
      </c>
      <c r="D261" t="s">
        <v>470</v>
      </c>
      <c r="E261">
        <v>50</v>
      </c>
      <c r="F261">
        <v>-115</v>
      </c>
      <c r="G261">
        <v>-115</v>
      </c>
      <c r="H261">
        <v>37</v>
      </c>
      <c r="I261" t="str">
        <f t="shared" si="33"/>
        <v>U</v>
      </c>
      <c r="J261">
        <f t="shared" si="29"/>
        <v>0.53488372093023251</v>
      </c>
      <c r="K261">
        <f t="shared" si="30"/>
        <v>0.53488372093023251</v>
      </c>
      <c r="L261">
        <f t="shared" si="34"/>
        <v>0</v>
      </c>
      <c r="M261">
        <f t="shared" si="31"/>
        <v>0</v>
      </c>
      <c r="N261">
        <f t="shared" si="32"/>
        <v>0</v>
      </c>
    </row>
    <row r="262" spans="1:14" x14ac:dyDescent="0.25">
      <c r="A262">
        <v>261</v>
      </c>
      <c r="B262" t="str">
        <f t="shared" si="28"/>
        <v>2013_OKC</v>
      </c>
      <c r="C262">
        <v>2013</v>
      </c>
      <c r="D262" t="s">
        <v>12</v>
      </c>
      <c r="E262">
        <v>51.5</v>
      </c>
      <c r="F262">
        <v>-140</v>
      </c>
      <c r="G262">
        <v>110</v>
      </c>
      <c r="H262">
        <v>59</v>
      </c>
      <c r="I262" t="str">
        <f t="shared" si="33"/>
        <v>O</v>
      </c>
      <c r="J262">
        <f t="shared" si="29"/>
        <v>0.58333333333333337</v>
      </c>
      <c r="K262">
        <f t="shared" si="30"/>
        <v>0.47619047619047616</v>
      </c>
      <c r="L262">
        <f t="shared" si="34"/>
        <v>0.10714285714285721</v>
      </c>
      <c r="M262">
        <f t="shared" si="31"/>
        <v>0</v>
      </c>
      <c r="N262">
        <f t="shared" si="32"/>
        <v>1</v>
      </c>
    </row>
    <row r="263" spans="1:14" x14ac:dyDescent="0.25">
      <c r="A263">
        <v>262</v>
      </c>
      <c r="B263" t="str">
        <f t="shared" si="28"/>
        <v>2013_ORL</v>
      </c>
      <c r="C263">
        <v>2013</v>
      </c>
      <c r="D263" t="s">
        <v>11</v>
      </c>
      <c r="E263">
        <v>23.5</v>
      </c>
      <c r="F263">
        <v>-105</v>
      </c>
      <c r="G263">
        <v>-125</v>
      </c>
      <c r="H263">
        <v>23</v>
      </c>
      <c r="I263" t="str">
        <f t="shared" si="33"/>
        <v>U</v>
      </c>
      <c r="J263">
        <f t="shared" si="29"/>
        <v>0.51219512195121952</v>
      </c>
      <c r="K263">
        <f t="shared" si="30"/>
        <v>0.55555555555555558</v>
      </c>
      <c r="L263">
        <f t="shared" si="34"/>
        <v>-4.3360433604336057E-2</v>
      </c>
      <c r="M263">
        <f t="shared" si="31"/>
        <v>0</v>
      </c>
      <c r="N263">
        <f t="shared" si="32"/>
        <v>0</v>
      </c>
    </row>
    <row r="264" spans="1:14" x14ac:dyDescent="0.25">
      <c r="A264">
        <v>263</v>
      </c>
      <c r="B264" t="str">
        <f t="shared" si="28"/>
        <v>2013_PHI</v>
      </c>
      <c r="C264">
        <v>2013</v>
      </c>
      <c r="D264" t="s">
        <v>20</v>
      </c>
      <c r="E264">
        <v>16.5</v>
      </c>
      <c r="F264">
        <v>-130</v>
      </c>
      <c r="G264">
        <v>100</v>
      </c>
      <c r="H264">
        <v>19</v>
      </c>
      <c r="I264" t="str">
        <f t="shared" si="33"/>
        <v>O</v>
      </c>
      <c r="J264">
        <f t="shared" si="29"/>
        <v>0.56521739130434778</v>
      </c>
      <c r="K264">
        <f t="shared" si="30"/>
        <v>0.5</v>
      </c>
      <c r="L264">
        <f t="shared" si="34"/>
        <v>6.5217391304347783E-2</v>
      </c>
      <c r="M264">
        <f t="shared" si="31"/>
        <v>0</v>
      </c>
      <c r="N264">
        <f t="shared" si="32"/>
        <v>1</v>
      </c>
    </row>
    <row r="265" spans="1:14" x14ac:dyDescent="0.25">
      <c r="A265">
        <v>264</v>
      </c>
      <c r="B265" t="str">
        <f t="shared" si="28"/>
        <v>2013_PHO</v>
      </c>
      <c r="C265">
        <v>2013</v>
      </c>
      <c r="D265" t="s">
        <v>471</v>
      </c>
      <c r="E265">
        <v>20.5</v>
      </c>
      <c r="F265">
        <v>-110</v>
      </c>
      <c r="G265">
        <v>-120</v>
      </c>
      <c r="H265">
        <v>48</v>
      </c>
      <c r="I265" t="str">
        <f t="shared" si="33"/>
        <v>O</v>
      </c>
      <c r="J265">
        <f t="shared" si="29"/>
        <v>0.52380952380952384</v>
      </c>
      <c r="K265">
        <f t="shared" si="30"/>
        <v>0.54545454545454541</v>
      </c>
      <c r="L265">
        <f t="shared" si="34"/>
        <v>-2.1645021645021578E-2</v>
      </c>
      <c r="M265">
        <f t="shared" si="31"/>
        <v>0</v>
      </c>
      <c r="N265">
        <f t="shared" si="32"/>
        <v>0</v>
      </c>
    </row>
    <row r="266" spans="1:14" x14ac:dyDescent="0.25">
      <c r="A266">
        <v>265</v>
      </c>
      <c r="B266" t="str">
        <f t="shared" si="28"/>
        <v>2013_POR</v>
      </c>
      <c r="C266">
        <v>2013</v>
      </c>
      <c r="D266" t="s">
        <v>1</v>
      </c>
      <c r="E266">
        <v>38.5</v>
      </c>
      <c r="F266">
        <v>-120</v>
      </c>
      <c r="G266">
        <v>-110</v>
      </c>
      <c r="H266">
        <v>54</v>
      </c>
      <c r="I266" t="str">
        <f t="shared" si="33"/>
        <v>O</v>
      </c>
      <c r="J266">
        <f t="shared" si="29"/>
        <v>0.54545454545454541</v>
      </c>
      <c r="K266">
        <f t="shared" si="30"/>
        <v>0.52380952380952384</v>
      </c>
      <c r="L266">
        <f t="shared" si="34"/>
        <v>2.1645021645021578E-2</v>
      </c>
      <c r="M266">
        <f t="shared" si="31"/>
        <v>0</v>
      </c>
      <c r="N266">
        <f t="shared" si="32"/>
        <v>0</v>
      </c>
    </row>
    <row r="267" spans="1:14" x14ac:dyDescent="0.25">
      <c r="A267">
        <v>266</v>
      </c>
      <c r="B267" t="str">
        <f t="shared" si="28"/>
        <v>2013_SAC</v>
      </c>
      <c r="C267">
        <v>2013</v>
      </c>
      <c r="D267" t="s">
        <v>21</v>
      </c>
      <c r="E267">
        <v>31.5</v>
      </c>
      <c r="F267">
        <v>-110</v>
      </c>
      <c r="G267">
        <v>-120</v>
      </c>
      <c r="H267">
        <v>28</v>
      </c>
      <c r="I267" t="str">
        <f t="shared" si="33"/>
        <v>U</v>
      </c>
      <c r="J267">
        <f t="shared" si="29"/>
        <v>0.52380952380952384</v>
      </c>
      <c r="K267">
        <f t="shared" si="30"/>
        <v>0.54545454545454541</v>
      </c>
      <c r="L267">
        <f t="shared" si="34"/>
        <v>-2.1645021645021578E-2</v>
      </c>
      <c r="M267">
        <f t="shared" si="31"/>
        <v>0</v>
      </c>
      <c r="N267">
        <f t="shared" si="32"/>
        <v>0</v>
      </c>
    </row>
    <row r="268" spans="1:14" x14ac:dyDescent="0.25">
      <c r="A268">
        <v>267</v>
      </c>
      <c r="B268" t="str">
        <f t="shared" si="28"/>
        <v>2013_SAS</v>
      </c>
      <c r="C268">
        <v>2013</v>
      </c>
      <c r="D268" t="s">
        <v>472</v>
      </c>
      <c r="E268">
        <v>55.5</v>
      </c>
      <c r="F268">
        <v>-110</v>
      </c>
      <c r="G268">
        <v>-120</v>
      </c>
      <c r="H268">
        <v>62</v>
      </c>
      <c r="I268" t="str">
        <f t="shared" si="33"/>
        <v>O</v>
      </c>
      <c r="J268">
        <f t="shared" si="29"/>
        <v>0.52380952380952384</v>
      </c>
      <c r="K268">
        <f t="shared" si="30"/>
        <v>0.54545454545454541</v>
      </c>
      <c r="L268">
        <f t="shared" si="34"/>
        <v>-2.1645021645021578E-2</v>
      </c>
      <c r="M268">
        <f t="shared" si="31"/>
        <v>0</v>
      </c>
      <c r="N268">
        <f t="shared" si="32"/>
        <v>0</v>
      </c>
    </row>
    <row r="269" spans="1:14" x14ac:dyDescent="0.25">
      <c r="A269">
        <v>268</v>
      </c>
      <c r="B269" t="str">
        <f t="shared" si="28"/>
        <v>2013_TOR</v>
      </c>
      <c r="C269">
        <v>2013</v>
      </c>
      <c r="D269" t="s">
        <v>2</v>
      </c>
      <c r="E269">
        <v>35.5</v>
      </c>
      <c r="F269">
        <v>-115</v>
      </c>
      <c r="G269">
        <v>-115</v>
      </c>
      <c r="H269">
        <v>48</v>
      </c>
      <c r="I269" t="str">
        <f t="shared" si="33"/>
        <v>O</v>
      </c>
      <c r="J269">
        <f t="shared" si="29"/>
        <v>0.53488372093023251</v>
      </c>
      <c r="K269">
        <f t="shared" si="30"/>
        <v>0.53488372093023251</v>
      </c>
      <c r="L269">
        <f t="shared" si="34"/>
        <v>0</v>
      </c>
      <c r="M269">
        <f t="shared" si="31"/>
        <v>0</v>
      </c>
      <c r="N269">
        <f t="shared" si="32"/>
        <v>0</v>
      </c>
    </row>
    <row r="270" spans="1:14" x14ac:dyDescent="0.25">
      <c r="A270">
        <v>269</v>
      </c>
      <c r="B270" t="str">
        <f t="shared" si="28"/>
        <v>2013_UTA</v>
      </c>
      <c r="C270">
        <v>2013</v>
      </c>
      <c r="D270" t="s">
        <v>473</v>
      </c>
      <c r="E270">
        <v>26.5</v>
      </c>
      <c r="F270">
        <v>100</v>
      </c>
      <c r="G270">
        <v>-130</v>
      </c>
      <c r="H270">
        <v>25</v>
      </c>
      <c r="I270" t="str">
        <f t="shared" si="33"/>
        <v>U</v>
      </c>
      <c r="J270">
        <f t="shared" si="29"/>
        <v>0.5</v>
      </c>
      <c r="K270">
        <f t="shared" si="30"/>
        <v>0.56521739130434778</v>
      </c>
      <c r="L270">
        <f t="shared" si="34"/>
        <v>-6.5217391304347783E-2</v>
      </c>
      <c r="M270">
        <f t="shared" si="31"/>
        <v>1</v>
      </c>
      <c r="N270">
        <f t="shared" si="32"/>
        <v>0</v>
      </c>
    </row>
    <row r="271" spans="1:14" x14ac:dyDescent="0.25">
      <c r="A271">
        <v>270</v>
      </c>
      <c r="B271" t="str">
        <f t="shared" si="28"/>
        <v>2013_WAS</v>
      </c>
      <c r="C271">
        <v>2013</v>
      </c>
      <c r="D271" t="s">
        <v>474</v>
      </c>
      <c r="E271">
        <v>39.5</v>
      </c>
      <c r="F271">
        <v>-110</v>
      </c>
      <c r="G271">
        <v>-120</v>
      </c>
      <c r="H271">
        <v>44</v>
      </c>
      <c r="I271" t="str">
        <f t="shared" si="33"/>
        <v>O</v>
      </c>
      <c r="J271">
        <f t="shared" si="29"/>
        <v>0.52380952380952384</v>
      </c>
      <c r="K271">
        <f t="shared" si="30"/>
        <v>0.54545454545454541</v>
      </c>
      <c r="L271">
        <f t="shared" si="34"/>
        <v>-2.1645021645021578E-2</v>
      </c>
      <c r="M271">
        <f t="shared" si="31"/>
        <v>0</v>
      </c>
      <c r="N271">
        <f t="shared" si="32"/>
        <v>0</v>
      </c>
    </row>
    <row r="272" spans="1:14" x14ac:dyDescent="0.25">
      <c r="A272">
        <v>271</v>
      </c>
      <c r="B272" t="str">
        <f t="shared" si="28"/>
        <v>2014_ATL</v>
      </c>
      <c r="C272">
        <v>2014</v>
      </c>
      <c r="D272" t="s">
        <v>5</v>
      </c>
      <c r="E272">
        <v>42.5</v>
      </c>
      <c r="F272">
        <v>-125</v>
      </c>
      <c r="G272">
        <v>-105</v>
      </c>
      <c r="H272">
        <v>60</v>
      </c>
      <c r="I272" t="str">
        <f t="shared" si="33"/>
        <v>O</v>
      </c>
      <c r="J272">
        <f t="shared" si="29"/>
        <v>0.55555555555555558</v>
      </c>
      <c r="K272">
        <f t="shared" si="30"/>
        <v>0.51219512195121952</v>
      </c>
      <c r="L272">
        <f t="shared" si="34"/>
        <v>4.3360433604336057E-2</v>
      </c>
      <c r="M272">
        <f t="shared" si="31"/>
        <v>0</v>
      </c>
      <c r="N272">
        <f t="shared" si="32"/>
        <v>0</v>
      </c>
    </row>
    <row r="273" spans="1:14" x14ac:dyDescent="0.25">
      <c r="A273">
        <v>272</v>
      </c>
      <c r="B273" t="str">
        <f t="shared" si="28"/>
        <v>2014_BOS</v>
      </c>
      <c r="C273">
        <v>2014</v>
      </c>
      <c r="D273" t="s">
        <v>17</v>
      </c>
      <c r="E273">
        <v>27</v>
      </c>
      <c r="F273">
        <v>-125</v>
      </c>
      <c r="G273">
        <v>-105</v>
      </c>
      <c r="H273">
        <v>40</v>
      </c>
      <c r="I273" t="str">
        <f t="shared" si="33"/>
        <v>O</v>
      </c>
      <c r="J273">
        <f t="shared" si="29"/>
        <v>0.55555555555555558</v>
      </c>
      <c r="K273">
        <f t="shared" si="30"/>
        <v>0.51219512195121952</v>
      </c>
      <c r="L273">
        <f t="shared" si="34"/>
        <v>4.3360433604336057E-2</v>
      </c>
      <c r="M273">
        <f t="shared" si="31"/>
        <v>0</v>
      </c>
      <c r="N273">
        <f t="shared" si="32"/>
        <v>0</v>
      </c>
    </row>
    <row r="274" spans="1:14" x14ac:dyDescent="0.25">
      <c r="A274">
        <v>273</v>
      </c>
      <c r="B274" t="str">
        <f t="shared" si="28"/>
        <v>2014_BRK</v>
      </c>
      <c r="C274">
        <v>2014</v>
      </c>
      <c r="D274" t="s">
        <v>80</v>
      </c>
      <c r="E274">
        <v>41.5</v>
      </c>
      <c r="F274">
        <v>-115</v>
      </c>
      <c r="G274">
        <v>-115</v>
      </c>
      <c r="H274">
        <v>38</v>
      </c>
      <c r="I274" t="str">
        <f t="shared" si="33"/>
        <v>U</v>
      </c>
      <c r="J274">
        <f t="shared" si="29"/>
        <v>0.53488372093023251</v>
      </c>
      <c r="K274">
        <f t="shared" si="30"/>
        <v>0.53488372093023251</v>
      </c>
      <c r="L274">
        <f t="shared" si="34"/>
        <v>0</v>
      </c>
      <c r="M274">
        <f t="shared" si="31"/>
        <v>0</v>
      </c>
      <c r="N274">
        <f t="shared" si="32"/>
        <v>0</v>
      </c>
    </row>
    <row r="275" spans="1:14" x14ac:dyDescent="0.25">
      <c r="A275">
        <v>274</v>
      </c>
      <c r="B275" t="str">
        <f t="shared" si="28"/>
        <v>2014_CHO</v>
      </c>
      <c r="C275">
        <v>2014</v>
      </c>
      <c r="D275" t="s">
        <v>467</v>
      </c>
      <c r="E275">
        <v>45</v>
      </c>
      <c r="F275">
        <v>-115</v>
      </c>
      <c r="G275">
        <v>-115</v>
      </c>
      <c r="H275">
        <v>33</v>
      </c>
      <c r="I275" t="str">
        <f t="shared" si="33"/>
        <v>U</v>
      </c>
      <c r="J275">
        <f t="shared" si="29"/>
        <v>0.53488372093023251</v>
      </c>
      <c r="K275">
        <f t="shared" si="30"/>
        <v>0.53488372093023251</v>
      </c>
      <c r="L275">
        <f t="shared" si="34"/>
        <v>0</v>
      </c>
      <c r="M275">
        <f t="shared" si="31"/>
        <v>0</v>
      </c>
      <c r="N275">
        <f t="shared" si="32"/>
        <v>0</v>
      </c>
    </row>
    <row r="276" spans="1:14" x14ac:dyDescent="0.25">
      <c r="A276">
        <v>275</v>
      </c>
      <c r="B276" t="str">
        <f t="shared" si="28"/>
        <v>2014_CHI</v>
      </c>
      <c r="C276">
        <v>2014</v>
      </c>
      <c r="D276" t="s">
        <v>0</v>
      </c>
      <c r="E276">
        <v>55.5</v>
      </c>
      <c r="F276">
        <v>-115</v>
      </c>
      <c r="G276">
        <v>-115</v>
      </c>
      <c r="H276">
        <v>50</v>
      </c>
      <c r="I276" t="str">
        <f t="shared" si="33"/>
        <v>U</v>
      </c>
      <c r="J276">
        <f t="shared" si="29"/>
        <v>0.53488372093023251</v>
      </c>
      <c r="K276">
        <f t="shared" si="30"/>
        <v>0.53488372093023251</v>
      </c>
      <c r="L276">
        <f t="shared" si="34"/>
        <v>0</v>
      </c>
      <c r="M276">
        <f t="shared" si="31"/>
        <v>0</v>
      </c>
      <c r="N276">
        <f t="shared" si="32"/>
        <v>0</v>
      </c>
    </row>
    <row r="277" spans="1:14" x14ac:dyDescent="0.25">
      <c r="A277">
        <v>276</v>
      </c>
      <c r="B277" t="str">
        <f t="shared" si="28"/>
        <v>2014_CLE</v>
      </c>
      <c r="C277">
        <v>2014</v>
      </c>
      <c r="D277" t="s">
        <v>6</v>
      </c>
      <c r="E277">
        <v>58.5</v>
      </c>
      <c r="F277">
        <v>-115</v>
      </c>
      <c r="G277">
        <v>-115</v>
      </c>
      <c r="H277">
        <v>53</v>
      </c>
      <c r="I277" t="str">
        <f t="shared" si="33"/>
        <v>U</v>
      </c>
      <c r="J277">
        <f t="shared" si="29"/>
        <v>0.53488372093023251</v>
      </c>
      <c r="K277">
        <f t="shared" si="30"/>
        <v>0.53488372093023251</v>
      </c>
      <c r="L277">
        <f t="shared" si="34"/>
        <v>0</v>
      </c>
      <c r="M277">
        <f t="shared" si="31"/>
        <v>0</v>
      </c>
      <c r="N277">
        <f t="shared" si="32"/>
        <v>0</v>
      </c>
    </row>
    <row r="278" spans="1:14" x14ac:dyDescent="0.25">
      <c r="A278">
        <v>277</v>
      </c>
      <c r="B278" t="str">
        <f t="shared" si="28"/>
        <v>2014_DAL</v>
      </c>
      <c r="C278">
        <v>2014</v>
      </c>
      <c r="D278" t="s">
        <v>16</v>
      </c>
      <c r="E278">
        <v>49.5</v>
      </c>
      <c r="F278">
        <v>-115</v>
      </c>
      <c r="G278">
        <v>-115</v>
      </c>
      <c r="H278">
        <v>50</v>
      </c>
      <c r="I278" t="str">
        <f t="shared" si="33"/>
        <v>O</v>
      </c>
      <c r="J278">
        <f t="shared" si="29"/>
        <v>0.53488372093023251</v>
      </c>
      <c r="K278">
        <f t="shared" si="30"/>
        <v>0.53488372093023251</v>
      </c>
      <c r="L278">
        <f t="shared" si="34"/>
        <v>0</v>
      </c>
      <c r="M278">
        <f t="shared" si="31"/>
        <v>0</v>
      </c>
      <c r="N278">
        <f t="shared" si="32"/>
        <v>0</v>
      </c>
    </row>
    <row r="279" spans="1:14" x14ac:dyDescent="0.25">
      <c r="A279">
        <v>278</v>
      </c>
      <c r="B279" t="str">
        <f t="shared" si="28"/>
        <v>2014_DEN</v>
      </c>
      <c r="C279">
        <v>2014</v>
      </c>
      <c r="D279" t="s">
        <v>23</v>
      </c>
      <c r="E279">
        <v>42</v>
      </c>
      <c r="F279">
        <v>-115</v>
      </c>
      <c r="G279">
        <v>-115</v>
      </c>
      <c r="H279">
        <v>30</v>
      </c>
      <c r="I279" t="str">
        <f t="shared" si="33"/>
        <v>U</v>
      </c>
      <c r="J279">
        <f t="shared" si="29"/>
        <v>0.53488372093023251</v>
      </c>
      <c r="K279">
        <f t="shared" si="30"/>
        <v>0.53488372093023251</v>
      </c>
      <c r="L279">
        <f t="shared" si="34"/>
        <v>0</v>
      </c>
      <c r="M279">
        <f t="shared" si="31"/>
        <v>0</v>
      </c>
      <c r="N279">
        <f t="shared" si="32"/>
        <v>0</v>
      </c>
    </row>
    <row r="280" spans="1:14" x14ac:dyDescent="0.25">
      <c r="A280">
        <v>279</v>
      </c>
      <c r="B280" t="str">
        <f t="shared" si="28"/>
        <v>2014_DET</v>
      </c>
      <c r="C280">
        <v>2014</v>
      </c>
      <c r="D280" t="s">
        <v>7</v>
      </c>
      <c r="E280">
        <v>36</v>
      </c>
      <c r="F280">
        <v>-125</v>
      </c>
      <c r="G280">
        <v>-105</v>
      </c>
      <c r="H280">
        <v>32</v>
      </c>
      <c r="I280" t="str">
        <f t="shared" si="33"/>
        <v>U</v>
      </c>
      <c r="J280">
        <f t="shared" si="29"/>
        <v>0.55555555555555558</v>
      </c>
      <c r="K280">
        <f t="shared" si="30"/>
        <v>0.51219512195121952</v>
      </c>
      <c r="L280">
        <f t="shared" si="34"/>
        <v>4.3360433604336057E-2</v>
      </c>
      <c r="M280">
        <f t="shared" si="31"/>
        <v>0</v>
      </c>
      <c r="N280">
        <f t="shared" si="32"/>
        <v>0</v>
      </c>
    </row>
    <row r="281" spans="1:14" x14ac:dyDescent="0.25">
      <c r="A281">
        <v>280</v>
      </c>
      <c r="B281" t="str">
        <f t="shared" si="28"/>
        <v>2014_GSW</v>
      </c>
      <c r="C281">
        <v>2014</v>
      </c>
      <c r="D281" t="s">
        <v>468</v>
      </c>
      <c r="E281">
        <v>52.5</v>
      </c>
      <c r="F281">
        <v>-115</v>
      </c>
      <c r="G281">
        <v>-115</v>
      </c>
      <c r="H281">
        <v>67</v>
      </c>
      <c r="I281" t="str">
        <f t="shared" si="33"/>
        <v>O</v>
      </c>
      <c r="J281">
        <f t="shared" si="29"/>
        <v>0.53488372093023251</v>
      </c>
      <c r="K281">
        <f t="shared" si="30"/>
        <v>0.53488372093023251</v>
      </c>
      <c r="L281">
        <f t="shared" si="34"/>
        <v>0</v>
      </c>
      <c r="M281">
        <f t="shared" si="31"/>
        <v>0</v>
      </c>
      <c r="N281">
        <f t="shared" si="32"/>
        <v>0</v>
      </c>
    </row>
    <row r="282" spans="1:14" x14ac:dyDescent="0.25">
      <c r="A282">
        <v>281</v>
      </c>
      <c r="B282" t="str">
        <f t="shared" si="28"/>
        <v>2014_HOU</v>
      </c>
      <c r="C282">
        <v>2014</v>
      </c>
      <c r="D282" t="s">
        <v>4</v>
      </c>
      <c r="E282">
        <v>49</v>
      </c>
      <c r="F282">
        <v>-115</v>
      </c>
      <c r="G282">
        <v>-115</v>
      </c>
      <c r="H282">
        <v>56</v>
      </c>
      <c r="I282" t="str">
        <f t="shared" si="33"/>
        <v>O</v>
      </c>
      <c r="J282">
        <f t="shared" si="29"/>
        <v>0.53488372093023251</v>
      </c>
      <c r="K282">
        <f t="shared" si="30"/>
        <v>0.53488372093023251</v>
      </c>
      <c r="L282">
        <f t="shared" si="34"/>
        <v>0</v>
      </c>
      <c r="M282">
        <f t="shared" si="31"/>
        <v>0</v>
      </c>
      <c r="N282">
        <f t="shared" si="32"/>
        <v>0</v>
      </c>
    </row>
    <row r="283" spans="1:14" x14ac:dyDescent="0.25">
      <c r="A283">
        <v>282</v>
      </c>
      <c r="B283" t="str">
        <f t="shared" si="28"/>
        <v>2014_IND</v>
      </c>
      <c r="C283">
        <v>2014</v>
      </c>
      <c r="D283" t="s">
        <v>13</v>
      </c>
      <c r="E283">
        <v>33.5</v>
      </c>
      <c r="F283">
        <v>100</v>
      </c>
      <c r="G283">
        <v>-130</v>
      </c>
      <c r="H283">
        <v>38</v>
      </c>
      <c r="I283" t="str">
        <f t="shared" si="33"/>
        <v>O</v>
      </c>
      <c r="J283">
        <f t="shared" si="29"/>
        <v>0.5</v>
      </c>
      <c r="K283">
        <f t="shared" si="30"/>
        <v>0.56521739130434778</v>
      </c>
      <c r="L283">
        <f t="shared" si="34"/>
        <v>-6.5217391304347783E-2</v>
      </c>
      <c r="M283">
        <f t="shared" si="31"/>
        <v>1</v>
      </c>
      <c r="N283">
        <f t="shared" si="32"/>
        <v>0</v>
      </c>
    </row>
    <row r="284" spans="1:14" x14ac:dyDescent="0.25">
      <c r="A284">
        <v>283</v>
      </c>
      <c r="B284" t="str">
        <f t="shared" si="28"/>
        <v>2014_LAC</v>
      </c>
      <c r="C284">
        <v>2014</v>
      </c>
      <c r="D284" t="s">
        <v>14</v>
      </c>
      <c r="E284">
        <v>56.5</v>
      </c>
      <c r="F284">
        <v>-115</v>
      </c>
      <c r="G284">
        <v>-115</v>
      </c>
      <c r="H284">
        <v>56</v>
      </c>
      <c r="I284" t="str">
        <f t="shared" si="33"/>
        <v>U</v>
      </c>
      <c r="J284">
        <f t="shared" si="29"/>
        <v>0.53488372093023251</v>
      </c>
      <c r="K284">
        <f t="shared" si="30"/>
        <v>0.53488372093023251</v>
      </c>
      <c r="L284">
        <f t="shared" si="34"/>
        <v>0</v>
      </c>
      <c r="M284">
        <f t="shared" si="31"/>
        <v>0</v>
      </c>
      <c r="N284">
        <f t="shared" si="32"/>
        <v>0</v>
      </c>
    </row>
    <row r="285" spans="1:14" x14ac:dyDescent="0.25">
      <c r="A285">
        <v>284</v>
      </c>
      <c r="B285" t="str">
        <f t="shared" si="28"/>
        <v>2014_LAL</v>
      </c>
      <c r="C285">
        <v>2014</v>
      </c>
      <c r="D285" t="s">
        <v>18</v>
      </c>
      <c r="E285">
        <v>29</v>
      </c>
      <c r="F285">
        <v>-115</v>
      </c>
      <c r="G285">
        <v>-115</v>
      </c>
      <c r="H285">
        <v>21</v>
      </c>
      <c r="I285" t="str">
        <f t="shared" si="33"/>
        <v>U</v>
      </c>
      <c r="J285">
        <f t="shared" si="29"/>
        <v>0.53488372093023251</v>
      </c>
      <c r="K285">
        <f t="shared" si="30"/>
        <v>0.53488372093023251</v>
      </c>
      <c r="L285">
        <f t="shared" si="34"/>
        <v>0</v>
      </c>
      <c r="M285">
        <f t="shared" si="31"/>
        <v>0</v>
      </c>
      <c r="N285">
        <f t="shared" si="32"/>
        <v>0</v>
      </c>
    </row>
    <row r="286" spans="1:14" x14ac:dyDescent="0.25">
      <c r="A286">
        <v>285</v>
      </c>
      <c r="B286" t="str">
        <f t="shared" si="28"/>
        <v>2014_MEM</v>
      </c>
      <c r="C286">
        <v>2014</v>
      </c>
      <c r="D286" t="s">
        <v>9</v>
      </c>
      <c r="E286">
        <v>48.5</v>
      </c>
      <c r="F286">
        <v>-115</v>
      </c>
      <c r="G286">
        <v>-115</v>
      </c>
      <c r="H286">
        <v>55</v>
      </c>
      <c r="I286" t="str">
        <f t="shared" si="33"/>
        <v>O</v>
      </c>
      <c r="J286">
        <f t="shared" si="29"/>
        <v>0.53488372093023251</v>
      </c>
      <c r="K286">
        <f t="shared" si="30"/>
        <v>0.53488372093023251</v>
      </c>
      <c r="L286">
        <f t="shared" si="34"/>
        <v>0</v>
      </c>
      <c r="M286">
        <f t="shared" si="31"/>
        <v>0</v>
      </c>
      <c r="N286">
        <f t="shared" si="32"/>
        <v>0</v>
      </c>
    </row>
    <row r="287" spans="1:14" x14ac:dyDescent="0.25">
      <c r="A287">
        <v>286</v>
      </c>
      <c r="B287" t="str">
        <f t="shared" si="28"/>
        <v>2014_MIA</v>
      </c>
      <c r="C287">
        <v>2014</v>
      </c>
      <c r="D287" t="s">
        <v>15</v>
      </c>
      <c r="E287">
        <v>44</v>
      </c>
      <c r="F287">
        <v>-125</v>
      </c>
      <c r="G287">
        <v>-105</v>
      </c>
      <c r="H287">
        <v>37</v>
      </c>
      <c r="I287" t="str">
        <f t="shared" si="33"/>
        <v>U</v>
      </c>
      <c r="J287">
        <f t="shared" si="29"/>
        <v>0.55555555555555558</v>
      </c>
      <c r="K287">
        <f t="shared" si="30"/>
        <v>0.51219512195121952</v>
      </c>
      <c r="L287">
        <f t="shared" si="34"/>
        <v>4.3360433604336057E-2</v>
      </c>
      <c r="M287">
        <f t="shared" si="31"/>
        <v>0</v>
      </c>
      <c r="N287">
        <f t="shared" si="32"/>
        <v>0</v>
      </c>
    </row>
    <row r="288" spans="1:14" x14ac:dyDescent="0.25">
      <c r="A288">
        <v>287</v>
      </c>
      <c r="B288" t="str">
        <f t="shared" si="28"/>
        <v>2014_MIL</v>
      </c>
      <c r="C288">
        <v>2014</v>
      </c>
      <c r="D288" t="s">
        <v>10</v>
      </c>
      <c r="E288">
        <v>24.5</v>
      </c>
      <c r="F288">
        <v>-115</v>
      </c>
      <c r="G288">
        <v>-115</v>
      </c>
      <c r="H288">
        <v>41</v>
      </c>
      <c r="I288" t="str">
        <f t="shared" si="33"/>
        <v>O</v>
      </c>
      <c r="J288">
        <f t="shared" si="29"/>
        <v>0.53488372093023251</v>
      </c>
      <c r="K288">
        <f t="shared" si="30"/>
        <v>0.53488372093023251</v>
      </c>
      <c r="L288">
        <f t="shared" si="34"/>
        <v>0</v>
      </c>
      <c r="M288">
        <f t="shared" si="31"/>
        <v>0</v>
      </c>
      <c r="N288">
        <f t="shared" si="32"/>
        <v>0</v>
      </c>
    </row>
    <row r="289" spans="1:14" x14ac:dyDescent="0.25">
      <c r="A289">
        <v>288</v>
      </c>
      <c r="B289" t="str">
        <f t="shared" si="28"/>
        <v>2014_MIN</v>
      </c>
      <c r="C289">
        <v>2014</v>
      </c>
      <c r="D289" t="s">
        <v>3</v>
      </c>
      <c r="E289">
        <v>29</v>
      </c>
      <c r="F289">
        <v>-115</v>
      </c>
      <c r="G289">
        <v>-115</v>
      </c>
      <c r="H289">
        <v>16</v>
      </c>
      <c r="I289" t="str">
        <f t="shared" si="33"/>
        <v>U</v>
      </c>
      <c r="J289">
        <f t="shared" si="29"/>
        <v>0.53488372093023251</v>
      </c>
      <c r="K289">
        <f t="shared" si="30"/>
        <v>0.53488372093023251</v>
      </c>
      <c r="L289">
        <f t="shared" si="34"/>
        <v>0</v>
      </c>
      <c r="M289">
        <f t="shared" si="31"/>
        <v>0</v>
      </c>
      <c r="N289">
        <f t="shared" si="32"/>
        <v>0</v>
      </c>
    </row>
    <row r="290" spans="1:14" x14ac:dyDescent="0.25">
      <c r="A290">
        <v>289</v>
      </c>
      <c r="B290" t="str">
        <f t="shared" si="28"/>
        <v>2014_NOP</v>
      </c>
      <c r="C290">
        <v>2014</v>
      </c>
      <c r="D290" t="s">
        <v>469</v>
      </c>
      <c r="E290">
        <v>43</v>
      </c>
      <c r="F290">
        <v>-115</v>
      </c>
      <c r="G290">
        <v>-115</v>
      </c>
      <c r="H290">
        <v>45</v>
      </c>
      <c r="I290" t="str">
        <f t="shared" si="33"/>
        <v>O</v>
      </c>
      <c r="J290">
        <f t="shared" si="29"/>
        <v>0.53488372093023251</v>
      </c>
      <c r="K290">
        <f t="shared" si="30"/>
        <v>0.53488372093023251</v>
      </c>
      <c r="L290">
        <f t="shared" si="34"/>
        <v>0</v>
      </c>
      <c r="M290">
        <f t="shared" si="31"/>
        <v>0</v>
      </c>
      <c r="N290">
        <f t="shared" si="32"/>
        <v>0</v>
      </c>
    </row>
    <row r="291" spans="1:14" x14ac:dyDescent="0.25">
      <c r="A291">
        <v>290</v>
      </c>
      <c r="B291" t="str">
        <f t="shared" si="28"/>
        <v>2014_NYK</v>
      </c>
      <c r="C291">
        <v>2014</v>
      </c>
      <c r="D291" t="s">
        <v>470</v>
      </c>
      <c r="E291">
        <v>40</v>
      </c>
      <c r="F291">
        <v>-115</v>
      </c>
      <c r="G291">
        <v>-115</v>
      </c>
      <c r="H291">
        <v>17</v>
      </c>
      <c r="I291" t="str">
        <f t="shared" si="33"/>
        <v>U</v>
      </c>
      <c r="J291">
        <f t="shared" si="29"/>
        <v>0.53488372093023251</v>
      </c>
      <c r="K291">
        <f t="shared" si="30"/>
        <v>0.53488372093023251</v>
      </c>
      <c r="L291">
        <f t="shared" si="34"/>
        <v>0</v>
      </c>
      <c r="M291">
        <f t="shared" si="31"/>
        <v>0</v>
      </c>
      <c r="N291">
        <f t="shared" si="32"/>
        <v>0</v>
      </c>
    </row>
    <row r="292" spans="1:14" x14ac:dyDescent="0.25">
      <c r="A292">
        <v>291</v>
      </c>
      <c r="B292" t="str">
        <f t="shared" si="28"/>
        <v>2014_OKC</v>
      </c>
      <c r="C292">
        <v>2014</v>
      </c>
      <c r="D292" t="s">
        <v>12</v>
      </c>
      <c r="E292">
        <v>53</v>
      </c>
      <c r="F292">
        <v>-110</v>
      </c>
      <c r="G292">
        <v>-120</v>
      </c>
      <c r="H292">
        <v>45</v>
      </c>
      <c r="I292" t="str">
        <f t="shared" si="33"/>
        <v>U</v>
      </c>
      <c r="J292">
        <f t="shared" si="29"/>
        <v>0.52380952380952384</v>
      </c>
      <c r="K292">
        <f t="shared" si="30"/>
        <v>0.54545454545454541</v>
      </c>
      <c r="L292">
        <f t="shared" si="34"/>
        <v>-2.1645021645021578E-2</v>
      </c>
      <c r="M292">
        <f t="shared" si="31"/>
        <v>0</v>
      </c>
      <c r="N292">
        <f t="shared" si="32"/>
        <v>0</v>
      </c>
    </row>
    <row r="293" spans="1:14" x14ac:dyDescent="0.25">
      <c r="A293">
        <v>292</v>
      </c>
      <c r="B293" t="str">
        <f t="shared" si="28"/>
        <v>2014_ORL</v>
      </c>
      <c r="C293">
        <v>2014</v>
      </c>
      <c r="D293" t="s">
        <v>11</v>
      </c>
      <c r="E293">
        <v>26.5</v>
      </c>
      <c r="F293">
        <v>-115</v>
      </c>
      <c r="G293">
        <v>-115</v>
      </c>
      <c r="H293">
        <v>25</v>
      </c>
      <c r="I293" t="str">
        <f t="shared" si="33"/>
        <v>U</v>
      </c>
      <c r="J293">
        <f t="shared" si="29"/>
        <v>0.53488372093023251</v>
      </c>
      <c r="K293">
        <f t="shared" si="30"/>
        <v>0.53488372093023251</v>
      </c>
      <c r="L293">
        <f t="shared" si="34"/>
        <v>0</v>
      </c>
      <c r="M293">
        <f t="shared" si="31"/>
        <v>0</v>
      </c>
      <c r="N293">
        <f t="shared" si="32"/>
        <v>0</v>
      </c>
    </row>
    <row r="294" spans="1:14" x14ac:dyDescent="0.25">
      <c r="A294">
        <v>293</v>
      </c>
      <c r="B294" t="str">
        <f t="shared" si="28"/>
        <v>2014_PHI</v>
      </c>
      <c r="C294">
        <v>2014</v>
      </c>
      <c r="D294" t="s">
        <v>20</v>
      </c>
      <c r="E294">
        <v>16</v>
      </c>
      <c r="F294">
        <v>-105</v>
      </c>
      <c r="G294">
        <v>-125</v>
      </c>
      <c r="H294">
        <v>18</v>
      </c>
      <c r="I294" t="str">
        <f t="shared" si="33"/>
        <v>O</v>
      </c>
      <c r="J294">
        <f t="shared" si="29"/>
        <v>0.51219512195121952</v>
      </c>
      <c r="K294">
        <f t="shared" si="30"/>
        <v>0.55555555555555558</v>
      </c>
      <c r="L294">
        <f t="shared" si="34"/>
        <v>-4.3360433604336057E-2</v>
      </c>
      <c r="M294">
        <f t="shared" si="31"/>
        <v>0</v>
      </c>
      <c r="N294">
        <f t="shared" si="32"/>
        <v>0</v>
      </c>
    </row>
    <row r="295" spans="1:14" x14ac:dyDescent="0.25">
      <c r="A295">
        <v>294</v>
      </c>
      <c r="B295" t="str">
        <f t="shared" si="28"/>
        <v>2014_PHO</v>
      </c>
      <c r="C295">
        <v>2014</v>
      </c>
      <c r="D295" t="s">
        <v>471</v>
      </c>
      <c r="E295">
        <v>44</v>
      </c>
      <c r="F295">
        <v>-105</v>
      </c>
      <c r="G295">
        <v>-125</v>
      </c>
      <c r="H295">
        <v>39</v>
      </c>
      <c r="I295" t="str">
        <f t="shared" si="33"/>
        <v>U</v>
      </c>
      <c r="J295">
        <f t="shared" si="29"/>
        <v>0.51219512195121952</v>
      </c>
      <c r="K295">
        <f t="shared" si="30"/>
        <v>0.55555555555555558</v>
      </c>
      <c r="L295">
        <f t="shared" si="34"/>
        <v>-4.3360433604336057E-2</v>
      </c>
      <c r="M295">
        <f t="shared" si="31"/>
        <v>0</v>
      </c>
      <c r="N295">
        <f t="shared" si="32"/>
        <v>0</v>
      </c>
    </row>
    <row r="296" spans="1:14" x14ac:dyDescent="0.25">
      <c r="A296">
        <v>295</v>
      </c>
      <c r="B296" t="str">
        <f t="shared" si="28"/>
        <v>2014_POR</v>
      </c>
      <c r="C296">
        <v>2014</v>
      </c>
      <c r="D296" t="s">
        <v>1</v>
      </c>
      <c r="E296">
        <v>49</v>
      </c>
      <c r="F296">
        <v>-115</v>
      </c>
      <c r="G296">
        <v>-115</v>
      </c>
      <c r="H296">
        <v>51</v>
      </c>
      <c r="I296" t="str">
        <f t="shared" si="33"/>
        <v>O</v>
      </c>
      <c r="J296">
        <f t="shared" si="29"/>
        <v>0.53488372093023251</v>
      </c>
      <c r="K296">
        <f t="shared" si="30"/>
        <v>0.53488372093023251</v>
      </c>
      <c r="L296">
        <f t="shared" si="34"/>
        <v>0</v>
      </c>
      <c r="M296">
        <f t="shared" si="31"/>
        <v>0</v>
      </c>
      <c r="N296">
        <f t="shared" si="32"/>
        <v>0</v>
      </c>
    </row>
    <row r="297" spans="1:14" x14ac:dyDescent="0.25">
      <c r="A297">
        <v>296</v>
      </c>
      <c r="B297" t="str">
        <f t="shared" si="28"/>
        <v>2014_SAC</v>
      </c>
      <c r="C297">
        <v>2014</v>
      </c>
      <c r="D297" t="s">
        <v>21</v>
      </c>
      <c r="E297">
        <v>29.5</v>
      </c>
      <c r="F297">
        <v>-115</v>
      </c>
      <c r="G297">
        <v>-115</v>
      </c>
      <c r="H297">
        <v>29</v>
      </c>
      <c r="I297" t="str">
        <f t="shared" si="33"/>
        <v>U</v>
      </c>
      <c r="J297">
        <f t="shared" si="29"/>
        <v>0.53488372093023251</v>
      </c>
      <c r="K297">
        <f t="shared" si="30"/>
        <v>0.53488372093023251</v>
      </c>
      <c r="L297">
        <f t="shared" si="34"/>
        <v>0</v>
      </c>
      <c r="M297">
        <f t="shared" si="31"/>
        <v>0</v>
      </c>
      <c r="N297">
        <f t="shared" si="32"/>
        <v>0</v>
      </c>
    </row>
    <row r="298" spans="1:14" x14ac:dyDescent="0.25">
      <c r="A298">
        <v>297</v>
      </c>
      <c r="B298" t="str">
        <f t="shared" si="28"/>
        <v>2014_SAS</v>
      </c>
      <c r="C298">
        <v>2014</v>
      </c>
      <c r="D298" t="s">
        <v>472</v>
      </c>
      <c r="E298">
        <v>57</v>
      </c>
      <c r="F298">
        <v>-115</v>
      </c>
      <c r="G298">
        <v>-115</v>
      </c>
      <c r="H298">
        <v>55</v>
      </c>
      <c r="I298" t="str">
        <f t="shared" si="33"/>
        <v>U</v>
      </c>
      <c r="J298">
        <f t="shared" si="29"/>
        <v>0.53488372093023251</v>
      </c>
      <c r="K298">
        <f t="shared" si="30"/>
        <v>0.53488372093023251</v>
      </c>
      <c r="L298">
        <f t="shared" si="34"/>
        <v>0</v>
      </c>
      <c r="M298">
        <f t="shared" si="31"/>
        <v>0</v>
      </c>
      <c r="N298">
        <f t="shared" si="32"/>
        <v>0</v>
      </c>
    </row>
    <row r="299" spans="1:14" x14ac:dyDescent="0.25">
      <c r="A299">
        <v>298</v>
      </c>
      <c r="B299" t="str">
        <f t="shared" si="28"/>
        <v>2014_TOR</v>
      </c>
      <c r="C299">
        <v>2014</v>
      </c>
      <c r="D299" t="s">
        <v>2</v>
      </c>
      <c r="E299">
        <v>48.5</v>
      </c>
      <c r="F299">
        <v>-115</v>
      </c>
      <c r="G299">
        <v>-115</v>
      </c>
      <c r="H299">
        <v>49</v>
      </c>
      <c r="I299" t="str">
        <f t="shared" si="33"/>
        <v>O</v>
      </c>
      <c r="J299">
        <f t="shared" si="29"/>
        <v>0.53488372093023251</v>
      </c>
      <c r="K299">
        <f t="shared" si="30"/>
        <v>0.53488372093023251</v>
      </c>
      <c r="L299">
        <f t="shared" si="34"/>
        <v>0</v>
      </c>
      <c r="M299">
        <f t="shared" si="31"/>
        <v>0</v>
      </c>
      <c r="N299">
        <f t="shared" si="32"/>
        <v>0</v>
      </c>
    </row>
    <row r="300" spans="1:14" x14ac:dyDescent="0.25">
      <c r="A300">
        <v>299</v>
      </c>
      <c r="B300" t="str">
        <f t="shared" si="28"/>
        <v>2014_UTA</v>
      </c>
      <c r="C300">
        <v>2014</v>
      </c>
      <c r="D300" t="s">
        <v>473</v>
      </c>
      <c r="E300">
        <v>27</v>
      </c>
      <c r="F300">
        <v>-125</v>
      </c>
      <c r="G300">
        <v>-105</v>
      </c>
      <c r="H300">
        <v>38</v>
      </c>
      <c r="I300" t="str">
        <f t="shared" si="33"/>
        <v>O</v>
      </c>
      <c r="J300">
        <f t="shared" si="29"/>
        <v>0.55555555555555558</v>
      </c>
      <c r="K300">
        <f t="shared" si="30"/>
        <v>0.51219512195121952</v>
      </c>
      <c r="L300">
        <f t="shared" si="34"/>
        <v>4.3360433604336057E-2</v>
      </c>
      <c r="M300">
        <f t="shared" si="31"/>
        <v>0</v>
      </c>
      <c r="N300">
        <f t="shared" si="32"/>
        <v>0</v>
      </c>
    </row>
    <row r="301" spans="1:14" x14ac:dyDescent="0.25">
      <c r="A301">
        <v>300</v>
      </c>
      <c r="B301" t="str">
        <f t="shared" si="28"/>
        <v>2014_WAS</v>
      </c>
      <c r="C301">
        <v>2014</v>
      </c>
      <c r="D301" t="s">
        <v>474</v>
      </c>
      <c r="E301">
        <v>48.5</v>
      </c>
      <c r="F301">
        <v>-115</v>
      </c>
      <c r="G301">
        <v>-115</v>
      </c>
      <c r="H301">
        <v>46</v>
      </c>
      <c r="I301" t="str">
        <f t="shared" si="33"/>
        <v>U</v>
      </c>
      <c r="J301">
        <f t="shared" si="29"/>
        <v>0.53488372093023251</v>
      </c>
      <c r="K301">
        <f t="shared" si="30"/>
        <v>0.53488372093023251</v>
      </c>
      <c r="L301">
        <f t="shared" si="34"/>
        <v>0</v>
      </c>
      <c r="M301">
        <f t="shared" si="31"/>
        <v>0</v>
      </c>
      <c r="N301">
        <f t="shared" si="32"/>
        <v>0</v>
      </c>
    </row>
    <row r="302" spans="1:14" x14ac:dyDescent="0.25">
      <c r="A302">
        <v>301</v>
      </c>
      <c r="B302" t="str">
        <f t="shared" si="28"/>
        <v>2015_ATL</v>
      </c>
      <c r="C302">
        <v>2015</v>
      </c>
      <c r="D302" t="s">
        <v>5</v>
      </c>
      <c r="E302">
        <v>49.5</v>
      </c>
      <c r="F302">
        <v>-120</v>
      </c>
      <c r="G302">
        <v>100</v>
      </c>
      <c r="H302">
        <v>48</v>
      </c>
      <c r="I302" t="str">
        <f t="shared" si="33"/>
        <v>U</v>
      </c>
      <c r="J302">
        <f t="shared" si="29"/>
        <v>0.54545454545454541</v>
      </c>
      <c r="K302">
        <f t="shared" si="30"/>
        <v>0.5</v>
      </c>
      <c r="L302">
        <f t="shared" si="34"/>
        <v>4.5454545454545414E-2</v>
      </c>
      <c r="M302">
        <f t="shared" si="31"/>
        <v>0</v>
      </c>
      <c r="N302">
        <f t="shared" si="32"/>
        <v>1</v>
      </c>
    </row>
    <row r="303" spans="1:14" x14ac:dyDescent="0.25">
      <c r="A303">
        <v>302</v>
      </c>
      <c r="B303" t="str">
        <f t="shared" si="28"/>
        <v>2015_BOS</v>
      </c>
      <c r="C303">
        <v>2015</v>
      </c>
      <c r="D303" t="s">
        <v>17</v>
      </c>
      <c r="E303">
        <v>45.5</v>
      </c>
      <c r="F303">
        <v>110</v>
      </c>
      <c r="G303">
        <v>-130</v>
      </c>
      <c r="H303">
        <v>48</v>
      </c>
      <c r="I303" t="str">
        <f t="shared" si="33"/>
        <v>O</v>
      </c>
      <c r="J303">
        <f t="shared" si="29"/>
        <v>0.47619047619047616</v>
      </c>
      <c r="K303">
        <f t="shared" si="30"/>
        <v>0.56521739130434778</v>
      </c>
      <c r="L303">
        <f t="shared" si="34"/>
        <v>-8.9026915113871619E-2</v>
      </c>
      <c r="M303">
        <f t="shared" si="31"/>
        <v>1</v>
      </c>
      <c r="N303">
        <f t="shared" si="32"/>
        <v>0</v>
      </c>
    </row>
    <row r="304" spans="1:14" x14ac:dyDescent="0.25">
      <c r="A304">
        <v>303</v>
      </c>
      <c r="B304" t="str">
        <f t="shared" si="28"/>
        <v>2015_BRK</v>
      </c>
      <c r="C304">
        <v>2015</v>
      </c>
      <c r="D304" t="s">
        <v>80</v>
      </c>
      <c r="E304">
        <v>27.5</v>
      </c>
      <c r="F304">
        <v>110</v>
      </c>
      <c r="G304">
        <v>-130</v>
      </c>
      <c r="H304">
        <v>21</v>
      </c>
      <c r="I304" t="str">
        <f t="shared" si="33"/>
        <v>U</v>
      </c>
      <c r="J304">
        <f t="shared" si="29"/>
        <v>0.47619047619047616</v>
      </c>
      <c r="K304">
        <f t="shared" si="30"/>
        <v>0.56521739130434778</v>
      </c>
      <c r="L304">
        <f t="shared" si="34"/>
        <v>-8.9026915113871619E-2</v>
      </c>
      <c r="M304">
        <f t="shared" si="31"/>
        <v>1</v>
      </c>
      <c r="N304">
        <f t="shared" si="32"/>
        <v>0</v>
      </c>
    </row>
    <row r="305" spans="1:14" x14ac:dyDescent="0.25">
      <c r="A305">
        <v>304</v>
      </c>
      <c r="B305" t="str">
        <f t="shared" si="28"/>
        <v>2015_CHO</v>
      </c>
      <c r="C305">
        <v>2015</v>
      </c>
      <c r="D305" t="s">
        <v>467</v>
      </c>
      <c r="E305">
        <v>34</v>
      </c>
      <c r="F305">
        <v>-145</v>
      </c>
      <c r="G305">
        <v>125</v>
      </c>
      <c r="H305">
        <v>48</v>
      </c>
      <c r="I305" t="str">
        <f t="shared" si="33"/>
        <v>O</v>
      </c>
      <c r="J305">
        <f t="shared" si="29"/>
        <v>0.59183673469387754</v>
      </c>
      <c r="K305">
        <f t="shared" si="30"/>
        <v>0.44444444444444442</v>
      </c>
      <c r="L305">
        <f t="shared" si="34"/>
        <v>0.14739229024943312</v>
      </c>
      <c r="M305">
        <f t="shared" si="31"/>
        <v>0</v>
      </c>
      <c r="N305">
        <f t="shared" si="32"/>
        <v>1</v>
      </c>
    </row>
    <row r="306" spans="1:14" x14ac:dyDescent="0.25">
      <c r="A306">
        <v>305</v>
      </c>
      <c r="B306" t="str">
        <f t="shared" si="28"/>
        <v>2015_CHI</v>
      </c>
      <c r="C306">
        <v>2015</v>
      </c>
      <c r="D306" t="s">
        <v>0</v>
      </c>
      <c r="E306">
        <v>50.5</v>
      </c>
      <c r="F306">
        <v>110</v>
      </c>
      <c r="G306">
        <v>-130</v>
      </c>
      <c r="H306">
        <v>42</v>
      </c>
      <c r="I306" t="str">
        <f t="shared" si="33"/>
        <v>U</v>
      </c>
      <c r="J306">
        <f t="shared" si="29"/>
        <v>0.47619047619047616</v>
      </c>
      <c r="K306">
        <f t="shared" si="30"/>
        <v>0.56521739130434778</v>
      </c>
      <c r="L306">
        <f t="shared" si="34"/>
        <v>-8.9026915113871619E-2</v>
      </c>
      <c r="M306">
        <f t="shared" si="31"/>
        <v>1</v>
      </c>
      <c r="N306">
        <f t="shared" si="32"/>
        <v>0</v>
      </c>
    </row>
    <row r="307" spans="1:14" x14ac:dyDescent="0.25">
      <c r="A307">
        <v>306</v>
      </c>
      <c r="B307" t="str">
        <f t="shared" si="28"/>
        <v>2015_CLE</v>
      </c>
      <c r="C307">
        <v>2015</v>
      </c>
      <c r="D307" t="s">
        <v>6</v>
      </c>
      <c r="E307">
        <v>56.5</v>
      </c>
      <c r="F307">
        <v>105</v>
      </c>
      <c r="G307">
        <v>-125</v>
      </c>
      <c r="H307">
        <v>57</v>
      </c>
      <c r="I307" t="str">
        <f t="shared" si="33"/>
        <v>O</v>
      </c>
      <c r="J307">
        <f t="shared" si="29"/>
        <v>0.48780487804878048</v>
      </c>
      <c r="K307">
        <f t="shared" si="30"/>
        <v>0.55555555555555558</v>
      </c>
      <c r="L307">
        <f t="shared" si="34"/>
        <v>-6.7750677506775103E-2</v>
      </c>
      <c r="M307">
        <f t="shared" si="31"/>
        <v>1</v>
      </c>
      <c r="N307">
        <f t="shared" si="32"/>
        <v>0</v>
      </c>
    </row>
    <row r="308" spans="1:14" x14ac:dyDescent="0.25">
      <c r="A308">
        <v>307</v>
      </c>
      <c r="B308" t="str">
        <f t="shared" si="28"/>
        <v>2015_DAL</v>
      </c>
      <c r="C308">
        <v>2015</v>
      </c>
      <c r="D308" t="s">
        <v>16</v>
      </c>
      <c r="E308">
        <v>36.5</v>
      </c>
      <c r="F308">
        <v>100</v>
      </c>
      <c r="G308">
        <v>-120</v>
      </c>
      <c r="H308">
        <v>42</v>
      </c>
      <c r="I308" t="str">
        <f t="shared" si="33"/>
        <v>O</v>
      </c>
      <c r="J308">
        <f t="shared" si="29"/>
        <v>0.5</v>
      </c>
      <c r="K308">
        <f t="shared" si="30"/>
        <v>0.54545454545454541</v>
      </c>
      <c r="L308">
        <f t="shared" si="34"/>
        <v>-4.5454545454545414E-2</v>
      </c>
      <c r="M308">
        <f t="shared" si="31"/>
        <v>1</v>
      </c>
      <c r="N308">
        <f t="shared" si="32"/>
        <v>0</v>
      </c>
    </row>
    <row r="309" spans="1:14" x14ac:dyDescent="0.25">
      <c r="A309">
        <v>308</v>
      </c>
      <c r="B309" t="str">
        <f t="shared" si="28"/>
        <v>2015_DEN</v>
      </c>
      <c r="C309">
        <v>2015</v>
      </c>
      <c r="D309" t="s">
        <v>23</v>
      </c>
      <c r="E309">
        <v>27.5</v>
      </c>
      <c r="F309">
        <v>-120</v>
      </c>
      <c r="G309">
        <v>100</v>
      </c>
      <c r="H309">
        <v>33</v>
      </c>
      <c r="I309" t="str">
        <f t="shared" si="33"/>
        <v>O</v>
      </c>
      <c r="J309">
        <f t="shared" si="29"/>
        <v>0.54545454545454541</v>
      </c>
      <c r="K309">
        <f t="shared" si="30"/>
        <v>0.5</v>
      </c>
      <c r="L309">
        <f t="shared" si="34"/>
        <v>4.5454545454545414E-2</v>
      </c>
      <c r="M309">
        <f t="shared" si="31"/>
        <v>0</v>
      </c>
      <c r="N309">
        <f t="shared" si="32"/>
        <v>1</v>
      </c>
    </row>
    <row r="310" spans="1:14" x14ac:dyDescent="0.25">
      <c r="A310">
        <v>309</v>
      </c>
      <c r="B310" t="str">
        <f t="shared" si="28"/>
        <v>2015_DET</v>
      </c>
      <c r="C310">
        <v>2015</v>
      </c>
      <c r="D310" t="s">
        <v>7</v>
      </c>
      <c r="E310">
        <v>36.5</v>
      </c>
      <c r="F310">
        <v>-125</v>
      </c>
      <c r="G310">
        <v>105</v>
      </c>
      <c r="H310">
        <v>44</v>
      </c>
      <c r="I310" t="str">
        <f t="shared" si="33"/>
        <v>O</v>
      </c>
      <c r="J310">
        <f t="shared" si="29"/>
        <v>0.55555555555555558</v>
      </c>
      <c r="K310">
        <f t="shared" si="30"/>
        <v>0.48780487804878048</v>
      </c>
      <c r="L310">
        <f t="shared" si="34"/>
        <v>6.7750677506775103E-2</v>
      </c>
      <c r="M310">
        <f t="shared" si="31"/>
        <v>0</v>
      </c>
      <c r="N310">
        <f t="shared" si="32"/>
        <v>1</v>
      </c>
    </row>
    <row r="311" spans="1:14" x14ac:dyDescent="0.25">
      <c r="A311">
        <v>310</v>
      </c>
      <c r="B311" t="str">
        <f t="shared" si="28"/>
        <v>2015_GSW</v>
      </c>
      <c r="C311">
        <v>2015</v>
      </c>
      <c r="D311" t="s">
        <v>468</v>
      </c>
      <c r="E311">
        <v>59.5</v>
      </c>
      <c r="F311">
        <v>100</v>
      </c>
      <c r="G311">
        <v>-120</v>
      </c>
      <c r="H311">
        <v>73</v>
      </c>
      <c r="I311" t="str">
        <f t="shared" si="33"/>
        <v>O</v>
      </c>
      <c r="J311">
        <f t="shared" si="29"/>
        <v>0.5</v>
      </c>
      <c r="K311">
        <f t="shared" si="30"/>
        <v>0.54545454545454541</v>
      </c>
      <c r="L311">
        <f t="shared" si="34"/>
        <v>-4.5454545454545414E-2</v>
      </c>
      <c r="M311">
        <f t="shared" si="31"/>
        <v>1</v>
      </c>
      <c r="N311">
        <f t="shared" si="32"/>
        <v>0</v>
      </c>
    </row>
    <row r="312" spans="1:14" x14ac:dyDescent="0.25">
      <c r="A312">
        <v>311</v>
      </c>
      <c r="B312" t="str">
        <f t="shared" si="28"/>
        <v>2015_HOU</v>
      </c>
      <c r="C312">
        <v>2015</v>
      </c>
      <c r="D312" t="s">
        <v>4</v>
      </c>
      <c r="E312">
        <v>56.5</v>
      </c>
      <c r="F312">
        <v>-110</v>
      </c>
      <c r="G312">
        <v>-110</v>
      </c>
      <c r="H312">
        <v>41</v>
      </c>
      <c r="I312" t="str">
        <f t="shared" si="33"/>
        <v>U</v>
      </c>
      <c r="J312">
        <f t="shared" si="29"/>
        <v>0.52380952380952384</v>
      </c>
      <c r="K312">
        <f t="shared" si="30"/>
        <v>0.52380952380952384</v>
      </c>
      <c r="L312">
        <f t="shared" si="34"/>
        <v>0</v>
      </c>
      <c r="M312">
        <f t="shared" si="31"/>
        <v>0</v>
      </c>
      <c r="N312">
        <f t="shared" si="32"/>
        <v>0</v>
      </c>
    </row>
    <row r="313" spans="1:14" x14ac:dyDescent="0.25">
      <c r="A313">
        <v>312</v>
      </c>
      <c r="B313" t="str">
        <f t="shared" si="28"/>
        <v>2015_IND</v>
      </c>
      <c r="C313">
        <v>2015</v>
      </c>
      <c r="D313" t="s">
        <v>13</v>
      </c>
      <c r="E313">
        <v>41.5</v>
      </c>
      <c r="F313">
        <v>100</v>
      </c>
      <c r="G313">
        <v>-120</v>
      </c>
      <c r="H313">
        <v>45</v>
      </c>
      <c r="I313" t="str">
        <f t="shared" si="33"/>
        <v>O</v>
      </c>
      <c r="J313">
        <f t="shared" si="29"/>
        <v>0.5</v>
      </c>
      <c r="K313">
        <f t="shared" si="30"/>
        <v>0.54545454545454541</v>
      </c>
      <c r="L313">
        <f t="shared" si="34"/>
        <v>-4.5454545454545414E-2</v>
      </c>
      <c r="M313">
        <f t="shared" si="31"/>
        <v>1</v>
      </c>
      <c r="N313">
        <f t="shared" si="32"/>
        <v>0</v>
      </c>
    </row>
    <row r="314" spans="1:14" x14ac:dyDescent="0.25">
      <c r="A314">
        <v>313</v>
      </c>
      <c r="B314" t="str">
        <f t="shared" si="28"/>
        <v>2015_LAC</v>
      </c>
      <c r="C314">
        <v>2015</v>
      </c>
      <c r="D314" t="s">
        <v>14</v>
      </c>
      <c r="E314">
        <v>56.5</v>
      </c>
      <c r="F314">
        <v>-120</v>
      </c>
      <c r="G314">
        <v>100</v>
      </c>
      <c r="H314">
        <v>53</v>
      </c>
      <c r="I314" t="str">
        <f t="shared" si="33"/>
        <v>U</v>
      </c>
      <c r="J314">
        <f t="shared" si="29"/>
        <v>0.54545454545454541</v>
      </c>
      <c r="K314">
        <f t="shared" si="30"/>
        <v>0.5</v>
      </c>
      <c r="L314">
        <f t="shared" si="34"/>
        <v>4.5454545454545414E-2</v>
      </c>
      <c r="M314">
        <f t="shared" si="31"/>
        <v>0</v>
      </c>
      <c r="N314">
        <f t="shared" si="32"/>
        <v>1</v>
      </c>
    </row>
    <row r="315" spans="1:14" x14ac:dyDescent="0.25">
      <c r="A315">
        <v>314</v>
      </c>
      <c r="B315" t="str">
        <f t="shared" si="28"/>
        <v>2015_LAL</v>
      </c>
      <c r="C315">
        <v>2015</v>
      </c>
      <c r="D315" t="s">
        <v>18</v>
      </c>
      <c r="E315">
        <v>28.5</v>
      </c>
      <c r="F315">
        <v>110</v>
      </c>
      <c r="G315">
        <v>-130</v>
      </c>
      <c r="H315">
        <v>17</v>
      </c>
      <c r="I315" t="str">
        <f t="shared" si="33"/>
        <v>U</v>
      </c>
      <c r="J315">
        <f t="shared" si="29"/>
        <v>0.47619047619047616</v>
      </c>
      <c r="K315">
        <f t="shared" si="30"/>
        <v>0.56521739130434778</v>
      </c>
      <c r="L315">
        <f t="shared" si="34"/>
        <v>-8.9026915113871619E-2</v>
      </c>
      <c r="M315">
        <f t="shared" si="31"/>
        <v>1</v>
      </c>
      <c r="N315">
        <f t="shared" si="32"/>
        <v>0</v>
      </c>
    </row>
    <row r="316" spans="1:14" x14ac:dyDescent="0.25">
      <c r="A316">
        <v>315</v>
      </c>
      <c r="B316" t="str">
        <f t="shared" si="28"/>
        <v>2015_MEM</v>
      </c>
      <c r="C316">
        <v>2015</v>
      </c>
      <c r="D316" t="s">
        <v>9</v>
      </c>
      <c r="E316">
        <v>50.5</v>
      </c>
      <c r="F316">
        <v>-115</v>
      </c>
      <c r="G316">
        <v>-105</v>
      </c>
      <c r="H316">
        <v>42</v>
      </c>
      <c r="I316" t="str">
        <f t="shared" si="33"/>
        <v>U</v>
      </c>
      <c r="J316">
        <f t="shared" si="29"/>
        <v>0.53488372093023251</v>
      </c>
      <c r="K316">
        <f t="shared" si="30"/>
        <v>0.51219512195121952</v>
      </c>
      <c r="L316">
        <f t="shared" si="34"/>
        <v>2.2688598979012986E-2</v>
      </c>
      <c r="M316">
        <f t="shared" si="31"/>
        <v>0</v>
      </c>
      <c r="N316">
        <f t="shared" si="32"/>
        <v>0</v>
      </c>
    </row>
    <row r="317" spans="1:14" x14ac:dyDescent="0.25">
      <c r="A317">
        <v>316</v>
      </c>
      <c r="B317" t="str">
        <f t="shared" si="28"/>
        <v>2015_MIA</v>
      </c>
      <c r="C317">
        <v>2015</v>
      </c>
      <c r="D317" t="s">
        <v>15</v>
      </c>
      <c r="E317">
        <v>46.5</v>
      </c>
      <c r="F317">
        <v>-140</v>
      </c>
      <c r="G317">
        <v>120</v>
      </c>
      <c r="H317">
        <v>48</v>
      </c>
      <c r="I317" t="str">
        <f t="shared" si="33"/>
        <v>O</v>
      </c>
      <c r="J317">
        <f t="shared" si="29"/>
        <v>0.58333333333333337</v>
      </c>
      <c r="K317">
        <f t="shared" si="30"/>
        <v>0.45454545454545453</v>
      </c>
      <c r="L317">
        <f t="shared" si="34"/>
        <v>0.12878787878787884</v>
      </c>
      <c r="M317">
        <f t="shared" si="31"/>
        <v>0</v>
      </c>
      <c r="N317">
        <f t="shared" si="32"/>
        <v>1</v>
      </c>
    </row>
    <row r="318" spans="1:14" x14ac:dyDescent="0.25">
      <c r="A318">
        <v>317</v>
      </c>
      <c r="B318" t="str">
        <f t="shared" si="28"/>
        <v>2015_MIL</v>
      </c>
      <c r="C318">
        <v>2015</v>
      </c>
      <c r="D318" t="s">
        <v>10</v>
      </c>
      <c r="E318">
        <v>42.5</v>
      </c>
      <c r="F318">
        <v>-125</v>
      </c>
      <c r="G318">
        <v>105</v>
      </c>
      <c r="H318">
        <v>33</v>
      </c>
      <c r="I318" t="str">
        <f t="shared" si="33"/>
        <v>U</v>
      </c>
      <c r="J318">
        <f t="shared" si="29"/>
        <v>0.55555555555555558</v>
      </c>
      <c r="K318">
        <f t="shared" si="30"/>
        <v>0.48780487804878048</v>
      </c>
      <c r="L318">
        <f t="shared" si="34"/>
        <v>6.7750677506775103E-2</v>
      </c>
      <c r="M318">
        <f t="shared" si="31"/>
        <v>0</v>
      </c>
      <c r="N318">
        <f t="shared" si="32"/>
        <v>1</v>
      </c>
    </row>
    <row r="319" spans="1:14" x14ac:dyDescent="0.25">
      <c r="A319">
        <v>318</v>
      </c>
      <c r="B319" t="str">
        <f t="shared" si="28"/>
        <v>2015_MIN</v>
      </c>
      <c r="C319">
        <v>2015</v>
      </c>
      <c r="D319" t="s">
        <v>3</v>
      </c>
      <c r="E319">
        <v>27.5</v>
      </c>
      <c r="F319">
        <v>-125</v>
      </c>
      <c r="G319">
        <v>105</v>
      </c>
      <c r="H319">
        <v>29</v>
      </c>
      <c r="I319" t="str">
        <f t="shared" si="33"/>
        <v>O</v>
      </c>
      <c r="J319">
        <f t="shared" si="29"/>
        <v>0.55555555555555558</v>
      </c>
      <c r="K319">
        <f t="shared" si="30"/>
        <v>0.48780487804878048</v>
      </c>
      <c r="L319">
        <f t="shared" si="34"/>
        <v>6.7750677506775103E-2</v>
      </c>
      <c r="M319">
        <f t="shared" si="31"/>
        <v>0</v>
      </c>
      <c r="N319">
        <f t="shared" si="32"/>
        <v>1</v>
      </c>
    </row>
    <row r="320" spans="1:14" x14ac:dyDescent="0.25">
      <c r="A320">
        <v>319</v>
      </c>
      <c r="B320" t="str">
        <f t="shared" si="28"/>
        <v>2015_NOP</v>
      </c>
      <c r="C320">
        <v>2015</v>
      </c>
      <c r="D320" t="s">
        <v>469</v>
      </c>
      <c r="E320">
        <v>45</v>
      </c>
      <c r="F320">
        <v>-145</v>
      </c>
      <c r="G320">
        <v>125</v>
      </c>
      <c r="H320">
        <v>30</v>
      </c>
      <c r="I320" t="str">
        <f t="shared" si="33"/>
        <v>U</v>
      </c>
      <c r="J320">
        <f t="shared" si="29"/>
        <v>0.59183673469387754</v>
      </c>
      <c r="K320">
        <f t="shared" si="30"/>
        <v>0.44444444444444442</v>
      </c>
      <c r="L320">
        <f t="shared" si="34"/>
        <v>0.14739229024943312</v>
      </c>
      <c r="M320">
        <f t="shared" si="31"/>
        <v>0</v>
      </c>
      <c r="N320">
        <f t="shared" si="32"/>
        <v>1</v>
      </c>
    </row>
    <row r="321" spans="1:14" x14ac:dyDescent="0.25">
      <c r="A321">
        <v>320</v>
      </c>
      <c r="B321" t="str">
        <f t="shared" si="28"/>
        <v>2015_NYK</v>
      </c>
      <c r="C321">
        <v>2015</v>
      </c>
      <c r="D321" t="s">
        <v>470</v>
      </c>
      <c r="E321">
        <v>29.5</v>
      </c>
      <c r="F321">
        <v>-130</v>
      </c>
      <c r="G321">
        <v>110</v>
      </c>
      <c r="H321">
        <v>32</v>
      </c>
      <c r="I321" t="str">
        <f t="shared" si="33"/>
        <v>O</v>
      </c>
      <c r="J321">
        <f t="shared" si="29"/>
        <v>0.56521739130434778</v>
      </c>
      <c r="K321">
        <f t="shared" si="30"/>
        <v>0.47619047619047616</v>
      </c>
      <c r="L321">
        <f t="shared" si="34"/>
        <v>8.9026915113871619E-2</v>
      </c>
      <c r="M321">
        <f t="shared" si="31"/>
        <v>0</v>
      </c>
      <c r="N321">
        <f t="shared" si="32"/>
        <v>1</v>
      </c>
    </row>
    <row r="322" spans="1:14" x14ac:dyDescent="0.25">
      <c r="A322">
        <v>321</v>
      </c>
      <c r="B322" t="str">
        <f t="shared" ref="B322:B362" si="35">CONCATENATE(C322,"_",D322)</f>
        <v>2015_OKC</v>
      </c>
      <c r="C322">
        <v>2015</v>
      </c>
      <c r="D322" t="s">
        <v>12</v>
      </c>
      <c r="E322">
        <v>57.5</v>
      </c>
      <c r="F322">
        <v>100</v>
      </c>
      <c r="G322">
        <v>-120</v>
      </c>
      <c r="H322">
        <v>55</v>
      </c>
      <c r="I322" t="str">
        <f t="shared" si="33"/>
        <v>U</v>
      </c>
      <c r="J322">
        <f t="shared" ref="J322:J361" si="36">IF(ISNUMBER(F322),IF(F322&lt;0,-F322/(-F322+100),100/(F322+100)),"na")</f>
        <v>0.5</v>
      </c>
      <c r="K322">
        <f t="shared" ref="K322:K361" si="37">IF(ISNUMBER(G322),IF(G322&lt;0,-G322/(-G322+100),100/(G322+100)),"na")</f>
        <v>0.54545454545454541</v>
      </c>
      <c r="L322">
        <f t="shared" si="34"/>
        <v>-4.5454545454545414E-2</v>
      </c>
      <c r="M322">
        <f t="shared" si="31"/>
        <v>1</v>
      </c>
      <c r="N322">
        <f t="shared" si="32"/>
        <v>0</v>
      </c>
    </row>
    <row r="323" spans="1:14" x14ac:dyDescent="0.25">
      <c r="A323">
        <v>322</v>
      </c>
      <c r="B323" t="str">
        <f t="shared" si="35"/>
        <v>2015_ORL</v>
      </c>
      <c r="C323">
        <v>2015</v>
      </c>
      <c r="D323" t="s">
        <v>11</v>
      </c>
      <c r="E323">
        <v>34.5</v>
      </c>
      <c r="F323">
        <v>-105</v>
      </c>
      <c r="G323">
        <v>-115</v>
      </c>
      <c r="H323">
        <v>35</v>
      </c>
      <c r="I323" t="str">
        <f t="shared" ref="I323:I361" si="38">IF(NOT(OR(ISBLANK(E323),ISBLANK(H323))),IF(E323&lt;H323,"O",IF(E323&gt;H323,"U","E")),"")</f>
        <v>O</v>
      </c>
      <c r="J323">
        <f t="shared" si="36"/>
        <v>0.51219512195121952</v>
      </c>
      <c r="K323">
        <f t="shared" si="37"/>
        <v>0.53488372093023251</v>
      </c>
      <c r="L323">
        <f t="shared" ref="L323:L361" si="39">IF(AND(ISNUMBER(J323),ISNUMBER(K323)),J323-K323,"na")</f>
        <v>-2.2688598979012986E-2</v>
      </c>
      <c r="M323">
        <f t="shared" ref="M323:M361" si="40">IF(ISNUMBER(F323),IF(F323&gt;0,1,0),"na")</f>
        <v>0</v>
      </c>
      <c r="N323">
        <f t="shared" ref="N323:N361" si="41">IF(ISNUMBER(G323),IF(G323&gt;0,1,0),"na")</f>
        <v>0</v>
      </c>
    </row>
    <row r="324" spans="1:14" x14ac:dyDescent="0.25">
      <c r="A324">
        <v>323</v>
      </c>
      <c r="B324" t="str">
        <f t="shared" si="35"/>
        <v>2015_PHI</v>
      </c>
      <c r="C324">
        <v>2015</v>
      </c>
      <c r="D324" t="s">
        <v>20</v>
      </c>
      <c r="E324">
        <v>20.5</v>
      </c>
      <c r="F324">
        <v>-150</v>
      </c>
      <c r="G324">
        <v>130</v>
      </c>
      <c r="H324">
        <v>10</v>
      </c>
      <c r="I324" t="str">
        <f t="shared" si="38"/>
        <v>U</v>
      </c>
      <c r="J324">
        <f t="shared" si="36"/>
        <v>0.6</v>
      </c>
      <c r="K324">
        <f t="shared" si="37"/>
        <v>0.43478260869565216</v>
      </c>
      <c r="L324">
        <f t="shared" si="39"/>
        <v>0.16521739130434782</v>
      </c>
      <c r="M324">
        <f t="shared" si="40"/>
        <v>0</v>
      </c>
      <c r="N324">
        <f t="shared" si="41"/>
        <v>1</v>
      </c>
    </row>
    <row r="325" spans="1:14" x14ac:dyDescent="0.25">
      <c r="A325">
        <v>324</v>
      </c>
      <c r="B325" t="str">
        <f t="shared" si="35"/>
        <v>2015_PHO</v>
      </c>
      <c r="C325">
        <v>2015</v>
      </c>
      <c r="D325" t="s">
        <v>471</v>
      </c>
      <c r="E325">
        <v>36.5</v>
      </c>
      <c r="F325">
        <v>-125</v>
      </c>
      <c r="G325">
        <v>105</v>
      </c>
      <c r="H325">
        <v>23</v>
      </c>
      <c r="I325" t="str">
        <f t="shared" si="38"/>
        <v>U</v>
      </c>
      <c r="J325">
        <f t="shared" si="36"/>
        <v>0.55555555555555558</v>
      </c>
      <c r="K325">
        <f t="shared" si="37"/>
        <v>0.48780487804878048</v>
      </c>
      <c r="L325">
        <f t="shared" si="39"/>
        <v>6.7750677506775103E-2</v>
      </c>
      <c r="M325">
        <f t="shared" si="40"/>
        <v>0</v>
      </c>
      <c r="N325">
        <f t="shared" si="41"/>
        <v>1</v>
      </c>
    </row>
    <row r="326" spans="1:14" x14ac:dyDescent="0.25">
      <c r="A326">
        <v>325</v>
      </c>
      <c r="B326" t="str">
        <f t="shared" si="35"/>
        <v>2015_POR</v>
      </c>
      <c r="C326">
        <v>2015</v>
      </c>
      <c r="D326" t="s">
        <v>1</v>
      </c>
      <c r="E326">
        <v>28.5</v>
      </c>
      <c r="F326">
        <v>-120</v>
      </c>
      <c r="G326">
        <v>100</v>
      </c>
      <c r="H326">
        <v>44</v>
      </c>
      <c r="I326" t="str">
        <f t="shared" si="38"/>
        <v>O</v>
      </c>
      <c r="J326">
        <f t="shared" si="36"/>
        <v>0.54545454545454541</v>
      </c>
      <c r="K326">
        <f t="shared" si="37"/>
        <v>0.5</v>
      </c>
      <c r="L326">
        <f t="shared" si="39"/>
        <v>4.5454545454545414E-2</v>
      </c>
      <c r="M326">
        <f t="shared" si="40"/>
        <v>0</v>
      </c>
      <c r="N326">
        <f t="shared" si="41"/>
        <v>1</v>
      </c>
    </row>
    <row r="327" spans="1:14" x14ac:dyDescent="0.25">
      <c r="A327">
        <v>326</v>
      </c>
      <c r="B327" t="str">
        <f t="shared" si="35"/>
        <v>2015_SAC</v>
      </c>
      <c r="C327">
        <v>2015</v>
      </c>
      <c r="D327" t="s">
        <v>21</v>
      </c>
      <c r="E327">
        <v>36</v>
      </c>
      <c r="F327">
        <v>-125</v>
      </c>
      <c r="G327">
        <v>105</v>
      </c>
      <c r="H327">
        <v>33</v>
      </c>
      <c r="I327" t="str">
        <f t="shared" si="38"/>
        <v>U</v>
      </c>
      <c r="J327">
        <f t="shared" si="36"/>
        <v>0.55555555555555558</v>
      </c>
      <c r="K327">
        <f t="shared" si="37"/>
        <v>0.48780487804878048</v>
      </c>
      <c r="L327">
        <f t="shared" si="39"/>
        <v>6.7750677506775103E-2</v>
      </c>
      <c r="M327">
        <f t="shared" si="40"/>
        <v>0</v>
      </c>
      <c r="N327">
        <f t="shared" si="41"/>
        <v>1</v>
      </c>
    </row>
    <row r="328" spans="1:14" x14ac:dyDescent="0.25">
      <c r="A328">
        <v>327</v>
      </c>
      <c r="B328" t="str">
        <f t="shared" si="35"/>
        <v>2015_SAS</v>
      </c>
      <c r="C328">
        <v>2015</v>
      </c>
      <c r="D328" t="s">
        <v>472</v>
      </c>
      <c r="E328">
        <v>56.5</v>
      </c>
      <c r="F328">
        <v>-115</v>
      </c>
      <c r="G328">
        <v>-105</v>
      </c>
      <c r="H328">
        <v>67</v>
      </c>
      <c r="I328" t="str">
        <f t="shared" si="38"/>
        <v>O</v>
      </c>
      <c r="J328">
        <f t="shared" si="36"/>
        <v>0.53488372093023251</v>
      </c>
      <c r="K328">
        <f t="shared" si="37"/>
        <v>0.51219512195121952</v>
      </c>
      <c r="L328">
        <f t="shared" si="39"/>
        <v>2.2688598979012986E-2</v>
      </c>
      <c r="M328">
        <f t="shared" si="40"/>
        <v>0</v>
      </c>
      <c r="N328">
        <f t="shared" si="41"/>
        <v>0</v>
      </c>
    </row>
    <row r="329" spans="1:14" x14ac:dyDescent="0.25">
      <c r="A329">
        <v>328</v>
      </c>
      <c r="B329" t="str">
        <f t="shared" si="35"/>
        <v>2015_TOR</v>
      </c>
      <c r="C329">
        <v>2015</v>
      </c>
      <c r="D329" t="s">
        <v>2</v>
      </c>
      <c r="E329">
        <v>46.5</v>
      </c>
      <c r="F329">
        <v>-125</v>
      </c>
      <c r="G329">
        <v>105</v>
      </c>
      <c r="H329">
        <v>56</v>
      </c>
      <c r="I329" t="str">
        <f t="shared" si="38"/>
        <v>O</v>
      </c>
      <c r="J329">
        <f t="shared" si="36"/>
        <v>0.55555555555555558</v>
      </c>
      <c r="K329">
        <f t="shared" si="37"/>
        <v>0.48780487804878048</v>
      </c>
      <c r="L329">
        <f t="shared" si="39"/>
        <v>6.7750677506775103E-2</v>
      </c>
      <c r="M329">
        <f t="shared" si="40"/>
        <v>0</v>
      </c>
      <c r="N329">
        <f t="shared" si="41"/>
        <v>1</v>
      </c>
    </row>
    <row r="330" spans="1:14" x14ac:dyDescent="0.25">
      <c r="A330">
        <v>329</v>
      </c>
      <c r="B330" t="str">
        <f t="shared" si="35"/>
        <v>2015_UTA</v>
      </c>
      <c r="C330">
        <v>2015</v>
      </c>
      <c r="D330" t="s">
        <v>473</v>
      </c>
      <c r="E330">
        <v>42.5</v>
      </c>
      <c r="F330">
        <v>-135</v>
      </c>
      <c r="G330">
        <v>115</v>
      </c>
      <c r="H330">
        <v>40</v>
      </c>
      <c r="I330" t="str">
        <f t="shared" si="38"/>
        <v>U</v>
      </c>
      <c r="J330">
        <f t="shared" si="36"/>
        <v>0.57446808510638303</v>
      </c>
      <c r="K330">
        <f t="shared" si="37"/>
        <v>0.46511627906976744</v>
      </c>
      <c r="L330">
        <f t="shared" si="39"/>
        <v>0.1093518060366156</v>
      </c>
      <c r="M330">
        <f t="shared" si="40"/>
        <v>0</v>
      </c>
      <c r="N330">
        <f t="shared" si="41"/>
        <v>1</v>
      </c>
    </row>
    <row r="331" spans="1:14" x14ac:dyDescent="0.25">
      <c r="A331">
        <v>330</v>
      </c>
      <c r="B331" t="str">
        <f t="shared" si="35"/>
        <v>2015_WAS</v>
      </c>
      <c r="C331">
        <v>2015</v>
      </c>
      <c r="D331" t="s">
        <v>474</v>
      </c>
      <c r="E331">
        <v>45.5</v>
      </c>
      <c r="F331">
        <v>-145</v>
      </c>
      <c r="G331">
        <v>125</v>
      </c>
      <c r="H331">
        <v>41</v>
      </c>
      <c r="I331" t="str">
        <f t="shared" si="38"/>
        <v>U</v>
      </c>
      <c r="J331">
        <f t="shared" si="36"/>
        <v>0.59183673469387754</v>
      </c>
      <c r="K331">
        <f t="shared" si="37"/>
        <v>0.44444444444444442</v>
      </c>
      <c r="L331">
        <f t="shared" si="39"/>
        <v>0.14739229024943312</v>
      </c>
      <c r="M331">
        <f t="shared" si="40"/>
        <v>0</v>
      </c>
      <c r="N331">
        <f t="shared" si="41"/>
        <v>1</v>
      </c>
    </row>
    <row r="332" spans="1:14" x14ac:dyDescent="0.25">
      <c r="A332">
        <v>331</v>
      </c>
      <c r="B332" t="str">
        <f t="shared" si="35"/>
        <v>2016_ATL</v>
      </c>
      <c r="C332">
        <v>2016</v>
      </c>
      <c r="D332" t="s">
        <v>5</v>
      </c>
      <c r="E332">
        <v>43.5</v>
      </c>
      <c r="F332">
        <v>110</v>
      </c>
      <c r="G332">
        <v>-130</v>
      </c>
      <c r="H332">
        <v>43</v>
      </c>
      <c r="I332" t="str">
        <f t="shared" si="38"/>
        <v>U</v>
      </c>
      <c r="J332">
        <f t="shared" si="36"/>
        <v>0.47619047619047616</v>
      </c>
      <c r="K332">
        <f t="shared" si="37"/>
        <v>0.56521739130434778</v>
      </c>
      <c r="L332">
        <f t="shared" si="39"/>
        <v>-8.9026915113871619E-2</v>
      </c>
      <c r="M332">
        <f t="shared" si="40"/>
        <v>1</v>
      </c>
      <c r="N332">
        <f t="shared" si="41"/>
        <v>0</v>
      </c>
    </row>
    <row r="333" spans="1:14" x14ac:dyDescent="0.25">
      <c r="A333">
        <v>332</v>
      </c>
      <c r="B333" t="str">
        <f t="shared" si="35"/>
        <v>2016_BOS</v>
      </c>
      <c r="C333">
        <v>2016</v>
      </c>
      <c r="D333" t="s">
        <v>17</v>
      </c>
      <c r="E333">
        <v>52.5</v>
      </c>
      <c r="F333">
        <v>110</v>
      </c>
      <c r="G333">
        <v>-130</v>
      </c>
      <c r="H333">
        <v>53</v>
      </c>
      <c r="I333" t="str">
        <f t="shared" si="38"/>
        <v>O</v>
      </c>
      <c r="J333">
        <f t="shared" si="36"/>
        <v>0.47619047619047616</v>
      </c>
      <c r="K333">
        <f t="shared" si="37"/>
        <v>0.56521739130434778</v>
      </c>
      <c r="L333">
        <f t="shared" si="39"/>
        <v>-8.9026915113871619E-2</v>
      </c>
      <c r="M333">
        <f t="shared" si="40"/>
        <v>1</v>
      </c>
      <c r="N333">
        <f t="shared" si="41"/>
        <v>0</v>
      </c>
    </row>
    <row r="334" spans="1:14" x14ac:dyDescent="0.25">
      <c r="A334">
        <v>333</v>
      </c>
      <c r="B334" t="str">
        <f t="shared" si="35"/>
        <v>2016_BRK</v>
      </c>
      <c r="C334">
        <v>2016</v>
      </c>
      <c r="D334" t="s">
        <v>80</v>
      </c>
      <c r="E334">
        <v>21.5</v>
      </c>
      <c r="F334">
        <v>-130</v>
      </c>
      <c r="G334">
        <v>110</v>
      </c>
      <c r="H334">
        <v>20</v>
      </c>
      <c r="I334" t="str">
        <f t="shared" si="38"/>
        <v>U</v>
      </c>
      <c r="J334">
        <f t="shared" si="36"/>
        <v>0.56521739130434778</v>
      </c>
      <c r="K334">
        <f t="shared" si="37"/>
        <v>0.47619047619047616</v>
      </c>
      <c r="L334">
        <f t="shared" si="39"/>
        <v>8.9026915113871619E-2</v>
      </c>
      <c r="M334">
        <f t="shared" si="40"/>
        <v>0</v>
      </c>
      <c r="N334">
        <f t="shared" si="41"/>
        <v>1</v>
      </c>
    </row>
    <row r="335" spans="1:14" x14ac:dyDescent="0.25">
      <c r="A335">
        <v>334</v>
      </c>
      <c r="B335" t="str">
        <f t="shared" si="35"/>
        <v>2016_CHO</v>
      </c>
      <c r="C335">
        <v>2016</v>
      </c>
      <c r="D335" t="s">
        <v>467</v>
      </c>
      <c r="E335">
        <v>42.5</v>
      </c>
      <c r="F335">
        <v>100</v>
      </c>
      <c r="G335">
        <v>-120</v>
      </c>
      <c r="H335">
        <v>36</v>
      </c>
      <c r="I335" t="str">
        <f t="shared" si="38"/>
        <v>U</v>
      </c>
      <c r="J335">
        <f t="shared" si="36"/>
        <v>0.5</v>
      </c>
      <c r="K335">
        <f t="shared" si="37"/>
        <v>0.54545454545454541</v>
      </c>
      <c r="L335">
        <f t="shared" si="39"/>
        <v>-4.5454545454545414E-2</v>
      </c>
      <c r="M335">
        <f t="shared" si="40"/>
        <v>1</v>
      </c>
      <c r="N335">
        <f t="shared" si="41"/>
        <v>0</v>
      </c>
    </row>
    <row r="336" spans="1:14" x14ac:dyDescent="0.25">
      <c r="A336">
        <v>335</v>
      </c>
      <c r="B336" t="str">
        <f t="shared" si="35"/>
        <v>2016_CHI</v>
      </c>
      <c r="C336">
        <v>2016</v>
      </c>
      <c r="D336" t="s">
        <v>0</v>
      </c>
      <c r="E336">
        <v>39</v>
      </c>
      <c r="F336">
        <v>-145</v>
      </c>
      <c r="G336">
        <v>125</v>
      </c>
      <c r="H336">
        <v>41</v>
      </c>
      <c r="I336" t="str">
        <f t="shared" si="38"/>
        <v>O</v>
      </c>
      <c r="J336">
        <f t="shared" si="36"/>
        <v>0.59183673469387754</v>
      </c>
      <c r="K336">
        <f t="shared" si="37"/>
        <v>0.44444444444444442</v>
      </c>
      <c r="L336">
        <f t="shared" si="39"/>
        <v>0.14739229024943312</v>
      </c>
      <c r="M336">
        <f t="shared" si="40"/>
        <v>0</v>
      </c>
      <c r="N336">
        <f t="shared" si="41"/>
        <v>1</v>
      </c>
    </row>
    <row r="337" spans="1:14" x14ac:dyDescent="0.25">
      <c r="A337">
        <v>336</v>
      </c>
      <c r="B337" t="str">
        <f t="shared" si="35"/>
        <v>2016_CLE</v>
      </c>
      <c r="C337">
        <v>2016</v>
      </c>
      <c r="D337" t="s">
        <v>6</v>
      </c>
      <c r="E337">
        <v>56.5</v>
      </c>
      <c r="F337">
        <v>-115</v>
      </c>
      <c r="G337">
        <v>-105</v>
      </c>
      <c r="H337">
        <v>51</v>
      </c>
      <c r="I337" t="str">
        <f t="shared" si="38"/>
        <v>U</v>
      </c>
      <c r="J337">
        <f t="shared" si="36"/>
        <v>0.53488372093023251</v>
      </c>
      <c r="K337">
        <f t="shared" si="37"/>
        <v>0.51219512195121952</v>
      </c>
      <c r="L337">
        <f t="shared" si="39"/>
        <v>2.2688598979012986E-2</v>
      </c>
      <c r="M337">
        <f t="shared" si="40"/>
        <v>0</v>
      </c>
      <c r="N337">
        <f t="shared" si="41"/>
        <v>0</v>
      </c>
    </row>
    <row r="338" spans="1:14" x14ac:dyDescent="0.25">
      <c r="A338">
        <v>337</v>
      </c>
      <c r="B338" t="str">
        <f t="shared" si="35"/>
        <v>2016_DAL</v>
      </c>
      <c r="C338">
        <v>2016</v>
      </c>
      <c r="D338" t="s">
        <v>16</v>
      </c>
      <c r="E338">
        <v>39.5</v>
      </c>
      <c r="F338">
        <v>110</v>
      </c>
      <c r="G338">
        <v>-130</v>
      </c>
      <c r="H338">
        <v>33</v>
      </c>
      <c r="I338" t="str">
        <f t="shared" si="38"/>
        <v>U</v>
      </c>
      <c r="J338">
        <f t="shared" si="36"/>
        <v>0.47619047619047616</v>
      </c>
      <c r="K338">
        <f t="shared" si="37"/>
        <v>0.56521739130434778</v>
      </c>
      <c r="L338">
        <f t="shared" si="39"/>
        <v>-8.9026915113871619E-2</v>
      </c>
      <c r="M338">
        <f t="shared" si="40"/>
        <v>1</v>
      </c>
      <c r="N338">
        <f t="shared" si="41"/>
        <v>0</v>
      </c>
    </row>
    <row r="339" spans="1:14" x14ac:dyDescent="0.25">
      <c r="A339">
        <v>338</v>
      </c>
      <c r="B339" t="str">
        <f t="shared" si="35"/>
        <v>2016_DEN</v>
      </c>
      <c r="C339">
        <v>2016</v>
      </c>
      <c r="D339" t="s">
        <v>23</v>
      </c>
      <c r="E339">
        <v>37</v>
      </c>
      <c r="F339">
        <v>-125</v>
      </c>
      <c r="G339">
        <v>105</v>
      </c>
      <c r="H339">
        <v>40</v>
      </c>
      <c r="I339" t="str">
        <f t="shared" si="38"/>
        <v>O</v>
      </c>
      <c r="J339">
        <f t="shared" si="36"/>
        <v>0.55555555555555558</v>
      </c>
      <c r="K339">
        <f t="shared" si="37"/>
        <v>0.48780487804878048</v>
      </c>
      <c r="L339">
        <f t="shared" si="39"/>
        <v>6.7750677506775103E-2</v>
      </c>
      <c r="M339">
        <f t="shared" si="40"/>
        <v>0</v>
      </c>
      <c r="N339">
        <f t="shared" si="41"/>
        <v>1</v>
      </c>
    </row>
    <row r="340" spans="1:14" x14ac:dyDescent="0.25">
      <c r="A340">
        <v>339</v>
      </c>
      <c r="B340" t="str">
        <f t="shared" si="35"/>
        <v>2016_DET</v>
      </c>
      <c r="C340">
        <v>2016</v>
      </c>
      <c r="D340" t="s">
        <v>7</v>
      </c>
      <c r="E340">
        <v>44.5</v>
      </c>
      <c r="F340">
        <v>110</v>
      </c>
      <c r="G340">
        <v>-130</v>
      </c>
      <c r="H340">
        <v>37</v>
      </c>
      <c r="I340" t="str">
        <f t="shared" si="38"/>
        <v>U</v>
      </c>
      <c r="J340">
        <f t="shared" si="36"/>
        <v>0.47619047619047616</v>
      </c>
      <c r="K340">
        <f t="shared" si="37"/>
        <v>0.56521739130434778</v>
      </c>
      <c r="L340">
        <f t="shared" si="39"/>
        <v>-8.9026915113871619E-2</v>
      </c>
      <c r="M340">
        <f t="shared" si="40"/>
        <v>1</v>
      </c>
      <c r="N340">
        <f t="shared" si="41"/>
        <v>0</v>
      </c>
    </row>
    <row r="341" spans="1:14" x14ac:dyDescent="0.25">
      <c r="A341">
        <v>340</v>
      </c>
      <c r="B341" t="str">
        <f t="shared" si="35"/>
        <v>2016_GSW</v>
      </c>
      <c r="C341">
        <v>2016</v>
      </c>
      <c r="D341" t="s">
        <v>468</v>
      </c>
      <c r="E341">
        <v>66.5</v>
      </c>
      <c r="F341">
        <v>-110</v>
      </c>
      <c r="G341">
        <v>-110</v>
      </c>
      <c r="H341">
        <v>67</v>
      </c>
      <c r="I341" t="str">
        <f t="shared" si="38"/>
        <v>O</v>
      </c>
      <c r="J341">
        <f t="shared" si="36"/>
        <v>0.52380952380952384</v>
      </c>
      <c r="K341">
        <f t="shared" si="37"/>
        <v>0.52380952380952384</v>
      </c>
      <c r="L341">
        <f t="shared" si="39"/>
        <v>0</v>
      </c>
      <c r="M341">
        <f t="shared" si="40"/>
        <v>0</v>
      </c>
      <c r="N341">
        <f t="shared" si="41"/>
        <v>0</v>
      </c>
    </row>
    <row r="342" spans="1:14" x14ac:dyDescent="0.25">
      <c r="A342">
        <v>341</v>
      </c>
      <c r="B342" t="str">
        <f t="shared" si="35"/>
        <v>2016_HOU</v>
      </c>
      <c r="C342">
        <v>2016</v>
      </c>
      <c r="D342" t="s">
        <v>4</v>
      </c>
      <c r="E342">
        <v>44</v>
      </c>
      <c r="F342">
        <v>-145</v>
      </c>
      <c r="G342">
        <v>125</v>
      </c>
      <c r="H342">
        <v>55</v>
      </c>
      <c r="I342" t="str">
        <f t="shared" si="38"/>
        <v>O</v>
      </c>
      <c r="J342">
        <f t="shared" si="36"/>
        <v>0.59183673469387754</v>
      </c>
      <c r="K342">
        <f t="shared" si="37"/>
        <v>0.44444444444444442</v>
      </c>
      <c r="L342">
        <f t="shared" si="39"/>
        <v>0.14739229024943312</v>
      </c>
      <c r="M342">
        <f t="shared" si="40"/>
        <v>0</v>
      </c>
      <c r="N342">
        <f t="shared" si="41"/>
        <v>1</v>
      </c>
    </row>
    <row r="343" spans="1:14" x14ac:dyDescent="0.25">
      <c r="A343">
        <v>342</v>
      </c>
      <c r="B343" t="str">
        <f t="shared" si="35"/>
        <v>2016_IND</v>
      </c>
      <c r="C343">
        <v>2016</v>
      </c>
      <c r="D343" t="s">
        <v>13</v>
      </c>
      <c r="E343">
        <v>44.5</v>
      </c>
      <c r="F343">
        <v>-135</v>
      </c>
      <c r="G343">
        <v>115</v>
      </c>
      <c r="H343">
        <v>42</v>
      </c>
      <c r="I343" t="str">
        <f t="shared" si="38"/>
        <v>U</v>
      </c>
      <c r="J343">
        <f t="shared" si="36"/>
        <v>0.57446808510638303</v>
      </c>
      <c r="K343">
        <f t="shared" si="37"/>
        <v>0.46511627906976744</v>
      </c>
      <c r="L343">
        <f t="shared" si="39"/>
        <v>0.1093518060366156</v>
      </c>
      <c r="M343">
        <f t="shared" si="40"/>
        <v>0</v>
      </c>
      <c r="N343">
        <f t="shared" si="41"/>
        <v>1</v>
      </c>
    </row>
    <row r="344" spans="1:14" x14ac:dyDescent="0.25">
      <c r="A344">
        <v>343</v>
      </c>
      <c r="B344" t="str">
        <f t="shared" si="35"/>
        <v>2016_LAC</v>
      </c>
      <c r="C344">
        <v>2016</v>
      </c>
      <c r="D344" t="s">
        <v>14</v>
      </c>
      <c r="E344">
        <v>53.5</v>
      </c>
      <c r="F344">
        <v>105</v>
      </c>
      <c r="G344">
        <v>-125</v>
      </c>
      <c r="H344">
        <v>51</v>
      </c>
      <c r="I344" t="str">
        <f t="shared" si="38"/>
        <v>U</v>
      </c>
      <c r="J344">
        <f t="shared" si="36"/>
        <v>0.48780487804878048</v>
      </c>
      <c r="K344">
        <f t="shared" si="37"/>
        <v>0.55555555555555558</v>
      </c>
      <c r="L344">
        <f t="shared" si="39"/>
        <v>-6.7750677506775103E-2</v>
      </c>
      <c r="M344">
        <f t="shared" si="40"/>
        <v>1</v>
      </c>
      <c r="N344">
        <f t="shared" si="41"/>
        <v>0</v>
      </c>
    </row>
    <row r="345" spans="1:14" x14ac:dyDescent="0.25">
      <c r="A345">
        <v>344</v>
      </c>
      <c r="B345" t="str">
        <f t="shared" si="35"/>
        <v>2016_LAL</v>
      </c>
      <c r="C345">
        <v>2016</v>
      </c>
      <c r="D345" t="s">
        <v>18</v>
      </c>
      <c r="E345">
        <v>24.5</v>
      </c>
      <c r="F345">
        <v>-115</v>
      </c>
      <c r="G345">
        <v>-105</v>
      </c>
      <c r="H345">
        <v>26</v>
      </c>
      <c r="I345" t="str">
        <f t="shared" si="38"/>
        <v>O</v>
      </c>
      <c r="J345">
        <f t="shared" si="36"/>
        <v>0.53488372093023251</v>
      </c>
      <c r="K345">
        <f t="shared" si="37"/>
        <v>0.51219512195121952</v>
      </c>
      <c r="L345">
        <f t="shared" si="39"/>
        <v>2.2688598979012986E-2</v>
      </c>
      <c r="M345">
        <f t="shared" si="40"/>
        <v>0</v>
      </c>
      <c r="N345">
        <f t="shared" si="41"/>
        <v>0</v>
      </c>
    </row>
    <row r="346" spans="1:14" x14ac:dyDescent="0.25">
      <c r="A346">
        <v>345</v>
      </c>
      <c r="B346" t="str">
        <f t="shared" si="35"/>
        <v>2016_MEM</v>
      </c>
      <c r="C346">
        <v>2016</v>
      </c>
      <c r="D346" t="s">
        <v>9</v>
      </c>
      <c r="E346">
        <v>42.5</v>
      </c>
      <c r="F346">
        <v>100</v>
      </c>
      <c r="G346">
        <v>-120</v>
      </c>
      <c r="H346">
        <v>43</v>
      </c>
      <c r="I346" t="str">
        <f t="shared" si="38"/>
        <v>O</v>
      </c>
      <c r="J346">
        <f t="shared" si="36"/>
        <v>0.5</v>
      </c>
      <c r="K346">
        <f t="shared" si="37"/>
        <v>0.54545454545454541</v>
      </c>
      <c r="L346">
        <f t="shared" si="39"/>
        <v>-4.5454545454545414E-2</v>
      </c>
      <c r="M346">
        <f t="shared" si="40"/>
        <v>1</v>
      </c>
      <c r="N346">
        <f t="shared" si="41"/>
        <v>0</v>
      </c>
    </row>
    <row r="347" spans="1:14" x14ac:dyDescent="0.25">
      <c r="A347">
        <v>346</v>
      </c>
      <c r="B347" t="str">
        <f t="shared" si="35"/>
        <v>2016_MIA</v>
      </c>
      <c r="C347">
        <v>2016</v>
      </c>
      <c r="D347" t="s">
        <v>15</v>
      </c>
      <c r="E347">
        <v>34.5</v>
      </c>
      <c r="F347">
        <v>-115</v>
      </c>
      <c r="G347">
        <v>-105</v>
      </c>
      <c r="H347">
        <v>41</v>
      </c>
      <c r="I347" t="str">
        <f t="shared" si="38"/>
        <v>O</v>
      </c>
      <c r="J347">
        <f t="shared" si="36"/>
        <v>0.53488372093023251</v>
      </c>
      <c r="K347">
        <f t="shared" si="37"/>
        <v>0.51219512195121952</v>
      </c>
      <c r="L347">
        <f t="shared" si="39"/>
        <v>2.2688598979012986E-2</v>
      </c>
      <c r="M347">
        <f t="shared" si="40"/>
        <v>0</v>
      </c>
      <c r="N347">
        <f t="shared" si="41"/>
        <v>0</v>
      </c>
    </row>
    <row r="348" spans="1:14" x14ac:dyDescent="0.25">
      <c r="A348">
        <v>347</v>
      </c>
      <c r="B348" t="str">
        <f t="shared" si="35"/>
        <v>2016_MIL</v>
      </c>
      <c r="C348">
        <v>2016</v>
      </c>
      <c r="D348" t="s">
        <v>10</v>
      </c>
      <c r="E348">
        <v>34.5</v>
      </c>
      <c r="F348">
        <v>-140</v>
      </c>
      <c r="G348">
        <v>120</v>
      </c>
      <c r="H348">
        <v>42</v>
      </c>
      <c r="I348" t="str">
        <f t="shared" si="38"/>
        <v>O</v>
      </c>
      <c r="J348">
        <f t="shared" si="36"/>
        <v>0.58333333333333337</v>
      </c>
      <c r="K348">
        <f t="shared" si="37"/>
        <v>0.45454545454545453</v>
      </c>
      <c r="L348">
        <f t="shared" si="39"/>
        <v>0.12878787878787884</v>
      </c>
      <c r="M348">
        <f t="shared" si="40"/>
        <v>0</v>
      </c>
      <c r="N348">
        <f t="shared" si="41"/>
        <v>1</v>
      </c>
    </row>
    <row r="349" spans="1:14" x14ac:dyDescent="0.25">
      <c r="A349">
        <v>348</v>
      </c>
      <c r="B349" t="str">
        <f t="shared" si="35"/>
        <v>2016_MIN</v>
      </c>
      <c r="C349">
        <v>2016</v>
      </c>
      <c r="D349" t="s">
        <v>3</v>
      </c>
      <c r="E349">
        <v>41.5</v>
      </c>
      <c r="F349">
        <v>-155</v>
      </c>
      <c r="G349">
        <v>135</v>
      </c>
      <c r="H349">
        <v>31</v>
      </c>
      <c r="I349" t="str">
        <f t="shared" si="38"/>
        <v>U</v>
      </c>
      <c r="J349">
        <f t="shared" si="36"/>
        <v>0.60784313725490191</v>
      </c>
      <c r="K349">
        <f t="shared" si="37"/>
        <v>0.42553191489361702</v>
      </c>
      <c r="L349">
        <f t="shared" si="39"/>
        <v>0.18231122236128489</v>
      </c>
      <c r="M349">
        <f t="shared" si="40"/>
        <v>0</v>
      </c>
      <c r="N349">
        <f t="shared" si="41"/>
        <v>1</v>
      </c>
    </row>
    <row r="350" spans="1:14" x14ac:dyDescent="0.25">
      <c r="A350">
        <v>349</v>
      </c>
      <c r="B350" t="str">
        <f t="shared" si="35"/>
        <v>2016_NOP</v>
      </c>
      <c r="C350">
        <v>2016</v>
      </c>
      <c r="D350" t="s">
        <v>469</v>
      </c>
      <c r="E350">
        <v>36.5</v>
      </c>
      <c r="F350">
        <v>-115</v>
      </c>
      <c r="G350">
        <v>-105</v>
      </c>
      <c r="H350">
        <v>34</v>
      </c>
      <c r="I350" t="str">
        <f t="shared" si="38"/>
        <v>U</v>
      </c>
      <c r="J350">
        <f t="shared" si="36"/>
        <v>0.53488372093023251</v>
      </c>
      <c r="K350">
        <f t="shared" si="37"/>
        <v>0.51219512195121952</v>
      </c>
      <c r="L350">
        <f t="shared" si="39"/>
        <v>2.2688598979012986E-2</v>
      </c>
      <c r="M350">
        <f t="shared" si="40"/>
        <v>0</v>
      </c>
      <c r="N350">
        <f t="shared" si="41"/>
        <v>0</v>
      </c>
    </row>
    <row r="351" spans="1:14" x14ac:dyDescent="0.25">
      <c r="A351">
        <v>350</v>
      </c>
      <c r="B351" t="str">
        <f t="shared" si="35"/>
        <v>2016_NYK</v>
      </c>
      <c r="C351">
        <v>2016</v>
      </c>
      <c r="D351" t="s">
        <v>470</v>
      </c>
      <c r="E351">
        <v>38.5</v>
      </c>
      <c r="F351">
        <v>-145</v>
      </c>
      <c r="G351">
        <v>125</v>
      </c>
      <c r="H351">
        <v>31</v>
      </c>
      <c r="I351" t="str">
        <f t="shared" si="38"/>
        <v>U</v>
      </c>
      <c r="J351">
        <f t="shared" si="36"/>
        <v>0.59183673469387754</v>
      </c>
      <c r="K351">
        <f t="shared" si="37"/>
        <v>0.44444444444444442</v>
      </c>
      <c r="L351">
        <f t="shared" si="39"/>
        <v>0.14739229024943312</v>
      </c>
      <c r="M351">
        <f t="shared" si="40"/>
        <v>0</v>
      </c>
      <c r="N351">
        <f t="shared" si="41"/>
        <v>1</v>
      </c>
    </row>
    <row r="352" spans="1:14" x14ac:dyDescent="0.25">
      <c r="A352">
        <v>351</v>
      </c>
      <c r="B352" t="str">
        <f t="shared" si="35"/>
        <v>2016_OKC</v>
      </c>
      <c r="C352">
        <v>2016</v>
      </c>
      <c r="D352" t="s">
        <v>12</v>
      </c>
      <c r="E352">
        <v>45</v>
      </c>
      <c r="F352">
        <v>-140</v>
      </c>
      <c r="G352">
        <v>120</v>
      </c>
      <c r="H352">
        <v>47</v>
      </c>
      <c r="I352" t="str">
        <f t="shared" si="38"/>
        <v>O</v>
      </c>
      <c r="J352">
        <f t="shared" si="36"/>
        <v>0.58333333333333337</v>
      </c>
      <c r="K352">
        <f t="shared" si="37"/>
        <v>0.45454545454545453</v>
      </c>
      <c r="L352">
        <f t="shared" si="39"/>
        <v>0.12878787878787884</v>
      </c>
      <c r="M352">
        <f t="shared" si="40"/>
        <v>0</v>
      </c>
      <c r="N352">
        <f t="shared" si="41"/>
        <v>1</v>
      </c>
    </row>
    <row r="353" spans="1:14" x14ac:dyDescent="0.25">
      <c r="A353">
        <v>352</v>
      </c>
      <c r="B353" t="str">
        <f t="shared" si="35"/>
        <v>2016_ORL</v>
      </c>
      <c r="C353">
        <v>2016</v>
      </c>
      <c r="D353" t="s">
        <v>11</v>
      </c>
      <c r="E353">
        <v>37.5</v>
      </c>
      <c r="F353">
        <v>105</v>
      </c>
      <c r="G353">
        <v>-125</v>
      </c>
      <c r="H353">
        <v>29</v>
      </c>
      <c r="I353" t="str">
        <f t="shared" si="38"/>
        <v>U</v>
      </c>
      <c r="J353">
        <f t="shared" si="36"/>
        <v>0.48780487804878048</v>
      </c>
      <c r="K353">
        <f t="shared" si="37"/>
        <v>0.55555555555555558</v>
      </c>
      <c r="L353">
        <f t="shared" si="39"/>
        <v>-6.7750677506775103E-2</v>
      </c>
      <c r="M353">
        <f t="shared" si="40"/>
        <v>1</v>
      </c>
      <c r="N353">
        <f t="shared" si="41"/>
        <v>0</v>
      </c>
    </row>
    <row r="354" spans="1:14" x14ac:dyDescent="0.25">
      <c r="A354">
        <v>353</v>
      </c>
      <c r="B354" t="str">
        <f t="shared" si="35"/>
        <v>2016_PHI</v>
      </c>
      <c r="C354">
        <v>2016</v>
      </c>
      <c r="D354" t="s">
        <v>20</v>
      </c>
      <c r="E354">
        <v>23.5</v>
      </c>
      <c r="F354">
        <v>-135</v>
      </c>
      <c r="G354">
        <v>115</v>
      </c>
      <c r="H354">
        <v>28</v>
      </c>
      <c r="I354" t="str">
        <f t="shared" si="38"/>
        <v>O</v>
      </c>
      <c r="J354">
        <f t="shared" si="36"/>
        <v>0.57446808510638303</v>
      </c>
      <c r="K354">
        <f t="shared" si="37"/>
        <v>0.46511627906976744</v>
      </c>
      <c r="L354">
        <f t="shared" si="39"/>
        <v>0.1093518060366156</v>
      </c>
      <c r="M354">
        <f t="shared" si="40"/>
        <v>0</v>
      </c>
      <c r="N354">
        <f t="shared" si="41"/>
        <v>1</v>
      </c>
    </row>
    <row r="355" spans="1:14" x14ac:dyDescent="0.25">
      <c r="A355">
        <v>354</v>
      </c>
      <c r="B355" t="str">
        <f t="shared" si="35"/>
        <v>2016_PHO</v>
      </c>
      <c r="C355">
        <v>2016</v>
      </c>
      <c r="D355" t="s">
        <v>471</v>
      </c>
      <c r="E355">
        <v>29.5</v>
      </c>
      <c r="F355">
        <v>-105</v>
      </c>
      <c r="G355">
        <v>-115</v>
      </c>
      <c r="H355">
        <v>24</v>
      </c>
      <c r="I355" t="str">
        <f t="shared" si="38"/>
        <v>U</v>
      </c>
      <c r="J355">
        <f t="shared" si="36"/>
        <v>0.51219512195121952</v>
      </c>
      <c r="K355">
        <f t="shared" si="37"/>
        <v>0.53488372093023251</v>
      </c>
      <c r="L355">
        <f t="shared" si="39"/>
        <v>-2.2688598979012986E-2</v>
      </c>
      <c r="M355">
        <f t="shared" si="40"/>
        <v>0</v>
      </c>
      <c r="N355">
        <f t="shared" si="41"/>
        <v>0</v>
      </c>
    </row>
    <row r="356" spans="1:14" x14ac:dyDescent="0.25">
      <c r="A356">
        <v>355</v>
      </c>
      <c r="B356" t="str">
        <f t="shared" si="35"/>
        <v>2016_POR</v>
      </c>
      <c r="C356">
        <v>2016</v>
      </c>
      <c r="D356" t="s">
        <v>1</v>
      </c>
      <c r="E356">
        <v>45.5</v>
      </c>
      <c r="F356">
        <v>100</v>
      </c>
      <c r="G356">
        <v>-120</v>
      </c>
      <c r="H356">
        <v>41</v>
      </c>
      <c r="I356" t="str">
        <f t="shared" si="38"/>
        <v>U</v>
      </c>
      <c r="J356">
        <f t="shared" si="36"/>
        <v>0.5</v>
      </c>
      <c r="K356">
        <f t="shared" si="37"/>
        <v>0.54545454545454541</v>
      </c>
      <c r="L356">
        <f t="shared" si="39"/>
        <v>-4.5454545454545414E-2</v>
      </c>
      <c r="M356">
        <f t="shared" si="40"/>
        <v>1</v>
      </c>
      <c r="N356">
        <f t="shared" si="41"/>
        <v>0</v>
      </c>
    </row>
    <row r="357" spans="1:14" x14ac:dyDescent="0.25">
      <c r="A357">
        <v>356</v>
      </c>
      <c r="B357" t="str">
        <f t="shared" si="35"/>
        <v>2016_SAC</v>
      </c>
      <c r="C357">
        <v>2016</v>
      </c>
      <c r="D357" t="s">
        <v>21</v>
      </c>
      <c r="E357">
        <v>33.5</v>
      </c>
      <c r="F357">
        <v>-115</v>
      </c>
      <c r="G357">
        <v>-105</v>
      </c>
      <c r="H357">
        <v>32</v>
      </c>
      <c r="I357" t="str">
        <f t="shared" si="38"/>
        <v>U</v>
      </c>
      <c r="J357">
        <f t="shared" si="36"/>
        <v>0.53488372093023251</v>
      </c>
      <c r="K357">
        <f t="shared" si="37"/>
        <v>0.51219512195121952</v>
      </c>
      <c r="L357">
        <f t="shared" si="39"/>
        <v>2.2688598979012986E-2</v>
      </c>
      <c r="M357">
        <f t="shared" si="40"/>
        <v>0</v>
      </c>
      <c r="N357">
        <f t="shared" si="41"/>
        <v>0</v>
      </c>
    </row>
    <row r="358" spans="1:14" x14ac:dyDescent="0.25">
      <c r="A358">
        <v>357</v>
      </c>
      <c r="B358" t="str">
        <f t="shared" si="35"/>
        <v>2016_SAS</v>
      </c>
      <c r="C358">
        <v>2016</v>
      </c>
      <c r="D358" t="s">
        <v>472</v>
      </c>
      <c r="E358">
        <v>57.5</v>
      </c>
      <c r="F358">
        <v>130</v>
      </c>
      <c r="G358">
        <v>-150</v>
      </c>
      <c r="H358">
        <v>61</v>
      </c>
      <c r="I358" t="str">
        <f t="shared" si="38"/>
        <v>O</v>
      </c>
      <c r="J358">
        <f t="shared" si="36"/>
        <v>0.43478260869565216</v>
      </c>
      <c r="K358">
        <f t="shared" si="37"/>
        <v>0.6</v>
      </c>
      <c r="L358">
        <f t="shared" si="39"/>
        <v>-0.16521739130434782</v>
      </c>
      <c r="M358">
        <f t="shared" si="40"/>
        <v>1</v>
      </c>
      <c r="N358">
        <f t="shared" si="41"/>
        <v>0</v>
      </c>
    </row>
    <row r="359" spans="1:14" x14ac:dyDescent="0.25">
      <c r="A359">
        <v>358</v>
      </c>
      <c r="B359" t="str">
        <f t="shared" si="35"/>
        <v>2016_TOR</v>
      </c>
      <c r="C359">
        <v>2016</v>
      </c>
      <c r="D359" t="s">
        <v>2</v>
      </c>
      <c r="E359">
        <v>50.5</v>
      </c>
      <c r="F359">
        <v>-115</v>
      </c>
      <c r="G359">
        <v>-105</v>
      </c>
      <c r="H359">
        <v>51</v>
      </c>
      <c r="I359" t="str">
        <f t="shared" si="38"/>
        <v>O</v>
      </c>
      <c r="J359">
        <f t="shared" si="36"/>
        <v>0.53488372093023251</v>
      </c>
      <c r="K359">
        <f t="shared" si="37"/>
        <v>0.51219512195121952</v>
      </c>
      <c r="L359">
        <f t="shared" si="39"/>
        <v>2.2688598979012986E-2</v>
      </c>
      <c r="M359">
        <f t="shared" si="40"/>
        <v>0</v>
      </c>
      <c r="N359">
        <f t="shared" si="41"/>
        <v>0</v>
      </c>
    </row>
    <row r="360" spans="1:14" x14ac:dyDescent="0.25">
      <c r="A360">
        <v>359</v>
      </c>
      <c r="B360" t="str">
        <f t="shared" si="35"/>
        <v>2016_UTA</v>
      </c>
      <c r="C360">
        <v>2016</v>
      </c>
      <c r="D360" t="s">
        <v>473</v>
      </c>
      <c r="E360">
        <v>47.5</v>
      </c>
      <c r="F360">
        <v>-120</v>
      </c>
      <c r="G360">
        <v>100</v>
      </c>
      <c r="H360">
        <v>51</v>
      </c>
      <c r="I360" t="str">
        <f t="shared" si="38"/>
        <v>O</v>
      </c>
      <c r="J360">
        <f t="shared" si="36"/>
        <v>0.54545454545454541</v>
      </c>
      <c r="K360">
        <f t="shared" si="37"/>
        <v>0.5</v>
      </c>
      <c r="L360">
        <f t="shared" si="39"/>
        <v>4.5454545454545414E-2</v>
      </c>
      <c r="M360">
        <f t="shared" si="40"/>
        <v>0</v>
      </c>
      <c r="N360">
        <f t="shared" si="41"/>
        <v>1</v>
      </c>
    </row>
    <row r="361" spans="1:14" x14ac:dyDescent="0.25">
      <c r="A361">
        <v>360</v>
      </c>
      <c r="B361" t="str">
        <f t="shared" si="35"/>
        <v>2016_WAS</v>
      </c>
      <c r="C361">
        <v>2016</v>
      </c>
      <c r="D361" t="s">
        <v>474</v>
      </c>
      <c r="E361">
        <v>42.5</v>
      </c>
      <c r="F361">
        <v>105</v>
      </c>
      <c r="G361">
        <v>-125</v>
      </c>
      <c r="H361">
        <v>49</v>
      </c>
      <c r="I361" t="str">
        <f t="shared" si="38"/>
        <v>O</v>
      </c>
      <c r="J361">
        <f t="shared" si="36"/>
        <v>0.48780487804878048</v>
      </c>
      <c r="K361">
        <f t="shared" si="37"/>
        <v>0.55555555555555558</v>
      </c>
      <c r="L361">
        <f t="shared" si="39"/>
        <v>-6.7750677506775103E-2</v>
      </c>
      <c r="M361">
        <f t="shared" si="40"/>
        <v>1</v>
      </c>
      <c r="N361">
        <f t="shared" si="41"/>
        <v>0</v>
      </c>
    </row>
    <row r="362" spans="1:14" x14ac:dyDescent="0.25">
      <c r="A362">
        <v>361</v>
      </c>
      <c r="B362" t="str">
        <f t="shared" si="35"/>
        <v>2017_ATL</v>
      </c>
      <c r="C362">
        <v>2017</v>
      </c>
      <c r="D362" t="s">
        <v>5</v>
      </c>
      <c r="E362">
        <v>25.5</v>
      </c>
    </row>
    <row r="363" spans="1:14" x14ac:dyDescent="0.25">
      <c r="A363">
        <v>362</v>
      </c>
      <c r="B363" t="str">
        <f t="shared" ref="B363:B391" si="42">CONCATENATE(C363,"_",D363)</f>
        <v>2017_BOS</v>
      </c>
      <c r="C363">
        <v>2017</v>
      </c>
      <c r="D363" t="s">
        <v>17</v>
      </c>
      <c r="E363">
        <v>56.5</v>
      </c>
    </row>
    <row r="364" spans="1:14" x14ac:dyDescent="0.25">
      <c r="A364">
        <v>363</v>
      </c>
      <c r="B364" t="str">
        <f t="shared" si="42"/>
        <v>2017_BRK</v>
      </c>
      <c r="C364">
        <v>2017</v>
      </c>
      <c r="D364" t="s">
        <v>80</v>
      </c>
      <c r="E364">
        <v>28.5</v>
      </c>
    </row>
    <row r="365" spans="1:14" x14ac:dyDescent="0.25">
      <c r="A365">
        <v>364</v>
      </c>
      <c r="B365" t="str">
        <f t="shared" si="42"/>
        <v>2017_CHO</v>
      </c>
      <c r="C365">
        <v>2017</v>
      </c>
      <c r="D365" t="s">
        <v>467</v>
      </c>
      <c r="E365">
        <v>42.5</v>
      </c>
    </row>
    <row r="366" spans="1:14" x14ac:dyDescent="0.25">
      <c r="A366">
        <v>365</v>
      </c>
      <c r="B366" t="str">
        <f t="shared" si="42"/>
        <v>2017_CHI</v>
      </c>
      <c r="C366">
        <v>2017</v>
      </c>
      <c r="D366" t="s">
        <v>0</v>
      </c>
      <c r="E366">
        <v>21.5</v>
      </c>
    </row>
    <row r="367" spans="1:14" x14ac:dyDescent="0.25">
      <c r="A367">
        <v>366</v>
      </c>
      <c r="B367" t="str">
        <f t="shared" si="42"/>
        <v>2017_CLE</v>
      </c>
      <c r="C367">
        <v>2017</v>
      </c>
      <c r="D367" t="s">
        <v>6</v>
      </c>
      <c r="E367">
        <v>53.5</v>
      </c>
    </row>
    <row r="368" spans="1:14" x14ac:dyDescent="0.25">
      <c r="A368">
        <v>367</v>
      </c>
      <c r="B368" t="str">
        <f t="shared" si="42"/>
        <v>2017_DAL</v>
      </c>
      <c r="C368">
        <v>2017</v>
      </c>
      <c r="D368" t="s">
        <v>16</v>
      </c>
      <c r="E368">
        <v>35.5</v>
      </c>
    </row>
    <row r="369" spans="1:5" x14ac:dyDescent="0.25">
      <c r="A369">
        <v>368</v>
      </c>
      <c r="B369" t="str">
        <f t="shared" si="42"/>
        <v>2017_DEN</v>
      </c>
      <c r="C369">
        <v>2017</v>
      </c>
      <c r="D369" t="s">
        <v>23</v>
      </c>
      <c r="E369">
        <v>45.5</v>
      </c>
    </row>
    <row r="370" spans="1:5" x14ac:dyDescent="0.25">
      <c r="A370">
        <v>369</v>
      </c>
      <c r="B370" t="str">
        <f t="shared" si="42"/>
        <v>2017_DET</v>
      </c>
      <c r="C370">
        <v>2017</v>
      </c>
      <c r="D370" t="s">
        <v>7</v>
      </c>
      <c r="E370">
        <v>38.5</v>
      </c>
    </row>
    <row r="371" spans="1:5" x14ac:dyDescent="0.25">
      <c r="A371">
        <v>370</v>
      </c>
      <c r="B371" t="str">
        <f t="shared" si="42"/>
        <v>2017_GSW</v>
      </c>
      <c r="C371">
        <v>2017</v>
      </c>
      <c r="D371" t="s">
        <v>468</v>
      </c>
      <c r="E371">
        <v>67.5</v>
      </c>
    </row>
    <row r="372" spans="1:5" x14ac:dyDescent="0.25">
      <c r="A372">
        <v>371</v>
      </c>
      <c r="B372" t="str">
        <f t="shared" si="42"/>
        <v>2017_HOU</v>
      </c>
      <c r="C372">
        <v>2017</v>
      </c>
      <c r="D372" t="s">
        <v>4</v>
      </c>
      <c r="E372">
        <v>55.5</v>
      </c>
    </row>
    <row r="373" spans="1:5" x14ac:dyDescent="0.25">
      <c r="A373">
        <v>372</v>
      </c>
      <c r="B373" t="str">
        <f t="shared" si="42"/>
        <v>2017_IND</v>
      </c>
      <c r="C373">
        <v>2017</v>
      </c>
      <c r="D373" t="s">
        <v>13</v>
      </c>
      <c r="E373">
        <v>31.5</v>
      </c>
    </row>
    <row r="374" spans="1:5" x14ac:dyDescent="0.25">
      <c r="A374">
        <v>373</v>
      </c>
      <c r="B374" t="str">
        <f t="shared" si="42"/>
        <v>2017_LAC</v>
      </c>
      <c r="C374">
        <v>2017</v>
      </c>
      <c r="D374" t="s">
        <v>14</v>
      </c>
      <c r="E374">
        <v>43.5</v>
      </c>
    </row>
    <row r="375" spans="1:5" x14ac:dyDescent="0.25">
      <c r="A375">
        <v>374</v>
      </c>
      <c r="B375" t="str">
        <f t="shared" si="42"/>
        <v>2017_LAL</v>
      </c>
      <c r="C375">
        <v>2017</v>
      </c>
      <c r="D375" t="s">
        <v>18</v>
      </c>
      <c r="E375">
        <v>33.5</v>
      </c>
    </row>
    <row r="376" spans="1:5" x14ac:dyDescent="0.25">
      <c r="A376">
        <v>375</v>
      </c>
      <c r="B376" t="str">
        <f t="shared" si="42"/>
        <v>2017_MEM</v>
      </c>
      <c r="C376">
        <v>2017</v>
      </c>
      <c r="D376" t="s">
        <v>9</v>
      </c>
      <c r="E376">
        <v>37.5</v>
      </c>
    </row>
    <row r="377" spans="1:5" x14ac:dyDescent="0.25">
      <c r="A377">
        <v>376</v>
      </c>
      <c r="B377" t="str">
        <f t="shared" si="42"/>
        <v>2017_MIA</v>
      </c>
      <c r="C377">
        <v>2017</v>
      </c>
      <c r="D377" t="s">
        <v>15</v>
      </c>
      <c r="E377">
        <v>43.5</v>
      </c>
    </row>
    <row r="378" spans="1:5" x14ac:dyDescent="0.25">
      <c r="A378">
        <v>377</v>
      </c>
      <c r="B378" t="str">
        <f t="shared" si="42"/>
        <v>2017_MIL</v>
      </c>
      <c r="C378">
        <v>2017</v>
      </c>
      <c r="D378" t="s">
        <v>10</v>
      </c>
      <c r="E378">
        <v>47.5</v>
      </c>
    </row>
    <row r="379" spans="1:5" x14ac:dyDescent="0.25">
      <c r="A379">
        <v>378</v>
      </c>
      <c r="B379" t="str">
        <f t="shared" si="42"/>
        <v>2017_MIN</v>
      </c>
      <c r="C379">
        <v>2017</v>
      </c>
      <c r="D379" t="s">
        <v>3</v>
      </c>
      <c r="E379">
        <v>48.5</v>
      </c>
    </row>
    <row r="380" spans="1:5" x14ac:dyDescent="0.25">
      <c r="A380">
        <v>379</v>
      </c>
      <c r="B380" t="str">
        <f t="shared" si="42"/>
        <v>2017_NOP</v>
      </c>
      <c r="C380">
        <v>2017</v>
      </c>
      <c r="D380" t="s">
        <v>469</v>
      </c>
      <c r="E380">
        <v>39.5</v>
      </c>
    </row>
    <row r="381" spans="1:5" x14ac:dyDescent="0.25">
      <c r="A381">
        <v>380</v>
      </c>
      <c r="B381" t="str">
        <f t="shared" si="42"/>
        <v>2017_NYK</v>
      </c>
      <c r="C381">
        <v>2017</v>
      </c>
      <c r="D381" t="s">
        <v>470</v>
      </c>
      <c r="E381">
        <v>30.5</v>
      </c>
    </row>
    <row r="382" spans="1:5" x14ac:dyDescent="0.25">
      <c r="A382">
        <v>381</v>
      </c>
      <c r="B382" t="str">
        <f t="shared" si="42"/>
        <v>2017_OKC</v>
      </c>
      <c r="C382">
        <v>2017</v>
      </c>
      <c r="D382" t="s">
        <v>12</v>
      </c>
      <c r="E382">
        <v>51.5</v>
      </c>
    </row>
    <row r="383" spans="1:5" x14ac:dyDescent="0.25">
      <c r="A383">
        <v>382</v>
      </c>
      <c r="B383" t="str">
        <f t="shared" si="42"/>
        <v>2017_ORL</v>
      </c>
      <c r="C383">
        <v>2017</v>
      </c>
      <c r="D383" t="s">
        <v>11</v>
      </c>
      <c r="E383">
        <v>33.5</v>
      </c>
    </row>
    <row r="384" spans="1:5" x14ac:dyDescent="0.25">
      <c r="A384">
        <v>383</v>
      </c>
      <c r="B384" t="str">
        <f t="shared" si="42"/>
        <v>2017_PHI</v>
      </c>
      <c r="C384">
        <v>2017</v>
      </c>
      <c r="D384" t="s">
        <v>20</v>
      </c>
      <c r="E384">
        <v>42.5</v>
      </c>
    </row>
    <row r="385" spans="1:5" x14ac:dyDescent="0.25">
      <c r="A385">
        <v>384</v>
      </c>
      <c r="B385" t="str">
        <f t="shared" si="42"/>
        <v>2017_PHO</v>
      </c>
      <c r="C385">
        <v>2017</v>
      </c>
      <c r="D385" t="s">
        <v>471</v>
      </c>
      <c r="E385">
        <v>28.5</v>
      </c>
    </row>
    <row r="386" spans="1:5" x14ac:dyDescent="0.25">
      <c r="A386">
        <v>385</v>
      </c>
      <c r="B386" t="str">
        <f t="shared" si="42"/>
        <v>2017_POR</v>
      </c>
      <c r="C386">
        <v>2017</v>
      </c>
      <c r="D386" t="s">
        <v>1</v>
      </c>
      <c r="E386">
        <v>42.5</v>
      </c>
    </row>
    <row r="387" spans="1:5" x14ac:dyDescent="0.25">
      <c r="A387">
        <v>386</v>
      </c>
      <c r="B387" t="str">
        <f t="shared" si="42"/>
        <v>2017_SAC</v>
      </c>
      <c r="C387">
        <v>2017</v>
      </c>
      <c r="D387" t="s">
        <v>21</v>
      </c>
      <c r="E387">
        <v>28.5</v>
      </c>
    </row>
    <row r="388" spans="1:5" x14ac:dyDescent="0.25">
      <c r="A388">
        <v>387</v>
      </c>
      <c r="B388" t="str">
        <f t="shared" si="42"/>
        <v>2017_SAS</v>
      </c>
      <c r="C388">
        <v>2017</v>
      </c>
      <c r="D388" t="s">
        <v>472</v>
      </c>
      <c r="E388">
        <v>54.5</v>
      </c>
    </row>
    <row r="389" spans="1:5" x14ac:dyDescent="0.25">
      <c r="A389">
        <v>388</v>
      </c>
      <c r="B389" t="str">
        <f t="shared" si="42"/>
        <v>2017_TOR</v>
      </c>
      <c r="C389">
        <v>2017</v>
      </c>
      <c r="D389" t="s">
        <v>2</v>
      </c>
      <c r="E389">
        <v>48.5</v>
      </c>
    </row>
    <row r="390" spans="1:5" x14ac:dyDescent="0.25">
      <c r="A390">
        <v>389</v>
      </c>
      <c r="B390" t="str">
        <f t="shared" si="42"/>
        <v>2017_UTA</v>
      </c>
      <c r="C390">
        <v>2017</v>
      </c>
      <c r="D390" t="s">
        <v>473</v>
      </c>
      <c r="E390">
        <v>40.5</v>
      </c>
    </row>
    <row r="391" spans="1:5" x14ac:dyDescent="0.25">
      <c r="A391">
        <v>390</v>
      </c>
      <c r="B391" t="str">
        <f t="shared" si="42"/>
        <v>2017_WAS</v>
      </c>
      <c r="C391">
        <v>2017</v>
      </c>
      <c r="D391" t="s">
        <v>474</v>
      </c>
      <c r="E391">
        <v>47.5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361"/>
  <sheetViews>
    <sheetView zoomScale="80" zoomScaleNormal="80" workbookViewId="0">
      <pane ySplit="1" topLeftCell="A326" activePane="bottomLeft" state="frozen"/>
      <selection pane="bottomLeft" activeCell="F332" sqref="F332"/>
    </sheetView>
  </sheetViews>
  <sheetFormatPr defaultRowHeight="15" customHeight="1" x14ac:dyDescent="0.25"/>
  <cols>
    <col min="1" max="2" width="9.140625" customWidth="1"/>
    <col min="3" max="3" width="25.5703125" bestFit="1" customWidth="1"/>
    <col min="4" max="11" width="9.140625" customWidth="1"/>
  </cols>
  <sheetData>
    <row r="1" spans="1:12" ht="15" customHeight="1" x14ac:dyDescent="0.25">
      <c r="A1" t="s">
        <v>409</v>
      </c>
      <c r="B1" s="8" t="s">
        <v>427</v>
      </c>
      <c r="C1" s="14" t="s">
        <v>425</v>
      </c>
      <c r="D1" s="8" t="s">
        <v>95</v>
      </c>
      <c r="E1" s="12" t="s">
        <v>444</v>
      </c>
      <c r="F1" s="12" t="s">
        <v>446</v>
      </c>
      <c r="G1" s="12" t="s">
        <v>445</v>
      </c>
      <c r="H1" s="14" t="s">
        <v>177</v>
      </c>
      <c r="I1" s="12" t="s">
        <v>102</v>
      </c>
      <c r="J1" s="12" t="s">
        <v>178</v>
      </c>
      <c r="K1" s="14" t="s">
        <v>403</v>
      </c>
      <c r="L1" s="17" t="s">
        <v>426</v>
      </c>
    </row>
    <row r="2" spans="1:12" ht="15" customHeight="1" x14ac:dyDescent="0.25">
      <c r="A2" s="8">
        <v>1</v>
      </c>
      <c r="B2">
        <v>211</v>
      </c>
      <c r="C2" t="str">
        <f t="shared" ref="C2:C65" ca="1" si="0">IFERROR(VLOOKUP($B2,nba_win_total_results,MATCH(C$1,nba_win_total_results_header,0),FALSE),"error")</f>
        <v>2012_ATL</v>
      </c>
      <c r="D2" s="8" t="s">
        <v>157</v>
      </c>
      <c r="E2" s="8" t="s">
        <v>186</v>
      </c>
      <c r="F2" s="8"/>
      <c r="G2" s="8"/>
      <c r="H2" s="8">
        <f t="shared" ref="H2:H65" ca="1" si="1">IFERROR(VLOOKUP($B2,nba_win_total_results,MATCH(H$1,nba_win_total_results_header,0),FALSE),"error")</f>
        <v>42.5</v>
      </c>
      <c r="I2" s="1" t="s">
        <v>100</v>
      </c>
      <c r="J2" s="8" t="s">
        <v>186</v>
      </c>
      <c r="K2" s="1" t="str">
        <f t="shared" ref="K2:K65" ca="1" si="2">IFERROR(IF(VLOOKUP($B2,nba_win_total_results,MATCH(K$1,nba_win_total_results_header,0),FALSE)="","",VLOOKUP($B2,nba_win_total_results,MATCH(K$1,nba_win_total_results_header,0),FALSE)),"error")</f>
        <v>O</v>
      </c>
      <c r="L2" s="7">
        <f t="shared" ref="L2:L65" ca="1" si="3">IFERROR(IF(OR(ISBLANK(I2),ISBLANK(K2),I2="",K2=""),"",IF(I2=K2,1,0)),"error")</f>
        <v>0</v>
      </c>
    </row>
    <row r="3" spans="1:12" ht="15" customHeight="1" x14ac:dyDescent="0.25">
      <c r="A3" s="8">
        <v>2</v>
      </c>
      <c r="B3">
        <v>212</v>
      </c>
      <c r="C3" t="str">
        <f t="shared" ca="1" si="0"/>
        <v>2012_BOS</v>
      </c>
      <c r="D3" s="8" t="s">
        <v>157</v>
      </c>
      <c r="E3" s="8" t="s">
        <v>186</v>
      </c>
      <c r="F3" s="8"/>
      <c r="G3" s="8"/>
      <c r="H3" s="8">
        <f t="shared" ca="1" si="1"/>
        <v>51.5</v>
      </c>
      <c r="I3" s="1" t="s">
        <v>101</v>
      </c>
      <c r="J3" s="8" t="s">
        <v>186</v>
      </c>
      <c r="K3" s="1" t="str">
        <f t="shared" ca="1" si="2"/>
        <v>U</v>
      </c>
      <c r="L3" s="7">
        <f t="shared" ca="1" si="3"/>
        <v>0</v>
      </c>
    </row>
    <row r="4" spans="1:12" ht="15" customHeight="1" x14ac:dyDescent="0.25">
      <c r="A4" s="8">
        <v>3</v>
      </c>
      <c r="B4">
        <v>213</v>
      </c>
      <c r="C4" t="str">
        <f t="shared" ca="1" si="0"/>
        <v>2012_BRK</v>
      </c>
      <c r="D4" s="8" t="s">
        <v>157</v>
      </c>
      <c r="E4" s="8" t="s">
        <v>186</v>
      </c>
      <c r="F4" s="8"/>
      <c r="G4" s="8"/>
      <c r="H4" s="8">
        <f t="shared" ca="1" si="1"/>
        <v>44.5</v>
      </c>
      <c r="I4" s="1" t="s">
        <v>100</v>
      </c>
      <c r="J4" s="8" t="s">
        <v>186</v>
      </c>
      <c r="K4" s="1" t="str">
        <f t="shared" ca="1" si="2"/>
        <v>O</v>
      </c>
      <c r="L4" s="7">
        <f t="shared" ca="1" si="3"/>
        <v>0</v>
      </c>
    </row>
    <row r="5" spans="1:12" ht="15" customHeight="1" x14ac:dyDescent="0.25">
      <c r="A5" s="8">
        <v>4</v>
      </c>
      <c r="B5">
        <v>229</v>
      </c>
      <c r="C5" t="str">
        <f t="shared" ca="1" si="0"/>
        <v>2012_CHO</v>
      </c>
      <c r="D5" s="8" t="s">
        <v>157</v>
      </c>
      <c r="E5" s="8" t="s">
        <v>186</v>
      </c>
      <c r="F5" s="8"/>
      <c r="G5" s="8"/>
      <c r="H5" s="8">
        <f t="shared" ca="1" si="1"/>
        <v>26.5</v>
      </c>
      <c r="I5" s="1" t="s">
        <v>100</v>
      </c>
      <c r="J5" s="8" t="s">
        <v>186</v>
      </c>
      <c r="K5" s="1" t="str">
        <f t="shared" ca="1" si="2"/>
        <v>O</v>
      </c>
      <c r="L5" s="7">
        <f t="shared" ca="1" si="3"/>
        <v>0</v>
      </c>
    </row>
    <row r="6" spans="1:12" ht="15" customHeight="1" x14ac:dyDescent="0.25">
      <c r="A6" s="8">
        <v>5</v>
      </c>
      <c r="B6">
        <v>215</v>
      </c>
      <c r="C6" t="str">
        <f t="shared" ca="1" si="0"/>
        <v>2012_CHI</v>
      </c>
      <c r="D6" s="8" t="s">
        <v>157</v>
      </c>
      <c r="E6" s="8" t="s">
        <v>186</v>
      </c>
      <c r="F6" s="8"/>
      <c r="G6" s="8"/>
      <c r="H6" s="8">
        <f t="shared" ca="1" si="1"/>
        <v>47.5</v>
      </c>
      <c r="I6" s="1" t="s">
        <v>101</v>
      </c>
      <c r="J6" s="8" t="s">
        <v>186</v>
      </c>
      <c r="K6" s="1" t="str">
        <f t="shared" ca="1" si="2"/>
        <v>U</v>
      </c>
      <c r="L6" s="7">
        <f t="shared" ca="1" si="3"/>
        <v>0</v>
      </c>
    </row>
    <row r="7" spans="1:12" ht="15" customHeight="1" x14ac:dyDescent="0.25">
      <c r="A7" s="8">
        <v>6</v>
      </c>
      <c r="B7">
        <v>216</v>
      </c>
      <c r="C7" t="str">
        <f t="shared" ca="1" si="0"/>
        <v>2012_CLE</v>
      </c>
      <c r="D7" s="8" t="s">
        <v>157</v>
      </c>
      <c r="E7" s="8" t="s">
        <v>186</v>
      </c>
      <c r="F7" s="8"/>
      <c r="G7" s="8"/>
      <c r="H7" s="8">
        <f t="shared" ca="1" si="1"/>
        <v>31.5</v>
      </c>
      <c r="I7" s="1" t="s">
        <v>100</v>
      </c>
      <c r="J7" s="8" t="s">
        <v>186</v>
      </c>
      <c r="K7" s="1" t="str">
        <f t="shared" ca="1" si="2"/>
        <v>U</v>
      </c>
      <c r="L7" s="7">
        <f t="shared" ca="1" si="3"/>
        <v>1</v>
      </c>
    </row>
    <row r="8" spans="1:12" ht="15" customHeight="1" x14ac:dyDescent="0.25">
      <c r="A8" s="8">
        <v>7</v>
      </c>
      <c r="B8">
        <v>217</v>
      </c>
      <c r="C8" t="str">
        <f t="shared" ca="1" si="0"/>
        <v>2012_DAL</v>
      </c>
      <c r="D8" s="8" t="s">
        <v>157</v>
      </c>
      <c r="E8" s="8" t="s">
        <v>186</v>
      </c>
      <c r="F8" s="8"/>
      <c r="G8" s="8"/>
      <c r="H8" s="8">
        <f t="shared" ca="1" si="1"/>
        <v>44.5</v>
      </c>
      <c r="I8" s="1" t="s">
        <v>100</v>
      </c>
      <c r="J8" s="8" t="s">
        <v>186</v>
      </c>
      <c r="K8" s="1" t="str">
        <f t="shared" ca="1" si="2"/>
        <v>U</v>
      </c>
      <c r="L8" s="7">
        <f t="shared" ca="1" si="3"/>
        <v>1</v>
      </c>
    </row>
    <row r="9" spans="1:12" ht="15" customHeight="1" x14ac:dyDescent="0.25">
      <c r="A9" s="8">
        <v>8</v>
      </c>
      <c r="B9">
        <v>218</v>
      </c>
      <c r="C9" t="str">
        <f t="shared" ca="1" si="0"/>
        <v>2012_DEN</v>
      </c>
      <c r="D9" s="8" t="s">
        <v>157</v>
      </c>
      <c r="E9" s="8" t="s">
        <v>186</v>
      </c>
      <c r="F9" s="8"/>
      <c r="G9" s="8"/>
      <c r="H9" s="8">
        <f t="shared" ca="1" si="1"/>
        <v>49.5</v>
      </c>
      <c r="I9" s="1" t="s">
        <v>100</v>
      </c>
      <c r="J9" s="8" t="s">
        <v>186</v>
      </c>
      <c r="K9" s="1" t="str">
        <f t="shared" ca="1" si="2"/>
        <v>O</v>
      </c>
      <c r="L9" s="7">
        <f t="shared" ca="1" si="3"/>
        <v>0</v>
      </c>
    </row>
    <row r="10" spans="1:12" ht="15" customHeight="1" x14ac:dyDescent="0.25">
      <c r="A10" s="8">
        <v>9</v>
      </c>
      <c r="B10">
        <v>219</v>
      </c>
      <c r="C10" t="str">
        <f t="shared" ca="1" si="0"/>
        <v>2012_DET</v>
      </c>
      <c r="D10" s="8" t="s">
        <v>157</v>
      </c>
      <c r="E10" s="8" t="s">
        <v>186</v>
      </c>
      <c r="F10" s="8"/>
      <c r="G10" s="8"/>
      <c r="H10" s="8">
        <f t="shared" ca="1" si="1"/>
        <v>32.5</v>
      </c>
      <c r="I10" s="1" t="s">
        <v>101</v>
      </c>
      <c r="J10" s="8" t="s">
        <v>186</v>
      </c>
      <c r="K10" s="1" t="str">
        <f t="shared" ca="1" si="2"/>
        <v>U</v>
      </c>
      <c r="L10" s="7">
        <f t="shared" ca="1" si="3"/>
        <v>0</v>
      </c>
    </row>
    <row r="11" spans="1:12" ht="15" customHeight="1" x14ac:dyDescent="0.25">
      <c r="A11" s="8">
        <v>10</v>
      </c>
      <c r="B11">
        <v>220</v>
      </c>
      <c r="C11" t="str">
        <f t="shared" ca="1" si="0"/>
        <v>2012_GSW</v>
      </c>
      <c r="D11" s="8" t="s">
        <v>157</v>
      </c>
      <c r="E11" s="8" t="s">
        <v>186</v>
      </c>
      <c r="F11" s="8"/>
      <c r="G11" s="8"/>
      <c r="H11" s="8">
        <f t="shared" ca="1" si="1"/>
        <v>35.5</v>
      </c>
      <c r="I11" s="1" t="s">
        <v>100</v>
      </c>
      <c r="J11" s="8" t="s">
        <v>186</v>
      </c>
      <c r="K11" s="1" t="str">
        <f t="shared" ca="1" si="2"/>
        <v>O</v>
      </c>
      <c r="L11" s="7">
        <f t="shared" ca="1" si="3"/>
        <v>0</v>
      </c>
    </row>
    <row r="12" spans="1:12" ht="15" customHeight="1" x14ac:dyDescent="0.25">
      <c r="A12" s="8">
        <v>11</v>
      </c>
      <c r="B12">
        <v>221</v>
      </c>
      <c r="C12" t="str">
        <f t="shared" ca="1" si="0"/>
        <v>2012_HOU</v>
      </c>
      <c r="D12" s="8" t="s">
        <v>157</v>
      </c>
      <c r="E12" s="8" t="s">
        <v>186</v>
      </c>
      <c r="F12" s="8"/>
      <c r="G12" s="8"/>
      <c r="H12" s="8">
        <f t="shared" ca="1" si="1"/>
        <v>31.5</v>
      </c>
      <c r="I12" s="1" t="s">
        <v>100</v>
      </c>
      <c r="J12" s="8" t="s">
        <v>186</v>
      </c>
      <c r="K12" s="1" t="str">
        <f t="shared" ca="1" si="2"/>
        <v>O</v>
      </c>
      <c r="L12" s="7">
        <f t="shared" ca="1" si="3"/>
        <v>0</v>
      </c>
    </row>
    <row r="13" spans="1:12" ht="15" customHeight="1" x14ac:dyDescent="0.25">
      <c r="A13" s="8">
        <v>12</v>
      </c>
      <c r="B13">
        <v>222</v>
      </c>
      <c r="C13" t="str">
        <f t="shared" ca="1" si="0"/>
        <v>2012_IND</v>
      </c>
      <c r="D13" s="8" t="s">
        <v>157</v>
      </c>
      <c r="E13" s="8" t="s">
        <v>186</v>
      </c>
      <c r="F13" s="8"/>
      <c r="G13" s="8"/>
      <c r="H13" s="8">
        <f t="shared" ca="1" si="1"/>
        <v>51.5</v>
      </c>
      <c r="I13" s="1" t="s">
        <v>100</v>
      </c>
      <c r="J13" s="8" t="s">
        <v>186</v>
      </c>
      <c r="K13" s="1" t="str">
        <f t="shared" ca="1" si="2"/>
        <v>U</v>
      </c>
      <c r="L13" s="7">
        <f t="shared" ca="1" si="3"/>
        <v>1</v>
      </c>
    </row>
    <row r="14" spans="1:12" ht="15" customHeight="1" x14ac:dyDescent="0.25">
      <c r="A14" s="8">
        <v>13</v>
      </c>
      <c r="B14">
        <v>223</v>
      </c>
      <c r="C14" t="str">
        <f t="shared" ca="1" si="0"/>
        <v>2012_LAC</v>
      </c>
      <c r="D14" s="8" t="s">
        <v>157</v>
      </c>
      <c r="E14" s="8" t="s">
        <v>186</v>
      </c>
      <c r="F14" s="8"/>
      <c r="G14" s="8"/>
      <c r="H14" s="8">
        <f t="shared" ca="1" si="1"/>
        <v>49.5</v>
      </c>
      <c r="I14" s="1" t="s">
        <v>100</v>
      </c>
      <c r="J14" s="8" t="s">
        <v>186</v>
      </c>
      <c r="K14" s="1" t="str">
        <f t="shared" ca="1" si="2"/>
        <v>O</v>
      </c>
      <c r="L14" s="7">
        <f t="shared" ca="1" si="3"/>
        <v>0</v>
      </c>
    </row>
    <row r="15" spans="1:12" ht="15" customHeight="1" x14ac:dyDescent="0.25">
      <c r="A15" s="8">
        <v>14</v>
      </c>
      <c r="B15">
        <v>224</v>
      </c>
      <c r="C15" t="str">
        <f t="shared" ca="1" si="0"/>
        <v>2012_LAL</v>
      </c>
      <c r="D15" s="8" t="s">
        <v>157</v>
      </c>
      <c r="E15" s="8" t="s">
        <v>186</v>
      </c>
      <c r="F15" s="8"/>
      <c r="G15" s="8"/>
      <c r="H15" s="8">
        <f t="shared" ca="1" si="1"/>
        <v>58.5</v>
      </c>
      <c r="I15" s="1" t="s">
        <v>100</v>
      </c>
      <c r="J15" s="8" t="s">
        <v>186</v>
      </c>
      <c r="K15" s="1" t="str">
        <f t="shared" ca="1" si="2"/>
        <v>U</v>
      </c>
      <c r="L15" s="7">
        <f t="shared" ca="1" si="3"/>
        <v>1</v>
      </c>
    </row>
    <row r="16" spans="1:12" ht="15" customHeight="1" x14ac:dyDescent="0.25">
      <c r="A16" s="8">
        <v>15</v>
      </c>
      <c r="B16">
        <v>225</v>
      </c>
      <c r="C16" t="str">
        <f t="shared" ca="1" si="0"/>
        <v>2012_MEM</v>
      </c>
      <c r="D16" s="8" t="s">
        <v>157</v>
      </c>
      <c r="E16" s="8" t="s">
        <v>186</v>
      </c>
      <c r="F16" s="8"/>
      <c r="G16" s="8"/>
      <c r="H16" s="8">
        <f t="shared" ca="1" si="1"/>
        <v>48.5</v>
      </c>
      <c r="I16" s="1" t="s">
        <v>100</v>
      </c>
      <c r="J16" s="8" t="s">
        <v>186</v>
      </c>
      <c r="K16" s="1" t="str">
        <f t="shared" ca="1" si="2"/>
        <v>O</v>
      </c>
      <c r="L16" s="7">
        <f t="shared" ca="1" si="3"/>
        <v>0</v>
      </c>
    </row>
    <row r="17" spans="1:12" ht="15" customHeight="1" x14ac:dyDescent="0.25">
      <c r="A17" s="8">
        <v>16</v>
      </c>
      <c r="B17">
        <v>226</v>
      </c>
      <c r="C17" t="str">
        <f t="shared" ca="1" si="0"/>
        <v>2012_MIA</v>
      </c>
      <c r="D17" s="8" t="s">
        <v>157</v>
      </c>
      <c r="E17" s="8" t="s">
        <v>186</v>
      </c>
      <c r="F17" s="8"/>
      <c r="G17" s="8"/>
      <c r="H17" s="8">
        <f t="shared" ca="1" si="1"/>
        <v>60.5</v>
      </c>
      <c r="I17" s="1" t="s">
        <v>101</v>
      </c>
      <c r="J17" s="8" t="s">
        <v>186</v>
      </c>
      <c r="K17" s="1" t="str">
        <f t="shared" ca="1" si="2"/>
        <v>O</v>
      </c>
      <c r="L17" s="7">
        <f t="shared" ca="1" si="3"/>
        <v>1</v>
      </c>
    </row>
    <row r="18" spans="1:12" ht="15" customHeight="1" x14ac:dyDescent="0.25">
      <c r="A18" s="8">
        <v>17</v>
      </c>
      <c r="B18">
        <v>227</v>
      </c>
      <c r="C18" t="str">
        <f t="shared" ca="1" si="0"/>
        <v>2012_MIL</v>
      </c>
      <c r="D18" s="8" t="s">
        <v>157</v>
      </c>
      <c r="E18" s="8" t="s">
        <v>186</v>
      </c>
      <c r="F18" s="8"/>
      <c r="G18" s="8"/>
      <c r="H18" s="8">
        <f t="shared" ca="1" si="1"/>
        <v>36.5</v>
      </c>
      <c r="I18" s="1" t="s">
        <v>101</v>
      </c>
      <c r="J18" s="8" t="s">
        <v>186</v>
      </c>
      <c r="K18" s="1" t="str">
        <f t="shared" ca="1" si="2"/>
        <v>O</v>
      </c>
      <c r="L18" s="7">
        <f t="shared" ca="1" si="3"/>
        <v>1</v>
      </c>
    </row>
    <row r="19" spans="1:12" ht="15" customHeight="1" x14ac:dyDescent="0.25">
      <c r="A19" s="8">
        <v>18</v>
      </c>
      <c r="B19">
        <v>228</v>
      </c>
      <c r="C19" t="str">
        <f t="shared" ca="1" si="0"/>
        <v>2012_MIN</v>
      </c>
      <c r="D19" s="8" t="s">
        <v>157</v>
      </c>
      <c r="E19" s="8" t="s">
        <v>186</v>
      </c>
      <c r="F19" s="8"/>
      <c r="G19" s="8"/>
      <c r="H19" s="8">
        <f t="shared" ca="1" si="1"/>
        <v>39.5</v>
      </c>
      <c r="I19" s="1" t="s">
        <v>101</v>
      </c>
      <c r="J19" s="8" t="s">
        <v>186</v>
      </c>
      <c r="K19" s="1" t="str">
        <f t="shared" ca="1" si="2"/>
        <v>U</v>
      </c>
      <c r="L19" s="7">
        <f t="shared" ca="1" si="3"/>
        <v>0</v>
      </c>
    </row>
    <row r="20" spans="1:12" ht="15" customHeight="1" x14ac:dyDescent="0.25">
      <c r="A20" s="8">
        <v>19</v>
      </c>
      <c r="B20">
        <v>214</v>
      </c>
      <c r="C20" t="str">
        <f t="shared" ca="1" si="0"/>
        <v>2012_NOP</v>
      </c>
      <c r="D20" s="8" t="s">
        <v>157</v>
      </c>
      <c r="E20" s="8" t="s">
        <v>186</v>
      </c>
      <c r="F20" s="8"/>
      <c r="G20" s="8"/>
      <c r="H20" s="8">
        <f t="shared" ca="1" si="1"/>
        <v>19.5</v>
      </c>
      <c r="I20" s="1" t="s">
        <v>101</v>
      </c>
      <c r="J20" s="8" t="s">
        <v>186</v>
      </c>
      <c r="K20" s="1" t="str">
        <f t="shared" ca="1" si="2"/>
        <v>O</v>
      </c>
      <c r="L20" s="7">
        <f t="shared" ca="1" si="3"/>
        <v>1</v>
      </c>
    </row>
    <row r="21" spans="1:12" ht="15" customHeight="1" x14ac:dyDescent="0.25">
      <c r="A21" s="8">
        <v>20</v>
      </c>
      <c r="B21">
        <v>230</v>
      </c>
      <c r="C21" t="str">
        <f t="shared" ca="1" si="0"/>
        <v>2012_NYK</v>
      </c>
      <c r="D21" s="8" t="s">
        <v>157</v>
      </c>
      <c r="E21" s="8" t="s">
        <v>186</v>
      </c>
      <c r="F21" s="8"/>
      <c r="G21" s="8"/>
      <c r="H21" s="8">
        <f t="shared" ca="1" si="1"/>
        <v>46.5</v>
      </c>
      <c r="I21" s="1" t="s">
        <v>101</v>
      </c>
      <c r="J21" s="8" t="s">
        <v>186</v>
      </c>
      <c r="K21" s="1" t="str">
        <f t="shared" ca="1" si="2"/>
        <v>O</v>
      </c>
      <c r="L21" s="7">
        <f t="shared" ca="1" si="3"/>
        <v>1</v>
      </c>
    </row>
    <row r="22" spans="1:12" ht="15" customHeight="1" x14ac:dyDescent="0.25">
      <c r="A22" s="8">
        <v>21</v>
      </c>
      <c r="B22">
        <v>231</v>
      </c>
      <c r="C22" t="str">
        <f t="shared" ca="1" si="0"/>
        <v>2012_OKC</v>
      </c>
      <c r="D22" s="8" t="s">
        <v>157</v>
      </c>
      <c r="E22" s="8" t="s">
        <v>186</v>
      </c>
      <c r="F22" s="8"/>
      <c r="G22" s="8"/>
      <c r="H22" s="8">
        <f t="shared" ca="1" si="1"/>
        <v>60.5</v>
      </c>
      <c r="I22" s="1" t="s">
        <v>100</v>
      </c>
      <c r="J22" s="8" t="s">
        <v>186</v>
      </c>
      <c r="K22" s="1" t="str">
        <f t="shared" ca="1" si="2"/>
        <v>U</v>
      </c>
      <c r="L22" s="7">
        <f t="shared" ca="1" si="3"/>
        <v>1</v>
      </c>
    </row>
    <row r="23" spans="1:12" ht="15" customHeight="1" x14ac:dyDescent="0.25">
      <c r="A23" s="8">
        <v>22</v>
      </c>
      <c r="B23">
        <v>232</v>
      </c>
      <c r="C23" t="str">
        <f t="shared" ca="1" si="0"/>
        <v>2012_ORL</v>
      </c>
      <c r="D23" s="8" t="s">
        <v>157</v>
      </c>
      <c r="E23" s="8" t="s">
        <v>186</v>
      </c>
      <c r="F23" s="8"/>
      <c r="G23" s="8"/>
      <c r="H23" s="8">
        <f t="shared" ca="1" si="1"/>
        <v>23.5</v>
      </c>
      <c r="I23" s="1" t="s">
        <v>101</v>
      </c>
      <c r="J23" s="8" t="s">
        <v>186</v>
      </c>
      <c r="K23" s="1" t="str">
        <f t="shared" ca="1" si="2"/>
        <v>U</v>
      </c>
      <c r="L23" s="7">
        <f t="shared" ca="1" si="3"/>
        <v>0</v>
      </c>
    </row>
    <row r="24" spans="1:12" ht="15" customHeight="1" x14ac:dyDescent="0.25">
      <c r="A24" s="8">
        <v>23</v>
      </c>
      <c r="B24">
        <v>233</v>
      </c>
      <c r="C24" t="str">
        <f t="shared" ca="1" si="0"/>
        <v>2012_PHI</v>
      </c>
      <c r="D24" s="8" t="s">
        <v>157</v>
      </c>
      <c r="E24" s="8" t="s">
        <v>186</v>
      </c>
      <c r="F24" s="8"/>
      <c r="G24" s="8"/>
      <c r="H24" s="8">
        <f t="shared" ca="1" si="1"/>
        <v>47.5</v>
      </c>
      <c r="I24" s="1" t="s">
        <v>100</v>
      </c>
      <c r="J24" s="8" t="s">
        <v>186</v>
      </c>
      <c r="K24" s="1" t="str">
        <f t="shared" ca="1" si="2"/>
        <v>U</v>
      </c>
      <c r="L24" s="7">
        <f t="shared" ca="1" si="3"/>
        <v>1</v>
      </c>
    </row>
    <row r="25" spans="1:12" ht="15" customHeight="1" x14ac:dyDescent="0.25">
      <c r="A25" s="8">
        <v>24</v>
      </c>
      <c r="B25">
        <v>234</v>
      </c>
      <c r="C25" t="str">
        <f t="shared" ca="1" si="0"/>
        <v>2012_PHO</v>
      </c>
      <c r="D25" s="8" t="s">
        <v>157</v>
      </c>
      <c r="E25" s="8" t="s">
        <v>186</v>
      </c>
      <c r="F25" s="8"/>
      <c r="G25" s="8"/>
      <c r="H25" s="8">
        <f t="shared" ca="1" si="1"/>
        <v>33.5</v>
      </c>
      <c r="I25" s="1" t="s">
        <v>100</v>
      </c>
      <c r="J25" s="8" t="s">
        <v>186</v>
      </c>
      <c r="K25" s="1" t="str">
        <f t="shared" ca="1" si="2"/>
        <v>U</v>
      </c>
      <c r="L25" s="7">
        <f t="shared" ca="1" si="3"/>
        <v>1</v>
      </c>
    </row>
    <row r="26" spans="1:12" ht="15" customHeight="1" x14ac:dyDescent="0.25">
      <c r="A26" s="8">
        <v>25</v>
      </c>
      <c r="B26">
        <v>235</v>
      </c>
      <c r="C26" t="str">
        <f t="shared" ca="1" si="0"/>
        <v>2012_POR</v>
      </c>
      <c r="D26" s="8" t="s">
        <v>157</v>
      </c>
      <c r="E26" s="8" t="s">
        <v>186</v>
      </c>
      <c r="F26" s="8"/>
      <c r="G26" s="8"/>
      <c r="H26" s="8">
        <f t="shared" ca="1" si="1"/>
        <v>34.5</v>
      </c>
      <c r="I26" s="1" t="s">
        <v>101</v>
      </c>
      <c r="J26" s="8" t="s">
        <v>186</v>
      </c>
      <c r="K26" s="1" t="str">
        <f t="shared" ca="1" si="2"/>
        <v>U</v>
      </c>
      <c r="L26" s="7">
        <f t="shared" ca="1" si="3"/>
        <v>0</v>
      </c>
    </row>
    <row r="27" spans="1:12" ht="15" customHeight="1" x14ac:dyDescent="0.25">
      <c r="A27" s="8">
        <v>26</v>
      </c>
      <c r="B27">
        <v>236</v>
      </c>
      <c r="C27" t="str">
        <f t="shared" ca="1" si="0"/>
        <v>2012_SAC</v>
      </c>
      <c r="D27" s="8" t="s">
        <v>157</v>
      </c>
      <c r="E27" s="8" t="s">
        <v>186</v>
      </c>
      <c r="F27" s="8"/>
      <c r="G27" s="8"/>
      <c r="H27" s="8">
        <f t="shared" ca="1" si="1"/>
        <v>29.5</v>
      </c>
      <c r="I27" s="1" t="s">
        <v>100</v>
      </c>
      <c r="J27" s="8" t="s">
        <v>186</v>
      </c>
      <c r="K27" s="1" t="str">
        <f t="shared" ca="1" si="2"/>
        <v>U</v>
      </c>
      <c r="L27" s="7">
        <f t="shared" ca="1" si="3"/>
        <v>1</v>
      </c>
    </row>
    <row r="28" spans="1:12" ht="15" customHeight="1" x14ac:dyDescent="0.25">
      <c r="A28" s="8">
        <v>27</v>
      </c>
      <c r="B28">
        <v>237</v>
      </c>
      <c r="C28" t="str">
        <f t="shared" ca="1" si="0"/>
        <v>2012_SAS</v>
      </c>
      <c r="D28" s="8" t="s">
        <v>157</v>
      </c>
      <c r="E28" s="8" t="s">
        <v>186</v>
      </c>
      <c r="F28" s="8"/>
      <c r="G28" s="8"/>
      <c r="H28" s="8">
        <f t="shared" ca="1" si="1"/>
        <v>54.5</v>
      </c>
      <c r="I28" s="1" t="s">
        <v>101</v>
      </c>
      <c r="J28" s="8" t="s">
        <v>186</v>
      </c>
      <c r="K28" s="1" t="str">
        <f t="shared" ca="1" si="2"/>
        <v>O</v>
      </c>
      <c r="L28" s="7">
        <f t="shared" ca="1" si="3"/>
        <v>1</v>
      </c>
    </row>
    <row r="29" spans="1:12" ht="15" customHeight="1" x14ac:dyDescent="0.25">
      <c r="A29" s="8">
        <v>28</v>
      </c>
      <c r="B29">
        <v>238</v>
      </c>
      <c r="C29" t="str">
        <f t="shared" ca="1" si="0"/>
        <v>2012_TOR</v>
      </c>
      <c r="D29" s="8" t="s">
        <v>157</v>
      </c>
      <c r="E29" s="8" t="s">
        <v>186</v>
      </c>
      <c r="F29" s="8"/>
      <c r="G29" s="8"/>
      <c r="H29" s="8">
        <f t="shared" ca="1" si="1"/>
        <v>32.5</v>
      </c>
      <c r="I29" s="1" t="s">
        <v>101</v>
      </c>
      <c r="J29" s="8" t="s">
        <v>186</v>
      </c>
      <c r="K29" s="1" t="str">
        <f t="shared" ca="1" si="2"/>
        <v>O</v>
      </c>
      <c r="L29" s="7">
        <f t="shared" ca="1" si="3"/>
        <v>1</v>
      </c>
    </row>
    <row r="30" spans="1:12" ht="15" customHeight="1" x14ac:dyDescent="0.25">
      <c r="A30" s="8">
        <v>29</v>
      </c>
      <c r="B30">
        <v>239</v>
      </c>
      <c r="C30" t="str">
        <f t="shared" ca="1" si="0"/>
        <v>2012_UTA</v>
      </c>
      <c r="D30" s="8" t="s">
        <v>157</v>
      </c>
      <c r="E30" s="8" t="s">
        <v>186</v>
      </c>
      <c r="F30" s="8"/>
      <c r="G30" s="8"/>
      <c r="H30" s="8">
        <f t="shared" ca="1" si="1"/>
        <v>42.5</v>
      </c>
      <c r="I30" s="1" t="s">
        <v>101</v>
      </c>
      <c r="J30" s="8" t="s">
        <v>186</v>
      </c>
      <c r="K30" s="1" t="str">
        <f t="shared" ca="1" si="2"/>
        <v>O</v>
      </c>
      <c r="L30" s="7">
        <f t="shared" ca="1" si="3"/>
        <v>1</v>
      </c>
    </row>
    <row r="31" spans="1:12" ht="15" customHeight="1" x14ac:dyDescent="0.25">
      <c r="A31" s="8">
        <v>30</v>
      </c>
      <c r="B31">
        <v>240</v>
      </c>
      <c r="C31" t="str">
        <f t="shared" ca="1" si="0"/>
        <v>2012_WAS</v>
      </c>
      <c r="D31" s="8" t="s">
        <v>157</v>
      </c>
      <c r="E31" s="8" t="s">
        <v>186</v>
      </c>
      <c r="F31" s="8"/>
      <c r="G31" s="8"/>
      <c r="H31" s="8">
        <f t="shared" ca="1" si="1"/>
        <v>27.5</v>
      </c>
      <c r="I31" s="1" t="s">
        <v>101</v>
      </c>
      <c r="J31" s="8" t="s">
        <v>186</v>
      </c>
      <c r="K31" s="1" t="str">
        <f t="shared" ca="1" si="2"/>
        <v>O</v>
      </c>
      <c r="L31" s="7">
        <f t="shared" ca="1" si="3"/>
        <v>1</v>
      </c>
    </row>
    <row r="32" spans="1:12" ht="15" customHeight="1" x14ac:dyDescent="0.25">
      <c r="A32" s="8">
        <v>31</v>
      </c>
      <c r="B32">
        <v>241</v>
      </c>
      <c r="C32" t="str">
        <f t="shared" ca="1" si="0"/>
        <v>2013_ATL</v>
      </c>
      <c r="D32" s="8" t="s">
        <v>157</v>
      </c>
      <c r="E32" s="8" t="s">
        <v>186</v>
      </c>
      <c r="F32" s="8"/>
      <c r="G32" s="8"/>
      <c r="H32" s="8">
        <f t="shared" ca="1" si="1"/>
        <v>39.5</v>
      </c>
      <c r="I32" s="1" t="s">
        <v>101</v>
      </c>
      <c r="J32" s="8" t="s">
        <v>186</v>
      </c>
      <c r="K32" s="1" t="str">
        <f t="shared" ca="1" si="2"/>
        <v>U</v>
      </c>
      <c r="L32" s="7">
        <f t="shared" ca="1" si="3"/>
        <v>0</v>
      </c>
    </row>
    <row r="33" spans="1:12" ht="15" customHeight="1" x14ac:dyDescent="0.25">
      <c r="A33" s="8">
        <v>32</v>
      </c>
      <c r="B33">
        <v>242</v>
      </c>
      <c r="C33" t="str">
        <f t="shared" ca="1" si="0"/>
        <v>2013_BOS</v>
      </c>
      <c r="D33" s="8" t="s">
        <v>157</v>
      </c>
      <c r="E33" s="8" t="s">
        <v>186</v>
      </c>
      <c r="F33" s="8"/>
      <c r="G33" s="8"/>
      <c r="H33" s="8">
        <f t="shared" ca="1" si="1"/>
        <v>28.5</v>
      </c>
      <c r="I33" s="1" t="s">
        <v>100</v>
      </c>
      <c r="J33" s="8" t="s">
        <v>186</v>
      </c>
      <c r="K33" s="1" t="str">
        <f t="shared" ca="1" si="2"/>
        <v>U</v>
      </c>
      <c r="L33" s="7">
        <f t="shared" ca="1" si="3"/>
        <v>1</v>
      </c>
    </row>
    <row r="34" spans="1:12" ht="15" customHeight="1" x14ac:dyDescent="0.25">
      <c r="A34" s="8">
        <v>33</v>
      </c>
      <c r="B34">
        <v>243</v>
      </c>
      <c r="C34" t="str">
        <f t="shared" ca="1" si="0"/>
        <v>2013_BRK</v>
      </c>
      <c r="D34" s="8" t="s">
        <v>157</v>
      </c>
      <c r="E34" s="8" t="s">
        <v>186</v>
      </c>
      <c r="F34" s="8"/>
      <c r="G34" s="8"/>
      <c r="H34" s="8">
        <f t="shared" ca="1" si="1"/>
        <v>52.5</v>
      </c>
      <c r="I34" s="1" t="s">
        <v>101</v>
      </c>
      <c r="J34" s="8" t="s">
        <v>186</v>
      </c>
      <c r="K34" s="1" t="str">
        <f t="shared" ca="1" si="2"/>
        <v>U</v>
      </c>
      <c r="L34" s="7">
        <f t="shared" ca="1" si="3"/>
        <v>0</v>
      </c>
    </row>
    <row r="35" spans="1:12" ht="15" customHeight="1" x14ac:dyDescent="0.25">
      <c r="A35" s="8">
        <v>34</v>
      </c>
      <c r="B35">
        <v>244</v>
      </c>
      <c r="C35" t="str">
        <f t="shared" ca="1" si="0"/>
        <v>2013_CHO</v>
      </c>
      <c r="D35" s="8" t="s">
        <v>157</v>
      </c>
      <c r="E35" s="8" t="s">
        <v>186</v>
      </c>
      <c r="F35" s="8"/>
      <c r="G35" s="8"/>
      <c r="H35" s="8">
        <f t="shared" ca="1" si="1"/>
        <v>26</v>
      </c>
      <c r="I35" s="1" t="s">
        <v>100</v>
      </c>
      <c r="J35" s="8" t="s">
        <v>186</v>
      </c>
      <c r="K35" s="1" t="str">
        <f t="shared" ca="1" si="2"/>
        <v>O</v>
      </c>
      <c r="L35" s="7">
        <f t="shared" ca="1" si="3"/>
        <v>0</v>
      </c>
    </row>
    <row r="36" spans="1:12" ht="15" customHeight="1" x14ac:dyDescent="0.25">
      <c r="A36" s="8">
        <v>35</v>
      </c>
      <c r="B36">
        <v>245</v>
      </c>
      <c r="C36" t="str">
        <f t="shared" ca="1" si="0"/>
        <v>2013_CHI</v>
      </c>
      <c r="D36" s="8" t="s">
        <v>157</v>
      </c>
      <c r="E36" s="8" t="s">
        <v>186</v>
      </c>
      <c r="F36" s="8"/>
      <c r="G36" s="8"/>
      <c r="H36" s="8">
        <f t="shared" ca="1" si="1"/>
        <v>56.5</v>
      </c>
      <c r="I36" s="1" t="s">
        <v>101</v>
      </c>
      <c r="J36" s="8" t="s">
        <v>186</v>
      </c>
      <c r="K36" s="1" t="str">
        <f t="shared" ca="1" si="2"/>
        <v>U</v>
      </c>
      <c r="L36" s="7">
        <f t="shared" ca="1" si="3"/>
        <v>0</v>
      </c>
    </row>
    <row r="37" spans="1:12" ht="15" customHeight="1" x14ac:dyDescent="0.25">
      <c r="A37" s="8">
        <v>36</v>
      </c>
      <c r="B37">
        <v>246</v>
      </c>
      <c r="C37" t="str">
        <f t="shared" ca="1" si="0"/>
        <v>2013_CLE</v>
      </c>
      <c r="D37" s="8" t="s">
        <v>157</v>
      </c>
      <c r="E37" s="8" t="s">
        <v>186</v>
      </c>
      <c r="F37" s="8"/>
      <c r="G37" s="8"/>
      <c r="H37" s="8">
        <f t="shared" ca="1" si="1"/>
        <v>40.5</v>
      </c>
      <c r="I37" s="1" t="s">
        <v>100</v>
      </c>
      <c r="J37" s="8" t="s">
        <v>186</v>
      </c>
      <c r="K37" s="1" t="str">
        <f t="shared" ca="1" si="2"/>
        <v>U</v>
      </c>
      <c r="L37" s="7">
        <f t="shared" ca="1" si="3"/>
        <v>1</v>
      </c>
    </row>
    <row r="38" spans="1:12" ht="15" customHeight="1" x14ac:dyDescent="0.25">
      <c r="A38" s="8">
        <v>37</v>
      </c>
      <c r="B38">
        <v>247</v>
      </c>
      <c r="C38" t="str">
        <f t="shared" ca="1" si="0"/>
        <v>2013_DAL</v>
      </c>
      <c r="D38" s="8" t="s">
        <v>157</v>
      </c>
      <c r="E38" s="8" t="s">
        <v>186</v>
      </c>
      <c r="F38" s="8"/>
      <c r="G38" s="8"/>
      <c r="H38" s="8">
        <f t="shared" ca="1" si="1"/>
        <v>43.5</v>
      </c>
      <c r="I38" s="1" t="s">
        <v>100</v>
      </c>
      <c r="J38" s="8" t="s">
        <v>186</v>
      </c>
      <c r="K38" s="1" t="str">
        <f t="shared" ca="1" si="2"/>
        <v>O</v>
      </c>
      <c r="L38" s="7">
        <f t="shared" ca="1" si="3"/>
        <v>0</v>
      </c>
    </row>
    <row r="39" spans="1:12" ht="15" customHeight="1" x14ac:dyDescent="0.25">
      <c r="A39" s="8">
        <v>38</v>
      </c>
      <c r="B39">
        <v>248</v>
      </c>
      <c r="C39" t="str">
        <f t="shared" ca="1" si="0"/>
        <v>2013_DEN</v>
      </c>
      <c r="D39" s="8" t="s">
        <v>157</v>
      </c>
      <c r="E39" s="8" t="s">
        <v>186</v>
      </c>
      <c r="F39" s="8"/>
      <c r="G39" s="8"/>
      <c r="H39" s="8">
        <f t="shared" ca="1" si="1"/>
        <v>46.5</v>
      </c>
      <c r="I39" s="1" t="s">
        <v>100</v>
      </c>
      <c r="J39" s="8" t="s">
        <v>186</v>
      </c>
      <c r="K39" s="1" t="str">
        <f t="shared" ca="1" si="2"/>
        <v>U</v>
      </c>
      <c r="L39" s="7">
        <f t="shared" ca="1" si="3"/>
        <v>1</v>
      </c>
    </row>
    <row r="40" spans="1:12" ht="15" customHeight="1" x14ac:dyDescent="0.25">
      <c r="A40" s="8">
        <v>39</v>
      </c>
      <c r="B40">
        <v>249</v>
      </c>
      <c r="C40" t="str">
        <f t="shared" ca="1" si="0"/>
        <v>2013_DET</v>
      </c>
      <c r="D40" s="8" t="s">
        <v>157</v>
      </c>
      <c r="E40" s="8" t="s">
        <v>186</v>
      </c>
      <c r="F40" s="8"/>
      <c r="G40" s="8"/>
      <c r="H40" s="8">
        <f t="shared" ca="1" si="1"/>
        <v>40.5</v>
      </c>
      <c r="I40" s="1" t="s">
        <v>101</v>
      </c>
      <c r="J40" s="8" t="s">
        <v>186</v>
      </c>
      <c r="K40" s="1" t="str">
        <f t="shared" ca="1" si="2"/>
        <v>U</v>
      </c>
      <c r="L40" s="7">
        <f t="shared" ca="1" si="3"/>
        <v>0</v>
      </c>
    </row>
    <row r="41" spans="1:12" ht="15" customHeight="1" x14ac:dyDescent="0.25">
      <c r="A41" s="8">
        <v>40</v>
      </c>
      <c r="B41">
        <v>250</v>
      </c>
      <c r="C41" t="str">
        <f t="shared" ca="1" si="0"/>
        <v>2013_GSW</v>
      </c>
      <c r="D41" s="8" t="s">
        <v>157</v>
      </c>
      <c r="E41" s="8" t="s">
        <v>186</v>
      </c>
      <c r="F41" s="8"/>
      <c r="G41" s="8"/>
      <c r="H41" s="8">
        <f t="shared" ca="1" si="1"/>
        <v>51</v>
      </c>
      <c r="I41" s="1" t="s">
        <v>100</v>
      </c>
      <c r="J41" s="8" t="s">
        <v>186</v>
      </c>
      <c r="K41" s="1" t="str">
        <f t="shared" ca="1" si="2"/>
        <v>E</v>
      </c>
      <c r="L41" s="7">
        <f t="shared" ca="1" si="3"/>
        <v>0</v>
      </c>
    </row>
    <row r="42" spans="1:12" ht="15" customHeight="1" x14ac:dyDescent="0.25">
      <c r="A42" s="8">
        <v>41</v>
      </c>
      <c r="B42">
        <v>251</v>
      </c>
      <c r="C42" t="str">
        <f t="shared" ca="1" si="0"/>
        <v>2013_HOU</v>
      </c>
      <c r="D42" s="8" t="s">
        <v>157</v>
      </c>
      <c r="E42" s="8" t="s">
        <v>186</v>
      </c>
      <c r="F42" s="8"/>
      <c r="G42" s="8"/>
      <c r="H42" s="8">
        <f t="shared" ca="1" si="1"/>
        <v>54.5</v>
      </c>
      <c r="I42" s="1" t="s">
        <v>101</v>
      </c>
      <c r="J42" s="8" t="s">
        <v>186</v>
      </c>
      <c r="K42" s="1" t="str">
        <f t="shared" ca="1" si="2"/>
        <v>U</v>
      </c>
      <c r="L42" s="7">
        <f t="shared" ca="1" si="3"/>
        <v>0</v>
      </c>
    </row>
    <row r="43" spans="1:12" ht="15" customHeight="1" x14ac:dyDescent="0.25">
      <c r="A43" s="8">
        <v>42</v>
      </c>
      <c r="B43">
        <v>252</v>
      </c>
      <c r="C43" t="str">
        <f t="shared" ca="1" si="0"/>
        <v>2013_IND</v>
      </c>
      <c r="D43" s="8" t="s">
        <v>157</v>
      </c>
      <c r="E43" s="8" t="s">
        <v>186</v>
      </c>
      <c r="F43" s="8"/>
      <c r="G43" s="8"/>
      <c r="H43" s="8">
        <f t="shared" ca="1" si="1"/>
        <v>54.5</v>
      </c>
      <c r="I43" s="1" t="s">
        <v>101</v>
      </c>
      <c r="J43" s="8" t="s">
        <v>186</v>
      </c>
      <c r="K43" s="1" t="str">
        <f t="shared" ca="1" si="2"/>
        <v>O</v>
      </c>
      <c r="L43" s="7">
        <f t="shared" ca="1" si="3"/>
        <v>1</v>
      </c>
    </row>
    <row r="44" spans="1:12" ht="15" customHeight="1" x14ac:dyDescent="0.25">
      <c r="A44" s="8">
        <v>43</v>
      </c>
      <c r="B44">
        <v>253</v>
      </c>
      <c r="C44" t="str">
        <f t="shared" ca="1" si="0"/>
        <v>2013_LAC</v>
      </c>
      <c r="D44" s="8" t="s">
        <v>157</v>
      </c>
      <c r="E44" s="8" t="s">
        <v>186</v>
      </c>
      <c r="F44" s="8"/>
      <c r="G44" s="8"/>
      <c r="H44" s="8">
        <f t="shared" ca="1" si="1"/>
        <v>57.5</v>
      </c>
      <c r="I44" s="1" t="s">
        <v>101</v>
      </c>
      <c r="J44" s="8" t="s">
        <v>186</v>
      </c>
      <c r="K44" s="1" t="str">
        <f t="shared" ca="1" si="2"/>
        <v>U</v>
      </c>
      <c r="L44" s="7">
        <f t="shared" ca="1" si="3"/>
        <v>0</v>
      </c>
    </row>
    <row r="45" spans="1:12" ht="15" customHeight="1" x14ac:dyDescent="0.25">
      <c r="A45" s="8">
        <v>44</v>
      </c>
      <c r="B45">
        <v>254</v>
      </c>
      <c r="C45" t="str">
        <f t="shared" ca="1" si="0"/>
        <v>2013_LAL</v>
      </c>
      <c r="D45" s="8" t="s">
        <v>157</v>
      </c>
      <c r="E45" s="8" t="s">
        <v>186</v>
      </c>
      <c r="F45" s="8"/>
      <c r="G45" s="8"/>
      <c r="H45" s="8">
        <f t="shared" ca="1" si="1"/>
        <v>36.5</v>
      </c>
      <c r="I45" s="1" t="s">
        <v>101</v>
      </c>
      <c r="J45" s="8" t="s">
        <v>186</v>
      </c>
      <c r="K45" s="1" t="str">
        <f t="shared" ca="1" si="2"/>
        <v>U</v>
      </c>
      <c r="L45" s="7">
        <f t="shared" ca="1" si="3"/>
        <v>0</v>
      </c>
    </row>
    <row r="46" spans="1:12" ht="15" customHeight="1" x14ac:dyDescent="0.25">
      <c r="A46" s="8">
        <v>45</v>
      </c>
      <c r="B46">
        <v>255</v>
      </c>
      <c r="C46" t="str">
        <f t="shared" ca="1" si="0"/>
        <v>2013_MEM</v>
      </c>
      <c r="D46" s="8" t="s">
        <v>157</v>
      </c>
      <c r="E46" s="8" t="s">
        <v>186</v>
      </c>
      <c r="F46" s="8"/>
      <c r="G46" s="8"/>
      <c r="H46" s="8">
        <f t="shared" ca="1" si="1"/>
        <v>50.5</v>
      </c>
      <c r="I46" s="1" t="s">
        <v>100</v>
      </c>
      <c r="J46" s="8" t="s">
        <v>186</v>
      </c>
      <c r="K46" s="1" t="str">
        <f t="shared" ca="1" si="2"/>
        <v>U</v>
      </c>
      <c r="L46" s="7">
        <f t="shared" ca="1" si="3"/>
        <v>1</v>
      </c>
    </row>
    <row r="47" spans="1:12" ht="15" customHeight="1" x14ac:dyDescent="0.25">
      <c r="A47" s="8">
        <v>46</v>
      </c>
      <c r="B47">
        <v>256</v>
      </c>
      <c r="C47" t="str">
        <f t="shared" ca="1" si="0"/>
        <v>2013_MIA</v>
      </c>
      <c r="D47" s="8" t="s">
        <v>157</v>
      </c>
      <c r="E47" s="8" t="s">
        <v>186</v>
      </c>
      <c r="F47" s="8"/>
      <c r="G47" s="8"/>
      <c r="H47" s="8">
        <f t="shared" ca="1" si="1"/>
        <v>61.5</v>
      </c>
      <c r="I47" s="1" t="s">
        <v>100</v>
      </c>
      <c r="J47" s="8" t="s">
        <v>186</v>
      </c>
      <c r="K47" s="1" t="str">
        <f t="shared" ca="1" si="2"/>
        <v>U</v>
      </c>
      <c r="L47" s="7">
        <f t="shared" ca="1" si="3"/>
        <v>1</v>
      </c>
    </row>
    <row r="48" spans="1:12" ht="15" customHeight="1" x14ac:dyDescent="0.25">
      <c r="A48" s="8">
        <v>47</v>
      </c>
      <c r="B48">
        <v>257</v>
      </c>
      <c r="C48" t="str">
        <f t="shared" ca="1" si="0"/>
        <v>2013_MIL</v>
      </c>
      <c r="D48" s="8" t="s">
        <v>157</v>
      </c>
      <c r="E48" s="8" t="s">
        <v>186</v>
      </c>
      <c r="F48" s="8"/>
      <c r="G48" s="8"/>
      <c r="H48" s="8">
        <f t="shared" ca="1" si="1"/>
        <v>28.5</v>
      </c>
      <c r="I48" s="1" t="s">
        <v>100</v>
      </c>
      <c r="J48" s="8" t="s">
        <v>186</v>
      </c>
      <c r="K48" s="1" t="str">
        <f t="shared" ca="1" si="2"/>
        <v>U</v>
      </c>
      <c r="L48" s="7">
        <f t="shared" ca="1" si="3"/>
        <v>1</v>
      </c>
    </row>
    <row r="49" spans="1:12" ht="15" customHeight="1" x14ac:dyDescent="0.25">
      <c r="A49" s="8">
        <v>48</v>
      </c>
      <c r="B49">
        <v>258</v>
      </c>
      <c r="C49" t="str">
        <f t="shared" ca="1" si="0"/>
        <v>2013_MIN</v>
      </c>
      <c r="D49" s="8" t="s">
        <v>157</v>
      </c>
      <c r="E49" s="8" t="s">
        <v>186</v>
      </c>
      <c r="F49" s="8"/>
      <c r="G49" s="8"/>
      <c r="H49" s="8">
        <f t="shared" ca="1" si="1"/>
        <v>40.5</v>
      </c>
      <c r="I49" s="1" t="s">
        <v>101</v>
      </c>
      <c r="J49" s="8" t="s">
        <v>186</v>
      </c>
      <c r="K49" s="1" t="str">
        <f t="shared" ca="1" si="2"/>
        <v>U</v>
      </c>
      <c r="L49" s="7">
        <f t="shared" ca="1" si="3"/>
        <v>0</v>
      </c>
    </row>
    <row r="50" spans="1:12" ht="15" customHeight="1" x14ac:dyDescent="0.25">
      <c r="A50" s="8">
        <v>49</v>
      </c>
      <c r="B50">
        <v>259</v>
      </c>
      <c r="C50" t="str">
        <f t="shared" ca="1" si="0"/>
        <v>2013_NOP</v>
      </c>
      <c r="D50" s="8" t="s">
        <v>157</v>
      </c>
      <c r="E50" s="8" t="s">
        <v>186</v>
      </c>
      <c r="F50" s="8"/>
      <c r="G50" s="8"/>
      <c r="H50" s="8">
        <f t="shared" ca="1" si="1"/>
        <v>39</v>
      </c>
      <c r="I50" s="1" t="s">
        <v>101</v>
      </c>
      <c r="J50" s="8" t="s">
        <v>186</v>
      </c>
      <c r="K50" s="1" t="str">
        <f t="shared" ca="1" si="2"/>
        <v>U</v>
      </c>
      <c r="L50" s="7">
        <f t="shared" ca="1" si="3"/>
        <v>0</v>
      </c>
    </row>
    <row r="51" spans="1:12" ht="15" customHeight="1" x14ac:dyDescent="0.25">
      <c r="A51" s="8">
        <v>50</v>
      </c>
      <c r="B51">
        <v>260</v>
      </c>
      <c r="C51" t="str">
        <f t="shared" ca="1" si="0"/>
        <v>2013_NYK</v>
      </c>
      <c r="D51" s="8" t="s">
        <v>157</v>
      </c>
      <c r="E51" s="8" t="s">
        <v>186</v>
      </c>
      <c r="F51" s="8"/>
      <c r="G51" s="8"/>
      <c r="H51" s="8">
        <f t="shared" ca="1" si="1"/>
        <v>50</v>
      </c>
      <c r="I51" s="1" t="s">
        <v>100</v>
      </c>
      <c r="J51" s="8" t="s">
        <v>186</v>
      </c>
      <c r="K51" s="1" t="str">
        <f t="shared" ca="1" si="2"/>
        <v>U</v>
      </c>
      <c r="L51" s="7">
        <f t="shared" ca="1" si="3"/>
        <v>1</v>
      </c>
    </row>
    <row r="52" spans="1:12" ht="15" customHeight="1" x14ac:dyDescent="0.25">
      <c r="A52" s="8">
        <v>51</v>
      </c>
      <c r="B52">
        <v>261</v>
      </c>
      <c r="C52" t="str">
        <f t="shared" ca="1" si="0"/>
        <v>2013_OKC</v>
      </c>
      <c r="D52" s="8" t="s">
        <v>157</v>
      </c>
      <c r="E52" s="8" t="s">
        <v>186</v>
      </c>
      <c r="F52" s="8"/>
      <c r="G52" s="8"/>
      <c r="H52" s="8">
        <f t="shared" ca="1" si="1"/>
        <v>51.5</v>
      </c>
      <c r="I52" s="1" t="s">
        <v>101</v>
      </c>
      <c r="J52" s="8" t="s">
        <v>186</v>
      </c>
      <c r="K52" s="1" t="str">
        <f t="shared" ca="1" si="2"/>
        <v>O</v>
      </c>
      <c r="L52" s="7">
        <f t="shared" ca="1" si="3"/>
        <v>1</v>
      </c>
    </row>
    <row r="53" spans="1:12" ht="15" customHeight="1" x14ac:dyDescent="0.25">
      <c r="A53" s="8">
        <v>52</v>
      </c>
      <c r="B53">
        <v>262</v>
      </c>
      <c r="C53" t="str">
        <f t="shared" ca="1" si="0"/>
        <v>2013_ORL</v>
      </c>
      <c r="D53" s="8" t="s">
        <v>157</v>
      </c>
      <c r="E53" s="8" t="s">
        <v>186</v>
      </c>
      <c r="F53" s="8"/>
      <c r="G53" s="8"/>
      <c r="H53" s="8">
        <f t="shared" ca="1" si="1"/>
        <v>23.5</v>
      </c>
      <c r="I53" s="1" t="s">
        <v>100</v>
      </c>
      <c r="J53" s="8" t="s">
        <v>186</v>
      </c>
      <c r="K53" s="1" t="str">
        <f t="shared" ca="1" si="2"/>
        <v>U</v>
      </c>
      <c r="L53" s="7">
        <f t="shared" ca="1" si="3"/>
        <v>1</v>
      </c>
    </row>
    <row r="54" spans="1:12" ht="15" customHeight="1" x14ac:dyDescent="0.25">
      <c r="A54" s="8">
        <v>53</v>
      </c>
      <c r="B54">
        <v>263</v>
      </c>
      <c r="C54" t="str">
        <f t="shared" ca="1" si="0"/>
        <v>2013_PHI</v>
      </c>
      <c r="D54" s="8" t="s">
        <v>157</v>
      </c>
      <c r="E54" s="8" t="s">
        <v>186</v>
      </c>
      <c r="F54" s="8"/>
      <c r="G54" s="8"/>
      <c r="H54" s="8">
        <f t="shared" ca="1" si="1"/>
        <v>16.5</v>
      </c>
      <c r="I54" s="1" t="s">
        <v>100</v>
      </c>
      <c r="J54" s="8" t="s">
        <v>186</v>
      </c>
      <c r="K54" s="1" t="str">
        <f t="shared" ca="1" si="2"/>
        <v>O</v>
      </c>
      <c r="L54" s="7">
        <f t="shared" ca="1" si="3"/>
        <v>0</v>
      </c>
    </row>
    <row r="55" spans="1:12" ht="15" customHeight="1" x14ac:dyDescent="0.25">
      <c r="A55" s="8">
        <v>54</v>
      </c>
      <c r="B55">
        <v>264</v>
      </c>
      <c r="C55" t="str">
        <f t="shared" ca="1" si="0"/>
        <v>2013_PHO</v>
      </c>
      <c r="D55" s="8" t="s">
        <v>157</v>
      </c>
      <c r="E55" s="8" t="s">
        <v>186</v>
      </c>
      <c r="F55" s="8"/>
      <c r="G55" s="8"/>
      <c r="H55" s="8">
        <f t="shared" ca="1" si="1"/>
        <v>20.5</v>
      </c>
      <c r="I55" s="1" t="s">
        <v>100</v>
      </c>
      <c r="J55" s="8" t="s">
        <v>186</v>
      </c>
      <c r="K55" s="1" t="str">
        <f t="shared" ca="1" si="2"/>
        <v>O</v>
      </c>
      <c r="L55" s="7">
        <f t="shared" ca="1" si="3"/>
        <v>0</v>
      </c>
    </row>
    <row r="56" spans="1:12" ht="15" customHeight="1" x14ac:dyDescent="0.25">
      <c r="A56" s="8">
        <v>55</v>
      </c>
      <c r="B56">
        <v>265</v>
      </c>
      <c r="C56" t="str">
        <f t="shared" ca="1" si="0"/>
        <v>2013_POR</v>
      </c>
      <c r="D56" s="8" t="s">
        <v>157</v>
      </c>
      <c r="E56" s="8" t="s">
        <v>186</v>
      </c>
      <c r="F56" s="8"/>
      <c r="G56" s="8"/>
      <c r="H56" s="8">
        <f t="shared" ca="1" si="1"/>
        <v>38.5</v>
      </c>
      <c r="I56" s="1" t="s">
        <v>101</v>
      </c>
      <c r="J56" s="8" t="s">
        <v>186</v>
      </c>
      <c r="K56" s="1" t="str">
        <f t="shared" ca="1" si="2"/>
        <v>O</v>
      </c>
      <c r="L56" s="7">
        <f t="shared" ca="1" si="3"/>
        <v>1</v>
      </c>
    </row>
    <row r="57" spans="1:12" ht="15" customHeight="1" x14ac:dyDescent="0.25">
      <c r="A57" s="8">
        <v>56</v>
      </c>
      <c r="B57">
        <v>266</v>
      </c>
      <c r="C57" t="str">
        <f t="shared" ca="1" si="0"/>
        <v>2013_SAC</v>
      </c>
      <c r="D57" s="8" t="s">
        <v>157</v>
      </c>
      <c r="E57" s="8" t="s">
        <v>186</v>
      </c>
      <c r="F57" s="8"/>
      <c r="G57" s="8"/>
      <c r="H57" s="8">
        <f t="shared" ca="1" si="1"/>
        <v>31.5</v>
      </c>
      <c r="I57" s="1" t="s">
        <v>100</v>
      </c>
      <c r="J57" s="8" t="s">
        <v>186</v>
      </c>
      <c r="K57" s="1" t="str">
        <f t="shared" ca="1" si="2"/>
        <v>U</v>
      </c>
      <c r="L57" s="7">
        <f t="shared" ca="1" si="3"/>
        <v>1</v>
      </c>
    </row>
    <row r="58" spans="1:12" ht="15" customHeight="1" x14ac:dyDescent="0.25">
      <c r="A58" s="8">
        <v>57</v>
      </c>
      <c r="B58">
        <v>267</v>
      </c>
      <c r="C58" t="str">
        <f t="shared" ca="1" si="0"/>
        <v>2013_SAS</v>
      </c>
      <c r="D58" s="8" t="s">
        <v>157</v>
      </c>
      <c r="E58" s="8" t="s">
        <v>186</v>
      </c>
      <c r="F58" s="8"/>
      <c r="G58" s="8"/>
      <c r="H58" s="8">
        <f t="shared" ca="1" si="1"/>
        <v>55.5</v>
      </c>
      <c r="I58" s="1" t="s">
        <v>101</v>
      </c>
      <c r="J58" s="8" t="s">
        <v>186</v>
      </c>
      <c r="K58" s="1" t="str">
        <f t="shared" ca="1" si="2"/>
        <v>O</v>
      </c>
      <c r="L58" s="7">
        <f t="shared" ca="1" si="3"/>
        <v>1</v>
      </c>
    </row>
    <row r="59" spans="1:12" ht="15" customHeight="1" x14ac:dyDescent="0.25">
      <c r="A59" s="8">
        <v>58</v>
      </c>
      <c r="B59">
        <v>268</v>
      </c>
      <c r="C59" t="str">
        <f t="shared" ca="1" si="0"/>
        <v>2013_TOR</v>
      </c>
      <c r="D59" s="8" t="s">
        <v>157</v>
      </c>
      <c r="E59" s="8" t="s">
        <v>186</v>
      </c>
      <c r="F59" s="8"/>
      <c r="G59" s="8"/>
      <c r="H59" s="8">
        <f t="shared" ca="1" si="1"/>
        <v>35.5</v>
      </c>
      <c r="I59" s="1" t="s">
        <v>100</v>
      </c>
      <c r="J59" s="8" t="s">
        <v>186</v>
      </c>
      <c r="K59" s="1" t="str">
        <f t="shared" ca="1" si="2"/>
        <v>O</v>
      </c>
      <c r="L59" s="7">
        <f t="shared" ca="1" si="3"/>
        <v>0</v>
      </c>
    </row>
    <row r="60" spans="1:12" ht="15" customHeight="1" x14ac:dyDescent="0.25">
      <c r="A60" s="8">
        <v>59</v>
      </c>
      <c r="B60">
        <v>269</v>
      </c>
      <c r="C60" t="str">
        <f t="shared" ca="1" si="0"/>
        <v>2013_UTA</v>
      </c>
      <c r="D60" s="8" t="s">
        <v>157</v>
      </c>
      <c r="E60" s="8" t="s">
        <v>186</v>
      </c>
      <c r="F60" s="8"/>
      <c r="G60" s="8"/>
      <c r="H60" s="8">
        <f t="shared" ca="1" si="1"/>
        <v>26.5</v>
      </c>
      <c r="I60" s="1" t="s">
        <v>101</v>
      </c>
      <c r="J60" s="8" t="s">
        <v>186</v>
      </c>
      <c r="K60" s="1" t="str">
        <f t="shared" ca="1" si="2"/>
        <v>U</v>
      </c>
      <c r="L60" s="7">
        <f t="shared" ca="1" si="3"/>
        <v>0</v>
      </c>
    </row>
    <row r="61" spans="1:12" ht="15" customHeight="1" x14ac:dyDescent="0.25">
      <c r="A61" s="8">
        <v>60</v>
      </c>
      <c r="B61">
        <v>270</v>
      </c>
      <c r="C61" t="str">
        <f t="shared" ca="1" si="0"/>
        <v>2013_WAS</v>
      </c>
      <c r="D61" s="8" t="s">
        <v>157</v>
      </c>
      <c r="E61" s="8" t="s">
        <v>186</v>
      </c>
      <c r="F61" s="8"/>
      <c r="G61" s="8"/>
      <c r="H61" s="8">
        <f t="shared" ca="1" si="1"/>
        <v>39.5</v>
      </c>
      <c r="I61" s="1" t="s">
        <v>100</v>
      </c>
      <c r="J61" s="8" t="s">
        <v>186</v>
      </c>
      <c r="K61" s="1" t="str">
        <f t="shared" ca="1" si="2"/>
        <v>O</v>
      </c>
      <c r="L61" s="7">
        <f t="shared" ca="1" si="3"/>
        <v>0</v>
      </c>
    </row>
    <row r="62" spans="1:12" ht="15" customHeight="1" x14ac:dyDescent="0.25">
      <c r="A62" s="8">
        <v>61</v>
      </c>
      <c r="B62">
        <v>271</v>
      </c>
      <c r="C62" t="str">
        <f t="shared" ca="1" si="0"/>
        <v>2014_ATL</v>
      </c>
      <c r="D62" s="8" t="s">
        <v>157</v>
      </c>
      <c r="E62" s="8" t="s">
        <v>186</v>
      </c>
      <c r="F62" s="8"/>
      <c r="G62" s="8"/>
      <c r="H62" s="8">
        <f t="shared" ca="1" si="1"/>
        <v>42.5</v>
      </c>
      <c r="I62" s="8" t="s">
        <v>101</v>
      </c>
      <c r="J62" s="1">
        <v>3</v>
      </c>
      <c r="K62" s="1" t="str">
        <f t="shared" ca="1" si="2"/>
        <v>O</v>
      </c>
      <c r="L62" s="7">
        <f t="shared" ca="1" si="3"/>
        <v>1</v>
      </c>
    </row>
    <row r="63" spans="1:12" ht="15" customHeight="1" x14ac:dyDescent="0.25">
      <c r="A63" s="8">
        <v>62</v>
      </c>
      <c r="B63">
        <v>272</v>
      </c>
      <c r="C63" t="str">
        <f t="shared" ca="1" si="0"/>
        <v>2014_BOS</v>
      </c>
      <c r="D63" s="8" t="s">
        <v>157</v>
      </c>
      <c r="E63" s="8" t="s">
        <v>186</v>
      </c>
      <c r="F63" s="8"/>
      <c r="G63" s="8"/>
      <c r="H63" s="8">
        <f t="shared" ca="1" si="1"/>
        <v>27</v>
      </c>
      <c r="I63" s="8" t="s">
        <v>100</v>
      </c>
      <c r="J63" s="1">
        <v>4</v>
      </c>
      <c r="K63" s="1" t="str">
        <f t="shared" ca="1" si="2"/>
        <v>O</v>
      </c>
      <c r="L63" s="7">
        <f t="shared" ca="1" si="3"/>
        <v>0</v>
      </c>
    </row>
    <row r="64" spans="1:12" ht="15" customHeight="1" x14ac:dyDescent="0.25">
      <c r="A64" s="8">
        <v>63</v>
      </c>
      <c r="B64">
        <v>273</v>
      </c>
      <c r="C64" t="str">
        <f t="shared" ca="1" si="0"/>
        <v>2014_BRK</v>
      </c>
      <c r="D64" s="8" t="s">
        <v>157</v>
      </c>
      <c r="E64" s="8" t="s">
        <v>186</v>
      </c>
      <c r="F64" s="8"/>
      <c r="G64" s="8"/>
      <c r="H64" s="8">
        <f t="shared" ca="1" si="1"/>
        <v>41.5</v>
      </c>
      <c r="I64" s="8" t="s">
        <v>100</v>
      </c>
      <c r="J64" s="1">
        <v>15</v>
      </c>
      <c r="K64" s="1" t="str">
        <f t="shared" ca="1" si="2"/>
        <v>U</v>
      </c>
      <c r="L64" s="7">
        <f t="shared" ca="1" si="3"/>
        <v>1</v>
      </c>
    </row>
    <row r="65" spans="1:12" ht="15" customHeight="1" x14ac:dyDescent="0.25">
      <c r="A65" s="8">
        <v>64</v>
      </c>
      <c r="B65">
        <v>274</v>
      </c>
      <c r="C65" t="str">
        <f t="shared" ca="1" si="0"/>
        <v>2014_CHO</v>
      </c>
      <c r="D65" s="8" t="s">
        <v>157</v>
      </c>
      <c r="E65" s="8" t="s">
        <v>186</v>
      </c>
      <c r="F65" s="8"/>
      <c r="G65" s="8"/>
      <c r="H65" s="8">
        <f t="shared" ca="1" si="1"/>
        <v>45</v>
      </c>
      <c r="I65" s="8" t="s">
        <v>101</v>
      </c>
      <c r="J65" s="1">
        <v>14</v>
      </c>
      <c r="K65" s="1" t="str">
        <f t="shared" ca="1" si="2"/>
        <v>U</v>
      </c>
      <c r="L65" s="7">
        <f t="shared" ca="1" si="3"/>
        <v>0</v>
      </c>
    </row>
    <row r="66" spans="1:12" ht="15" customHeight="1" x14ac:dyDescent="0.25">
      <c r="A66" s="8">
        <v>65</v>
      </c>
      <c r="B66">
        <v>275</v>
      </c>
      <c r="C66" t="str">
        <f t="shared" ref="C66:C129" ca="1" si="4">IFERROR(VLOOKUP($B66,nba_win_total_results,MATCH(C$1,nba_win_total_results_header,0),FALSE),"error")</f>
        <v>2014_CHI</v>
      </c>
      <c r="D66" s="8" t="s">
        <v>157</v>
      </c>
      <c r="E66" s="8" t="s">
        <v>186</v>
      </c>
      <c r="F66" s="8"/>
      <c r="G66" s="8"/>
      <c r="H66" s="8">
        <f t="shared" ref="H66:H129" ca="1" si="5">IFERROR(VLOOKUP($B66,nba_win_total_results,MATCH(H$1,nba_win_total_results_header,0),FALSE),"error")</f>
        <v>55.5</v>
      </c>
      <c r="I66" s="8" t="s">
        <v>101</v>
      </c>
      <c r="J66" s="8">
        <v>21</v>
      </c>
      <c r="K66" s="1" t="str">
        <f t="shared" ref="K66:K129" ca="1" si="6">IFERROR(IF(VLOOKUP($B66,nba_win_total_results,MATCH(K$1,nba_win_total_results_header,0),FALSE)="","",VLOOKUP($B66,nba_win_total_results,MATCH(K$1,nba_win_total_results_header,0),FALSE)),"error")</f>
        <v>U</v>
      </c>
      <c r="L66" s="7">
        <f t="shared" ref="L66:L129" ca="1" si="7">IFERROR(IF(OR(ISBLANK(I66),ISBLANK(K66),I66="",K66=""),"",IF(I66=K66,1,0)),"error")</f>
        <v>0</v>
      </c>
    </row>
    <row r="67" spans="1:12" ht="15" customHeight="1" x14ac:dyDescent="0.25">
      <c r="A67" s="8">
        <v>66</v>
      </c>
      <c r="B67">
        <v>276</v>
      </c>
      <c r="C67" t="str">
        <f t="shared" ca="1" si="4"/>
        <v>2014_CLE</v>
      </c>
      <c r="D67" s="8" t="s">
        <v>157</v>
      </c>
      <c r="E67" s="8" t="s">
        <v>186</v>
      </c>
      <c r="F67" s="8"/>
      <c r="G67" s="8"/>
      <c r="H67" s="8">
        <f t="shared" ca="1" si="5"/>
        <v>58.5</v>
      </c>
      <c r="I67" s="8" t="s">
        <v>100</v>
      </c>
      <c r="J67" s="8">
        <v>22</v>
      </c>
      <c r="K67" s="1" t="str">
        <f t="shared" ca="1" si="6"/>
        <v>U</v>
      </c>
      <c r="L67" s="7">
        <f t="shared" ca="1" si="7"/>
        <v>1</v>
      </c>
    </row>
    <row r="68" spans="1:12" ht="15" customHeight="1" x14ac:dyDescent="0.25">
      <c r="A68" s="8">
        <v>67</v>
      </c>
      <c r="B68">
        <v>277</v>
      </c>
      <c r="C68" t="str">
        <f t="shared" ca="1" si="4"/>
        <v>2014_DAL</v>
      </c>
      <c r="D68" s="8" t="s">
        <v>157</v>
      </c>
      <c r="E68" s="8" t="s">
        <v>186</v>
      </c>
      <c r="F68" s="8"/>
      <c r="G68" s="8"/>
      <c r="H68" s="8">
        <f t="shared" ca="1" si="5"/>
        <v>49.5</v>
      </c>
      <c r="I68" s="8" t="s">
        <v>101</v>
      </c>
      <c r="J68" s="1">
        <v>5</v>
      </c>
      <c r="K68" s="1" t="str">
        <f t="shared" ca="1" si="6"/>
        <v>O</v>
      </c>
      <c r="L68" s="7">
        <f t="shared" ca="1" si="7"/>
        <v>1</v>
      </c>
    </row>
    <row r="69" spans="1:12" ht="15" customHeight="1" x14ac:dyDescent="0.25">
      <c r="A69" s="8">
        <v>68</v>
      </c>
      <c r="B69">
        <v>278</v>
      </c>
      <c r="C69" t="str">
        <f t="shared" ca="1" si="4"/>
        <v>2014_DEN</v>
      </c>
      <c r="D69" s="8" t="s">
        <v>157</v>
      </c>
      <c r="E69" s="8" t="s">
        <v>186</v>
      </c>
      <c r="F69" s="8"/>
      <c r="G69" s="8"/>
      <c r="H69" s="8">
        <f t="shared" ca="1" si="5"/>
        <v>42</v>
      </c>
      <c r="I69" s="8" t="s">
        <v>100</v>
      </c>
      <c r="J69" s="8">
        <v>29</v>
      </c>
      <c r="K69" s="1" t="str">
        <f t="shared" ca="1" si="6"/>
        <v>U</v>
      </c>
      <c r="L69" s="7">
        <f t="shared" ca="1" si="7"/>
        <v>1</v>
      </c>
    </row>
    <row r="70" spans="1:12" ht="15" customHeight="1" x14ac:dyDescent="0.25">
      <c r="A70" s="8">
        <v>69</v>
      </c>
      <c r="B70">
        <v>279</v>
      </c>
      <c r="C70" t="str">
        <f t="shared" ca="1" si="4"/>
        <v>2014_DET</v>
      </c>
      <c r="D70" s="8" t="s">
        <v>157</v>
      </c>
      <c r="E70" s="8" t="s">
        <v>186</v>
      </c>
      <c r="F70" s="8"/>
      <c r="G70" s="8"/>
      <c r="H70" s="8">
        <f t="shared" ca="1" si="5"/>
        <v>36</v>
      </c>
      <c r="I70" s="8" t="s">
        <v>100</v>
      </c>
      <c r="J70" s="1">
        <v>9</v>
      </c>
      <c r="K70" s="1" t="str">
        <f t="shared" ca="1" si="6"/>
        <v>U</v>
      </c>
      <c r="L70" s="7">
        <f t="shared" ca="1" si="7"/>
        <v>1</v>
      </c>
    </row>
    <row r="71" spans="1:12" ht="15" customHeight="1" x14ac:dyDescent="0.25">
      <c r="A71" s="8">
        <v>70</v>
      </c>
      <c r="B71">
        <v>280</v>
      </c>
      <c r="C71" t="str">
        <f t="shared" ca="1" si="4"/>
        <v>2014_GSW</v>
      </c>
      <c r="D71" s="8" t="s">
        <v>157</v>
      </c>
      <c r="E71" s="8" t="s">
        <v>186</v>
      </c>
      <c r="F71" s="8"/>
      <c r="G71" s="8"/>
      <c r="H71" s="8">
        <f t="shared" ca="1" si="5"/>
        <v>52.5</v>
      </c>
      <c r="I71" s="8" t="s">
        <v>101</v>
      </c>
      <c r="J71" s="1">
        <v>8</v>
      </c>
      <c r="K71" s="1" t="str">
        <f t="shared" ca="1" si="6"/>
        <v>O</v>
      </c>
      <c r="L71" s="7">
        <f t="shared" ca="1" si="7"/>
        <v>1</v>
      </c>
    </row>
    <row r="72" spans="1:12" ht="15" customHeight="1" x14ac:dyDescent="0.25">
      <c r="A72" s="8">
        <v>71</v>
      </c>
      <c r="B72">
        <v>281</v>
      </c>
      <c r="C72" t="str">
        <f t="shared" ca="1" si="4"/>
        <v>2014_HOU</v>
      </c>
      <c r="D72" s="8" t="s">
        <v>157</v>
      </c>
      <c r="E72" s="8" t="s">
        <v>186</v>
      </c>
      <c r="F72" s="8"/>
      <c r="G72" s="8"/>
      <c r="H72" s="8">
        <f t="shared" ca="1" si="5"/>
        <v>49</v>
      </c>
      <c r="I72" s="8" t="s">
        <v>100</v>
      </c>
      <c r="J72" s="8">
        <v>13</v>
      </c>
      <c r="K72" s="1" t="str">
        <f t="shared" ca="1" si="6"/>
        <v>O</v>
      </c>
      <c r="L72" s="7">
        <f t="shared" ca="1" si="7"/>
        <v>0</v>
      </c>
    </row>
    <row r="73" spans="1:12" ht="15" customHeight="1" x14ac:dyDescent="0.25">
      <c r="A73" s="8">
        <v>72</v>
      </c>
      <c r="B73">
        <v>282</v>
      </c>
      <c r="C73" t="str">
        <f t="shared" ca="1" si="4"/>
        <v>2014_IND</v>
      </c>
      <c r="D73" s="8" t="s">
        <v>157</v>
      </c>
      <c r="E73" s="8" t="s">
        <v>186</v>
      </c>
      <c r="F73" s="8"/>
      <c r="G73" s="8"/>
      <c r="H73" s="8">
        <f t="shared" ca="1" si="5"/>
        <v>33.5</v>
      </c>
      <c r="I73" s="8" t="s">
        <v>100</v>
      </c>
      <c r="J73" s="1">
        <v>30</v>
      </c>
      <c r="K73" s="1" t="str">
        <f t="shared" ca="1" si="6"/>
        <v>O</v>
      </c>
      <c r="L73" s="7">
        <f t="shared" ca="1" si="7"/>
        <v>0</v>
      </c>
    </row>
    <row r="74" spans="1:12" ht="15" customHeight="1" x14ac:dyDescent="0.25">
      <c r="A74" s="8">
        <v>73</v>
      </c>
      <c r="B74">
        <v>283</v>
      </c>
      <c r="C74" t="str">
        <f t="shared" ca="1" si="4"/>
        <v>2014_LAC</v>
      </c>
      <c r="D74" s="8" t="s">
        <v>157</v>
      </c>
      <c r="E74" s="8" t="s">
        <v>186</v>
      </c>
      <c r="F74" s="8"/>
      <c r="G74" s="8"/>
      <c r="H74" s="8">
        <f t="shared" ca="1" si="5"/>
        <v>56.5</v>
      </c>
      <c r="I74" s="8" t="s">
        <v>101</v>
      </c>
      <c r="J74" s="8">
        <v>6</v>
      </c>
      <c r="K74" s="1" t="str">
        <f t="shared" ca="1" si="6"/>
        <v>U</v>
      </c>
      <c r="L74" s="7">
        <f t="shared" ca="1" si="7"/>
        <v>0</v>
      </c>
    </row>
    <row r="75" spans="1:12" ht="15" customHeight="1" x14ac:dyDescent="0.25">
      <c r="A75" s="8">
        <v>74</v>
      </c>
      <c r="B75">
        <v>284</v>
      </c>
      <c r="C75" t="str">
        <f t="shared" ca="1" si="4"/>
        <v>2014_LAL</v>
      </c>
      <c r="D75" s="8" t="s">
        <v>157</v>
      </c>
      <c r="E75" s="8" t="s">
        <v>186</v>
      </c>
      <c r="F75" s="8"/>
      <c r="G75" s="8"/>
      <c r="H75" s="8">
        <f t="shared" ca="1" si="5"/>
        <v>29</v>
      </c>
      <c r="I75" s="8" t="s">
        <v>100</v>
      </c>
      <c r="J75" s="1">
        <v>2</v>
      </c>
      <c r="K75" s="1" t="str">
        <f t="shared" ca="1" si="6"/>
        <v>U</v>
      </c>
      <c r="L75" s="7">
        <f t="shared" ca="1" si="7"/>
        <v>1</v>
      </c>
    </row>
    <row r="76" spans="1:12" ht="15" customHeight="1" x14ac:dyDescent="0.25">
      <c r="A76" s="8">
        <v>75</v>
      </c>
      <c r="B76">
        <v>285</v>
      </c>
      <c r="C76" t="str">
        <f t="shared" ca="1" si="4"/>
        <v>2014_MEM</v>
      </c>
      <c r="D76" s="8" t="s">
        <v>157</v>
      </c>
      <c r="E76" s="8" t="s">
        <v>186</v>
      </c>
      <c r="F76" s="8"/>
      <c r="G76" s="8"/>
      <c r="H76" s="8">
        <f t="shared" ca="1" si="5"/>
        <v>48.5</v>
      </c>
      <c r="I76" s="8" t="s">
        <v>101</v>
      </c>
      <c r="J76" s="8">
        <v>19</v>
      </c>
      <c r="K76" s="1" t="str">
        <f t="shared" ca="1" si="6"/>
        <v>O</v>
      </c>
      <c r="L76" s="7">
        <f t="shared" ca="1" si="7"/>
        <v>1</v>
      </c>
    </row>
    <row r="77" spans="1:12" ht="15" customHeight="1" x14ac:dyDescent="0.25">
      <c r="A77" s="8">
        <v>76</v>
      </c>
      <c r="B77">
        <v>286</v>
      </c>
      <c r="C77" t="str">
        <f t="shared" ca="1" si="4"/>
        <v>2014_MIA</v>
      </c>
      <c r="D77" s="8" t="s">
        <v>157</v>
      </c>
      <c r="E77" s="8" t="s">
        <v>186</v>
      </c>
      <c r="F77" s="8"/>
      <c r="G77" s="8"/>
      <c r="H77" s="8">
        <f t="shared" ca="1" si="5"/>
        <v>44</v>
      </c>
      <c r="I77" s="8" t="s">
        <v>101</v>
      </c>
      <c r="J77" s="1">
        <v>12</v>
      </c>
      <c r="K77" s="1" t="str">
        <f t="shared" ca="1" si="6"/>
        <v>U</v>
      </c>
      <c r="L77" s="7">
        <f t="shared" ca="1" si="7"/>
        <v>0</v>
      </c>
    </row>
    <row r="78" spans="1:12" ht="15" customHeight="1" x14ac:dyDescent="0.25">
      <c r="A78" s="8">
        <v>77</v>
      </c>
      <c r="B78">
        <v>287</v>
      </c>
      <c r="C78" t="str">
        <f t="shared" ca="1" si="4"/>
        <v>2014_MIL</v>
      </c>
      <c r="D78" s="8" t="s">
        <v>157</v>
      </c>
      <c r="E78" s="8" t="s">
        <v>186</v>
      </c>
      <c r="F78" s="8"/>
      <c r="G78" s="8"/>
      <c r="H78" s="8">
        <f t="shared" ca="1" si="5"/>
        <v>24.5</v>
      </c>
      <c r="I78" s="8" t="s">
        <v>101</v>
      </c>
      <c r="J78" s="8">
        <v>28</v>
      </c>
      <c r="K78" s="1" t="str">
        <f t="shared" ca="1" si="6"/>
        <v>O</v>
      </c>
      <c r="L78" s="7">
        <f t="shared" ca="1" si="7"/>
        <v>1</v>
      </c>
    </row>
    <row r="79" spans="1:12" ht="15" customHeight="1" x14ac:dyDescent="0.25">
      <c r="A79" s="8">
        <v>78</v>
      </c>
      <c r="B79">
        <v>288</v>
      </c>
      <c r="C79" t="str">
        <f t="shared" ca="1" si="4"/>
        <v>2014_MIN</v>
      </c>
      <c r="D79" s="8" t="s">
        <v>157</v>
      </c>
      <c r="E79" s="8" t="s">
        <v>186</v>
      </c>
      <c r="F79" s="8"/>
      <c r="G79" s="8"/>
      <c r="H79" s="8">
        <f t="shared" ca="1" si="5"/>
        <v>29</v>
      </c>
      <c r="I79" s="8" t="s">
        <v>100</v>
      </c>
      <c r="J79" s="1">
        <v>10</v>
      </c>
      <c r="K79" s="1" t="str">
        <f t="shared" ca="1" si="6"/>
        <v>U</v>
      </c>
      <c r="L79" s="7">
        <f t="shared" ca="1" si="7"/>
        <v>1</v>
      </c>
    </row>
    <row r="80" spans="1:12" ht="15" customHeight="1" x14ac:dyDescent="0.25">
      <c r="A80" s="8">
        <v>79</v>
      </c>
      <c r="B80">
        <v>289</v>
      </c>
      <c r="C80" t="str">
        <f t="shared" ca="1" si="4"/>
        <v>2014_NOP</v>
      </c>
      <c r="D80" s="8" t="s">
        <v>157</v>
      </c>
      <c r="E80" s="8" t="s">
        <v>186</v>
      </c>
      <c r="F80" s="8"/>
      <c r="G80" s="8"/>
      <c r="H80" s="8">
        <f t="shared" ca="1" si="5"/>
        <v>43</v>
      </c>
      <c r="I80" s="8" t="s">
        <v>100</v>
      </c>
      <c r="J80" s="8">
        <v>25</v>
      </c>
      <c r="K80" s="1" t="str">
        <f t="shared" ca="1" si="6"/>
        <v>O</v>
      </c>
      <c r="L80" s="7">
        <f t="shared" ca="1" si="7"/>
        <v>0</v>
      </c>
    </row>
    <row r="81" spans="1:12" ht="15" customHeight="1" x14ac:dyDescent="0.25">
      <c r="A81" s="8">
        <v>80</v>
      </c>
      <c r="B81">
        <v>290</v>
      </c>
      <c r="C81" t="str">
        <f t="shared" ca="1" si="4"/>
        <v>2014_NYK</v>
      </c>
      <c r="D81" s="8" t="s">
        <v>157</v>
      </c>
      <c r="E81" s="8" t="s">
        <v>186</v>
      </c>
      <c r="F81" s="8"/>
      <c r="G81" s="8"/>
      <c r="H81" s="8">
        <f t="shared" ca="1" si="5"/>
        <v>40</v>
      </c>
      <c r="I81" s="8" t="s">
        <v>100</v>
      </c>
      <c r="J81" s="8">
        <v>22</v>
      </c>
      <c r="K81" s="1" t="str">
        <f t="shared" ca="1" si="6"/>
        <v>U</v>
      </c>
      <c r="L81" s="7">
        <f t="shared" ca="1" si="7"/>
        <v>1</v>
      </c>
    </row>
    <row r="82" spans="1:12" ht="15" customHeight="1" x14ac:dyDescent="0.25">
      <c r="A82" s="8">
        <v>81</v>
      </c>
      <c r="B82">
        <v>291</v>
      </c>
      <c r="C82" t="str">
        <f t="shared" ca="1" si="4"/>
        <v>2014_OKC</v>
      </c>
      <c r="D82" s="8" t="s">
        <v>157</v>
      </c>
      <c r="E82" s="8" t="s">
        <v>186</v>
      </c>
      <c r="F82" s="8"/>
      <c r="G82" s="8"/>
      <c r="H82" s="8">
        <f t="shared" ca="1" si="5"/>
        <v>53</v>
      </c>
      <c r="I82" s="8" t="s">
        <v>100</v>
      </c>
      <c r="J82" s="1">
        <v>1</v>
      </c>
      <c r="K82" s="1" t="str">
        <f t="shared" ca="1" si="6"/>
        <v>U</v>
      </c>
      <c r="L82" s="7">
        <f t="shared" ca="1" si="7"/>
        <v>1</v>
      </c>
    </row>
    <row r="83" spans="1:12" ht="15" customHeight="1" x14ac:dyDescent="0.25">
      <c r="A83" s="8">
        <v>82</v>
      </c>
      <c r="B83">
        <v>292</v>
      </c>
      <c r="C83" t="str">
        <f t="shared" ca="1" si="4"/>
        <v>2014_ORL</v>
      </c>
      <c r="D83" s="8" t="s">
        <v>157</v>
      </c>
      <c r="E83" s="8" t="s">
        <v>186</v>
      </c>
      <c r="F83" s="8"/>
      <c r="G83" s="8"/>
      <c r="H83" s="8">
        <f t="shared" ca="1" si="5"/>
        <v>26.5</v>
      </c>
      <c r="I83" s="8" t="s">
        <v>100</v>
      </c>
      <c r="J83" s="1">
        <v>16</v>
      </c>
      <c r="K83" s="1" t="str">
        <f t="shared" ca="1" si="6"/>
        <v>U</v>
      </c>
      <c r="L83" s="7">
        <f t="shared" ca="1" si="7"/>
        <v>1</v>
      </c>
    </row>
    <row r="84" spans="1:12" ht="15" customHeight="1" x14ac:dyDescent="0.25">
      <c r="A84" s="8">
        <v>83</v>
      </c>
      <c r="B84">
        <v>293</v>
      </c>
      <c r="C84" t="str">
        <f t="shared" ca="1" si="4"/>
        <v>2014_PHI</v>
      </c>
      <c r="D84" s="8" t="s">
        <v>157</v>
      </c>
      <c r="E84" s="8" t="s">
        <v>186</v>
      </c>
      <c r="F84" s="8"/>
      <c r="G84" s="8"/>
      <c r="H84" s="8">
        <f t="shared" ca="1" si="5"/>
        <v>16</v>
      </c>
      <c r="I84" s="8" t="s">
        <v>100</v>
      </c>
      <c r="J84" s="8">
        <v>26</v>
      </c>
      <c r="K84" s="1" t="str">
        <f t="shared" ca="1" si="6"/>
        <v>O</v>
      </c>
      <c r="L84" s="7">
        <f t="shared" ca="1" si="7"/>
        <v>0</v>
      </c>
    </row>
    <row r="85" spans="1:12" ht="15" customHeight="1" x14ac:dyDescent="0.25">
      <c r="A85" s="8">
        <v>84</v>
      </c>
      <c r="B85">
        <v>294</v>
      </c>
      <c r="C85" t="str">
        <f t="shared" ca="1" si="4"/>
        <v>2014_PHO</v>
      </c>
      <c r="D85" s="8" t="s">
        <v>157</v>
      </c>
      <c r="E85" s="8" t="s">
        <v>186</v>
      </c>
      <c r="F85" s="8"/>
      <c r="G85" s="8"/>
      <c r="H85" s="8">
        <f t="shared" ca="1" si="5"/>
        <v>44</v>
      </c>
      <c r="I85" s="8" t="s">
        <v>101</v>
      </c>
      <c r="J85" s="8">
        <v>23</v>
      </c>
      <c r="K85" s="1" t="str">
        <f t="shared" ca="1" si="6"/>
        <v>U</v>
      </c>
      <c r="L85" s="7">
        <f t="shared" ca="1" si="7"/>
        <v>0</v>
      </c>
    </row>
    <row r="86" spans="1:12" ht="15" customHeight="1" x14ac:dyDescent="0.25">
      <c r="A86" s="8">
        <v>85</v>
      </c>
      <c r="B86">
        <v>295</v>
      </c>
      <c r="C86" t="str">
        <f t="shared" ca="1" si="4"/>
        <v>2014_POR</v>
      </c>
      <c r="D86" s="8" t="s">
        <v>157</v>
      </c>
      <c r="E86" s="8" t="s">
        <v>186</v>
      </c>
      <c r="F86" s="8"/>
      <c r="G86" s="8"/>
      <c r="H86" s="8">
        <f t="shared" ca="1" si="5"/>
        <v>49</v>
      </c>
      <c r="I86" s="8" t="s">
        <v>101</v>
      </c>
      <c r="J86" s="8">
        <v>27</v>
      </c>
      <c r="K86" s="1" t="str">
        <f t="shared" ca="1" si="6"/>
        <v>O</v>
      </c>
      <c r="L86" s="7">
        <f t="shared" ca="1" si="7"/>
        <v>1</v>
      </c>
    </row>
    <row r="87" spans="1:12" ht="15" customHeight="1" x14ac:dyDescent="0.25">
      <c r="A87" s="8">
        <v>86</v>
      </c>
      <c r="B87">
        <v>296</v>
      </c>
      <c r="C87" t="str">
        <f t="shared" ca="1" si="4"/>
        <v>2014_SAC</v>
      </c>
      <c r="D87" s="8" t="s">
        <v>157</v>
      </c>
      <c r="E87" s="8" t="s">
        <v>186</v>
      </c>
      <c r="F87" s="8"/>
      <c r="G87" s="8"/>
      <c r="H87" s="8">
        <f t="shared" ca="1" si="5"/>
        <v>29.5</v>
      </c>
      <c r="I87" s="8" t="s">
        <v>100</v>
      </c>
      <c r="J87" s="1">
        <v>11</v>
      </c>
      <c r="K87" s="1" t="str">
        <f t="shared" ca="1" si="6"/>
        <v>U</v>
      </c>
      <c r="L87" s="7">
        <f t="shared" ca="1" si="7"/>
        <v>1</v>
      </c>
    </row>
    <row r="88" spans="1:12" ht="15" customHeight="1" x14ac:dyDescent="0.25">
      <c r="A88" s="8">
        <v>87</v>
      </c>
      <c r="B88">
        <v>297</v>
      </c>
      <c r="C88" t="str">
        <f t="shared" ca="1" si="4"/>
        <v>2014_SAS</v>
      </c>
      <c r="D88" s="8" t="s">
        <v>157</v>
      </c>
      <c r="E88" s="8" t="s">
        <v>186</v>
      </c>
      <c r="F88" s="8"/>
      <c r="G88" s="8"/>
      <c r="H88" s="8">
        <f t="shared" ca="1" si="5"/>
        <v>57</v>
      </c>
      <c r="I88" s="8" t="s">
        <v>100</v>
      </c>
      <c r="J88" s="8">
        <v>24</v>
      </c>
      <c r="K88" s="1" t="str">
        <f t="shared" ca="1" si="6"/>
        <v>U</v>
      </c>
      <c r="L88" s="7">
        <f t="shared" ca="1" si="7"/>
        <v>1</v>
      </c>
    </row>
    <row r="89" spans="1:12" ht="15" customHeight="1" x14ac:dyDescent="0.25">
      <c r="A89" s="8">
        <v>88</v>
      </c>
      <c r="B89">
        <v>298</v>
      </c>
      <c r="C89" t="str">
        <f t="shared" ca="1" si="4"/>
        <v>2014_TOR</v>
      </c>
      <c r="D89" s="8" t="s">
        <v>157</v>
      </c>
      <c r="E89" s="8" t="s">
        <v>186</v>
      </c>
      <c r="F89" s="8"/>
      <c r="G89" s="8"/>
      <c r="H89" s="8">
        <f t="shared" ca="1" si="5"/>
        <v>48.5</v>
      </c>
      <c r="I89" s="8" t="s">
        <v>101</v>
      </c>
      <c r="J89" s="1">
        <v>7</v>
      </c>
      <c r="K89" s="1" t="str">
        <f t="shared" ca="1" si="6"/>
        <v>O</v>
      </c>
      <c r="L89" s="7">
        <f t="shared" ca="1" si="7"/>
        <v>1</v>
      </c>
    </row>
    <row r="90" spans="1:12" ht="15" customHeight="1" x14ac:dyDescent="0.25">
      <c r="A90" s="8">
        <v>89</v>
      </c>
      <c r="B90">
        <v>299</v>
      </c>
      <c r="C90" t="str">
        <f t="shared" ca="1" si="4"/>
        <v>2014_UTA</v>
      </c>
      <c r="D90" s="8" t="s">
        <v>157</v>
      </c>
      <c r="E90" s="8" t="s">
        <v>186</v>
      </c>
      <c r="F90" s="8"/>
      <c r="G90" s="8"/>
      <c r="H90" s="8">
        <f t="shared" ca="1" si="5"/>
        <v>27</v>
      </c>
      <c r="I90" s="8" t="s">
        <v>101</v>
      </c>
      <c r="J90" s="1">
        <v>18</v>
      </c>
      <c r="K90" s="1" t="str">
        <f t="shared" ca="1" si="6"/>
        <v>O</v>
      </c>
      <c r="L90" s="7">
        <f t="shared" ca="1" si="7"/>
        <v>1</v>
      </c>
    </row>
    <row r="91" spans="1:12" ht="15" customHeight="1" x14ac:dyDescent="0.25">
      <c r="A91" s="8">
        <v>90</v>
      </c>
      <c r="B91">
        <v>300</v>
      </c>
      <c r="C91" t="str">
        <f t="shared" ca="1" si="4"/>
        <v>2014_WAS</v>
      </c>
      <c r="D91" s="8" t="s">
        <v>157</v>
      </c>
      <c r="E91" s="8" t="s">
        <v>186</v>
      </c>
      <c r="F91" s="8"/>
      <c r="G91" s="8"/>
      <c r="H91" s="8">
        <f t="shared" ca="1" si="5"/>
        <v>48.5</v>
      </c>
      <c r="I91" s="8" t="s">
        <v>100</v>
      </c>
      <c r="J91" s="8">
        <v>17</v>
      </c>
      <c r="K91" s="1" t="str">
        <f t="shared" ca="1" si="6"/>
        <v>U</v>
      </c>
      <c r="L91" s="7">
        <f t="shared" ca="1" si="7"/>
        <v>1</v>
      </c>
    </row>
    <row r="92" spans="1:12" ht="15" customHeight="1" x14ac:dyDescent="0.25">
      <c r="A92" s="8">
        <v>91</v>
      </c>
      <c r="B92">
        <v>301</v>
      </c>
      <c r="C92" t="str">
        <f t="shared" ca="1" si="4"/>
        <v>2015_ATL</v>
      </c>
      <c r="D92" s="8" t="s">
        <v>157</v>
      </c>
      <c r="E92" s="8" t="s">
        <v>186</v>
      </c>
      <c r="F92" s="8"/>
      <c r="G92" s="8"/>
      <c r="H92" s="8">
        <f t="shared" ca="1" si="5"/>
        <v>49.5</v>
      </c>
      <c r="I92" s="6" t="s">
        <v>101</v>
      </c>
      <c r="J92" s="8">
        <v>22</v>
      </c>
      <c r="K92" s="1" t="str">
        <f t="shared" ca="1" si="6"/>
        <v>U</v>
      </c>
      <c r="L92" s="7">
        <f t="shared" ca="1" si="7"/>
        <v>0</v>
      </c>
    </row>
    <row r="93" spans="1:12" ht="15" customHeight="1" x14ac:dyDescent="0.25">
      <c r="A93" s="8">
        <v>92</v>
      </c>
      <c r="B93">
        <v>302</v>
      </c>
      <c r="C93" t="str">
        <f t="shared" ca="1" si="4"/>
        <v>2015_BOS</v>
      </c>
      <c r="D93" s="8" t="s">
        <v>157</v>
      </c>
      <c r="E93" s="8" t="s">
        <v>186</v>
      </c>
      <c r="F93" s="8"/>
      <c r="G93" s="8"/>
      <c r="H93" s="8">
        <f t="shared" ca="1" si="5"/>
        <v>45.5</v>
      </c>
      <c r="I93" s="6" t="s">
        <v>101</v>
      </c>
      <c r="J93" s="8">
        <v>2</v>
      </c>
      <c r="K93" s="1" t="str">
        <f t="shared" ca="1" si="6"/>
        <v>O</v>
      </c>
      <c r="L93" s="7">
        <f t="shared" ca="1" si="7"/>
        <v>1</v>
      </c>
    </row>
    <row r="94" spans="1:12" ht="15" customHeight="1" x14ac:dyDescent="0.25">
      <c r="A94" s="8">
        <v>93</v>
      </c>
      <c r="B94">
        <v>303</v>
      </c>
      <c r="C94" t="str">
        <f t="shared" ca="1" si="4"/>
        <v>2015_BRK</v>
      </c>
      <c r="D94" s="8" t="s">
        <v>157</v>
      </c>
      <c r="E94" s="8" t="s">
        <v>186</v>
      </c>
      <c r="F94" s="8"/>
      <c r="G94" s="8"/>
      <c r="H94" s="8">
        <f t="shared" ca="1" si="5"/>
        <v>27.5</v>
      </c>
      <c r="I94" s="6" t="s">
        <v>100</v>
      </c>
      <c r="J94" s="8">
        <v>16</v>
      </c>
      <c r="K94" s="1" t="str">
        <f t="shared" ca="1" si="6"/>
        <v>U</v>
      </c>
      <c r="L94" s="7">
        <f t="shared" ca="1" si="7"/>
        <v>1</v>
      </c>
    </row>
    <row r="95" spans="1:12" ht="15" customHeight="1" x14ac:dyDescent="0.25">
      <c r="A95" s="8">
        <v>94</v>
      </c>
      <c r="B95">
        <v>304</v>
      </c>
      <c r="C95" t="str">
        <f t="shared" ca="1" si="4"/>
        <v>2015_CHO</v>
      </c>
      <c r="D95" s="8" t="s">
        <v>157</v>
      </c>
      <c r="E95" s="8" t="s">
        <v>186</v>
      </c>
      <c r="F95" s="8"/>
      <c r="G95" s="8"/>
      <c r="H95" s="8">
        <f t="shared" ca="1" si="5"/>
        <v>34</v>
      </c>
      <c r="I95" s="6" t="s">
        <v>100</v>
      </c>
      <c r="J95" s="8">
        <v>1</v>
      </c>
      <c r="K95" s="1" t="str">
        <f t="shared" ca="1" si="6"/>
        <v>O</v>
      </c>
      <c r="L95" s="7">
        <f t="shared" ca="1" si="7"/>
        <v>0</v>
      </c>
    </row>
    <row r="96" spans="1:12" ht="15" customHeight="1" x14ac:dyDescent="0.25">
      <c r="A96" s="8">
        <v>95</v>
      </c>
      <c r="B96">
        <v>305</v>
      </c>
      <c r="C96" t="str">
        <f t="shared" ca="1" si="4"/>
        <v>2015_CHI</v>
      </c>
      <c r="D96" s="8" t="s">
        <v>157</v>
      </c>
      <c r="E96" s="8" t="s">
        <v>186</v>
      </c>
      <c r="F96" s="8"/>
      <c r="G96" s="8"/>
      <c r="H96" s="8">
        <f t="shared" ca="1" si="5"/>
        <v>50.5</v>
      </c>
      <c r="I96" s="6" t="s">
        <v>101</v>
      </c>
      <c r="J96" s="8">
        <v>15</v>
      </c>
      <c r="K96" s="1" t="str">
        <f t="shared" ca="1" si="6"/>
        <v>U</v>
      </c>
      <c r="L96" s="7">
        <f t="shared" ca="1" si="7"/>
        <v>0</v>
      </c>
    </row>
    <row r="97" spans="1:12" ht="15" customHeight="1" x14ac:dyDescent="0.25">
      <c r="A97" s="8">
        <v>96</v>
      </c>
      <c r="B97">
        <v>306</v>
      </c>
      <c r="C97" t="str">
        <f t="shared" ca="1" si="4"/>
        <v>2015_CLE</v>
      </c>
      <c r="D97" s="8" t="s">
        <v>157</v>
      </c>
      <c r="E97" s="8" t="s">
        <v>186</v>
      </c>
      <c r="F97" s="8"/>
      <c r="G97" s="8"/>
      <c r="H97" s="8">
        <f t="shared" ca="1" si="5"/>
        <v>56.5</v>
      </c>
      <c r="I97" s="6" t="s">
        <v>100</v>
      </c>
      <c r="J97" s="8">
        <v>8</v>
      </c>
      <c r="K97" s="1" t="str">
        <f t="shared" ca="1" si="6"/>
        <v>O</v>
      </c>
      <c r="L97" s="7">
        <f t="shared" ca="1" si="7"/>
        <v>0</v>
      </c>
    </row>
    <row r="98" spans="1:12" ht="15" customHeight="1" x14ac:dyDescent="0.25">
      <c r="A98" s="8">
        <v>97</v>
      </c>
      <c r="B98">
        <v>307</v>
      </c>
      <c r="C98" t="str">
        <f t="shared" ca="1" si="4"/>
        <v>2015_DAL</v>
      </c>
      <c r="D98" s="8" t="s">
        <v>157</v>
      </c>
      <c r="E98" s="8" t="s">
        <v>186</v>
      </c>
      <c r="F98" s="8"/>
      <c r="G98" s="8"/>
      <c r="H98" s="8">
        <f t="shared" ca="1" si="5"/>
        <v>36.5</v>
      </c>
      <c r="I98" s="6" t="s">
        <v>100</v>
      </c>
      <c r="J98" s="8">
        <v>13</v>
      </c>
      <c r="K98" s="1" t="str">
        <f t="shared" ca="1" si="6"/>
        <v>O</v>
      </c>
      <c r="L98" s="7">
        <f t="shared" ca="1" si="7"/>
        <v>0</v>
      </c>
    </row>
    <row r="99" spans="1:12" ht="15" customHeight="1" x14ac:dyDescent="0.25">
      <c r="A99" s="8">
        <v>98</v>
      </c>
      <c r="B99">
        <v>308</v>
      </c>
      <c r="C99" t="str">
        <f t="shared" ca="1" si="4"/>
        <v>2015_DEN</v>
      </c>
      <c r="D99" s="8" t="s">
        <v>157</v>
      </c>
      <c r="E99" s="8" t="s">
        <v>186</v>
      </c>
      <c r="F99" s="8"/>
      <c r="G99" s="8"/>
      <c r="H99" s="8">
        <f t="shared" ca="1" si="5"/>
        <v>27.5</v>
      </c>
      <c r="I99" s="6" t="s">
        <v>100</v>
      </c>
      <c r="J99" s="8">
        <v>17</v>
      </c>
      <c r="K99" s="1" t="str">
        <f t="shared" ca="1" si="6"/>
        <v>O</v>
      </c>
      <c r="L99" s="7">
        <f t="shared" ca="1" si="7"/>
        <v>0</v>
      </c>
    </row>
    <row r="100" spans="1:12" ht="15" customHeight="1" x14ac:dyDescent="0.25">
      <c r="A100" s="8">
        <v>99</v>
      </c>
      <c r="B100">
        <v>309</v>
      </c>
      <c r="C100" t="str">
        <f t="shared" ca="1" si="4"/>
        <v>2015_DET</v>
      </c>
      <c r="D100" s="8" t="s">
        <v>157</v>
      </c>
      <c r="E100" s="8" t="s">
        <v>186</v>
      </c>
      <c r="F100" s="8"/>
      <c r="G100" s="8"/>
      <c r="H100" s="8">
        <f t="shared" ca="1" si="5"/>
        <v>36.5</v>
      </c>
      <c r="I100" s="6" t="s">
        <v>101</v>
      </c>
      <c r="J100" s="8">
        <v>12</v>
      </c>
      <c r="K100" s="1" t="str">
        <f t="shared" ca="1" si="6"/>
        <v>O</v>
      </c>
      <c r="L100" s="7">
        <f t="shared" ca="1" si="7"/>
        <v>1</v>
      </c>
    </row>
    <row r="101" spans="1:12" ht="15" customHeight="1" x14ac:dyDescent="0.25">
      <c r="A101" s="8">
        <v>100</v>
      </c>
      <c r="B101">
        <v>310</v>
      </c>
      <c r="C101" t="str">
        <f t="shared" ca="1" si="4"/>
        <v>2015_GSW</v>
      </c>
      <c r="D101" s="8" t="s">
        <v>157</v>
      </c>
      <c r="E101" s="8" t="s">
        <v>186</v>
      </c>
      <c r="F101" s="8"/>
      <c r="G101" s="8"/>
      <c r="H101" s="8">
        <f t="shared" ca="1" si="5"/>
        <v>59.5</v>
      </c>
      <c r="I101" s="6" t="s">
        <v>100</v>
      </c>
      <c r="J101" s="8">
        <v>20</v>
      </c>
      <c r="K101" s="1" t="str">
        <f t="shared" ca="1" si="6"/>
        <v>O</v>
      </c>
      <c r="L101" s="7">
        <f t="shared" ca="1" si="7"/>
        <v>0</v>
      </c>
    </row>
    <row r="102" spans="1:12" ht="15" customHeight="1" x14ac:dyDescent="0.25">
      <c r="A102" s="8">
        <v>101</v>
      </c>
      <c r="B102">
        <v>311</v>
      </c>
      <c r="C102" t="str">
        <f t="shared" ca="1" si="4"/>
        <v>2015_HOU</v>
      </c>
      <c r="D102" s="8" t="s">
        <v>157</v>
      </c>
      <c r="E102" s="8" t="s">
        <v>186</v>
      </c>
      <c r="F102" s="8"/>
      <c r="G102" s="8"/>
      <c r="H102" s="8">
        <f t="shared" ca="1" si="5"/>
        <v>56.5</v>
      </c>
      <c r="I102" s="6" t="s">
        <v>101</v>
      </c>
      <c r="J102" s="8">
        <v>6</v>
      </c>
      <c r="K102" s="1" t="str">
        <f t="shared" ca="1" si="6"/>
        <v>U</v>
      </c>
      <c r="L102" s="7">
        <f t="shared" ca="1" si="7"/>
        <v>0</v>
      </c>
    </row>
    <row r="103" spans="1:12" ht="15" customHeight="1" x14ac:dyDescent="0.25">
      <c r="A103" s="8">
        <v>102</v>
      </c>
      <c r="B103">
        <v>312</v>
      </c>
      <c r="C103" t="str">
        <f t="shared" ca="1" si="4"/>
        <v>2015_IND</v>
      </c>
      <c r="D103" s="8" t="s">
        <v>157</v>
      </c>
      <c r="E103" s="8" t="s">
        <v>186</v>
      </c>
      <c r="F103" s="8"/>
      <c r="G103" s="8"/>
      <c r="H103" s="8">
        <f t="shared" ca="1" si="5"/>
        <v>41.5</v>
      </c>
      <c r="I103" s="6" t="s">
        <v>101</v>
      </c>
      <c r="J103" s="8">
        <v>28</v>
      </c>
      <c r="K103" s="1" t="str">
        <f t="shared" ca="1" si="6"/>
        <v>O</v>
      </c>
      <c r="L103" s="7">
        <f t="shared" ca="1" si="7"/>
        <v>1</v>
      </c>
    </row>
    <row r="104" spans="1:12" ht="15" customHeight="1" x14ac:dyDescent="0.25">
      <c r="A104" s="8">
        <v>103</v>
      </c>
      <c r="B104">
        <v>313</v>
      </c>
      <c r="C104" t="str">
        <f t="shared" ca="1" si="4"/>
        <v>2015_LAC</v>
      </c>
      <c r="D104" s="8" t="s">
        <v>157</v>
      </c>
      <c r="E104" s="8" t="s">
        <v>186</v>
      </c>
      <c r="F104" s="8"/>
      <c r="G104" s="8"/>
      <c r="H104" s="8">
        <f t="shared" ca="1" si="5"/>
        <v>56.5</v>
      </c>
      <c r="I104" s="6" t="s">
        <v>100</v>
      </c>
      <c r="J104" s="8">
        <v>25</v>
      </c>
      <c r="K104" s="1" t="str">
        <f t="shared" ca="1" si="6"/>
        <v>U</v>
      </c>
      <c r="L104" s="7">
        <f t="shared" ca="1" si="7"/>
        <v>1</v>
      </c>
    </row>
    <row r="105" spans="1:12" ht="15" customHeight="1" x14ac:dyDescent="0.25">
      <c r="A105" s="8">
        <v>104</v>
      </c>
      <c r="B105">
        <v>314</v>
      </c>
      <c r="C105" t="str">
        <f t="shared" ca="1" si="4"/>
        <v>2015_LAL</v>
      </c>
      <c r="D105" s="8" t="s">
        <v>157</v>
      </c>
      <c r="E105" s="8" t="s">
        <v>186</v>
      </c>
      <c r="F105" s="8"/>
      <c r="G105" s="8"/>
      <c r="H105" s="8">
        <f t="shared" ca="1" si="5"/>
        <v>28.5</v>
      </c>
      <c r="I105" s="6" t="s">
        <v>100</v>
      </c>
      <c r="J105" s="8">
        <v>7</v>
      </c>
      <c r="K105" s="1" t="str">
        <f t="shared" ca="1" si="6"/>
        <v>U</v>
      </c>
      <c r="L105" s="7">
        <f t="shared" ca="1" si="7"/>
        <v>1</v>
      </c>
    </row>
    <row r="106" spans="1:12" ht="15" customHeight="1" x14ac:dyDescent="0.25">
      <c r="A106" s="8">
        <v>105</v>
      </c>
      <c r="B106">
        <v>315</v>
      </c>
      <c r="C106" t="str">
        <f t="shared" ca="1" si="4"/>
        <v>2015_MEM</v>
      </c>
      <c r="D106" s="8" t="s">
        <v>157</v>
      </c>
      <c r="E106" s="8" t="s">
        <v>186</v>
      </c>
      <c r="F106" s="8"/>
      <c r="G106" s="8"/>
      <c r="H106" s="8">
        <f t="shared" ca="1" si="5"/>
        <v>50.5</v>
      </c>
      <c r="I106" s="6" t="s">
        <v>100</v>
      </c>
      <c r="J106" s="8">
        <v>26</v>
      </c>
      <c r="K106" s="1" t="str">
        <f t="shared" ca="1" si="6"/>
        <v>U</v>
      </c>
      <c r="L106" s="7">
        <f t="shared" ca="1" si="7"/>
        <v>1</v>
      </c>
    </row>
    <row r="107" spans="1:12" ht="15" customHeight="1" x14ac:dyDescent="0.25">
      <c r="A107" s="8">
        <v>106</v>
      </c>
      <c r="B107">
        <v>316</v>
      </c>
      <c r="C107" t="str">
        <f t="shared" ca="1" si="4"/>
        <v>2015_MIA</v>
      </c>
      <c r="D107" s="8" t="s">
        <v>157</v>
      </c>
      <c r="E107" s="8" t="s">
        <v>186</v>
      </c>
      <c r="F107" s="8"/>
      <c r="G107" s="8"/>
      <c r="H107" s="8">
        <f t="shared" ca="1" si="5"/>
        <v>46.5</v>
      </c>
      <c r="I107" s="6" t="s">
        <v>101</v>
      </c>
      <c r="J107" s="8">
        <v>14</v>
      </c>
      <c r="K107" s="1" t="str">
        <f t="shared" ca="1" si="6"/>
        <v>O</v>
      </c>
      <c r="L107" s="7">
        <f t="shared" ca="1" si="7"/>
        <v>1</v>
      </c>
    </row>
    <row r="108" spans="1:12" ht="15" customHeight="1" x14ac:dyDescent="0.25">
      <c r="A108" s="8">
        <v>107</v>
      </c>
      <c r="B108">
        <v>317</v>
      </c>
      <c r="C108" t="str">
        <f t="shared" ca="1" si="4"/>
        <v>2015_MIL</v>
      </c>
      <c r="D108" s="8" t="s">
        <v>157</v>
      </c>
      <c r="E108" s="8" t="s">
        <v>186</v>
      </c>
      <c r="F108" s="8"/>
      <c r="G108" s="8"/>
      <c r="H108" s="8">
        <f t="shared" ca="1" si="5"/>
        <v>42.5</v>
      </c>
      <c r="I108" s="6" t="s">
        <v>101</v>
      </c>
      <c r="J108" s="8">
        <v>30</v>
      </c>
      <c r="K108" s="1" t="str">
        <f t="shared" ca="1" si="6"/>
        <v>U</v>
      </c>
      <c r="L108" s="7">
        <f t="shared" ca="1" si="7"/>
        <v>0</v>
      </c>
    </row>
    <row r="109" spans="1:12" ht="15" customHeight="1" x14ac:dyDescent="0.25">
      <c r="A109" s="8">
        <v>108</v>
      </c>
      <c r="B109">
        <v>318</v>
      </c>
      <c r="C109" t="str">
        <f t="shared" ca="1" si="4"/>
        <v>2015_MIN</v>
      </c>
      <c r="D109" s="8" t="s">
        <v>157</v>
      </c>
      <c r="E109" s="8" t="s">
        <v>186</v>
      </c>
      <c r="F109" s="8"/>
      <c r="G109" s="8"/>
      <c r="H109" s="8">
        <f t="shared" ca="1" si="5"/>
        <v>27.5</v>
      </c>
      <c r="I109" s="6" t="s">
        <v>100</v>
      </c>
      <c r="J109" s="8">
        <v>11</v>
      </c>
      <c r="K109" s="1" t="str">
        <f t="shared" ca="1" si="6"/>
        <v>O</v>
      </c>
      <c r="L109" s="7">
        <f t="shared" ca="1" si="7"/>
        <v>0</v>
      </c>
    </row>
    <row r="110" spans="1:12" ht="15" customHeight="1" x14ac:dyDescent="0.25">
      <c r="A110" s="8">
        <v>109</v>
      </c>
      <c r="B110">
        <v>319</v>
      </c>
      <c r="C110" t="str">
        <f t="shared" ca="1" si="4"/>
        <v>2015_NOP</v>
      </c>
      <c r="D110" s="8" t="s">
        <v>157</v>
      </c>
      <c r="E110" s="8" t="s">
        <v>186</v>
      </c>
      <c r="F110" s="8"/>
      <c r="G110" s="8"/>
      <c r="H110" s="8">
        <f t="shared" ca="1" si="5"/>
        <v>45</v>
      </c>
      <c r="I110" s="6" t="s">
        <v>100</v>
      </c>
      <c r="J110" s="8">
        <v>4</v>
      </c>
      <c r="K110" s="1" t="str">
        <f t="shared" ca="1" si="6"/>
        <v>U</v>
      </c>
      <c r="L110" s="7">
        <f t="shared" ca="1" si="7"/>
        <v>1</v>
      </c>
    </row>
    <row r="111" spans="1:12" ht="15" customHeight="1" x14ac:dyDescent="0.25">
      <c r="A111" s="8">
        <v>110</v>
      </c>
      <c r="B111">
        <v>320</v>
      </c>
      <c r="C111" t="str">
        <f t="shared" ca="1" si="4"/>
        <v>2015_NYK</v>
      </c>
      <c r="D111" s="8" t="s">
        <v>157</v>
      </c>
      <c r="E111" s="8" t="s">
        <v>186</v>
      </c>
      <c r="F111" s="8"/>
      <c r="G111" s="8"/>
      <c r="H111" s="8">
        <f t="shared" ca="1" si="5"/>
        <v>29.5</v>
      </c>
      <c r="I111" s="6" t="s">
        <v>100</v>
      </c>
      <c r="J111" s="8">
        <v>18</v>
      </c>
      <c r="K111" s="1" t="str">
        <f t="shared" ca="1" si="6"/>
        <v>O</v>
      </c>
      <c r="L111" s="7">
        <f t="shared" ca="1" si="7"/>
        <v>0</v>
      </c>
    </row>
    <row r="112" spans="1:12" ht="15" customHeight="1" x14ac:dyDescent="0.25">
      <c r="A112" s="8">
        <v>111</v>
      </c>
      <c r="B112">
        <v>321</v>
      </c>
      <c r="C112" t="str">
        <f t="shared" ca="1" si="4"/>
        <v>2015_OKC</v>
      </c>
      <c r="D112" s="8" t="s">
        <v>157</v>
      </c>
      <c r="E112" s="8" t="s">
        <v>186</v>
      </c>
      <c r="F112" s="8"/>
      <c r="G112" s="8"/>
      <c r="H112" s="8">
        <f t="shared" ca="1" si="5"/>
        <v>57.5</v>
      </c>
      <c r="I112" s="6" t="s">
        <v>101</v>
      </c>
      <c r="J112" s="8">
        <v>21</v>
      </c>
      <c r="K112" s="1" t="str">
        <f t="shared" ca="1" si="6"/>
        <v>U</v>
      </c>
      <c r="L112" s="7">
        <f t="shared" ca="1" si="7"/>
        <v>0</v>
      </c>
    </row>
    <row r="113" spans="1:12" ht="15" customHeight="1" x14ac:dyDescent="0.25">
      <c r="A113" s="8">
        <v>112</v>
      </c>
      <c r="B113">
        <v>322</v>
      </c>
      <c r="C113" t="str">
        <f t="shared" ca="1" si="4"/>
        <v>2015_ORL</v>
      </c>
      <c r="D113" s="8" t="s">
        <v>157</v>
      </c>
      <c r="E113" s="8" t="s">
        <v>186</v>
      </c>
      <c r="F113" s="8"/>
      <c r="G113" s="8"/>
      <c r="H113" s="8">
        <f t="shared" ca="1" si="5"/>
        <v>34.5</v>
      </c>
      <c r="I113" s="6" t="s">
        <v>101</v>
      </c>
      <c r="J113" s="8">
        <v>9</v>
      </c>
      <c r="K113" s="1" t="str">
        <f t="shared" ca="1" si="6"/>
        <v>O</v>
      </c>
      <c r="L113" s="7">
        <f t="shared" ca="1" si="7"/>
        <v>1</v>
      </c>
    </row>
    <row r="114" spans="1:12" ht="15" customHeight="1" x14ac:dyDescent="0.25">
      <c r="A114" s="8">
        <v>113</v>
      </c>
      <c r="B114">
        <v>323</v>
      </c>
      <c r="C114" t="str">
        <f t="shared" ca="1" si="4"/>
        <v>2015_PHI</v>
      </c>
      <c r="D114" s="8" t="s">
        <v>157</v>
      </c>
      <c r="E114" s="8" t="s">
        <v>186</v>
      </c>
      <c r="F114" s="8"/>
      <c r="G114" s="8"/>
      <c r="H114" s="8">
        <f t="shared" ca="1" si="5"/>
        <v>20.5</v>
      </c>
      <c r="I114" s="6" t="s">
        <v>100</v>
      </c>
      <c r="J114" s="8">
        <v>23</v>
      </c>
      <c r="K114" s="1" t="str">
        <f t="shared" ca="1" si="6"/>
        <v>U</v>
      </c>
      <c r="L114" s="7">
        <f t="shared" ca="1" si="7"/>
        <v>1</v>
      </c>
    </row>
    <row r="115" spans="1:12" ht="15" customHeight="1" x14ac:dyDescent="0.25">
      <c r="A115" s="8">
        <v>114</v>
      </c>
      <c r="B115">
        <v>324</v>
      </c>
      <c r="C115" t="str">
        <f t="shared" ca="1" si="4"/>
        <v>2015_PHO</v>
      </c>
      <c r="D115" s="8" t="s">
        <v>157</v>
      </c>
      <c r="E115" s="8" t="s">
        <v>186</v>
      </c>
      <c r="F115" s="8"/>
      <c r="G115" s="8"/>
      <c r="H115" s="8">
        <f t="shared" ca="1" si="5"/>
        <v>36.5</v>
      </c>
      <c r="I115" s="6" t="s">
        <v>100</v>
      </c>
      <c r="J115" s="8">
        <v>19</v>
      </c>
      <c r="K115" s="1" t="str">
        <f t="shared" ca="1" si="6"/>
        <v>U</v>
      </c>
      <c r="L115" s="7">
        <f t="shared" ca="1" si="7"/>
        <v>1</v>
      </c>
    </row>
    <row r="116" spans="1:12" ht="15" customHeight="1" x14ac:dyDescent="0.25">
      <c r="A116" s="8">
        <v>115</v>
      </c>
      <c r="B116">
        <v>325</v>
      </c>
      <c r="C116" t="str">
        <f t="shared" ca="1" si="4"/>
        <v>2015_POR</v>
      </c>
      <c r="D116" s="8" t="s">
        <v>157</v>
      </c>
      <c r="E116" s="8" t="s">
        <v>186</v>
      </c>
      <c r="F116" s="8"/>
      <c r="G116" s="8"/>
      <c r="H116" s="8">
        <f t="shared" ca="1" si="5"/>
        <v>28.5</v>
      </c>
      <c r="I116" s="6" t="s">
        <v>101</v>
      </c>
      <c r="J116" s="8">
        <v>24</v>
      </c>
      <c r="K116" s="1" t="str">
        <f t="shared" ca="1" si="6"/>
        <v>O</v>
      </c>
      <c r="L116" s="7">
        <f t="shared" ca="1" si="7"/>
        <v>1</v>
      </c>
    </row>
    <row r="117" spans="1:12" ht="15" customHeight="1" x14ac:dyDescent="0.25">
      <c r="A117" s="8">
        <v>116</v>
      </c>
      <c r="B117">
        <v>326</v>
      </c>
      <c r="C117" t="str">
        <f t="shared" ca="1" si="4"/>
        <v>2015_SAC</v>
      </c>
      <c r="D117" s="8" t="s">
        <v>157</v>
      </c>
      <c r="E117" s="8" t="s">
        <v>186</v>
      </c>
      <c r="F117" s="8"/>
      <c r="G117" s="8"/>
      <c r="H117" s="8">
        <f t="shared" ca="1" si="5"/>
        <v>36</v>
      </c>
      <c r="I117" s="6" t="s">
        <v>101</v>
      </c>
      <c r="J117" s="8">
        <v>29</v>
      </c>
      <c r="K117" s="1" t="str">
        <f t="shared" ca="1" si="6"/>
        <v>U</v>
      </c>
      <c r="L117" s="7">
        <f t="shared" ca="1" si="7"/>
        <v>0</v>
      </c>
    </row>
    <row r="118" spans="1:12" ht="15" customHeight="1" x14ac:dyDescent="0.25">
      <c r="A118" s="8">
        <v>117</v>
      </c>
      <c r="B118">
        <v>327</v>
      </c>
      <c r="C118" t="str">
        <f t="shared" ca="1" si="4"/>
        <v>2015_SAS</v>
      </c>
      <c r="D118" s="8" t="s">
        <v>157</v>
      </c>
      <c r="E118" s="8" t="s">
        <v>186</v>
      </c>
      <c r="F118" s="8"/>
      <c r="G118" s="8"/>
      <c r="H118" s="8">
        <f t="shared" ca="1" si="5"/>
        <v>56.5</v>
      </c>
      <c r="I118" s="6" t="s">
        <v>100</v>
      </c>
      <c r="J118" s="8">
        <v>3</v>
      </c>
      <c r="K118" s="1" t="str">
        <f t="shared" ca="1" si="6"/>
        <v>O</v>
      </c>
      <c r="L118" s="7">
        <f t="shared" ca="1" si="7"/>
        <v>0</v>
      </c>
    </row>
    <row r="119" spans="1:12" ht="15" customHeight="1" x14ac:dyDescent="0.25">
      <c r="A119" s="8">
        <v>118</v>
      </c>
      <c r="B119">
        <v>328</v>
      </c>
      <c r="C119" t="str">
        <f t="shared" ca="1" si="4"/>
        <v>2015_TOR</v>
      </c>
      <c r="D119" s="8" t="s">
        <v>157</v>
      </c>
      <c r="E119" s="8" t="s">
        <v>186</v>
      </c>
      <c r="F119" s="8"/>
      <c r="G119" s="8"/>
      <c r="H119" s="8">
        <f t="shared" ca="1" si="5"/>
        <v>46.5</v>
      </c>
      <c r="I119" s="6" t="s">
        <v>100</v>
      </c>
      <c r="J119" s="8">
        <v>27</v>
      </c>
      <c r="K119" s="1" t="str">
        <f t="shared" ca="1" si="6"/>
        <v>O</v>
      </c>
      <c r="L119" s="7">
        <f t="shared" ca="1" si="7"/>
        <v>0</v>
      </c>
    </row>
    <row r="120" spans="1:12" ht="15" customHeight="1" x14ac:dyDescent="0.25">
      <c r="A120" s="8">
        <v>119</v>
      </c>
      <c r="B120">
        <v>329</v>
      </c>
      <c r="C120" t="str">
        <f t="shared" ca="1" si="4"/>
        <v>2015_UTA</v>
      </c>
      <c r="D120" s="8" t="s">
        <v>157</v>
      </c>
      <c r="E120" s="8" t="s">
        <v>186</v>
      </c>
      <c r="F120" s="8"/>
      <c r="G120" s="8"/>
      <c r="H120" s="8">
        <f t="shared" ca="1" si="5"/>
        <v>42.5</v>
      </c>
      <c r="I120" s="6" t="s">
        <v>101</v>
      </c>
      <c r="J120" s="8">
        <v>10</v>
      </c>
      <c r="K120" s="1" t="str">
        <f t="shared" ca="1" si="6"/>
        <v>U</v>
      </c>
      <c r="L120" s="7">
        <f t="shared" ca="1" si="7"/>
        <v>0</v>
      </c>
    </row>
    <row r="121" spans="1:12" ht="15" customHeight="1" x14ac:dyDescent="0.25">
      <c r="A121" s="8">
        <v>120</v>
      </c>
      <c r="B121">
        <v>330</v>
      </c>
      <c r="C121" t="str">
        <f t="shared" ca="1" si="4"/>
        <v>2015_WAS</v>
      </c>
      <c r="D121" s="8" t="s">
        <v>157</v>
      </c>
      <c r="E121" s="8" t="s">
        <v>186</v>
      </c>
      <c r="F121" s="8"/>
      <c r="G121" s="8"/>
      <c r="H121" s="8">
        <f t="shared" ca="1" si="5"/>
        <v>45.5</v>
      </c>
      <c r="I121" s="6" t="s">
        <v>101</v>
      </c>
      <c r="J121" s="8">
        <v>5</v>
      </c>
      <c r="K121" s="1" t="str">
        <f t="shared" ca="1" si="6"/>
        <v>U</v>
      </c>
      <c r="L121" s="7">
        <f t="shared" ca="1" si="7"/>
        <v>0</v>
      </c>
    </row>
    <row r="122" spans="1:12" ht="15" customHeight="1" x14ac:dyDescent="0.25">
      <c r="A122" s="8">
        <v>121</v>
      </c>
      <c r="B122">
        <v>331</v>
      </c>
      <c r="C122" t="str">
        <f t="shared" ca="1" si="4"/>
        <v>2016_ATL</v>
      </c>
      <c r="D122" s="8" t="s">
        <v>157</v>
      </c>
      <c r="E122" s="8" t="s">
        <v>186</v>
      </c>
      <c r="F122" s="8"/>
      <c r="G122" s="8"/>
      <c r="H122" s="8">
        <f t="shared" ca="1" si="5"/>
        <v>43.5</v>
      </c>
      <c r="I122" s="6" t="s">
        <v>101</v>
      </c>
      <c r="J122" s="8">
        <v>1</v>
      </c>
      <c r="K122" s="1" t="str">
        <f t="shared" ca="1" si="6"/>
        <v>U</v>
      </c>
      <c r="L122" s="7">
        <f t="shared" ca="1" si="7"/>
        <v>0</v>
      </c>
    </row>
    <row r="123" spans="1:12" ht="15" customHeight="1" x14ac:dyDescent="0.25">
      <c r="A123" s="8">
        <v>122</v>
      </c>
      <c r="B123">
        <v>333</v>
      </c>
      <c r="C123" t="str">
        <f t="shared" ca="1" si="4"/>
        <v>2016_BRK</v>
      </c>
      <c r="D123" s="8" t="s">
        <v>157</v>
      </c>
      <c r="E123" s="8" t="s">
        <v>186</v>
      </c>
      <c r="F123" s="8"/>
      <c r="G123" s="8"/>
      <c r="H123" s="8">
        <f t="shared" ca="1" si="5"/>
        <v>21.5</v>
      </c>
      <c r="I123" s="6" t="s">
        <v>101</v>
      </c>
      <c r="J123" s="8">
        <v>4</v>
      </c>
      <c r="K123" s="1" t="str">
        <f t="shared" ca="1" si="6"/>
        <v>U</v>
      </c>
      <c r="L123" s="7">
        <f t="shared" ca="1" si="7"/>
        <v>0</v>
      </c>
    </row>
    <row r="124" spans="1:12" ht="15" customHeight="1" x14ac:dyDescent="0.25">
      <c r="A124" s="8">
        <v>123</v>
      </c>
      <c r="B124">
        <v>332</v>
      </c>
      <c r="C124" t="str">
        <f t="shared" ca="1" si="4"/>
        <v>2016_BOS</v>
      </c>
      <c r="D124" s="8" t="s">
        <v>157</v>
      </c>
      <c r="E124" s="8" t="s">
        <v>186</v>
      </c>
      <c r="F124" s="8"/>
      <c r="G124" s="8"/>
      <c r="H124" s="8">
        <f t="shared" ca="1" si="5"/>
        <v>52.5</v>
      </c>
      <c r="I124" s="6" t="s">
        <v>100</v>
      </c>
      <c r="J124" s="8">
        <v>23</v>
      </c>
      <c r="K124" s="1" t="str">
        <f t="shared" ca="1" si="6"/>
        <v>O</v>
      </c>
      <c r="L124" s="7">
        <f t="shared" ca="1" si="7"/>
        <v>0</v>
      </c>
    </row>
    <row r="125" spans="1:12" ht="15" customHeight="1" x14ac:dyDescent="0.25">
      <c r="A125" s="8">
        <v>124</v>
      </c>
      <c r="B125">
        <v>334</v>
      </c>
      <c r="C125" t="str">
        <f t="shared" ca="1" si="4"/>
        <v>2016_CHO</v>
      </c>
      <c r="D125" s="8" t="s">
        <v>157</v>
      </c>
      <c r="E125" s="8" t="s">
        <v>186</v>
      </c>
      <c r="F125" s="8"/>
      <c r="G125" s="8"/>
      <c r="H125" s="8">
        <f t="shared" ca="1" si="5"/>
        <v>42.5</v>
      </c>
      <c r="I125" s="6" t="s">
        <v>101</v>
      </c>
      <c r="J125" s="8">
        <v>3</v>
      </c>
      <c r="K125" s="1" t="str">
        <f t="shared" ca="1" si="6"/>
        <v>U</v>
      </c>
      <c r="L125" s="7">
        <f t="shared" ca="1" si="7"/>
        <v>0</v>
      </c>
    </row>
    <row r="126" spans="1:12" ht="15" customHeight="1" x14ac:dyDescent="0.25">
      <c r="A126" s="8">
        <v>125</v>
      </c>
      <c r="B126">
        <v>335</v>
      </c>
      <c r="C126" t="str">
        <f t="shared" ca="1" si="4"/>
        <v>2016_CHI</v>
      </c>
      <c r="D126" s="8" t="s">
        <v>157</v>
      </c>
      <c r="E126" s="8" t="s">
        <v>186</v>
      </c>
      <c r="F126" s="8"/>
      <c r="G126" s="8"/>
      <c r="H126" s="8">
        <f t="shared" ca="1" si="5"/>
        <v>39</v>
      </c>
      <c r="I126" s="6" t="s">
        <v>100</v>
      </c>
      <c r="J126" s="8">
        <v>21</v>
      </c>
      <c r="K126" s="1" t="str">
        <f t="shared" ca="1" si="6"/>
        <v>O</v>
      </c>
      <c r="L126" s="7">
        <f t="shared" ca="1" si="7"/>
        <v>0</v>
      </c>
    </row>
    <row r="127" spans="1:12" ht="15" customHeight="1" x14ac:dyDescent="0.25">
      <c r="A127" s="8">
        <v>126</v>
      </c>
      <c r="B127">
        <v>336</v>
      </c>
      <c r="C127" t="str">
        <f t="shared" ca="1" si="4"/>
        <v>2016_CLE</v>
      </c>
      <c r="D127" s="8" t="s">
        <v>157</v>
      </c>
      <c r="E127" s="8" t="s">
        <v>186</v>
      </c>
      <c r="F127" s="8"/>
      <c r="G127" s="8"/>
      <c r="H127" s="8">
        <f t="shared" ca="1" si="5"/>
        <v>56.5</v>
      </c>
      <c r="I127" s="6" t="s">
        <v>101</v>
      </c>
      <c r="J127" s="8">
        <v>14</v>
      </c>
      <c r="K127" s="1" t="str">
        <f t="shared" ca="1" si="6"/>
        <v>U</v>
      </c>
      <c r="L127" s="7">
        <f t="shared" ca="1" si="7"/>
        <v>0</v>
      </c>
    </row>
    <row r="128" spans="1:12" ht="15" customHeight="1" x14ac:dyDescent="0.25">
      <c r="A128" s="8">
        <v>127</v>
      </c>
      <c r="B128">
        <v>337</v>
      </c>
      <c r="C128" t="str">
        <f t="shared" ca="1" si="4"/>
        <v>2016_DAL</v>
      </c>
      <c r="D128" s="8" t="s">
        <v>157</v>
      </c>
      <c r="E128" s="8" t="s">
        <v>186</v>
      </c>
      <c r="F128" s="8"/>
      <c r="G128" s="8"/>
      <c r="H128" s="8">
        <f t="shared" ca="1" si="5"/>
        <v>39.5</v>
      </c>
      <c r="I128" s="6" t="s">
        <v>101</v>
      </c>
      <c r="J128" s="8">
        <v>10</v>
      </c>
      <c r="K128" s="1" t="str">
        <f t="shared" ca="1" si="6"/>
        <v>U</v>
      </c>
      <c r="L128" s="7">
        <f t="shared" ca="1" si="7"/>
        <v>0</v>
      </c>
    </row>
    <row r="129" spans="1:12" ht="15" customHeight="1" x14ac:dyDescent="0.25">
      <c r="A129" s="8">
        <v>128</v>
      </c>
      <c r="B129">
        <v>338</v>
      </c>
      <c r="C129" t="str">
        <f t="shared" ca="1" si="4"/>
        <v>2016_DEN</v>
      </c>
      <c r="D129" s="8" t="s">
        <v>157</v>
      </c>
      <c r="E129" s="8" t="s">
        <v>186</v>
      </c>
      <c r="F129" s="8"/>
      <c r="G129" s="8"/>
      <c r="H129" s="8">
        <f t="shared" ca="1" si="5"/>
        <v>37</v>
      </c>
      <c r="I129" s="6" t="s">
        <v>100</v>
      </c>
      <c r="J129" s="8">
        <v>29</v>
      </c>
      <c r="K129" s="1" t="str">
        <f t="shared" ca="1" si="6"/>
        <v>O</v>
      </c>
      <c r="L129" s="7">
        <f t="shared" ca="1" si="7"/>
        <v>0</v>
      </c>
    </row>
    <row r="130" spans="1:12" ht="15" customHeight="1" x14ac:dyDescent="0.25">
      <c r="A130" s="8">
        <v>129</v>
      </c>
      <c r="B130">
        <v>339</v>
      </c>
      <c r="C130" t="str">
        <f t="shared" ref="C130:C193" ca="1" si="8">IFERROR(VLOOKUP($B130,nba_win_total_results,MATCH(C$1,nba_win_total_results_header,0),FALSE),"error")</f>
        <v>2016_DET</v>
      </c>
      <c r="D130" s="8" t="s">
        <v>157</v>
      </c>
      <c r="E130" s="8" t="s">
        <v>186</v>
      </c>
      <c r="F130" s="8"/>
      <c r="G130" s="8"/>
      <c r="H130" s="8">
        <f t="shared" ref="H130:H193" ca="1" si="9">IFERROR(VLOOKUP($B130,nba_win_total_results,MATCH(H$1,nba_win_total_results_header,0),FALSE),"error")</f>
        <v>44.5</v>
      </c>
      <c r="I130" s="6" t="s">
        <v>101</v>
      </c>
      <c r="J130" s="8">
        <v>13</v>
      </c>
      <c r="K130" s="1" t="str">
        <f t="shared" ref="K130:K193" ca="1" si="10">IFERROR(IF(VLOOKUP($B130,nba_win_total_results,MATCH(K$1,nba_win_total_results_header,0),FALSE)="","",VLOOKUP($B130,nba_win_total_results,MATCH(K$1,nba_win_total_results_header,0),FALSE)),"error")</f>
        <v>U</v>
      </c>
      <c r="L130" s="7">
        <f t="shared" ref="L130:L193" ca="1" si="11">IFERROR(IF(OR(ISBLANK(I130),ISBLANK(K130),I130="",K130=""),"",IF(I130=K130,1,0)),"error")</f>
        <v>0</v>
      </c>
    </row>
    <row r="131" spans="1:12" ht="15" customHeight="1" x14ac:dyDescent="0.25">
      <c r="A131" s="8">
        <v>130</v>
      </c>
      <c r="B131">
        <v>340</v>
      </c>
      <c r="C131" t="str">
        <f t="shared" ca="1" si="8"/>
        <v>2016_GSW</v>
      </c>
      <c r="D131" s="8" t="s">
        <v>157</v>
      </c>
      <c r="E131" s="8" t="s">
        <v>186</v>
      </c>
      <c r="F131" s="8"/>
      <c r="G131" s="8"/>
      <c r="H131" s="8">
        <f t="shared" ca="1" si="9"/>
        <v>66.5</v>
      </c>
      <c r="I131" s="6" t="s">
        <v>101</v>
      </c>
      <c r="J131" s="8">
        <v>6</v>
      </c>
      <c r="K131" s="1" t="str">
        <f t="shared" ca="1" si="10"/>
        <v>O</v>
      </c>
      <c r="L131" s="7">
        <f t="shared" ca="1" si="11"/>
        <v>1</v>
      </c>
    </row>
    <row r="132" spans="1:12" ht="15" customHeight="1" x14ac:dyDescent="0.25">
      <c r="A132" s="8">
        <v>131</v>
      </c>
      <c r="B132">
        <v>341</v>
      </c>
      <c r="C132" t="str">
        <f t="shared" ca="1" si="8"/>
        <v>2016_HOU</v>
      </c>
      <c r="D132" s="8" t="s">
        <v>157</v>
      </c>
      <c r="E132" s="8" t="s">
        <v>186</v>
      </c>
      <c r="F132" s="8"/>
      <c r="G132" s="8"/>
      <c r="H132" s="8">
        <f t="shared" ca="1" si="9"/>
        <v>44</v>
      </c>
      <c r="I132" s="6" t="s">
        <v>101</v>
      </c>
      <c r="J132" s="8">
        <v>8</v>
      </c>
      <c r="K132" s="1" t="str">
        <f t="shared" ca="1" si="10"/>
        <v>O</v>
      </c>
      <c r="L132" s="7">
        <f t="shared" ca="1" si="11"/>
        <v>1</v>
      </c>
    </row>
    <row r="133" spans="1:12" ht="15" customHeight="1" x14ac:dyDescent="0.25">
      <c r="A133" s="8">
        <v>132</v>
      </c>
      <c r="B133">
        <v>342</v>
      </c>
      <c r="C133" t="str">
        <f t="shared" ca="1" si="8"/>
        <v>2016_IND</v>
      </c>
      <c r="D133" s="8" t="s">
        <v>157</v>
      </c>
      <c r="E133" s="8" t="s">
        <v>186</v>
      </c>
      <c r="F133" s="8"/>
      <c r="G133" s="8"/>
      <c r="H133" s="8">
        <f t="shared" ca="1" si="9"/>
        <v>44.5</v>
      </c>
      <c r="I133" s="6" t="s">
        <v>100</v>
      </c>
      <c r="J133" s="8">
        <v>11</v>
      </c>
      <c r="K133" s="1" t="str">
        <f t="shared" ca="1" si="10"/>
        <v>U</v>
      </c>
      <c r="L133" s="7">
        <f t="shared" ca="1" si="11"/>
        <v>1</v>
      </c>
    </row>
    <row r="134" spans="1:12" ht="15" customHeight="1" x14ac:dyDescent="0.25">
      <c r="A134" s="8">
        <v>133</v>
      </c>
      <c r="B134">
        <v>343</v>
      </c>
      <c r="C134" t="str">
        <f t="shared" ca="1" si="8"/>
        <v>2016_LAC</v>
      </c>
      <c r="D134" s="8" t="s">
        <v>157</v>
      </c>
      <c r="E134" s="8" t="s">
        <v>186</v>
      </c>
      <c r="F134" s="8"/>
      <c r="G134" s="8"/>
      <c r="H134" s="8">
        <f t="shared" ca="1" si="9"/>
        <v>53.5</v>
      </c>
      <c r="I134" s="6" t="s">
        <v>101</v>
      </c>
      <c r="J134" s="8">
        <v>7</v>
      </c>
      <c r="K134" s="1" t="str">
        <f t="shared" ca="1" si="10"/>
        <v>U</v>
      </c>
      <c r="L134" s="7">
        <f t="shared" ca="1" si="11"/>
        <v>0</v>
      </c>
    </row>
    <row r="135" spans="1:12" ht="15" customHeight="1" x14ac:dyDescent="0.25">
      <c r="A135" s="8">
        <v>134</v>
      </c>
      <c r="B135">
        <v>344</v>
      </c>
      <c r="C135" t="str">
        <f t="shared" ca="1" si="8"/>
        <v>2016_LAL</v>
      </c>
      <c r="D135" s="8" t="s">
        <v>157</v>
      </c>
      <c r="E135" s="8" t="s">
        <v>186</v>
      </c>
      <c r="F135" s="8"/>
      <c r="G135" s="8"/>
      <c r="H135" s="8">
        <f t="shared" ca="1" si="9"/>
        <v>24.5</v>
      </c>
      <c r="I135" s="6" t="s">
        <v>101</v>
      </c>
      <c r="J135" s="8">
        <v>24</v>
      </c>
      <c r="K135" s="1" t="str">
        <f t="shared" ca="1" si="10"/>
        <v>O</v>
      </c>
      <c r="L135" s="7">
        <f t="shared" ca="1" si="11"/>
        <v>1</v>
      </c>
    </row>
    <row r="136" spans="1:12" ht="15" customHeight="1" x14ac:dyDescent="0.25">
      <c r="A136" s="8">
        <v>135</v>
      </c>
      <c r="B136">
        <v>345</v>
      </c>
      <c r="C136" t="str">
        <f t="shared" ca="1" si="8"/>
        <v>2016_MEM</v>
      </c>
      <c r="D136" s="8" t="s">
        <v>157</v>
      </c>
      <c r="E136" s="8" t="s">
        <v>186</v>
      </c>
      <c r="F136" s="8"/>
      <c r="G136" s="8"/>
      <c r="H136" s="8">
        <f t="shared" ca="1" si="9"/>
        <v>42.5</v>
      </c>
      <c r="I136" s="6" t="s">
        <v>101</v>
      </c>
      <c r="J136" s="8">
        <v>12</v>
      </c>
      <c r="K136" s="1" t="str">
        <f t="shared" ca="1" si="10"/>
        <v>O</v>
      </c>
      <c r="L136" s="7">
        <f t="shared" ca="1" si="11"/>
        <v>1</v>
      </c>
    </row>
    <row r="137" spans="1:12" ht="15" customHeight="1" x14ac:dyDescent="0.25">
      <c r="A137" s="8">
        <v>136</v>
      </c>
      <c r="B137">
        <v>346</v>
      </c>
      <c r="C137" t="str">
        <f t="shared" ca="1" si="8"/>
        <v>2016_MIA</v>
      </c>
      <c r="D137" s="8" t="s">
        <v>157</v>
      </c>
      <c r="E137" s="8" t="s">
        <v>186</v>
      </c>
      <c r="F137" s="8"/>
      <c r="G137" s="8"/>
      <c r="H137" s="8">
        <f t="shared" ca="1" si="9"/>
        <v>34.5</v>
      </c>
      <c r="I137" s="6" t="s">
        <v>100</v>
      </c>
      <c r="J137" s="8">
        <v>16</v>
      </c>
      <c r="K137" s="1" t="str">
        <f t="shared" ca="1" si="10"/>
        <v>O</v>
      </c>
      <c r="L137" s="7">
        <f t="shared" ca="1" si="11"/>
        <v>0</v>
      </c>
    </row>
    <row r="138" spans="1:12" ht="15" customHeight="1" x14ac:dyDescent="0.25">
      <c r="A138" s="8">
        <v>137</v>
      </c>
      <c r="B138">
        <v>347</v>
      </c>
      <c r="C138" t="str">
        <f t="shared" ca="1" si="8"/>
        <v>2016_MIL</v>
      </c>
      <c r="D138" s="8" t="s">
        <v>157</v>
      </c>
      <c r="E138" s="8" t="s">
        <v>186</v>
      </c>
      <c r="F138" s="8"/>
      <c r="G138" s="8"/>
      <c r="H138" s="8">
        <f t="shared" ca="1" si="9"/>
        <v>34.5</v>
      </c>
      <c r="I138" s="6" t="s">
        <v>100</v>
      </c>
      <c r="J138" s="8">
        <v>26</v>
      </c>
      <c r="K138" s="1" t="str">
        <f t="shared" ca="1" si="10"/>
        <v>O</v>
      </c>
      <c r="L138" s="7">
        <f t="shared" ca="1" si="11"/>
        <v>0</v>
      </c>
    </row>
    <row r="139" spans="1:12" ht="15" customHeight="1" x14ac:dyDescent="0.25">
      <c r="A139" s="8">
        <v>138</v>
      </c>
      <c r="B139">
        <v>348</v>
      </c>
      <c r="C139" t="str">
        <f t="shared" ca="1" si="8"/>
        <v>2016_MIN</v>
      </c>
      <c r="D139" s="8" t="s">
        <v>157</v>
      </c>
      <c r="E139" s="8" t="s">
        <v>186</v>
      </c>
      <c r="F139" s="8"/>
      <c r="G139" s="8"/>
      <c r="H139" s="8">
        <f t="shared" ca="1" si="9"/>
        <v>41.5</v>
      </c>
      <c r="I139" s="6" t="s">
        <v>100</v>
      </c>
      <c r="J139" s="8">
        <v>17</v>
      </c>
      <c r="K139" s="1" t="str">
        <f t="shared" ca="1" si="10"/>
        <v>U</v>
      </c>
      <c r="L139" s="7">
        <f t="shared" ca="1" si="11"/>
        <v>1</v>
      </c>
    </row>
    <row r="140" spans="1:12" ht="15" customHeight="1" x14ac:dyDescent="0.25">
      <c r="A140" s="8">
        <v>139</v>
      </c>
      <c r="B140">
        <v>349</v>
      </c>
      <c r="C140" t="str">
        <f t="shared" ca="1" si="8"/>
        <v>2016_NOP</v>
      </c>
      <c r="D140" s="8" t="s">
        <v>157</v>
      </c>
      <c r="E140" s="8" t="s">
        <v>186</v>
      </c>
      <c r="F140" s="8"/>
      <c r="G140" s="8"/>
      <c r="H140" s="8">
        <f t="shared" ca="1" si="9"/>
        <v>36.5</v>
      </c>
      <c r="I140" s="6" t="s">
        <v>100</v>
      </c>
      <c r="J140" s="8">
        <v>5</v>
      </c>
      <c r="K140" s="1" t="str">
        <f t="shared" ca="1" si="10"/>
        <v>U</v>
      </c>
      <c r="L140" s="7">
        <f t="shared" ca="1" si="11"/>
        <v>1</v>
      </c>
    </row>
    <row r="141" spans="1:12" ht="15" customHeight="1" x14ac:dyDescent="0.25">
      <c r="A141" s="8">
        <v>140</v>
      </c>
      <c r="B141">
        <v>350</v>
      </c>
      <c r="C141" t="str">
        <f t="shared" ca="1" si="8"/>
        <v>2016_NYK</v>
      </c>
      <c r="D141" s="8" t="s">
        <v>157</v>
      </c>
      <c r="E141" s="8" t="s">
        <v>186</v>
      </c>
      <c r="F141" s="8"/>
      <c r="G141" s="8"/>
      <c r="H141" s="8">
        <f t="shared" ca="1" si="9"/>
        <v>38.5</v>
      </c>
      <c r="I141" s="6" t="s">
        <v>100</v>
      </c>
      <c r="J141" s="8">
        <v>19</v>
      </c>
      <c r="K141" s="1" t="str">
        <f t="shared" ca="1" si="10"/>
        <v>U</v>
      </c>
      <c r="L141" s="7">
        <f t="shared" ca="1" si="11"/>
        <v>1</v>
      </c>
    </row>
    <row r="142" spans="1:12" ht="15" customHeight="1" x14ac:dyDescent="0.25">
      <c r="A142" s="8">
        <v>141</v>
      </c>
      <c r="B142">
        <v>351</v>
      </c>
      <c r="C142" t="str">
        <f t="shared" ca="1" si="8"/>
        <v>2016_OKC</v>
      </c>
      <c r="D142" s="8" t="s">
        <v>157</v>
      </c>
      <c r="E142" s="8" t="s">
        <v>186</v>
      </c>
      <c r="F142" s="8"/>
      <c r="G142" s="8"/>
      <c r="H142" s="8">
        <f t="shared" ca="1" si="9"/>
        <v>45</v>
      </c>
      <c r="I142" s="6" t="s">
        <v>100</v>
      </c>
      <c r="J142" s="8">
        <v>27</v>
      </c>
      <c r="K142" s="1" t="str">
        <f t="shared" ca="1" si="10"/>
        <v>O</v>
      </c>
      <c r="L142" s="7">
        <f t="shared" ca="1" si="11"/>
        <v>0</v>
      </c>
    </row>
    <row r="143" spans="1:12" ht="15" customHeight="1" x14ac:dyDescent="0.25">
      <c r="A143" s="8">
        <v>142</v>
      </c>
      <c r="B143">
        <v>352</v>
      </c>
      <c r="C143" t="str">
        <f t="shared" ca="1" si="8"/>
        <v>2016_ORL</v>
      </c>
      <c r="D143" s="8" t="s">
        <v>157</v>
      </c>
      <c r="E143" s="8" t="s">
        <v>186</v>
      </c>
      <c r="F143" s="8"/>
      <c r="G143" s="8"/>
      <c r="H143" s="8">
        <f t="shared" ca="1" si="9"/>
        <v>37.5</v>
      </c>
      <c r="I143" s="6" t="s">
        <v>100</v>
      </c>
      <c r="J143" s="8">
        <v>20</v>
      </c>
      <c r="K143" s="1" t="str">
        <f t="shared" ca="1" si="10"/>
        <v>U</v>
      </c>
      <c r="L143" s="7">
        <f t="shared" ca="1" si="11"/>
        <v>1</v>
      </c>
    </row>
    <row r="144" spans="1:12" ht="15" customHeight="1" x14ac:dyDescent="0.25">
      <c r="A144" s="8">
        <v>143</v>
      </c>
      <c r="B144">
        <v>353</v>
      </c>
      <c r="C144" t="str">
        <f t="shared" ca="1" si="8"/>
        <v>2016_PHI</v>
      </c>
      <c r="D144" s="8" t="s">
        <v>157</v>
      </c>
      <c r="E144" s="8" t="s">
        <v>186</v>
      </c>
      <c r="F144" s="8"/>
      <c r="G144" s="8"/>
      <c r="H144" s="8">
        <f t="shared" ca="1" si="9"/>
        <v>23.5</v>
      </c>
      <c r="I144" s="6" t="s">
        <v>100</v>
      </c>
      <c r="J144" s="8">
        <v>25</v>
      </c>
      <c r="K144" s="1" t="str">
        <f t="shared" ca="1" si="10"/>
        <v>O</v>
      </c>
      <c r="L144" s="7">
        <f t="shared" ca="1" si="11"/>
        <v>0</v>
      </c>
    </row>
    <row r="145" spans="1:12" ht="15" customHeight="1" x14ac:dyDescent="0.25">
      <c r="A145" s="8">
        <v>144</v>
      </c>
      <c r="B145">
        <v>354</v>
      </c>
      <c r="C145" t="str">
        <f t="shared" ca="1" si="8"/>
        <v>2016_PHO</v>
      </c>
      <c r="D145" s="8" t="s">
        <v>157</v>
      </c>
      <c r="E145" s="8" t="s">
        <v>186</v>
      </c>
      <c r="F145" s="8"/>
      <c r="G145" s="8"/>
      <c r="H145" s="8">
        <f t="shared" ca="1" si="9"/>
        <v>29.5</v>
      </c>
      <c r="I145" s="6" t="s">
        <v>100</v>
      </c>
      <c r="J145" s="8">
        <v>22</v>
      </c>
      <c r="K145" s="1" t="str">
        <f t="shared" ca="1" si="10"/>
        <v>U</v>
      </c>
      <c r="L145" s="7">
        <f t="shared" ca="1" si="11"/>
        <v>1</v>
      </c>
    </row>
    <row r="146" spans="1:12" ht="15" customHeight="1" x14ac:dyDescent="0.25">
      <c r="A146" s="8">
        <v>145</v>
      </c>
      <c r="B146">
        <v>355</v>
      </c>
      <c r="C146" t="str">
        <f t="shared" ca="1" si="8"/>
        <v>2016_POR</v>
      </c>
      <c r="D146" s="8" t="s">
        <v>157</v>
      </c>
      <c r="E146" s="8" t="s">
        <v>186</v>
      </c>
      <c r="F146" s="8"/>
      <c r="G146" s="8"/>
      <c r="H146" s="8">
        <f t="shared" ca="1" si="9"/>
        <v>45.5</v>
      </c>
      <c r="I146" s="6" t="s">
        <v>101</v>
      </c>
      <c r="J146" s="8">
        <v>2</v>
      </c>
      <c r="K146" s="1" t="str">
        <f t="shared" ca="1" si="10"/>
        <v>U</v>
      </c>
      <c r="L146" s="7">
        <f t="shared" ca="1" si="11"/>
        <v>0</v>
      </c>
    </row>
    <row r="147" spans="1:12" ht="15" customHeight="1" x14ac:dyDescent="0.25">
      <c r="A147" s="8">
        <v>146</v>
      </c>
      <c r="B147">
        <v>356</v>
      </c>
      <c r="C147" t="str">
        <f t="shared" ca="1" si="8"/>
        <v>2016_SAC</v>
      </c>
      <c r="D147" s="8" t="s">
        <v>157</v>
      </c>
      <c r="E147" s="8" t="s">
        <v>186</v>
      </c>
      <c r="F147" s="8"/>
      <c r="G147" s="8"/>
      <c r="H147" s="8">
        <f t="shared" ca="1" si="9"/>
        <v>33.5</v>
      </c>
      <c r="I147" s="6" t="s">
        <v>100</v>
      </c>
      <c r="J147" s="8">
        <v>18</v>
      </c>
      <c r="K147" s="1" t="str">
        <f t="shared" ca="1" si="10"/>
        <v>U</v>
      </c>
      <c r="L147" s="7">
        <f t="shared" ca="1" si="11"/>
        <v>1</v>
      </c>
    </row>
    <row r="148" spans="1:12" ht="15" customHeight="1" x14ac:dyDescent="0.25">
      <c r="A148" s="8">
        <v>147</v>
      </c>
      <c r="B148">
        <v>357</v>
      </c>
      <c r="C148" t="str">
        <f t="shared" ca="1" si="8"/>
        <v>2016_SAS</v>
      </c>
      <c r="D148" s="8" t="s">
        <v>157</v>
      </c>
      <c r="E148" s="8" t="s">
        <v>186</v>
      </c>
      <c r="F148" s="8"/>
      <c r="G148" s="8"/>
      <c r="H148" s="8">
        <f t="shared" ca="1" si="9"/>
        <v>57.5</v>
      </c>
      <c r="I148" s="6" t="s">
        <v>101</v>
      </c>
      <c r="J148" s="8">
        <v>15</v>
      </c>
      <c r="K148" s="1" t="str">
        <f t="shared" ca="1" si="10"/>
        <v>O</v>
      </c>
      <c r="L148" s="7">
        <f t="shared" ca="1" si="11"/>
        <v>1</v>
      </c>
    </row>
    <row r="149" spans="1:12" ht="15" customHeight="1" x14ac:dyDescent="0.25">
      <c r="A149" s="8">
        <v>148</v>
      </c>
      <c r="B149">
        <v>358</v>
      </c>
      <c r="C149" t="str">
        <f t="shared" ca="1" si="8"/>
        <v>2016_TOR</v>
      </c>
      <c r="D149" s="8" t="s">
        <v>157</v>
      </c>
      <c r="E149" s="8" t="s">
        <v>186</v>
      </c>
      <c r="F149" s="8"/>
      <c r="G149" s="8"/>
      <c r="H149" s="8">
        <f t="shared" ca="1" si="9"/>
        <v>50.5</v>
      </c>
      <c r="I149" s="6" t="s">
        <v>101</v>
      </c>
      <c r="J149" s="8">
        <v>28</v>
      </c>
      <c r="K149" s="1" t="str">
        <f t="shared" ca="1" si="10"/>
        <v>O</v>
      </c>
      <c r="L149" s="7">
        <f t="shared" ca="1" si="11"/>
        <v>1</v>
      </c>
    </row>
    <row r="150" spans="1:12" ht="15" customHeight="1" x14ac:dyDescent="0.25">
      <c r="A150" s="8">
        <v>149</v>
      </c>
      <c r="B150">
        <v>359</v>
      </c>
      <c r="C150" t="str">
        <f t="shared" ca="1" si="8"/>
        <v>2016_UTA</v>
      </c>
      <c r="D150" s="8" t="s">
        <v>157</v>
      </c>
      <c r="E150" s="8" t="s">
        <v>186</v>
      </c>
      <c r="F150" s="8"/>
      <c r="G150" s="8"/>
      <c r="H150" s="8">
        <f t="shared" ca="1" si="9"/>
        <v>47.5</v>
      </c>
      <c r="I150" s="6" t="s">
        <v>100</v>
      </c>
      <c r="J150" s="8">
        <v>9</v>
      </c>
      <c r="K150" s="1" t="str">
        <f t="shared" ca="1" si="10"/>
        <v>O</v>
      </c>
      <c r="L150" s="7">
        <f t="shared" ca="1" si="11"/>
        <v>0</v>
      </c>
    </row>
    <row r="151" spans="1:12" ht="15" customHeight="1" x14ac:dyDescent="0.25">
      <c r="A151" s="8">
        <v>150</v>
      </c>
      <c r="B151">
        <v>360</v>
      </c>
      <c r="C151" t="str">
        <f t="shared" ca="1" si="8"/>
        <v>2016_WAS</v>
      </c>
      <c r="D151" s="8" t="s">
        <v>157</v>
      </c>
      <c r="E151" s="8" t="s">
        <v>186</v>
      </c>
      <c r="F151" s="8"/>
      <c r="G151" s="8"/>
      <c r="H151" s="8">
        <f t="shared" ca="1" si="9"/>
        <v>42.5</v>
      </c>
      <c r="I151" s="6" t="s">
        <v>100</v>
      </c>
      <c r="J151" s="8">
        <v>30</v>
      </c>
      <c r="K151" s="1" t="str">
        <f t="shared" ca="1" si="10"/>
        <v>O</v>
      </c>
      <c r="L151" s="7">
        <f t="shared" ca="1" si="11"/>
        <v>0</v>
      </c>
    </row>
    <row r="152" spans="1:12" ht="15" customHeight="1" x14ac:dyDescent="0.25">
      <c r="A152" s="8">
        <v>151</v>
      </c>
      <c r="B152" s="8">
        <v>211</v>
      </c>
      <c r="C152" t="str">
        <f t="shared" ca="1" si="8"/>
        <v>2012_ATL</v>
      </c>
      <c r="D152" s="8" t="s">
        <v>158</v>
      </c>
      <c r="E152" s="8" t="s">
        <v>186</v>
      </c>
      <c r="F152" s="8"/>
      <c r="G152" s="8"/>
      <c r="H152" s="8">
        <f t="shared" ca="1" si="9"/>
        <v>42.5</v>
      </c>
      <c r="I152" s="1" t="s">
        <v>100</v>
      </c>
      <c r="J152" s="8" t="s">
        <v>186</v>
      </c>
      <c r="K152" s="1" t="str">
        <f t="shared" ca="1" si="10"/>
        <v>O</v>
      </c>
      <c r="L152" s="7">
        <f t="shared" ca="1" si="11"/>
        <v>0</v>
      </c>
    </row>
    <row r="153" spans="1:12" ht="15" customHeight="1" x14ac:dyDescent="0.25">
      <c r="A153" s="8">
        <v>152</v>
      </c>
      <c r="B153" s="8">
        <v>212</v>
      </c>
      <c r="C153" t="str">
        <f t="shared" ca="1" si="8"/>
        <v>2012_BOS</v>
      </c>
      <c r="D153" s="8" t="s">
        <v>158</v>
      </c>
      <c r="E153" s="8" t="s">
        <v>186</v>
      </c>
      <c r="F153" s="8"/>
      <c r="G153" s="8"/>
      <c r="H153" s="8">
        <f t="shared" ca="1" si="9"/>
        <v>51.5</v>
      </c>
      <c r="I153" s="1" t="s">
        <v>101</v>
      </c>
      <c r="J153" s="8" t="s">
        <v>186</v>
      </c>
      <c r="K153" s="1" t="str">
        <f t="shared" ca="1" si="10"/>
        <v>U</v>
      </c>
      <c r="L153" s="7">
        <f t="shared" ca="1" si="11"/>
        <v>0</v>
      </c>
    </row>
    <row r="154" spans="1:12" ht="15" customHeight="1" x14ac:dyDescent="0.25">
      <c r="A154" s="8">
        <v>153</v>
      </c>
      <c r="B154" s="8">
        <v>213</v>
      </c>
      <c r="C154" t="str">
        <f t="shared" ca="1" si="8"/>
        <v>2012_BRK</v>
      </c>
      <c r="D154" s="8" t="s">
        <v>158</v>
      </c>
      <c r="E154" s="8" t="s">
        <v>186</v>
      </c>
      <c r="F154" s="8"/>
      <c r="G154" s="8"/>
      <c r="H154" s="8">
        <f t="shared" ca="1" si="9"/>
        <v>44.5</v>
      </c>
      <c r="I154" s="1" t="s">
        <v>101</v>
      </c>
      <c r="J154" s="8" t="s">
        <v>186</v>
      </c>
      <c r="K154" s="1" t="str">
        <f t="shared" ca="1" si="10"/>
        <v>O</v>
      </c>
      <c r="L154" s="7">
        <f t="shared" ca="1" si="11"/>
        <v>1</v>
      </c>
    </row>
    <row r="155" spans="1:12" ht="15" customHeight="1" x14ac:dyDescent="0.25">
      <c r="A155" s="8">
        <v>154</v>
      </c>
      <c r="B155" s="8">
        <v>229</v>
      </c>
      <c r="C155" t="str">
        <f t="shared" ca="1" si="8"/>
        <v>2012_CHO</v>
      </c>
      <c r="D155" s="8" t="s">
        <v>158</v>
      </c>
      <c r="E155" s="8" t="s">
        <v>186</v>
      </c>
      <c r="F155" s="8"/>
      <c r="G155" s="8"/>
      <c r="H155" s="8">
        <f t="shared" ca="1" si="9"/>
        <v>26.5</v>
      </c>
      <c r="I155" s="1" t="s">
        <v>100</v>
      </c>
      <c r="J155" s="8" t="s">
        <v>186</v>
      </c>
      <c r="K155" s="1" t="str">
        <f t="shared" ca="1" si="10"/>
        <v>O</v>
      </c>
      <c r="L155" s="7">
        <f t="shared" ca="1" si="11"/>
        <v>0</v>
      </c>
    </row>
    <row r="156" spans="1:12" ht="15" customHeight="1" x14ac:dyDescent="0.25">
      <c r="A156" s="8">
        <v>155</v>
      </c>
      <c r="B156" s="8">
        <v>215</v>
      </c>
      <c r="C156" t="str">
        <f t="shared" ca="1" si="8"/>
        <v>2012_CHI</v>
      </c>
      <c r="D156" s="8" t="s">
        <v>158</v>
      </c>
      <c r="E156" s="8" t="s">
        <v>186</v>
      </c>
      <c r="F156" s="8"/>
      <c r="G156" s="8"/>
      <c r="H156" s="8">
        <f t="shared" ca="1" si="9"/>
        <v>47.5</v>
      </c>
      <c r="I156" s="1" t="s">
        <v>100</v>
      </c>
      <c r="J156" s="8" t="s">
        <v>186</v>
      </c>
      <c r="K156" s="1" t="str">
        <f t="shared" ca="1" si="10"/>
        <v>U</v>
      </c>
      <c r="L156" s="7">
        <f t="shared" ca="1" si="11"/>
        <v>1</v>
      </c>
    </row>
    <row r="157" spans="1:12" ht="15" customHeight="1" x14ac:dyDescent="0.25">
      <c r="A157" s="8">
        <v>156</v>
      </c>
      <c r="B157" s="8">
        <v>216</v>
      </c>
      <c r="C157" t="str">
        <f t="shared" ca="1" si="8"/>
        <v>2012_CLE</v>
      </c>
      <c r="D157" s="8" t="s">
        <v>158</v>
      </c>
      <c r="E157" s="8" t="s">
        <v>186</v>
      </c>
      <c r="F157" s="8"/>
      <c r="G157" s="8"/>
      <c r="H157" s="8">
        <f t="shared" ca="1" si="9"/>
        <v>31.5</v>
      </c>
      <c r="I157" s="1" t="s">
        <v>100</v>
      </c>
      <c r="J157" s="8" t="s">
        <v>186</v>
      </c>
      <c r="K157" s="1" t="str">
        <f t="shared" ca="1" si="10"/>
        <v>U</v>
      </c>
      <c r="L157" s="7">
        <f t="shared" ca="1" si="11"/>
        <v>1</v>
      </c>
    </row>
    <row r="158" spans="1:12" ht="15" customHeight="1" x14ac:dyDescent="0.25">
      <c r="A158" s="8">
        <v>157</v>
      </c>
      <c r="B158" s="8">
        <v>217</v>
      </c>
      <c r="C158" t="str">
        <f t="shared" ca="1" si="8"/>
        <v>2012_DAL</v>
      </c>
      <c r="D158" s="8" t="s">
        <v>158</v>
      </c>
      <c r="E158" s="8" t="s">
        <v>186</v>
      </c>
      <c r="F158" s="8"/>
      <c r="G158" s="8"/>
      <c r="H158" s="8">
        <f t="shared" ca="1" si="9"/>
        <v>44.5</v>
      </c>
      <c r="I158" s="1" t="s">
        <v>100</v>
      </c>
      <c r="J158" s="8" t="s">
        <v>186</v>
      </c>
      <c r="K158" s="1" t="str">
        <f t="shared" ca="1" si="10"/>
        <v>U</v>
      </c>
      <c r="L158" s="7">
        <f t="shared" ca="1" si="11"/>
        <v>1</v>
      </c>
    </row>
    <row r="159" spans="1:12" ht="15" customHeight="1" x14ac:dyDescent="0.25">
      <c r="A159" s="8">
        <v>158</v>
      </c>
      <c r="B159" s="8">
        <v>218</v>
      </c>
      <c r="C159" t="str">
        <f t="shared" ca="1" si="8"/>
        <v>2012_DEN</v>
      </c>
      <c r="D159" s="8" t="s">
        <v>158</v>
      </c>
      <c r="E159" s="8" t="s">
        <v>186</v>
      </c>
      <c r="F159" s="8"/>
      <c r="G159" s="8"/>
      <c r="H159" s="8">
        <f t="shared" ca="1" si="9"/>
        <v>49.5</v>
      </c>
      <c r="I159" s="1" t="s">
        <v>100</v>
      </c>
      <c r="J159" s="8" t="s">
        <v>186</v>
      </c>
      <c r="K159" s="1" t="str">
        <f t="shared" ca="1" si="10"/>
        <v>O</v>
      </c>
      <c r="L159" s="7">
        <f t="shared" ca="1" si="11"/>
        <v>0</v>
      </c>
    </row>
    <row r="160" spans="1:12" ht="15" customHeight="1" x14ac:dyDescent="0.25">
      <c r="A160" s="8">
        <v>159</v>
      </c>
      <c r="B160" s="8">
        <v>219</v>
      </c>
      <c r="C160" t="str">
        <f t="shared" ca="1" si="8"/>
        <v>2012_DET</v>
      </c>
      <c r="D160" s="8" t="s">
        <v>158</v>
      </c>
      <c r="E160" s="8" t="s">
        <v>186</v>
      </c>
      <c r="F160" s="8"/>
      <c r="G160" s="8"/>
      <c r="H160" s="8">
        <f t="shared" ca="1" si="9"/>
        <v>32.5</v>
      </c>
      <c r="I160" s="1" t="s">
        <v>101</v>
      </c>
      <c r="J160" s="8" t="s">
        <v>186</v>
      </c>
      <c r="K160" s="1" t="str">
        <f t="shared" ca="1" si="10"/>
        <v>U</v>
      </c>
      <c r="L160" s="7">
        <f t="shared" ca="1" si="11"/>
        <v>0</v>
      </c>
    </row>
    <row r="161" spans="1:12" ht="15" customHeight="1" x14ac:dyDescent="0.25">
      <c r="A161" s="8">
        <v>160</v>
      </c>
      <c r="B161" s="8">
        <v>220</v>
      </c>
      <c r="C161" t="str">
        <f t="shared" ca="1" si="8"/>
        <v>2012_GSW</v>
      </c>
      <c r="D161" s="8" t="s">
        <v>158</v>
      </c>
      <c r="E161" s="8" t="s">
        <v>186</v>
      </c>
      <c r="F161" s="8"/>
      <c r="G161" s="8"/>
      <c r="H161" s="8">
        <f t="shared" ca="1" si="9"/>
        <v>35.5</v>
      </c>
      <c r="I161" s="1" t="s">
        <v>101</v>
      </c>
      <c r="J161" s="8" t="s">
        <v>186</v>
      </c>
      <c r="K161" s="1" t="str">
        <f t="shared" ca="1" si="10"/>
        <v>O</v>
      </c>
      <c r="L161" s="7">
        <f t="shared" ca="1" si="11"/>
        <v>1</v>
      </c>
    </row>
    <row r="162" spans="1:12" ht="15" customHeight="1" x14ac:dyDescent="0.25">
      <c r="A162" s="8">
        <v>161</v>
      </c>
      <c r="B162" s="8">
        <v>221</v>
      </c>
      <c r="C162" t="str">
        <f t="shared" ca="1" si="8"/>
        <v>2012_HOU</v>
      </c>
      <c r="D162" s="8" t="s">
        <v>158</v>
      </c>
      <c r="E162" s="8" t="s">
        <v>186</v>
      </c>
      <c r="F162" s="8"/>
      <c r="G162" s="8"/>
      <c r="H162" s="8">
        <f t="shared" ca="1" si="9"/>
        <v>31.5</v>
      </c>
      <c r="I162" s="1" t="s">
        <v>100</v>
      </c>
      <c r="J162" s="8" t="s">
        <v>186</v>
      </c>
      <c r="K162" s="1" t="str">
        <f t="shared" ca="1" si="10"/>
        <v>O</v>
      </c>
      <c r="L162" s="7">
        <f t="shared" ca="1" si="11"/>
        <v>0</v>
      </c>
    </row>
    <row r="163" spans="1:12" ht="15" customHeight="1" x14ac:dyDescent="0.25">
      <c r="A163" s="8">
        <v>162</v>
      </c>
      <c r="B163" s="8">
        <v>222</v>
      </c>
      <c r="C163" t="str">
        <f t="shared" ca="1" si="8"/>
        <v>2012_IND</v>
      </c>
      <c r="D163" s="8" t="s">
        <v>158</v>
      </c>
      <c r="E163" s="8" t="s">
        <v>186</v>
      </c>
      <c r="F163" s="8"/>
      <c r="G163" s="8"/>
      <c r="H163" s="8">
        <f t="shared" ca="1" si="9"/>
        <v>51.5</v>
      </c>
      <c r="I163" s="1" t="s">
        <v>100</v>
      </c>
      <c r="J163" s="8" t="s">
        <v>186</v>
      </c>
      <c r="K163" s="1" t="str">
        <f t="shared" ca="1" si="10"/>
        <v>U</v>
      </c>
      <c r="L163" s="7">
        <f t="shared" ca="1" si="11"/>
        <v>1</v>
      </c>
    </row>
    <row r="164" spans="1:12" ht="15" customHeight="1" x14ac:dyDescent="0.25">
      <c r="A164" s="8">
        <v>163</v>
      </c>
      <c r="B164" s="8">
        <v>223</v>
      </c>
      <c r="C164" t="str">
        <f t="shared" ca="1" si="8"/>
        <v>2012_LAC</v>
      </c>
      <c r="D164" s="8" t="s">
        <v>158</v>
      </c>
      <c r="E164" s="8" t="s">
        <v>186</v>
      </c>
      <c r="F164" s="8"/>
      <c r="G164" s="8"/>
      <c r="H164" s="8">
        <f t="shared" ca="1" si="9"/>
        <v>49.5</v>
      </c>
      <c r="I164" s="1" t="s">
        <v>101</v>
      </c>
      <c r="J164" s="8" t="s">
        <v>186</v>
      </c>
      <c r="K164" s="1" t="str">
        <f t="shared" ca="1" si="10"/>
        <v>O</v>
      </c>
      <c r="L164" s="7">
        <f t="shared" ca="1" si="11"/>
        <v>1</v>
      </c>
    </row>
    <row r="165" spans="1:12" ht="15" customHeight="1" x14ac:dyDescent="0.25">
      <c r="A165" s="8">
        <v>164</v>
      </c>
      <c r="B165" s="8">
        <v>224</v>
      </c>
      <c r="C165" t="str">
        <f t="shared" ca="1" si="8"/>
        <v>2012_LAL</v>
      </c>
      <c r="D165" s="8" t="s">
        <v>158</v>
      </c>
      <c r="E165" s="8" t="s">
        <v>186</v>
      </c>
      <c r="F165" s="8"/>
      <c r="G165" s="8"/>
      <c r="H165" s="8">
        <f t="shared" ca="1" si="9"/>
        <v>58.5</v>
      </c>
      <c r="I165" s="1" t="s">
        <v>100</v>
      </c>
      <c r="J165" s="8" t="s">
        <v>186</v>
      </c>
      <c r="K165" s="1" t="str">
        <f t="shared" ca="1" si="10"/>
        <v>U</v>
      </c>
      <c r="L165" s="7">
        <f t="shared" ca="1" si="11"/>
        <v>1</v>
      </c>
    </row>
    <row r="166" spans="1:12" ht="15" customHeight="1" x14ac:dyDescent="0.25">
      <c r="A166" s="8">
        <v>165</v>
      </c>
      <c r="B166" s="8">
        <v>225</v>
      </c>
      <c r="C166" t="str">
        <f t="shared" ca="1" si="8"/>
        <v>2012_MEM</v>
      </c>
      <c r="D166" s="8" t="s">
        <v>158</v>
      </c>
      <c r="E166" s="8" t="s">
        <v>186</v>
      </c>
      <c r="F166" s="8"/>
      <c r="G166" s="8"/>
      <c r="H166" s="8">
        <f t="shared" ca="1" si="9"/>
        <v>48.5</v>
      </c>
      <c r="I166" s="1" t="s">
        <v>100</v>
      </c>
      <c r="J166" s="8" t="s">
        <v>186</v>
      </c>
      <c r="K166" s="1" t="str">
        <f t="shared" ca="1" si="10"/>
        <v>O</v>
      </c>
      <c r="L166" s="7">
        <f t="shared" ca="1" si="11"/>
        <v>0</v>
      </c>
    </row>
    <row r="167" spans="1:12" ht="15" customHeight="1" x14ac:dyDescent="0.25">
      <c r="A167" s="8">
        <v>166</v>
      </c>
      <c r="B167" s="8">
        <v>226</v>
      </c>
      <c r="C167" t="str">
        <f t="shared" ca="1" si="8"/>
        <v>2012_MIA</v>
      </c>
      <c r="D167" s="8" t="s">
        <v>158</v>
      </c>
      <c r="E167" s="8" t="s">
        <v>186</v>
      </c>
      <c r="F167" s="8"/>
      <c r="G167" s="8"/>
      <c r="H167" s="8">
        <f t="shared" ca="1" si="9"/>
        <v>60.5</v>
      </c>
      <c r="I167" s="1" t="s">
        <v>101</v>
      </c>
      <c r="J167" s="8" t="s">
        <v>186</v>
      </c>
      <c r="K167" s="1" t="str">
        <f t="shared" ca="1" si="10"/>
        <v>O</v>
      </c>
      <c r="L167" s="7">
        <f t="shared" ca="1" si="11"/>
        <v>1</v>
      </c>
    </row>
    <row r="168" spans="1:12" ht="15" customHeight="1" x14ac:dyDescent="0.25">
      <c r="A168" s="8">
        <v>167</v>
      </c>
      <c r="B168" s="8">
        <v>227</v>
      </c>
      <c r="C168" t="str">
        <f t="shared" ca="1" si="8"/>
        <v>2012_MIL</v>
      </c>
      <c r="D168" s="8" t="s">
        <v>158</v>
      </c>
      <c r="E168" s="8" t="s">
        <v>186</v>
      </c>
      <c r="F168" s="8"/>
      <c r="G168" s="8"/>
      <c r="H168" s="8">
        <f t="shared" ca="1" si="9"/>
        <v>36.5</v>
      </c>
      <c r="I168" s="1" t="s">
        <v>100</v>
      </c>
      <c r="J168" s="8" t="s">
        <v>186</v>
      </c>
      <c r="K168" s="1" t="str">
        <f t="shared" ca="1" si="10"/>
        <v>O</v>
      </c>
      <c r="L168" s="7">
        <f t="shared" ca="1" si="11"/>
        <v>0</v>
      </c>
    </row>
    <row r="169" spans="1:12" ht="15" customHeight="1" x14ac:dyDescent="0.25">
      <c r="A169" s="8">
        <v>168</v>
      </c>
      <c r="B169" s="8">
        <v>228</v>
      </c>
      <c r="C169" t="str">
        <f t="shared" ca="1" si="8"/>
        <v>2012_MIN</v>
      </c>
      <c r="D169" s="8" t="s">
        <v>158</v>
      </c>
      <c r="E169" s="8" t="s">
        <v>186</v>
      </c>
      <c r="F169" s="8"/>
      <c r="G169" s="8"/>
      <c r="H169" s="8">
        <f t="shared" ca="1" si="9"/>
        <v>39.5</v>
      </c>
      <c r="I169" s="1" t="s">
        <v>101</v>
      </c>
      <c r="J169" s="8" t="s">
        <v>186</v>
      </c>
      <c r="K169" s="1" t="str">
        <f t="shared" ca="1" si="10"/>
        <v>U</v>
      </c>
      <c r="L169" s="7">
        <f t="shared" ca="1" si="11"/>
        <v>0</v>
      </c>
    </row>
    <row r="170" spans="1:12" ht="15" customHeight="1" x14ac:dyDescent="0.25">
      <c r="A170" s="8">
        <v>169</v>
      </c>
      <c r="B170" s="8">
        <v>214</v>
      </c>
      <c r="C170" t="str">
        <f t="shared" ca="1" si="8"/>
        <v>2012_NOP</v>
      </c>
      <c r="D170" s="8" t="s">
        <v>158</v>
      </c>
      <c r="E170" s="8" t="s">
        <v>186</v>
      </c>
      <c r="F170" s="8"/>
      <c r="G170" s="8"/>
      <c r="H170" s="8">
        <f t="shared" ca="1" si="9"/>
        <v>19.5</v>
      </c>
      <c r="I170" s="1" t="s">
        <v>101</v>
      </c>
      <c r="J170" s="8" t="s">
        <v>186</v>
      </c>
      <c r="K170" s="1" t="str">
        <f t="shared" ca="1" si="10"/>
        <v>O</v>
      </c>
      <c r="L170" s="7">
        <f t="shared" ca="1" si="11"/>
        <v>1</v>
      </c>
    </row>
    <row r="171" spans="1:12" ht="15" customHeight="1" x14ac:dyDescent="0.25">
      <c r="A171" s="8">
        <v>170</v>
      </c>
      <c r="B171" s="8">
        <v>230</v>
      </c>
      <c r="C171" t="str">
        <f t="shared" ca="1" si="8"/>
        <v>2012_NYK</v>
      </c>
      <c r="D171" s="8" t="s">
        <v>158</v>
      </c>
      <c r="E171" s="8" t="s">
        <v>186</v>
      </c>
      <c r="F171" s="8"/>
      <c r="G171" s="8"/>
      <c r="H171" s="8">
        <f t="shared" ca="1" si="9"/>
        <v>46.5</v>
      </c>
      <c r="I171" s="1" t="s">
        <v>101</v>
      </c>
      <c r="J171" s="8" t="s">
        <v>186</v>
      </c>
      <c r="K171" s="1" t="str">
        <f t="shared" ca="1" si="10"/>
        <v>O</v>
      </c>
      <c r="L171" s="7">
        <f t="shared" ca="1" si="11"/>
        <v>1</v>
      </c>
    </row>
    <row r="172" spans="1:12" ht="15" customHeight="1" x14ac:dyDescent="0.25">
      <c r="A172" s="8">
        <v>171</v>
      </c>
      <c r="B172" s="8">
        <v>231</v>
      </c>
      <c r="C172" t="str">
        <f t="shared" ca="1" si="8"/>
        <v>2012_OKC</v>
      </c>
      <c r="D172" s="8" t="s">
        <v>158</v>
      </c>
      <c r="E172" s="8" t="s">
        <v>186</v>
      </c>
      <c r="F172" s="8"/>
      <c r="G172" s="8"/>
      <c r="H172" s="8">
        <f t="shared" ca="1" si="9"/>
        <v>60.5</v>
      </c>
      <c r="I172" s="1" t="s">
        <v>101</v>
      </c>
      <c r="J172" s="8" t="s">
        <v>186</v>
      </c>
      <c r="K172" s="1" t="str">
        <f t="shared" ca="1" si="10"/>
        <v>U</v>
      </c>
      <c r="L172" s="7">
        <f t="shared" ca="1" si="11"/>
        <v>0</v>
      </c>
    </row>
    <row r="173" spans="1:12" ht="15" customHeight="1" x14ac:dyDescent="0.25">
      <c r="A173" s="8">
        <v>172</v>
      </c>
      <c r="B173" s="8">
        <v>232</v>
      </c>
      <c r="C173" t="str">
        <f t="shared" ca="1" si="8"/>
        <v>2012_ORL</v>
      </c>
      <c r="D173" s="8" t="s">
        <v>158</v>
      </c>
      <c r="E173" s="8" t="s">
        <v>186</v>
      </c>
      <c r="F173" s="8"/>
      <c r="G173" s="8"/>
      <c r="H173" s="8">
        <f t="shared" ca="1" si="9"/>
        <v>23.5</v>
      </c>
      <c r="I173" s="1" t="s">
        <v>100</v>
      </c>
      <c r="J173" s="8" t="s">
        <v>186</v>
      </c>
      <c r="K173" s="1" t="str">
        <f t="shared" ca="1" si="10"/>
        <v>U</v>
      </c>
      <c r="L173" s="7">
        <f t="shared" ca="1" si="11"/>
        <v>1</v>
      </c>
    </row>
    <row r="174" spans="1:12" ht="15" customHeight="1" x14ac:dyDescent="0.25">
      <c r="A174" s="8">
        <v>173</v>
      </c>
      <c r="B174" s="8">
        <v>233</v>
      </c>
      <c r="C174" t="str">
        <f t="shared" ca="1" si="8"/>
        <v>2012_PHI</v>
      </c>
      <c r="D174" s="8" t="s">
        <v>158</v>
      </c>
      <c r="E174" s="8" t="s">
        <v>186</v>
      </c>
      <c r="F174" s="8"/>
      <c r="G174" s="8"/>
      <c r="H174" s="8">
        <f t="shared" ca="1" si="9"/>
        <v>47.5</v>
      </c>
      <c r="I174" s="1" t="s">
        <v>100</v>
      </c>
      <c r="J174" s="8" t="s">
        <v>186</v>
      </c>
      <c r="K174" s="1" t="str">
        <f t="shared" ca="1" si="10"/>
        <v>U</v>
      </c>
      <c r="L174" s="7">
        <f t="shared" ca="1" si="11"/>
        <v>1</v>
      </c>
    </row>
    <row r="175" spans="1:12" ht="15" customHeight="1" x14ac:dyDescent="0.25">
      <c r="A175" s="8">
        <v>174</v>
      </c>
      <c r="B175" s="8">
        <v>234</v>
      </c>
      <c r="C175" t="str">
        <f t="shared" ca="1" si="8"/>
        <v>2012_PHO</v>
      </c>
      <c r="D175" s="8" t="s">
        <v>158</v>
      </c>
      <c r="E175" s="8" t="s">
        <v>186</v>
      </c>
      <c r="F175" s="8"/>
      <c r="G175" s="8"/>
      <c r="H175" s="8">
        <f t="shared" ca="1" si="9"/>
        <v>33.5</v>
      </c>
      <c r="I175" s="1" t="s">
        <v>101</v>
      </c>
      <c r="J175" s="8" t="s">
        <v>186</v>
      </c>
      <c r="K175" s="1" t="str">
        <f t="shared" ca="1" si="10"/>
        <v>U</v>
      </c>
      <c r="L175" s="7">
        <f t="shared" ca="1" si="11"/>
        <v>0</v>
      </c>
    </row>
    <row r="176" spans="1:12" ht="15" customHeight="1" x14ac:dyDescent="0.25">
      <c r="A176" s="8">
        <v>175</v>
      </c>
      <c r="B176" s="8">
        <v>235</v>
      </c>
      <c r="C176" t="str">
        <f t="shared" ca="1" si="8"/>
        <v>2012_POR</v>
      </c>
      <c r="D176" s="8" t="s">
        <v>158</v>
      </c>
      <c r="E176" s="8" t="s">
        <v>186</v>
      </c>
      <c r="F176" s="8"/>
      <c r="G176" s="8"/>
      <c r="H176" s="8">
        <f t="shared" ca="1" si="9"/>
        <v>34.5</v>
      </c>
      <c r="I176" s="1" t="s">
        <v>101</v>
      </c>
      <c r="J176" s="8" t="s">
        <v>186</v>
      </c>
      <c r="K176" s="1" t="str">
        <f t="shared" ca="1" si="10"/>
        <v>U</v>
      </c>
      <c r="L176" s="7">
        <f t="shared" ca="1" si="11"/>
        <v>0</v>
      </c>
    </row>
    <row r="177" spans="1:12" ht="15" customHeight="1" x14ac:dyDescent="0.25">
      <c r="A177" s="8">
        <v>176</v>
      </c>
      <c r="B177" s="8">
        <v>236</v>
      </c>
      <c r="C177" t="str">
        <f t="shared" ca="1" si="8"/>
        <v>2012_SAC</v>
      </c>
      <c r="D177" s="8" t="s">
        <v>158</v>
      </c>
      <c r="E177" s="8" t="s">
        <v>186</v>
      </c>
      <c r="F177" s="8"/>
      <c r="G177" s="8"/>
      <c r="H177" s="8">
        <f t="shared" ca="1" si="9"/>
        <v>29.5</v>
      </c>
      <c r="I177" s="1" t="s">
        <v>100</v>
      </c>
      <c r="J177" s="8" t="s">
        <v>186</v>
      </c>
      <c r="K177" s="1" t="str">
        <f t="shared" ca="1" si="10"/>
        <v>U</v>
      </c>
      <c r="L177" s="7">
        <f t="shared" ca="1" si="11"/>
        <v>1</v>
      </c>
    </row>
    <row r="178" spans="1:12" ht="15" customHeight="1" x14ac:dyDescent="0.25">
      <c r="A178" s="8">
        <v>177</v>
      </c>
      <c r="B178" s="8">
        <v>237</v>
      </c>
      <c r="C178" t="str">
        <f t="shared" ca="1" si="8"/>
        <v>2012_SAS</v>
      </c>
      <c r="D178" s="8" t="s">
        <v>158</v>
      </c>
      <c r="E178" s="8" t="s">
        <v>186</v>
      </c>
      <c r="F178" s="8"/>
      <c r="G178" s="8"/>
      <c r="H178" s="8">
        <f t="shared" ca="1" si="9"/>
        <v>54.5</v>
      </c>
      <c r="I178" s="1" t="s">
        <v>101</v>
      </c>
      <c r="J178" s="8" t="s">
        <v>186</v>
      </c>
      <c r="K178" s="1" t="str">
        <f t="shared" ca="1" si="10"/>
        <v>O</v>
      </c>
      <c r="L178" s="7">
        <f t="shared" ca="1" si="11"/>
        <v>1</v>
      </c>
    </row>
    <row r="179" spans="1:12" ht="15" customHeight="1" x14ac:dyDescent="0.25">
      <c r="A179" s="8">
        <v>178</v>
      </c>
      <c r="B179" s="8">
        <v>238</v>
      </c>
      <c r="C179" t="str">
        <f t="shared" ca="1" si="8"/>
        <v>2012_TOR</v>
      </c>
      <c r="D179" s="8" t="s">
        <v>158</v>
      </c>
      <c r="E179" s="8" t="s">
        <v>186</v>
      </c>
      <c r="F179" s="8"/>
      <c r="G179" s="8"/>
      <c r="H179" s="8">
        <f t="shared" ca="1" si="9"/>
        <v>32.5</v>
      </c>
      <c r="I179" s="1" t="s">
        <v>101</v>
      </c>
      <c r="J179" s="8" t="s">
        <v>186</v>
      </c>
      <c r="K179" s="1" t="str">
        <f t="shared" ca="1" si="10"/>
        <v>O</v>
      </c>
      <c r="L179" s="7">
        <f t="shared" ca="1" si="11"/>
        <v>1</v>
      </c>
    </row>
    <row r="180" spans="1:12" ht="15" customHeight="1" x14ac:dyDescent="0.25">
      <c r="A180" s="8">
        <v>179</v>
      </c>
      <c r="B180" s="8">
        <v>239</v>
      </c>
      <c r="C180" t="str">
        <f t="shared" ca="1" si="8"/>
        <v>2012_UTA</v>
      </c>
      <c r="D180" s="8" t="s">
        <v>158</v>
      </c>
      <c r="E180" s="8" t="s">
        <v>186</v>
      </c>
      <c r="F180" s="8"/>
      <c r="G180" s="8"/>
      <c r="H180" s="8">
        <f t="shared" ca="1" si="9"/>
        <v>42.5</v>
      </c>
      <c r="I180" s="1" t="s">
        <v>101</v>
      </c>
      <c r="J180" s="8" t="s">
        <v>186</v>
      </c>
      <c r="K180" s="1" t="str">
        <f t="shared" ca="1" si="10"/>
        <v>O</v>
      </c>
      <c r="L180" s="7">
        <f t="shared" ca="1" si="11"/>
        <v>1</v>
      </c>
    </row>
    <row r="181" spans="1:12" ht="15" customHeight="1" x14ac:dyDescent="0.25">
      <c r="A181" s="8">
        <v>180</v>
      </c>
      <c r="B181" s="8">
        <v>240</v>
      </c>
      <c r="C181" t="str">
        <f t="shared" ca="1" si="8"/>
        <v>2012_WAS</v>
      </c>
      <c r="D181" s="8" t="s">
        <v>158</v>
      </c>
      <c r="E181" s="8" t="s">
        <v>186</v>
      </c>
      <c r="F181" s="8"/>
      <c r="G181" s="8"/>
      <c r="H181" s="8">
        <f t="shared" ca="1" si="9"/>
        <v>27.5</v>
      </c>
      <c r="I181" s="1" t="s">
        <v>100</v>
      </c>
      <c r="J181" s="8" t="s">
        <v>186</v>
      </c>
      <c r="K181" s="1" t="str">
        <f t="shared" ca="1" si="10"/>
        <v>O</v>
      </c>
      <c r="L181" s="7">
        <f t="shared" ca="1" si="11"/>
        <v>0</v>
      </c>
    </row>
    <row r="182" spans="1:12" ht="15" customHeight="1" x14ac:dyDescent="0.25">
      <c r="A182" s="8">
        <v>181</v>
      </c>
      <c r="B182" s="8">
        <v>241</v>
      </c>
      <c r="C182" t="str">
        <f t="shared" ca="1" si="8"/>
        <v>2013_ATL</v>
      </c>
      <c r="D182" s="8" t="s">
        <v>158</v>
      </c>
      <c r="E182" s="8" t="s">
        <v>186</v>
      </c>
      <c r="F182" s="8"/>
      <c r="G182" s="8"/>
      <c r="H182" s="8">
        <f t="shared" ca="1" si="9"/>
        <v>39.5</v>
      </c>
      <c r="I182" s="1" t="s">
        <v>100</v>
      </c>
      <c r="J182" s="8" t="s">
        <v>186</v>
      </c>
      <c r="K182" s="1" t="str">
        <f t="shared" ca="1" si="10"/>
        <v>U</v>
      </c>
      <c r="L182" s="7">
        <f t="shared" ca="1" si="11"/>
        <v>1</v>
      </c>
    </row>
    <row r="183" spans="1:12" ht="15" customHeight="1" x14ac:dyDescent="0.25">
      <c r="A183" s="8">
        <v>182</v>
      </c>
      <c r="B183" s="8">
        <v>242</v>
      </c>
      <c r="C183" t="str">
        <f t="shared" ca="1" si="8"/>
        <v>2013_BOS</v>
      </c>
      <c r="D183" s="8" t="s">
        <v>158</v>
      </c>
      <c r="E183" s="8" t="s">
        <v>186</v>
      </c>
      <c r="F183" s="8"/>
      <c r="G183" s="8"/>
      <c r="H183" s="8">
        <f t="shared" ca="1" si="9"/>
        <v>28.5</v>
      </c>
      <c r="I183" s="1" t="s">
        <v>100</v>
      </c>
      <c r="J183" s="8" t="s">
        <v>186</v>
      </c>
      <c r="K183" s="1" t="str">
        <f t="shared" ca="1" si="10"/>
        <v>U</v>
      </c>
      <c r="L183" s="7">
        <f t="shared" ca="1" si="11"/>
        <v>1</v>
      </c>
    </row>
    <row r="184" spans="1:12" ht="15" customHeight="1" x14ac:dyDescent="0.25">
      <c r="A184" s="8">
        <v>183</v>
      </c>
      <c r="B184" s="8">
        <v>243</v>
      </c>
      <c r="C184" t="str">
        <f t="shared" ca="1" si="8"/>
        <v>2013_BRK</v>
      </c>
      <c r="D184" s="8" t="s">
        <v>158</v>
      </c>
      <c r="E184" s="8" t="s">
        <v>186</v>
      </c>
      <c r="F184" s="8"/>
      <c r="G184" s="8"/>
      <c r="H184" s="8">
        <f t="shared" ca="1" si="9"/>
        <v>52.5</v>
      </c>
      <c r="I184" s="1" t="s">
        <v>101</v>
      </c>
      <c r="J184" s="8" t="s">
        <v>186</v>
      </c>
      <c r="K184" s="1" t="str">
        <f t="shared" ca="1" si="10"/>
        <v>U</v>
      </c>
      <c r="L184" s="7">
        <f t="shared" ca="1" si="11"/>
        <v>0</v>
      </c>
    </row>
    <row r="185" spans="1:12" ht="15" customHeight="1" x14ac:dyDescent="0.25">
      <c r="A185" s="8">
        <v>184</v>
      </c>
      <c r="B185" s="8">
        <v>244</v>
      </c>
      <c r="C185" t="str">
        <f t="shared" ca="1" si="8"/>
        <v>2013_CHO</v>
      </c>
      <c r="D185" s="8" t="s">
        <v>158</v>
      </c>
      <c r="E185" s="8" t="s">
        <v>186</v>
      </c>
      <c r="F185" s="8"/>
      <c r="G185" s="8"/>
      <c r="H185" s="8">
        <f t="shared" ca="1" si="9"/>
        <v>26</v>
      </c>
      <c r="I185" s="1" t="s">
        <v>101</v>
      </c>
      <c r="J185" s="8" t="s">
        <v>186</v>
      </c>
      <c r="K185" s="1" t="str">
        <f t="shared" ca="1" si="10"/>
        <v>O</v>
      </c>
      <c r="L185" s="7">
        <f t="shared" ca="1" si="11"/>
        <v>1</v>
      </c>
    </row>
    <row r="186" spans="1:12" ht="15" customHeight="1" x14ac:dyDescent="0.25">
      <c r="A186" s="8">
        <v>185</v>
      </c>
      <c r="B186" s="8">
        <v>245</v>
      </c>
      <c r="C186" t="str">
        <f t="shared" ca="1" si="8"/>
        <v>2013_CHI</v>
      </c>
      <c r="D186" s="8" t="s">
        <v>158</v>
      </c>
      <c r="E186" s="8" t="s">
        <v>186</v>
      </c>
      <c r="F186" s="8"/>
      <c r="G186" s="8"/>
      <c r="H186" s="8">
        <f t="shared" ca="1" si="9"/>
        <v>56.5</v>
      </c>
      <c r="I186" s="1" t="s">
        <v>101</v>
      </c>
      <c r="J186" s="8" t="s">
        <v>186</v>
      </c>
      <c r="K186" s="1" t="str">
        <f t="shared" ca="1" si="10"/>
        <v>U</v>
      </c>
      <c r="L186" s="7">
        <f t="shared" ca="1" si="11"/>
        <v>0</v>
      </c>
    </row>
    <row r="187" spans="1:12" ht="15" customHeight="1" x14ac:dyDescent="0.25">
      <c r="A187" s="8">
        <v>186</v>
      </c>
      <c r="B187" s="8">
        <v>246</v>
      </c>
      <c r="C187" t="str">
        <f t="shared" ca="1" si="8"/>
        <v>2013_CLE</v>
      </c>
      <c r="D187" s="8" t="s">
        <v>158</v>
      </c>
      <c r="E187" s="8" t="s">
        <v>186</v>
      </c>
      <c r="F187" s="8"/>
      <c r="G187" s="8"/>
      <c r="H187" s="8">
        <f t="shared" ca="1" si="9"/>
        <v>40.5</v>
      </c>
      <c r="I187" s="1" t="s">
        <v>100</v>
      </c>
      <c r="J187" s="8" t="s">
        <v>186</v>
      </c>
      <c r="K187" s="1" t="str">
        <f t="shared" ca="1" si="10"/>
        <v>U</v>
      </c>
      <c r="L187" s="7">
        <f t="shared" ca="1" si="11"/>
        <v>1</v>
      </c>
    </row>
    <row r="188" spans="1:12" ht="15" customHeight="1" x14ac:dyDescent="0.25">
      <c r="A188" s="8">
        <v>187</v>
      </c>
      <c r="B188" s="8">
        <v>247</v>
      </c>
      <c r="C188" t="str">
        <f t="shared" ca="1" si="8"/>
        <v>2013_DAL</v>
      </c>
      <c r="D188" s="8" t="s">
        <v>158</v>
      </c>
      <c r="E188" s="8" t="s">
        <v>186</v>
      </c>
      <c r="F188" s="8"/>
      <c r="G188" s="8"/>
      <c r="H188" s="8">
        <f t="shared" ca="1" si="9"/>
        <v>43.5</v>
      </c>
      <c r="I188" s="1" t="s">
        <v>100</v>
      </c>
      <c r="J188" s="8" t="s">
        <v>186</v>
      </c>
      <c r="K188" s="1" t="str">
        <f t="shared" ca="1" si="10"/>
        <v>O</v>
      </c>
      <c r="L188" s="7">
        <f t="shared" ca="1" si="11"/>
        <v>0</v>
      </c>
    </row>
    <row r="189" spans="1:12" ht="15" customHeight="1" x14ac:dyDescent="0.25">
      <c r="A189" s="8">
        <v>188</v>
      </c>
      <c r="B189" s="8">
        <v>248</v>
      </c>
      <c r="C189" t="str">
        <f t="shared" ca="1" si="8"/>
        <v>2013_DEN</v>
      </c>
      <c r="D189" s="8" t="s">
        <v>158</v>
      </c>
      <c r="E189" s="8" t="s">
        <v>186</v>
      </c>
      <c r="F189" s="8"/>
      <c r="G189" s="8"/>
      <c r="H189" s="8">
        <f t="shared" ca="1" si="9"/>
        <v>46.5</v>
      </c>
      <c r="I189" s="1" t="s">
        <v>100</v>
      </c>
      <c r="J189" s="8" t="s">
        <v>186</v>
      </c>
      <c r="K189" s="1" t="str">
        <f t="shared" ca="1" si="10"/>
        <v>U</v>
      </c>
      <c r="L189" s="7">
        <f t="shared" ca="1" si="11"/>
        <v>1</v>
      </c>
    </row>
    <row r="190" spans="1:12" ht="15" customHeight="1" x14ac:dyDescent="0.25">
      <c r="A190" s="8">
        <v>189</v>
      </c>
      <c r="B190" s="8">
        <v>249</v>
      </c>
      <c r="C190" t="str">
        <f t="shared" ca="1" si="8"/>
        <v>2013_DET</v>
      </c>
      <c r="D190" s="8" t="s">
        <v>158</v>
      </c>
      <c r="E190" s="8" t="s">
        <v>186</v>
      </c>
      <c r="F190" s="8"/>
      <c r="G190" s="8"/>
      <c r="H190" s="8">
        <f t="shared" ca="1" si="9"/>
        <v>40.5</v>
      </c>
      <c r="I190" s="1" t="s">
        <v>101</v>
      </c>
      <c r="J190" s="8" t="s">
        <v>186</v>
      </c>
      <c r="K190" s="1" t="str">
        <f t="shared" ca="1" si="10"/>
        <v>U</v>
      </c>
      <c r="L190" s="7">
        <f t="shared" ca="1" si="11"/>
        <v>0</v>
      </c>
    </row>
    <row r="191" spans="1:12" ht="15" customHeight="1" x14ac:dyDescent="0.25">
      <c r="A191" s="8">
        <v>190</v>
      </c>
      <c r="B191" s="8">
        <v>250</v>
      </c>
      <c r="C191" t="str">
        <f t="shared" ca="1" si="8"/>
        <v>2013_GSW</v>
      </c>
      <c r="D191" s="8" t="s">
        <v>158</v>
      </c>
      <c r="E191" s="8" t="s">
        <v>186</v>
      </c>
      <c r="F191" s="8"/>
      <c r="G191" s="8"/>
      <c r="H191" s="8">
        <f t="shared" ca="1" si="9"/>
        <v>51</v>
      </c>
      <c r="I191" s="1" t="s">
        <v>100</v>
      </c>
      <c r="J191" s="8" t="s">
        <v>186</v>
      </c>
      <c r="K191" s="1" t="str">
        <f t="shared" ca="1" si="10"/>
        <v>E</v>
      </c>
      <c r="L191" s="7">
        <f t="shared" ca="1" si="11"/>
        <v>0</v>
      </c>
    </row>
    <row r="192" spans="1:12" ht="15" customHeight="1" x14ac:dyDescent="0.25">
      <c r="A192" s="8">
        <v>191</v>
      </c>
      <c r="B192" s="8">
        <v>251</v>
      </c>
      <c r="C192" t="str">
        <f t="shared" ca="1" si="8"/>
        <v>2013_HOU</v>
      </c>
      <c r="D192" s="8" t="s">
        <v>158</v>
      </c>
      <c r="E192" s="8" t="s">
        <v>186</v>
      </c>
      <c r="F192" s="8"/>
      <c r="G192" s="8"/>
      <c r="H192" s="8">
        <f t="shared" ca="1" si="9"/>
        <v>54.5</v>
      </c>
      <c r="I192" s="1" t="s">
        <v>100</v>
      </c>
      <c r="J192" s="8" t="s">
        <v>186</v>
      </c>
      <c r="K192" s="1" t="str">
        <f t="shared" ca="1" si="10"/>
        <v>U</v>
      </c>
      <c r="L192" s="7">
        <f t="shared" ca="1" si="11"/>
        <v>1</v>
      </c>
    </row>
    <row r="193" spans="1:12" ht="15" customHeight="1" x14ac:dyDescent="0.25">
      <c r="A193" s="8">
        <v>192</v>
      </c>
      <c r="B193" s="8">
        <v>252</v>
      </c>
      <c r="C193" t="str">
        <f t="shared" ca="1" si="8"/>
        <v>2013_IND</v>
      </c>
      <c r="D193" s="8" t="s">
        <v>158</v>
      </c>
      <c r="E193" s="8" t="s">
        <v>186</v>
      </c>
      <c r="F193" s="8"/>
      <c r="G193" s="8"/>
      <c r="H193" s="8">
        <f t="shared" ca="1" si="9"/>
        <v>54.5</v>
      </c>
      <c r="I193" s="1" t="s">
        <v>101</v>
      </c>
      <c r="J193" s="8" t="s">
        <v>186</v>
      </c>
      <c r="K193" s="1" t="str">
        <f t="shared" ca="1" si="10"/>
        <v>O</v>
      </c>
      <c r="L193" s="7">
        <f t="shared" ca="1" si="11"/>
        <v>1</v>
      </c>
    </row>
    <row r="194" spans="1:12" ht="15" customHeight="1" x14ac:dyDescent="0.25">
      <c r="A194" s="8">
        <v>193</v>
      </c>
      <c r="B194" s="8">
        <v>253</v>
      </c>
      <c r="C194" t="str">
        <f t="shared" ref="C194:C257" ca="1" si="12">IFERROR(VLOOKUP($B194,nba_win_total_results,MATCH(C$1,nba_win_total_results_header,0),FALSE),"error")</f>
        <v>2013_LAC</v>
      </c>
      <c r="D194" s="8" t="s">
        <v>158</v>
      </c>
      <c r="E194" s="8" t="s">
        <v>186</v>
      </c>
      <c r="F194" s="8"/>
      <c r="G194" s="8"/>
      <c r="H194" s="8">
        <f t="shared" ref="H194:H257" ca="1" si="13">IFERROR(VLOOKUP($B194,nba_win_total_results,MATCH(H$1,nba_win_total_results_header,0),FALSE),"error")</f>
        <v>57.5</v>
      </c>
      <c r="I194" s="1" t="s">
        <v>101</v>
      </c>
      <c r="J194" s="8" t="s">
        <v>186</v>
      </c>
      <c r="K194" s="1" t="str">
        <f t="shared" ref="K194:K257" ca="1" si="14">IFERROR(IF(VLOOKUP($B194,nba_win_total_results,MATCH(K$1,nba_win_total_results_header,0),FALSE)="","",VLOOKUP($B194,nba_win_total_results,MATCH(K$1,nba_win_total_results_header,0),FALSE)),"error")</f>
        <v>U</v>
      </c>
      <c r="L194" s="7">
        <f t="shared" ref="L194:L257" ca="1" si="15">IFERROR(IF(OR(ISBLANK(I194),ISBLANK(K194),I194="",K194=""),"",IF(I194=K194,1,0)),"error")</f>
        <v>0</v>
      </c>
    </row>
    <row r="195" spans="1:12" ht="15" customHeight="1" x14ac:dyDescent="0.25">
      <c r="A195" s="8">
        <v>194</v>
      </c>
      <c r="B195" s="8">
        <v>254</v>
      </c>
      <c r="C195" t="str">
        <f t="shared" ca="1" si="12"/>
        <v>2013_LAL</v>
      </c>
      <c r="D195" s="8" t="s">
        <v>158</v>
      </c>
      <c r="E195" s="8" t="s">
        <v>186</v>
      </c>
      <c r="F195" s="8"/>
      <c r="G195" s="8"/>
      <c r="H195" s="8">
        <f t="shared" ca="1" si="13"/>
        <v>36.5</v>
      </c>
      <c r="I195" s="1" t="s">
        <v>100</v>
      </c>
      <c r="J195" s="8" t="s">
        <v>186</v>
      </c>
      <c r="K195" s="1" t="str">
        <f t="shared" ca="1" si="14"/>
        <v>U</v>
      </c>
      <c r="L195" s="7">
        <f t="shared" ca="1" si="15"/>
        <v>1</v>
      </c>
    </row>
    <row r="196" spans="1:12" ht="15" customHeight="1" x14ac:dyDescent="0.25">
      <c r="A196" s="8">
        <v>195</v>
      </c>
      <c r="B196" s="8">
        <v>255</v>
      </c>
      <c r="C196" t="str">
        <f t="shared" ca="1" si="12"/>
        <v>2013_MEM</v>
      </c>
      <c r="D196" s="8" t="s">
        <v>158</v>
      </c>
      <c r="E196" s="8" t="s">
        <v>186</v>
      </c>
      <c r="F196" s="8"/>
      <c r="G196" s="8"/>
      <c r="H196" s="8">
        <f t="shared" ca="1" si="13"/>
        <v>50.5</v>
      </c>
      <c r="I196" s="1" t="s">
        <v>101</v>
      </c>
      <c r="J196" s="8" t="s">
        <v>186</v>
      </c>
      <c r="K196" s="1" t="str">
        <f t="shared" ca="1" si="14"/>
        <v>U</v>
      </c>
      <c r="L196" s="7">
        <f t="shared" ca="1" si="15"/>
        <v>0</v>
      </c>
    </row>
    <row r="197" spans="1:12" ht="15" customHeight="1" x14ac:dyDescent="0.25">
      <c r="A197" s="8">
        <v>196</v>
      </c>
      <c r="B197" s="8">
        <v>256</v>
      </c>
      <c r="C197" t="str">
        <f t="shared" ca="1" si="12"/>
        <v>2013_MIA</v>
      </c>
      <c r="D197" s="8" t="s">
        <v>158</v>
      </c>
      <c r="E197" s="8" t="s">
        <v>186</v>
      </c>
      <c r="F197" s="8"/>
      <c r="G197" s="8"/>
      <c r="H197" s="8">
        <f t="shared" ca="1" si="13"/>
        <v>61.5</v>
      </c>
      <c r="I197" s="1" t="s">
        <v>100</v>
      </c>
      <c r="J197" s="8" t="s">
        <v>186</v>
      </c>
      <c r="K197" s="1" t="str">
        <f t="shared" ca="1" si="14"/>
        <v>U</v>
      </c>
      <c r="L197" s="7">
        <f t="shared" ca="1" si="15"/>
        <v>1</v>
      </c>
    </row>
    <row r="198" spans="1:12" ht="15" customHeight="1" x14ac:dyDescent="0.25">
      <c r="A198" s="8">
        <v>197</v>
      </c>
      <c r="B198" s="8">
        <v>257</v>
      </c>
      <c r="C198" t="str">
        <f t="shared" ca="1" si="12"/>
        <v>2013_MIL</v>
      </c>
      <c r="D198" s="8" t="s">
        <v>158</v>
      </c>
      <c r="E198" s="8" t="s">
        <v>186</v>
      </c>
      <c r="F198" s="8"/>
      <c r="G198" s="8"/>
      <c r="H198" s="8">
        <f t="shared" ca="1" si="13"/>
        <v>28.5</v>
      </c>
      <c r="I198" s="1" t="s">
        <v>101</v>
      </c>
      <c r="J198" s="8" t="s">
        <v>186</v>
      </c>
      <c r="K198" s="1" t="str">
        <f t="shared" ca="1" si="14"/>
        <v>U</v>
      </c>
      <c r="L198" s="7">
        <f t="shared" ca="1" si="15"/>
        <v>0</v>
      </c>
    </row>
    <row r="199" spans="1:12" ht="15" customHeight="1" x14ac:dyDescent="0.25">
      <c r="A199" s="8">
        <v>198</v>
      </c>
      <c r="B199" s="8">
        <v>258</v>
      </c>
      <c r="C199" t="str">
        <f t="shared" ca="1" si="12"/>
        <v>2013_MIN</v>
      </c>
      <c r="D199" s="8" t="s">
        <v>158</v>
      </c>
      <c r="E199" s="8" t="s">
        <v>186</v>
      </c>
      <c r="F199" s="8"/>
      <c r="G199" s="8"/>
      <c r="H199" s="8">
        <f t="shared" ca="1" si="13"/>
        <v>40.5</v>
      </c>
      <c r="I199" s="1" t="s">
        <v>101</v>
      </c>
      <c r="J199" s="8" t="s">
        <v>186</v>
      </c>
      <c r="K199" s="1" t="str">
        <f t="shared" ca="1" si="14"/>
        <v>U</v>
      </c>
      <c r="L199" s="7">
        <f t="shared" ca="1" si="15"/>
        <v>0</v>
      </c>
    </row>
    <row r="200" spans="1:12" ht="15" customHeight="1" x14ac:dyDescent="0.25">
      <c r="A200" s="8">
        <v>199</v>
      </c>
      <c r="B200" s="8">
        <v>259</v>
      </c>
      <c r="C200" t="str">
        <f t="shared" ca="1" si="12"/>
        <v>2013_NOP</v>
      </c>
      <c r="D200" s="8" t="s">
        <v>158</v>
      </c>
      <c r="E200" s="8" t="s">
        <v>186</v>
      </c>
      <c r="F200" s="8"/>
      <c r="G200" s="8"/>
      <c r="H200" s="8">
        <f t="shared" ca="1" si="13"/>
        <v>39</v>
      </c>
      <c r="I200" s="1" t="s">
        <v>100</v>
      </c>
      <c r="J200" s="8" t="s">
        <v>186</v>
      </c>
      <c r="K200" s="1" t="str">
        <f t="shared" ca="1" si="14"/>
        <v>U</v>
      </c>
      <c r="L200" s="7">
        <f t="shared" ca="1" si="15"/>
        <v>1</v>
      </c>
    </row>
    <row r="201" spans="1:12" ht="15" customHeight="1" x14ac:dyDescent="0.25">
      <c r="A201" s="8">
        <v>200</v>
      </c>
      <c r="B201" s="8">
        <v>260</v>
      </c>
      <c r="C201" t="str">
        <f t="shared" ca="1" si="12"/>
        <v>2013_NYK</v>
      </c>
      <c r="D201" s="8" t="s">
        <v>158</v>
      </c>
      <c r="E201" s="8" t="s">
        <v>186</v>
      </c>
      <c r="F201" s="8"/>
      <c r="G201" s="8"/>
      <c r="H201" s="8">
        <f t="shared" ca="1" si="13"/>
        <v>50</v>
      </c>
      <c r="I201" s="1" t="s">
        <v>100</v>
      </c>
      <c r="J201" s="8" t="s">
        <v>186</v>
      </c>
      <c r="K201" s="1" t="str">
        <f t="shared" ca="1" si="14"/>
        <v>U</v>
      </c>
      <c r="L201" s="7">
        <f t="shared" ca="1" si="15"/>
        <v>1</v>
      </c>
    </row>
    <row r="202" spans="1:12" ht="15" customHeight="1" x14ac:dyDescent="0.25">
      <c r="A202" s="8">
        <v>201</v>
      </c>
      <c r="B202" s="8">
        <v>261</v>
      </c>
      <c r="C202" t="str">
        <f t="shared" ca="1" si="12"/>
        <v>2013_OKC</v>
      </c>
      <c r="D202" s="8" t="s">
        <v>158</v>
      </c>
      <c r="E202" s="8" t="s">
        <v>186</v>
      </c>
      <c r="F202" s="8"/>
      <c r="G202" s="8"/>
      <c r="H202" s="8">
        <f t="shared" ca="1" si="13"/>
        <v>51.5</v>
      </c>
      <c r="I202" s="1" t="s">
        <v>101</v>
      </c>
      <c r="J202" s="8" t="s">
        <v>186</v>
      </c>
      <c r="K202" s="1" t="str">
        <f t="shared" ca="1" si="14"/>
        <v>O</v>
      </c>
      <c r="L202" s="7">
        <f t="shared" ca="1" si="15"/>
        <v>1</v>
      </c>
    </row>
    <row r="203" spans="1:12" ht="15" customHeight="1" x14ac:dyDescent="0.25">
      <c r="A203" s="8">
        <v>202</v>
      </c>
      <c r="B203" s="8">
        <v>262</v>
      </c>
      <c r="C203" t="str">
        <f t="shared" ca="1" si="12"/>
        <v>2013_ORL</v>
      </c>
      <c r="D203" s="8" t="s">
        <v>158</v>
      </c>
      <c r="E203" s="8" t="s">
        <v>186</v>
      </c>
      <c r="F203" s="8"/>
      <c r="G203" s="8"/>
      <c r="H203" s="8">
        <f t="shared" ca="1" si="13"/>
        <v>23.5</v>
      </c>
      <c r="I203" s="1" t="s">
        <v>100</v>
      </c>
      <c r="J203" s="8" t="s">
        <v>186</v>
      </c>
      <c r="K203" s="1" t="str">
        <f t="shared" ca="1" si="14"/>
        <v>U</v>
      </c>
      <c r="L203" s="7">
        <f t="shared" ca="1" si="15"/>
        <v>1</v>
      </c>
    </row>
    <row r="204" spans="1:12" ht="15" customHeight="1" x14ac:dyDescent="0.25">
      <c r="A204" s="8">
        <v>203</v>
      </c>
      <c r="B204" s="8">
        <v>263</v>
      </c>
      <c r="C204" t="str">
        <f t="shared" ca="1" si="12"/>
        <v>2013_PHI</v>
      </c>
      <c r="D204" s="8" t="s">
        <v>158</v>
      </c>
      <c r="E204" s="8" t="s">
        <v>186</v>
      </c>
      <c r="F204" s="8"/>
      <c r="G204" s="8"/>
      <c r="H204" s="8">
        <f t="shared" ca="1" si="13"/>
        <v>16.5</v>
      </c>
      <c r="I204" s="1" t="s">
        <v>100</v>
      </c>
      <c r="J204" s="8" t="s">
        <v>186</v>
      </c>
      <c r="K204" s="1" t="str">
        <f t="shared" ca="1" si="14"/>
        <v>O</v>
      </c>
      <c r="L204" s="7">
        <f t="shared" ca="1" si="15"/>
        <v>0</v>
      </c>
    </row>
    <row r="205" spans="1:12" ht="15" customHeight="1" x14ac:dyDescent="0.25">
      <c r="A205" s="8">
        <v>204</v>
      </c>
      <c r="B205" s="8">
        <v>264</v>
      </c>
      <c r="C205" t="str">
        <f t="shared" ca="1" si="12"/>
        <v>2013_PHO</v>
      </c>
      <c r="D205" s="8" t="s">
        <v>158</v>
      </c>
      <c r="E205" s="8" t="s">
        <v>186</v>
      </c>
      <c r="F205" s="8"/>
      <c r="G205" s="8"/>
      <c r="H205" s="8">
        <f t="shared" ca="1" si="13"/>
        <v>20.5</v>
      </c>
      <c r="I205" s="1" t="s">
        <v>100</v>
      </c>
      <c r="J205" s="8" t="s">
        <v>186</v>
      </c>
      <c r="K205" s="1" t="str">
        <f t="shared" ca="1" si="14"/>
        <v>O</v>
      </c>
      <c r="L205" s="7">
        <f t="shared" ca="1" si="15"/>
        <v>0</v>
      </c>
    </row>
    <row r="206" spans="1:12" ht="15" customHeight="1" x14ac:dyDescent="0.25">
      <c r="A206" s="8">
        <v>205</v>
      </c>
      <c r="B206" s="8">
        <v>265</v>
      </c>
      <c r="C206" t="str">
        <f t="shared" ca="1" si="12"/>
        <v>2013_POR</v>
      </c>
      <c r="D206" s="8" t="s">
        <v>158</v>
      </c>
      <c r="E206" s="8" t="s">
        <v>186</v>
      </c>
      <c r="F206" s="8"/>
      <c r="G206" s="8"/>
      <c r="H206" s="8">
        <f t="shared" ca="1" si="13"/>
        <v>38.5</v>
      </c>
      <c r="I206" s="1" t="s">
        <v>101</v>
      </c>
      <c r="J206" s="8" t="s">
        <v>186</v>
      </c>
      <c r="K206" s="1" t="str">
        <f t="shared" ca="1" si="14"/>
        <v>O</v>
      </c>
      <c r="L206" s="7">
        <f t="shared" ca="1" si="15"/>
        <v>1</v>
      </c>
    </row>
    <row r="207" spans="1:12" ht="15" customHeight="1" x14ac:dyDescent="0.25">
      <c r="A207" s="8">
        <v>206</v>
      </c>
      <c r="B207" s="8">
        <v>266</v>
      </c>
      <c r="C207" t="str">
        <f t="shared" ca="1" si="12"/>
        <v>2013_SAC</v>
      </c>
      <c r="D207" s="8" t="s">
        <v>158</v>
      </c>
      <c r="E207" s="8" t="s">
        <v>186</v>
      </c>
      <c r="F207" s="8"/>
      <c r="G207" s="8"/>
      <c r="H207" s="8">
        <f t="shared" ca="1" si="13"/>
        <v>31.5</v>
      </c>
      <c r="I207" s="1" t="s">
        <v>101</v>
      </c>
      <c r="J207" s="8" t="s">
        <v>186</v>
      </c>
      <c r="K207" s="1" t="str">
        <f t="shared" ca="1" si="14"/>
        <v>U</v>
      </c>
      <c r="L207" s="7">
        <f t="shared" ca="1" si="15"/>
        <v>0</v>
      </c>
    </row>
    <row r="208" spans="1:12" ht="15" customHeight="1" x14ac:dyDescent="0.25">
      <c r="A208" s="8">
        <v>207</v>
      </c>
      <c r="B208" s="8">
        <v>267</v>
      </c>
      <c r="C208" t="str">
        <f t="shared" ca="1" si="12"/>
        <v>2013_SAS</v>
      </c>
      <c r="D208" s="8" t="s">
        <v>158</v>
      </c>
      <c r="E208" s="8" t="s">
        <v>186</v>
      </c>
      <c r="F208" s="8"/>
      <c r="G208" s="8"/>
      <c r="H208" s="8">
        <f t="shared" ca="1" si="13"/>
        <v>55.5</v>
      </c>
      <c r="I208" s="1" t="s">
        <v>101</v>
      </c>
      <c r="J208" s="8" t="s">
        <v>186</v>
      </c>
      <c r="K208" s="1" t="str">
        <f t="shared" ca="1" si="14"/>
        <v>O</v>
      </c>
      <c r="L208" s="7">
        <f t="shared" ca="1" si="15"/>
        <v>1</v>
      </c>
    </row>
    <row r="209" spans="1:12" ht="15" customHeight="1" x14ac:dyDescent="0.25">
      <c r="A209" s="8">
        <v>208</v>
      </c>
      <c r="B209" s="8">
        <v>268</v>
      </c>
      <c r="C209" t="str">
        <f t="shared" ca="1" si="12"/>
        <v>2013_TOR</v>
      </c>
      <c r="D209" s="8" t="s">
        <v>158</v>
      </c>
      <c r="E209" s="8" t="s">
        <v>186</v>
      </c>
      <c r="F209" s="8"/>
      <c r="G209" s="8"/>
      <c r="H209" s="8">
        <f t="shared" ca="1" si="13"/>
        <v>35.5</v>
      </c>
      <c r="I209" s="1" t="s">
        <v>100</v>
      </c>
      <c r="J209" s="8" t="s">
        <v>186</v>
      </c>
      <c r="K209" s="1" t="str">
        <f t="shared" ca="1" si="14"/>
        <v>O</v>
      </c>
      <c r="L209" s="7">
        <f t="shared" ca="1" si="15"/>
        <v>0</v>
      </c>
    </row>
    <row r="210" spans="1:12" ht="15" customHeight="1" x14ac:dyDescent="0.25">
      <c r="A210" s="8">
        <v>209</v>
      </c>
      <c r="B210" s="8">
        <v>269</v>
      </c>
      <c r="C210" t="str">
        <f t="shared" ca="1" si="12"/>
        <v>2013_UTA</v>
      </c>
      <c r="D210" s="8" t="s">
        <v>158</v>
      </c>
      <c r="E210" s="8" t="s">
        <v>186</v>
      </c>
      <c r="F210" s="8"/>
      <c r="G210" s="8"/>
      <c r="H210" s="8">
        <f t="shared" ca="1" si="13"/>
        <v>26.5</v>
      </c>
      <c r="I210" s="1" t="s">
        <v>100</v>
      </c>
      <c r="J210" s="8" t="s">
        <v>186</v>
      </c>
      <c r="K210" s="1" t="str">
        <f t="shared" ca="1" si="14"/>
        <v>U</v>
      </c>
      <c r="L210" s="7">
        <f t="shared" ca="1" si="15"/>
        <v>1</v>
      </c>
    </row>
    <row r="211" spans="1:12" ht="15" customHeight="1" x14ac:dyDescent="0.25">
      <c r="A211" s="8">
        <v>210</v>
      </c>
      <c r="B211" s="8">
        <v>270</v>
      </c>
      <c r="C211" t="str">
        <f t="shared" ca="1" si="12"/>
        <v>2013_WAS</v>
      </c>
      <c r="D211" s="8" t="s">
        <v>158</v>
      </c>
      <c r="E211" s="8" t="s">
        <v>186</v>
      </c>
      <c r="F211" s="8"/>
      <c r="G211" s="8"/>
      <c r="H211" s="8">
        <f t="shared" ca="1" si="13"/>
        <v>39.5</v>
      </c>
      <c r="I211" s="1" t="s">
        <v>101</v>
      </c>
      <c r="J211" s="8" t="s">
        <v>186</v>
      </c>
      <c r="K211" s="1" t="str">
        <f t="shared" ca="1" si="14"/>
        <v>O</v>
      </c>
      <c r="L211" s="7">
        <f t="shared" ca="1" si="15"/>
        <v>1</v>
      </c>
    </row>
    <row r="212" spans="1:12" ht="15" customHeight="1" x14ac:dyDescent="0.25">
      <c r="A212" s="8">
        <v>211</v>
      </c>
      <c r="B212" s="8">
        <v>271</v>
      </c>
      <c r="C212" t="str">
        <f t="shared" ca="1" si="12"/>
        <v>2014_ATL</v>
      </c>
      <c r="D212" s="8" t="s">
        <v>158</v>
      </c>
      <c r="E212" s="8" t="s">
        <v>186</v>
      </c>
      <c r="F212" s="8"/>
      <c r="G212" s="8"/>
      <c r="H212" s="8">
        <f t="shared" ca="1" si="13"/>
        <v>42.5</v>
      </c>
      <c r="I212" s="8" t="s">
        <v>101</v>
      </c>
      <c r="J212" s="7">
        <v>3</v>
      </c>
      <c r="K212" s="1" t="str">
        <f t="shared" ca="1" si="14"/>
        <v>O</v>
      </c>
      <c r="L212" s="7">
        <f t="shared" ca="1" si="15"/>
        <v>1</v>
      </c>
    </row>
    <row r="213" spans="1:12" ht="15" customHeight="1" x14ac:dyDescent="0.25">
      <c r="A213" s="8">
        <v>212</v>
      </c>
      <c r="B213" s="8">
        <v>272</v>
      </c>
      <c r="C213" t="str">
        <f t="shared" ca="1" si="12"/>
        <v>2014_BOS</v>
      </c>
      <c r="D213" s="8" t="s">
        <v>158</v>
      </c>
      <c r="E213" s="8" t="s">
        <v>186</v>
      </c>
      <c r="F213" s="8"/>
      <c r="G213" s="8"/>
      <c r="H213" s="8">
        <f t="shared" ca="1" si="13"/>
        <v>27</v>
      </c>
      <c r="I213" s="8" t="s">
        <v>100</v>
      </c>
      <c r="J213" s="7">
        <v>10</v>
      </c>
      <c r="K213" s="1" t="str">
        <f t="shared" ca="1" si="14"/>
        <v>O</v>
      </c>
      <c r="L213" s="7">
        <f t="shared" ca="1" si="15"/>
        <v>0</v>
      </c>
    </row>
    <row r="214" spans="1:12" ht="15" customHeight="1" x14ac:dyDescent="0.25">
      <c r="A214" s="8">
        <v>213</v>
      </c>
      <c r="B214" s="8">
        <v>273</v>
      </c>
      <c r="C214" t="str">
        <f t="shared" ca="1" si="12"/>
        <v>2014_BRK</v>
      </c>
      <c r="D214" s="8" t="s">
        <v>158</v>
      </c>
      <c r="E214" s="8" t="s">
        <v>186</v>
      </c>
      <c r="F214" s="8"/>
      <c r="G214" s="8"/>
      <c r="H214" s="8">
        <f t="shared" ca="1" si="13"/>
        <v>41.5</v>
      </c>
      <c r="I214" s="8" t="s">
        <v>100</v>
      </c>
      <c r="J214" s="7">
        <v>7</v>
      </c>
      <c r="K214" s="1" t="str">
        <f t="shared" ca="1" si="14"/>
        <v>U</v>
      </c>
      <c r="L214" s="7">
        <f t="shared" ca="1" si="15"/>
        <v>1</v>
      </c>
    </row>
    <row r="215" spans="1:12" ht="15" customHeight="1" x14ac:dyDescent="0.25">
      <c r="A215" s="8">
        <v>214</v>
      </c>
      <c r="B215" s="8">
        <v>274</v>
      </c>
      <c r="C215" t="str">
        <f t="shared" ca="1" si="12"/>
        <v>2014_CHO</v>
      </c>
      <c r="D215" s="8" t="s">
        <v>158</v>
      </c>
      <c r="E215" s="8" t="s">
        <v>186</v>
      </c>
      <c r="F215" s="8"/>
      <c r="G215" s="8"/>
      <c r="H215" s="8">
        <f t="shared" ca="1" si="13"/>
        <v>45</v>
      </c>
      <c r="I215" s="8" t="s">
        <v>101</v>
      </c>
      <c r="J215" s="8">
        <v>20</v>
      </c>
      <c r="K215" s="1" t="str">
        <f t="shared" ca="1" si="14"/>
        <v>U</v>
      </c>
      <c r="L215" s="7">
        <f t="shared" ca="1" si="15"/>
        <v>0</v>
      </c>
    </row>
    <row r="216" spans="1:12" ht="15" customHeight="1" x14ac:dyDescent="0.25">
      <c r="A216" s="8">
        <v>215</v>
      </c>
      <c r="B216" s="8">
        <v>275</v>
      </c>
      <c r="C216" t="str">
        <f t="shared" ca="1" si="12"/>
        <v>2014_CHI</v>
      </c>
      <c r="D216" s="8" t="s">
        <v>158</v>
      </c>
      <c r="E216" s="8" t="s">
        <v>186</v>
      </c>
      <c r="F216" s="8"/>
      <c r="G216" s="8"/>
      <c r="H216" s="8">
        <f t="shared" ca="1" si="13"/>
        <v>55.5</v>
      </c>
      <c r="I216" s="8" t="s">
        <v>101</v>
      </c>
      <c r="J216" s="8">
        <v>17</v>
      </c>
      <c r="K216" s="1" t="str">
        <f t="shared" ca="1" si="14"/>
        <v>U</v>
      </c>
      <c r="L216" s="7">
        <f t="shared" ca="1" si="15"/>
        <v>0</v>
      </c>
    </row>
    <row r="217" spans="1:12" ht="15" customHeight="1" x14ac:dyDescent="0.25">
      <c r="A217" s="8">
        <v>216</v>
      </c>
      <c r="B217" s="8">
        <v>276</v>
      </c>
      <c r="C217" t="str">
        <f t="shared" ca="1" si="12"/>
        <v>2014_CLE</v>
      </c>
      <c r="D217" s="8" t="s">
        <v>158</v>
      </c>
      <c r="E217" s="8" t="s">
        <v>186</v>
      </c>
      <c r="F217" s="8"/>
      <c r="G217" s="8"/>
      <c r="H217" s="8">
        <f t="shared" ca="1" si="13"/>
        <v>58.5</v>
      </c>
      <c r="I217" s="8" t="s">
        <v>100</v>
      </c>
      <c r="J217" s="8">
        <v>28</v>
      </c>
      <c r="K217" s="1" t="str">
        <f t="shared" ca="1" si="14"/>
        <v>U</v>
      </c>
      <c r="L217" s="7">
        <f t="shared" ca="1" si="15"/>
        <v>1</v>
      </c>
    </row>
    <row r="218" spans="1:12" ht="15" customHeight="1" x14ac:dyDescent="0.25">
      <c r="A218" s="8">
        <v>217</v>
      </c>
      <c r="B218" s="8">
        <v>277</v>
      </c>
      <c r="C218" t="str">
        <f t="shared" ca="1" si="12"/>
        <v>2014_DAL</v>
      </c>
      <c r="D218" s="8" t="s">
        <v>158</v>
      </c>
      <c r="E218" s="8" t="s">
        <v>186</v>
      </c>
      <c r="F218" s="8"/>
      <c r="G218" s="8"/>
      <c r="H218" s="8">
        <f t="shared" ca="1" si="13"/>
        <v>49.5</v>
      </c>
      <c r="I218" s="8" t="s">
        <v>101</v>
      </c>
      <c r="J218" s="7">
        <v>4</v>
      </c>
      <c r="K218" s="1" t="str">
        <f t="shared" ca="1" si="14"/>
        <v>O</v>
      </c>
      <c r="L218" s="7">
        <f t="shared" ca="1" si="15"/>
        <v>1</v>
      </c>
    </row>
    <row r="219" spans="1:12" ht="15" customHeight="1" x14ac:dyDescent="0.25">
      <c r="A219" s="8">
        <v>218</v>
      </c>
      <c r="B219" s="8">
        <v>278</v>
      </c>
      <c r="C219" t="str">
        <f t="shared" ca="1" si="12"/>
        <v>2014_DEN</v>
      </c>
      <c r="D219" s="8" t="s">
        <v>158</v>
      </c>
      <c r="E219" s="8" t="s">
        <v>186</v>
      </c>
      <c r="F219" s="8"/>
      <c r="G219" s="8"/>
      <c r="H219" s="8">
        <f t="shared" ca="1" si="13"/>
        <v>42</v>
      </c>
      <c r="I219" s="8" t="s">
        <v>100</v>
      </c>
      <c r="J219" s="8">
        <v>18</v>
      </c>
      <c r="K219" s="1" t="str">
        <f t="shared" ca="1" si="14"/>
        <v>U</v>
      </c>
      <c r="L219" s="7">
        <f t="shared" ca="1" si="15"/>
        <v>1</v>
      </c>
    </row>
    <row r="220" spans="1:12" ht="15" customHeight="1" x14ac:dyDescent="0.25">
      <c r="A220" s="8">
        <v>219</v>
      </c>
      <c r="B220" s="8">
        <v>279</v>
      </c>
      <c r="C220" t="str">
        <f t="shared" ca="1" si="12"/>
        <v>2014_DET</v>
      </c>
      <c r="D220" s="8" t="s">
        <v>158</v>
      </c>
      <c r="E220" s="8" t="s">
        <v>186</v>
      </c>
      <c r="F220" s="8"/>
      <c r="G220" s="8"/>
      <c r="H220" s="8">
        <f t="shared" ca="1" si="13"/>
        <v>36</v>
      </c>
      <c r="I220" s="8" t="s">
        <v>100</v>
      </c>
      <c r="J220" s="8">
        <v>21</v>
      </c>
      <c r="K220" s="1" t="str">
        <f t="shared" ca="1" si="14"/>
        <v>U</v>
      </c>
      <c r="L220" s="7">
        <f t="shared" ca="1" si="15"/>
        <v>1</v>
      </c>
    </row>
    <row r="221" spans="1:12" ht="15" customHeight="1" x14ac:dyDescent="0.25">
      <c r="A221" s="8">
        <v>220</v>
      </c>
      <c r="B221" s="8">
        <v>280</v>
      </c>
      <c r="C221" t="str">
        <f t="shared" ca="1" si="12"/>
        <v>2014_GSW</v>
      </c>
      <c r="D221" s="8" t="s">
        <v>158</v>
      </c>
      <c r="E221" s="8" t="s">
        <v>186</v>
      </c>
      <c r="F221" s="8"/>
      <c r="G221" s="8"/>
      <c r="H221" s="8">
        <f t="shared" ca="1" si="13"/>
        <v>52.5</v>
      </c>
      <c r="I221" s="8" t="s">
        <v>101</v>
      </c>
      <c r="J221" s="7">
        <v>16</v>
      </c>
      <c r="K221" s="1" t="str">
        <f t="shared" ca="1" si="14"/>
        <v>O</v>
      </c>
      <c r="L221" s="7">
        <f t="shared" ca="1" si="15"/>
        <v>1</v>
      </c>
    </row>
    <row r="222" spans="1:12" ht="15" customHeight="1" x14ac:dyDescent="0.25">
      <c r="A222" s="8">
        <v>221</v>
      </c>
      <c r="B222" s="8">
        <v>281</v>
      </c>
      <c r="C222" t="str">
        <f t="shared" ca="1" si="12"/>
        <v>2014_HOU</v>
      </c>
      <c r="D222" s="8" t="s">
        <v>158</v>
      </c>
      <c r="E222" s="8" t="s">
        <v>186</v>
      </c>
      <c r="F222" s="8"/>
      <c r="G222" s="8"/>
      <c r="H222" s="8">
        <f t="shared" ca="1" si="13"/>
        <v>49</v>
      </c>
      <c r="I222" s="8" t="s">
        <v>101</v>
      </c>
      <c r="J222" s="8">
        <v>23</v>
      </c>
      <c r="K222" s="1" t="str">
        <f t="shared" ca="1" si="14"/>
        <v>O</v>
      </c>
      <c r="L222" s="7">
        <f t="shared" ca="1" si="15"/>
        <v>1</v>
      </c>
    </row>
    <row r="223" spans="1:12" ht="15" customHeight="1" x14ac:dyDescent="0.25">
      <c r="A223" s="8">
        <v>222</v>
      </c>
      <c r="B223" s="8">
        <v>282</v>
      </c>
      <c r="C223" t="str">
        <f t="shared" ca="1" si="12"/>
        <v>2014_IND</v>
      </c>
      <c r="D223" s="8" t="s">
        <v>158</v>
      </c>
      <c r="E223" s="8" t="s">
        <v>186</v>
      </c>
      <c r="F223" s="8"/>
      <c r="G223" s="8"/>
      <c r="H223" s="8">
        <f t="shared" ca="1" si="13"/>
        <v>33.5</v>
      </c>
      <c r="I223" s="8" t="s">
        <v>101</v>
      </c>
      <c r="J223" s="7">
        <v>9</v>
      </c>
      <c r="K223" s="1" t="str">
        <f t="shared" ca="1" si="14"/>
        <v>O</v>
      </c>
      <c r="L223" s="7">
        <f t="shared" ca="1" si="15"/>
        <v>1</v>
      </c>
    </row>
    <row r="224" spans="1:12" ht="15" customHeight="1" x14ac:dyDescent="0.25">
      <c r="A224" s="8">
        <v>223</v>
      </c>
      <c r="B224" s="8">
        <v>283</v>
      </c>
      <c r="C224" t="str">
        <f t="shared" ca="1" si="12"/>
        <v>2014_LAC</v>
      </c>
      <c r="D224" s="8" t="s">
        <v>158</v>
      </c>
      <c r="E224" s="8" t="s">
        <v>186</v>
      </c>
      <c r="F224" s="8"/>
      <c r="G224" s="8"/>
      <c r="H224" s="8">
        <f t="shared" ca="1" si="13"/>
        <v>56.5</v>
      </c>
      <c r="I224" s="8" t="s">
        <v>100</v>
      </c>
      <c r="J224" s="8">
        <v>27</v>
      </c>
      <c r="K224" s="1" t="str">
        <f t="shared" ca="1" si="14"/>
        <v>U</v>
      </c>
      <c r="L224" s="7">
        <f t="shared" ca="1" si="15"/>
        <v>1</v>
      </c>
    </row>
    <row r="225" spans="1:12" ht="15" customHeight="1" x14ac:dyDescent="0.25">
      <c r="A225" s="8">
        <v>224</v>
      </c>
      <c r="B225" s="8">
        <v>284</v>
      </c>
      <c r="C225" t="str">
        <f t="shared" ca="1" si="12"/>
        <v>2014_LAL</v>
      </c>
      <c r="D225" s="8" t="s">
        <v>158</v>
      </c>
      <c r="E225" s="8" t="s">
        <v>186</v>
      </c>
      <c r="F225" s="8"/>
      <c r="G225" s="8"/>
      <c r="H225" s="8">
        <f t="shared" ca="1" si="13"/>
        <v>29</v>
      </c>
      <c r="I225" s="8" t="s">
        <v>100</v>
      </c>
      <c r="J225" s="7">
        <v>5</v>
      </c>
      <c r="K225" s="1" t="str">
        <f t="shared" ca="1" si="14"/>
        <v>U</v>
      </c>
      <c r="L225" s="7">
        <f t="shared" ca="1" si="15"/>
        <v>1</v>
      </c>
    </row>
    <row r="226" spans="1:12" ht="15" customHeight="1" x14ac:dyDescent="0.25">
      <c r="A226" s="8">
        <v>225</v>
      </c>
      <c r="B226" s="8">
        <v>285</v>
      </c>
      <c r="C226" t="str">
        <f t="shared" ca="1" si="12"/>
        <v>2014_MEM</v>
      </c>
      <c r="D226" s="8" t="s">
        <v>158</v>
      </c>
      <c r="E226" s="8" t="s">
        <v>186</v>
      </c>
      <c r="F226" s="8"/>
      <c r="G226" s="8"/>
      <c r="H226" s="8">
        <f t="shared" ca="1" si="13"/>
        <v>48.5</v>
      </c>
      <c r="I226" s="8" t="s">
        <v>101</v>
      </c>
      <c r="J226" s="8">
        <v>8</v>
      </c>
      <c r="K226" s="1" t="str">
        <f t="shared" ca="1" si="14"/>
        <v>O</v>
      </c>
      <c r="L226" s="7">
        <f t="shared" ca="1" si="15"/>
        <v>1</v>
      </c>
    </row>
    <row r="227" spans="1:12" ht="15" customHeight="1" x14ac:dyDescent="0.25">
      <c r="A227" s="8">
        <v>226</v>
      </c>
      <c r="B227" s="8">
        <v>286</v>
      </c>
      <c r="C227" t="str">
        <f t="shared" ca="1" si="12"/>
        <v>2014_MIA</v>
      </c>
      <c r="D227" s="8" t="s">
        <v>158</v>
      </c>
      <c r="E227" s="8" t="s">
        <v>186</v>
      </c>
      <c r="F227" s="8"/>
      <c r="G227" s="8"/>
      <c r="H227" s="8">
        <f t="shared" ca="1" si="13"/>
        <v>44</v>
      </c>
      <c r="I227" s="8" t="s">
        <v>100</v>
      </c>
      <c r="J227" s="8">
        <v>30</v>
      </c>
      <c r="K227" s="1" t="str">
        <f t="shared" ca="1" si="14"/>
        <v>U</v>
      </c>
      <c r="L227" s="7">
        <f t="shared" ca="1" si="15"/>
        <v>1</v>
      </c>
    </row>
    <row r="228" spans="1:12" ht="15" customHeight="1" x14ac:dyDescent="0.25">
      <c r="A228" s="8">
        <v>227</v>
      </c>
      <c r="B228" s="8">
        <v>287</v>
      </c>
      <c r="C228" t="str">
        <f t="shared" ca="1" si="12"/>
        <v>2014_MIL</v>
      </c>
      <c r="D228" s="8" t="s">
        <v>158</v>
      </c>
      <c r="E228" s="8" t="s">
        <v>186</v>
      </c>
      <c r="F228" s="8"/>
      <c r="G228" s="8"/>
      <c r="H228" s="8">
        <f t="shared" ca="1" si="13"/>
        <v>24.5</v>
      </c>
      <c r="I228" s="8" t="s">
        <v>101</v>
      </c>
      <c r="J228" s="8">
        <v>22</v>
      </c>
      <c r="K228" s="1" t="str">
        <f t="shared" ca="1" si="14"/>
        <v>O</v>
      </c>
      <c r="L228" s="7">
        <f t="shared" ca="1" si="15"/>
        <v>1</v>
      </c>
    </row>
    <row r="229" spans="1:12" ht="15" customHeight="1" x14ac:dyDescent="0.25">
      <c r="A229" s="8">
        <v>228</v>
      </c>
      <c r="B229" s="8">
        <v>288</v>
      </c>
      <c r="C229" t="str">
        <f t="shared" ca="1" si="12"/>
        <v>2014_MIN</v>
      </c>
      <c r="D229" s="8" t="s">
        <v>158</v>
      </c>
      <c r="E229" s="8" t="s">
        <v>186</v>
      </c>
      <c r="F229" s="8"/>
      <c r="G229" s="8"/>
      <c r="H229" s="8">
        <f t="shared" ca="1" si="13"/>
        <v>29</v>
      </c>
      <c r="I229" s="8" t="s">
        <v>100</v>
      </c>
      <c r="J229" s="7">
        <v>19</v>
      </c>
      <c r="K229" s="1" t="str">
        <f t="shared" ca="1" si="14"/>
        <v>U</v>
      </c>
      <c r="L229" s="7">
        <f t="shared" ca="1" si="15"/>
        <v>1</v>
      </c>
    </row>
    <row r="230" spans="1:12" ht="15" customHeight="1" x14ac:dyDescent="0.25">
      <c r="A230" s="8">
        <v>229</v>
      </c>
      <c r="B230" s="8">
        <v>289</v>
      </c>
      <c r="C230" t="str">
        <f t="shared" ca="1" si="12"/>
        <v>2014_NOP</v>
      </c>
      <c r="D230" s="8" t="s">
        <v>158</v>
      </c>
      <c r="E230" s="8" t="s">
        <v>186</v>
      </c>
      <c r="F230" s="8"/>
      <c r="G230" s="8"/>
      <c r="H230" s="8">
        <f t="shared" ca="1" si="13"/>
        <v>43</v>
      </c>
      <c r="I230" s="8" t="s">
        <v>101</v>
      </c>
      <c r="J230" s="7">
        <v>15</v>
      </c>
      <c r="K230" s="1" t="str">
        <f t="shared" ca="1" si="14"/>
        <v>O</v>
      </c>
      <c r="L230" s="7">
        <f t="shared" ca="1" si="15"/>
        <v>1</v>
      </c>
    </row>
    <row r="231" spans="1:12" ht="15" customHeight="1" x14ac:dyDescent="0.25">
      <c r="A231" s="8">
        <v>230</v>
      </c>
      <c r="B231" s="8">
        <v>290</v>
      </c>
      <c r="C231" t="str">
        <f t="shared" ca="1" si="12"/>
        <v>2014_NYK</v>
      </c>
      <c r="D231" s="8" t="s">
        <v>158</v>
      </c>
      <c r="E231" s="8" t="s">
        <v>186</v>
      </c>
      <c r="F231" s="8"/>
      <c r="G231" s="8"/>
      <c r="H231" s="8">
        <f t="shared" ca="1" si="13"/>
        <v>40</v>
      </c>
      <c r="I231" s="8" t="s">
        <v>100</v>
      </c>
      <c r="J231" s="8">
        <v>26</v>
      </c>
      <c r="K231" s="1" t="str">
        <f t="shared" ca="1" si="14"/>
        <v>U</v>
      </c>
      <c r="L231" s="7">
        <f t="shared" ca="1" si="15"/>
        <v>1</v>
      </c>
    </row>
    <row r="232" spans="1:12" ht="15" customHeight="1" x14ac:dyDescent="0.25">
      <c r="A232" s="8">
        <v>231</v>
      </c>
      <c r="B232" s="8">
        <v>291</v>
      </c>
      <c r="C232" t="str">
        <f t="shared" ca="1" si="12"/>
        <v>2014_OKC</v>
      </c>
      <c r="D232" s="8" t="s">
        <v>158</v>
      </c>
      <c r="E232" s="8" t="s">
        <v>186</v>
      </c>
      <c r="F232" s="8"/>
      <c r="G232" s="8"/>
      <c r="H232" s="8">
        <f t="shared" ca="1" si="13"/>
        <v>53</v>
      </c>
      <c r="I232" s="8" t="s">
        <v>100</v>
      </c>
      <c r="J232" s="7">
        <v>1</v>
      </c>
      <c r="K232" s="1" t="str">
        <f t="shared" ca="1" si="14"/>
        <v>U</v>
      </c>
      <c r="L232" s="7">
        <f t="shared" ca="1" si="15"/>
        <v>1</v>
      </c>
    </row>
    <row r="233" spans="1:12" ht="15" customHeight="1" x14ac:dyDescent="0.25">
      <c r="A233" s="8">
        <v>232</v>
      </c>
      <c r="B233" s="8">
        <v>292</v>
      </c>
      <c r="C233" t="str">
        <f t="shared" ca="1" si="12"/>
        <v>2014_ORL</v>
      </c>
      <c r="D233" s="8" t="s">
        <v>158</v>
      </c>
      <c r="E233" s="8" t="s">
        <v>186</v>
      </c>
      <c r="F233" s="8"/>
      <c r="G233" s="8"/>
      <c r="H233" s="8">
        <f t="shared" ca="1" si="13"/>
        <v>26.5</v>
      </c>
      <c r="I233" s="8" t="s">
        <v>100</v>
      </c>
      <c r="J233" s="7">
        <v>11</v>
      </c>
      <c r="K233" s="1" t="str">
        <f t="shared" ca="1" si="14"/>
        <v>U</v>
      </c>
      <c r="L233" s="7">
        <f t="shared" ca="1" si="15"/>
        <v>1</v>
      </c>
    </row>
    <row r="234" spans="1:12" ht="15" customHeight="1" x14ac:dyDescent="0.25">
      <c r="A234" s="8">
        <v>233</v>
      </c>
      <c r="B234" s="8">
        <v>293</v>
      </c>
      <c r="C234" t="str">
        <f t="shared" ca="1" si="12"/>
        <v>2014_PHI</v>
      </c>
      <c r="D234" s="8" t="s">
        <v>158</v>
      </c>
      <c r="E234" s="8" t="s">
        <v>186</v>
      </c>
      <c r="F234" s="8"/>
      <c r="G234" s="8"/>
      <c r="H234" s="8">
        <f t="shared" ca="1" si="13"/>
        <v>16</v>
      </c>
      <c r="I234" s="8" t="s">
        <v>100</v>
      </c>
      <c r="J234" s="8">
        <v>25</v>
      </c>
      <c r="K234" s="1" t="str">
        <f t="shared" ca="1" si="14"/>
        <v>O</v>
      </c>
      <c r="L234" s="7">
        <f t="shared" ca="1" si="15"/>
        <v>0</v>
      </c>
    </row>
    <row r="235" spans="1:12" ht="15" customHeight="1" x14ac:dyDescent="0.25">
      <c r="A235" s="8">
        <v>234</v>
      </c>
      <c r="B235" s="8">
        <v>294</v>
      </c>
      <c r="C235" t="str">
        <f t="shared" ca="1" si="12"/>
        <v>2014_PHO</v>
      </c>
      <c r="D235" s="8" t="s">
        <v>158</v>
      </c>
      <c r="E235" s="8" t="s">
        <v>186</v>
      </c>
      <c r="F235" s="8"/>
      <c r="G235" s="8"/>
      <c r="H235" s="8">
        <f t="shared" ca="1" si="13"/>
        <v>44</v>
      </c>
      <c r="I235" s="8" t="s">
        <v>100</v>
      </c>
      <c r="J235" s="7">
        <v>12</v>
      </c>
      <c r="K235" s="1" t="str">
        <f t="shared" ca="1" si="14"/>
        <v>U</v>
      </c>
      <c r="L235" s="7">
        <f t="shared" ca="1" si="15"/>
        <v>1</v>
      </c>
    </row>
    <row r="236" spans="1:12" ht="15" customHeight="1" x14ac:dyDescent="0.25">
      <c r="A236" s="8">
        <v>235</v>
      </c>
      <c r="B236" s="8">
        <v>295</v>
      </c>
      <c r="C236" t="str">
        <f t="shared" ca="1" si="12"/>
        <v>2014_POR</v>
      </c>
      <c r="D236" s="8" t="s">
        <v>158</v>
      </c>
      <c r="E236" s="8" t="s">
        <v>186</v>
      </c>
      <c r="F236" s="8"/>
      <c r="G236" s="8"/>
      <c r="H236" s="8">
        <f t="shared" ca="1" si="13"/>
        <v>49</v>
      </c>
      <c r="I236" s="8" t="s">
        <v>100</v>
      </c>
      <c r="J236" s="7">
        <v>6</v>
      </c>
      <c r="K236" s="1" t="str">
        <f t="shared" ca="1" si="14"/>
        <v>O</v>
      </c>
      <c r="L236" s="7">
        <f t="shared" ca="1" si="15"/>
        <v>0</v>
      </c>
    </row>
    <row r="237" spans="1:12" ht="15" customHeight="1" x14ac:dyDescent="0.25">
      <c r="A237" s="8">
        <v>236</v>
      </c>
      <c r="B237" s="8">
        <v>296</v>
      </c>
      <c r="C237" t="str">
        <f t="shared" ca="1" si="12"/>
        <v>2014_SAC</v>
      </c>
      <c r="D237" s="8" t="s">
        <v>158</v>
      </c>
      <c r="E237" s="8" t="s">
        <v>186</v>
      </c>
      <c r="F237" s="8"/>
      <c r="G237" s="8"/>
      <c r="H237" s="8">
        <f t="shared" ca="1" si="13"/>
        <v>29.5</v>
      </c>
      <c r="I237" s="8" t="s">
        <v>101</v>
      </c>
      <c r="J237" s="8">
        <v>29</v>
      </c>
      <c r="K237" s="1" t="str">
        <f t="shared" ca="1" si="14"/>
        <v>U</v>
      </c>
      <c r="L237" s="7">
        <f t="shared" ca="1" si="15"/>
        <v>0</v>
      </c>
    </row>
    <row r="238" spans="1:12" ht="15" customHeight="1" x14ac:dyDescent="0.25">
      <c r="A238" s="8">
        <v>237</v>
      </c>
      <c r="B238" s="8">
        <v>297</v>
      </c>
      <c r="C238" t="str">
        <f t="shared" ca="1" si="12"/>
        <v>2014_SAS</v>
      </c>
      <c r="D238" s="8" t="s">
        <v>158</v>
      </c>
      <c r="E238" s="8" t="s">
        <v>186</v>
      </c>
      <c r="F238" s="8"/>
      <c r="G238" s="8"/>
      <c r="H238" s="8">
        <f t="shared" ca="1" si="13"/>
        <v>57</v>
      </c>
      <c r="I238" s="8" t="s">
        <v>100</v>
      </c>
      <c r="J238" s="7">
        <v>2</v>
      </c>
      <c r="K238" s="1" t="str">
        <f t="shared" ca="1" si="14"/>
        <v>U</v>
      </c>
      <c r="L238" s="7">
        <f t="shared" ca="1" si="15"/>
        <v>1</v>
      </c>
    </row>
    <row r="239" spans="1:12" ht="15" customHeight="1" x14ac:dyDescent="0.25">
      <c r="A239" s="8">
        <v>238</v>
      </c>
      <c r="B239" s="8">
        <v>298</v>
      </c>
      <c r="C239" t="str">
        <f t="shared" ca="1" si="12"/>
        <v>2014_TOR</v>
      </c>
      <c r="D239" s="8" t="s">
        <v>158</v>
      </c>
      <c r="E239" s="8" t="s">
        <v>186</v>
      </c>
      <c r="F239" s="8"/>
      <c r="G239" s="8"/>
      <c r="H239" s="8">
        <f t="shared" ca="1" si="13"/>
        <v>48.5</v>
      </c>
      <c r="I239" s="8" t="s">
        <v>100</v>
      </c>
      <c r="J239" s="8">
        <v>24</v>
      </c>
      <c r="K239" s="1" t="str">
        <f t="shared" ca="1" si="14"/>
        <v>O</v>
      </c>
      <c r="L239" s="7">
        <f t="shared" ca="1" si="15"/>
        <v>0</v>
      </c>
    </row>
    <row r="240" spans="1:12" ht="15" customHeight="1" x14ac:dyDescent="0.25">
      <c r="A240" s="8">
        <v>239</v>
      </c>
      <c r="B240" s="8">
        <v>299</v>
      </c>
      <c r="C240" t="str">
        <f t="shared" ca="1" si="12"/>
        <v>2014_UTA</v>
      </c>
      <c r="D240" s="8" t="s">
        <v>158</v>
      </c>
      <c r="E240" s="8" t="s">
        <v>186</v>
      </c>
      <c r="F240" s="8"/>
      <c r="G240" s="8"/>
      <c r="H240" s="8">
        <f t="shared" ca="1" si="13"/>
        <v>27</v>
      </c>
      <c r="I240" s="8" t="s">
        <v>101</v>
      </c>
      <c r="J240" s="8">
        <v>14</v>
      </c>
      <c r="K240" s="1" t="str">
        <f t="shared" ca="1" si="14"/>
        <v>O</v>
      </c>
      <c r="L240" s="7">
        <f t="shared" ca="1" si="15"/>
        <v>1</v>
      </c>
    </row>
    <row r="241" spans="1:12" ht="15" customHeight="1" x14ac:dyDescent="0.25">
      <c r="A241" s="8">
        <v>240</v>
      </c>
      <c r="B241" s="8">
        <v>300</v>
      </c>
      <c r="C241" t="str">
        <f t="shared" ca="1" si="12"/>
        <v>2014_WAS</v>
      </c>
      <c r="D241" s="8" t="s">
        <v>158</v>
      </c>
      <c r="E241" s="8" t="s">
        <v>186</v>
      </c>
      <c r="F241" s="8"/>
      <c r="G241" s="8"/>
      <c r="H241" s="8">
        <f t="shared" ca="1" si="13"/>
        <v>48.5</v>
      </c>
      <c r="I241" s="8" t="s">
        <v>101</v>
      </c>
      <c r="J241" s="7">
        <v>13</v>
      </c>
      <c r="K241" s="1" t="str">
        <f t="shared" ca="1" si="14"/>
        <v>U</v>
      </c>
      <c r="L241" s="7">
        <f t="shared" ca="1" si="15"/>
        <v>0</v>
      </c>
    </row>
    <row r="242" spans="1:12" ht="15" customHeight="1" x14ac:dyDescent="0.25">
      <c r="A242" s="8">
        <v>241</v>
      </c>
      <c r="B242" s="8">
        <v>301</v>
      </c>
      <c r="C242" t="str">
        <f t="shared" ca="1" si="12"/>
        <v>2015_ATL</v>
      </c>
      <c r="D242" s="8" t="s">
        <v>158</v>
      </c>
      <c r="E242" s="8" t="s">
        <v>186</v>
      </c>
      <c r="F242" s="8"/>
      <c r="G242" s="8"/>
      <c r="H242" s="8">
        <f t="shared" ca="1" si="13"/>
        <v>49.5</v>
      </c>
      <c r="I242" s="8" t="s">
        <v>101</v>
      </c>
      <c r="J242" s="7">
        <v>2</v>
      </c>
      <c r="K242" s="1" t="str">
        <f t="shared" ca="1" si="14"/>
        <v>U</v>
      </c>
      <c r="L242" s="7">
        <f t="shared" ca="1" si="15"/>
        <v>0</v>
      </c>
    </row>
    <row r="243" spans="1:12" ht="15" customHeight="1" x14ac:dyDescent="0.25">
      <c r="A243" s="8">
        <v>242</v>
      </c>
      <c r="B243" s="8">
        <v>302</v>
      </c>
      <c r="C243" t="str">
        <f t="shared" ca="1" si="12"/>
        <v>2015_BOS</v>
      </c>
      <c r="D243" s="8" t="s">
        <v>158</v>
      </c>
      <c r="E243" s="8" t="s">
        <v>186</v>
      </c>
      <c r="F243" s="8"/>
      <c r="G243" s="8"/>
      <c r="H243" s="8">
        <f t="shared" ca="1" si="13"/>
        <v>45.5</v>
      </c>
      <c r="I243" s="8" t="s">
        <v>101</v>
      </c>
      <c r="J243" s="8">
        <v>17</v>
      </c>
      <c r="K243" s="1" t="str">
        <f t="shared" ca="1" si="14"/>
        <v>O</v>
      </c>
      <c r="L243" s="7">
        <f t="shared" ca="1" si="15"/>
        <v>1</v>
      </c>
    </row>
    <row r="244" spans="1:12" ht="15" customHeight="1" x14ac:dyDescent="0.25">
      <c r="A244" s="8">
        <v>243</v>
      </c>
      <c r="B244" s="8">
        <v>303</v>
      </c>
      <c r="C244" t="str">
        <f t="shared" ca="1" si="12"/>
        <v>2015_BRK</v>
      </c>
      <c r="D244" s="8" t="s">
        <v>158</v>
      </c>
      <c r="E244" s="8" t="s">
        <v>186</v>
      </c>
      <c r="F244" s="8"/>
      <c r="G244" s="8"/>
      <c r="H244" s="8">
        <f t="shared" ca="1" si="13"/>
        <v>27.5</v>
      </c>
      <c r="I244" s="8" t="s">
        <v>100</v>
      </c>
      <c r="J244" s="8">
        <v>9</v>
      </c>
      <c r="K244" s="1" t="str">
        <f t="shared" ca="1" si="14"/>
        <v>U</v>
      </c>
      <c r="L244" s="7">
        <f t="shared" ca="1" si="15"/>
        <v>1</v>
      </c>
    </row>
    <row r="245" spans="1:12" ht="15" customHeight="1" x14ac:dyDescent="0.25">
      <c r="A245" s="8">
        <v>244</v>
      </c>
      <c r="B245" s="8">
        <v>304</v>
      </c>
      <c r="C245" t="str">
        <f t="shared" ca="1" si="12"/>
        <v>2015_CHO</v>
      </c>
      <c r="D245" s="8" t="s">
        <v>158</v>
      </c>
      <c r="E245" s="8" t="s">
        <v>186</v>
      </c>
      <c r="F245" s="8"/>
      <c r="G245" s="8"/>
      <c r="H245" s="8">
        <f t="shared" ca="1" si="13"/>
        <v>34</v>
      </c>
      <c r="I245" s="8" t="s">
        <v>100</v>
      </c>
      <c r="J245" s="8">
        <v>6</v>
      </c>
      <c r="K245" s="1" t="str">
        <f t="shared" ca="1" si="14"/>
        <v>O</v>
      </c>
      <c r="L245" s="7">
        <f t="shared" ca="1" si="15"/>
        <v>0</v>
      </c>
    </row>
    <row r="246" spans="1:12" ht="15" customHeight="1" x14ac:dyDescent="0.25">
      <c r="A246" s="8">
        <v>245</v>
      </c>
      <c r="B246" s="8">
        <v>305</v>
      </c>
      <c r="C246" t="str">
        <f t="shared" ca="1" si="12"/>
        <v>2015_CHI</v>
      </c>
      <c r="D246" s="8" t="s">
        <v>158</v>
      </c>
      <c r="E246" s="8" t="s">
        <v>186</v>
      </c>
      <c r="F246" s="8"/>
      <c r="G246" s="8"/>
      <c r="H246" s="8">
        <f t="shared" ca="1" si="13"/>
        <v>50.5</v>
      </c>
      <c r="I246" s="8" t="s">
        <v>101</v>
      </c>
      <c r="J246" s="8">
        <v>26</v>
      </c>
      <c r="K246" s="1" t="str">
        <f t="shared" ca="1" si="14"/>
        <v>U</v>
      </c>
      <c r="L246" s="7">
        <f t="shared" ca="1" si="15"/>
        <v>0</v>
      </c>
    </row>
    <row r="247" spans="1:12" ht="15" customHeight="1" x14ac:dyDescent="0.25">
      <c r="A247" s="8">
        <v>246</v>
      </c>
      <c r="B247" s="8">
        <v>306</v>
      </c>
      <c r="C247" t="str">
        <f t="shared" ca="1" si="12"/>
        <v>2015_CLE</v>
      </c>
      <c r="D247" s="8" t="s">
        <v>158</v>
      </c>
      <c r="E247" s="8" t="s">
        <v>186</v>
      </c>
      <c r="F247" s="8"/>
      <c r="G247" s="8"/>
      <c r="H247" s="8">
        <f t="shared" ca="1" si="13"/>
        <v>56.5</v>
      </c>
      <c r="I247" s="8" t="s">
        <v>100</v>
      </c>
      <c r="J247" s="8">
        <v>10</v>
      </c>
      <c r="K247" s="1" t="str">
        <f t="shared" ca="1" si="14"/>
        <v>O</v>
      </c>
      <c r="L247" s="7">
        <f t="shared" ca="1" si="15"/>
        <v>0</v>
      </c>
    </row>
    <row r="248" spans="1:12" ht="15" customHeight="1" x14ac:dyDescent="0.25">
      <c r="A248" s="8">
        <v>247</v>
      </c>
      <c r="B248" s="8">
        <v>307</v>
      </c>
      <c r="C248" t="str">
        <f t="shared" ca="1" si="12"/>
        <v>2015_DAL</v>
      </c>
      <c r="D248" s="8" t="s">
        <v>158</v>
      </c>
      <c r="E248" s="8" t="s">
        <v>186</v>
      </c>
      <c r="F248" s="8"/>
      <c r="G248" s="8"/>
      <c r="H248" s="8">
        <f t="shared" ca="1" si="13"/>
        <v>36.5</v>
      </c>
      <c r="I248" s="8" t="s">
        <v>100</v>
      </c>
      <c r="J248" s="8">
        <v>21</v>
      </c>
      <c r="K248" s="1" t="str">
        <f t="shared" ca="1" si="14"/>
        <v>O</v>
      </c>
      <c r="L248" s="7">
        <f t="shared" ca="1" si="15"/>
        <v>0</v>
      </c>
    </row>
    <row r="249" spans="1:12" ht="15" customHeight="1" x14ac:dyDescent="0.25">
      <c r="A249" s="8">
        <v>248</v>
      </c>
      <c r="B249" s="8">
        <v>308</v>
      </c>
      <c r="C249" t="str">
        <f t="shared" ca="1" si="12"/>
        <v>2015_DEN</v>
      </c>
      <c r="D249" s="8" t="s">
        <v>158</v>
      </c>
      <c r="E249" s="8" t="s">
        <v>186</v>
      </c>
      <c r="F249" s="8"/>
      <c r="G249" s="8"/>
      <c r="H249" s="8">
        <f t="shared" ca="1" si="13"/>
        <v>27.5</v>
      </c>
      <c r="I249" s="8" t="s">
        <v>101</v>
      </c>
      <c r="J249" s="8">
        <v>23</v>
      </c>
      <c r="K249" s="1" t="str">
        <f t="shared" ca="1" si="14"/>
        <v>O</v>
      </c>
      <c r="L249" s="7">
        <f t="shared" ca="1" si="15"/>
        <v>1</v>
      </c>
    </row>
    <row r="250" spans="1:12" ht="15" customHeight="1" x14ac:dyDescent="0.25">
      <c r="A250" s="8">
        <v>249</v>
      </c>
      <c r="B250" s="8">
        <v>309</v>
      </c>
      <c r="C250" t="str">
        <f t="shared" ca="1" si="12"/>
        <v>2015_DET</v>
      </c>
      <c r="D250" s="8" t="s">
        <v>158</v>
      </c>
      <c r="E250" s="8" t="s">
        <v>186</v>
      </c>
      <c r="F250" s="8"/>
      <c r="G250" s="8"/>
      <c r="H250" s="8">
        <f t="shared" ca="1" si="13"/>
        <v>36.5</v>
      </c>
      <c r="I250" s="8" t="s">
        <v>101</v>
      </c>
      <c r="J250" s="8">
        <v>19</v>
      </c>
      <c r="K250" s="1" t="str">
        <f t="shared" ca="1" si="14"/>
        <v>O</v>
      </c>
      <c r="L250" s="7">
        <f t="shared" ca="1" si="15"/>
        <v>1</v>
      </c>
    </row>
    <row r="251" spans="1:12" ht="15" customHeight="1" x14ac:dyDescent="0.25">
      <c r="A251" s="8">
        <v>250</v>
      </c>
      <c r="B251" s="8">
        <v>310</v>
      </c>
      <c r="C251" t="str">
        <f t="shared" ca="1" si="12"/>
        <v>2015_GSW</v>
      </c>
      <c r="D251" s="8" t="s">
        <v>158</v>
      </c>
      <c r="E251" s="8" t="s">
        <v>186</v>
      </c>
      <c r="F251" s="8"/>
      <c r="G251" s="8"/>
      <c r="H251" s="8">
        <f t="shared" ca="1" si="13"/>
        <v>59.5</v>
      </c>
      <c r="I251" s="8" t="s">
        <v>101</v>
      </c>
      <c r="J251" s="7">
        <v>14</v>
      </c>
      <c r="K251" s="1" t="str">
        <f t="shared" ca="1" si="14"/>
        <v>O</v>
      </c>
      <c r="L251" s="7">
        <f t="shared" ca="1" si="15"/>
        <v>1</v>
      </c>
    </row>
    <row r="252" spans="1:12" ht="15" customHeight="1" x14ac:dyDescent="0.25">
      <c r="A252" s="8">
        <v>251</v>
      </c>
      <c r="B252" s="8">
        <v>311</v>
      </c>
      <c r="C252" t="str">
        <f t="shared" ca="1" si="12"/>
        <v>2015_HOU</v>
      </c>
      <c r="D252" s="8" t="s">
        <v>158</v>
      </c>
      <c r="E252" s="8" t="s">
        <v>186</v>
      </c>
      <c r="F252" s="8"/>
      <c r="G252" s="8"/>
      <c r="H252" s="8">
        <f t="shared" ca="1" si="13"/>
        <v>56.5</v>
      </c>
      <c r="I252" s="8" t="s">
        <v>101</v>
      </c>
      <c r="J252" s="8">
        <v>7</v>
      </c>
      <c r="K252" s="1" t="str">
        <f t="shared" ca="1" si="14"/>
        <v>U</v>
      </c>
      <c r="L252" s="7">
        <f t="shared" ca="1" si="15"/>
        <v>0</v>
      </c>
    </row>
    <row r="253" spans="1:12" ht="15" customHeight="1" x14ac:dyDescent="0.25">
      <c r="A253" s="8">
        <v>252</v>
      </c>
      <c r="B253" s="8">
        <v>312</v>
      </c>
      <c r="C253" t="str">
        <f t="shared" ca="1" si="12"/>
        <v>2015_IND</v>
      </c>
      <c r="D253" s="8" t="s">
        <v>158</v>
      </c>
      <c r="E253" s="8" t="s">
        <v>186</v>
      </c>
      <c r="F253" s="8"/>
      <c r="G253" s="8"/>
      <c r="H253" s="8">
        <f t="shared" ca="1" si="13"/>
        <v>41.5</v>
      </c>
      <c r="I253" s="8" t="s">
        <v>100</v>
      </c>
      <c r="J253" s="8">
        <v>30</v>
      </c>
      <c r="K253" s="1" t="str">
        <f t="shared" ca="1" si="14"/>
        <v>O</v>
      </c>
      <c r="L253" s="7">
        <f t="shared" ca="1" si="15"/>
        <v>0</v>
      </c>
    </row>
    <row r="254" spans="1:12" ht="15" customHeight="1" x14ac:dyDescent="0.25">
      <c r="A254" s="8">
        <v>253</v>
      </c>
      <c r="B254" s="8">
        <v>313</v>
      </c>
      <c r="C254" t="str">
        <f t="shared" ca="1" si="12"/>
        <v>2015_LAC</v>
      </c>
      <c r="D254" s="8" t="s">
        <v>158</v>
      </c>
      <c r="E254" s="8" t="s">
        <v>186</v>
      </c>
      <c r="F254" s="8"/>
      <c r="G254" s="8"/>
      <c r="H254" s="8">
        <f t="shared" ca="1" si="13"/>
        <v>56.5</v>
      </c>
      <c r="I254" s="8" t="s">
        <v>101</v>
      </c>
      <c r="J254" s="8">
        <v>13</v>
      </c>
      <c r="K254" s="1" t="str">
        <f t="shared" ca="1" si="14"/>
        <v>U</v>
      </c>
      <c r="L254" s="7">
        <f t="shared" ca="1" si="15"/>
        <v>0</v>
      </c>
    </row>
    <row r="255" spans="1:12" ht="15" customHeight="1" x14ac:dyDescent="0.25">
      <c r="A255" s="8">
        <v>254</v>
      </c>
      <c r="B255" s="8">
        <v>314</v>
      </c>
      <c r="C255" t="str">
        <f t="shared" ca="1" si="12"/>
        <v>2015_LAL</v>
      </c>
      <c r="D255" s="8" t="s">
        <v>158</v>
      </c>
      <c r="E255" s="8" t="s">
        <v>186</v>
      </c>
      <c r="F255" s="8"/>
      <c r="G255" s="8"/>
      <c r="H255" s="8">
        <f t="shared" ca="1" si="13"/>
        <v>28.5</v>
      </c>
      <c r="I255" s="8" t="s">
        <v>100</v>
      </c>
      <c r="J255" s="7">
        <v>3</v>
      </c>
      <c r="K255" s="1" t="str">
        <f t="shared" ca="1" si="14"/>
        <v>U</v>
      </c>
      <c r="L255" s="7">
        <f t="shared" ca="1" si="15"/>
        <v>1</v>
      </c>
    </row>
    <row r="256" spans="1:12" ht="15" customHeight="1" x14ac:dyDescent="0.25">
      <c r="A256" s="8">
        <v>255</v>
      </c>
      <c r="B256" s="8">
        <v>315</v>
      </c>
      <c r="C256" t="str">
        <f t="shared" ca="1" si="12"/>
        <v>2015_MEM</v>
      </c>
      <c r="D256" s="8" t="s">
        <v>158</v>
      </c>
      <c r="E256" s="8" t="s">
        <v>186</v>
      </c>
      <c r="F256" s="8"/>
      <c r="G256" s="8"/>
      <c r="H256" s="8">
        <f t="shared" ca="1" si="13"/>
        <v>50.5</v>
      </c>
      <c r="I256" s="8" t="s">
        <v>100</v>
      </c>
      <c r="J256" s="8">
        <v>28</v>
      </c>
      <c r="K256" s="1" t="str">
        <f t="shared" ca="1" si="14"/>
        <v>U</v>
      </c>
      <c r="L256" s="7">
        <f t="shared" ca="1" si="15"/>
        <v>1</v>
      </c>
    </row>
    <row r="257" spans="1:12" ht="15" customHeight="1" x14ac:dyDescent="0.25">
      <c r="A257" s="8">
        <v>256</v>
      </c>
      <c r="B257" s="8">
        <v>316</v>
      </c>
      <c r="C257" t="str">
        <f t="shared" ca="1" si="12"/>
        <v>2015_MIA</v>
      </c>
      <c r="D257" s="8" t="s">
        <v>158</v>
      </c>
      <c r="E257" s="8" t="s">
        <v>186</v>
      </c>
      <c r="F257" s="8"/>
      <c r="G257" s="8"/>
      <c r="H257" s="8">
        <f t="shared" ca="1" si="13"/>
        <v>46.5</v>
      </c>
      <c r="I257" s="8" t="s">
        <v>101</v>
      </c>
      <c r="J257" s="8">
        <v>8</v>
      </c>
      <c r="K257" s="1" t="str">
        <f t="shared" ca="1" si="14"/>
        <v>O</v>
      </c>
      <c r="L257" s="7">
        <f t="shared" ca="1" si="15"/>
        <v>1</v>
      </c>
    </row>
    <row r="258" spans="1:12" ht="15" customHeight="1" x14ac:dyDescent="0.25">
      <c r="A258" s="8">
        <v>257</v>
      </c>
      <c r="B258" s="8">
        <v>317</v>
      </c>
      <c r="C258" t="str">
        <f t="shared" ref="C258:C321" ca="1" si="16">IFERROR(VLOOKUP($B258,nba_win_total_results,MATCH(C$1,nba_win_total_results_header,0),FALSE),"error")</f>
        <v>2015_MIL</v>
      </c>
      <c r="D258" s="8" t="s">
        <v>158</v>
      </c>
      <c r="E258" s="8" t="s">
        <v>186</v>
      </c>
      <c r="F258" s="8"/>
      <c r="G258" s="8"/>
      <c r="H258" s="8">
        <f t="shared" ref="H258:H321" ca="1" si="17">IFERROR(VLOOKUP($B258,nba_win_total_results,MATCH(H$1,nba_win_total_results_header,0),FALSE),"error")</f>
        <v>42.5</v>
      </c>
      <c r="I258" s="8" t="s">
        <v>100</v>
      </c>
      <c r="J258" s="8">
        <v>20</v>
      </c>
      <c r="K258" s="1" t="str">
        <f t="shared" ref="K258:K301" ca="1" si="18">IFERROR(IF(VLOOKUP($B258,nba_win_total_results,MATCH(K$1,nba_win_total_results_header,0),FALSE)="","",VLOOKUP($B258,nba_win_total_results,MATCH(K$1,nba_win_total_results_header,0),FALSE)),"error")</f>
        <v>U</v>
      </c>
      <c r="L258" s="7">
        <f t="shared" ref="L258:L321" ca="1" si="19">IFERROR(IF(OR(ISBLANK(I258),ISBLANK(K258),I258="",K258=""),"",IF(I258=K258,1,0)),"error")</f>
        <v>1</v>
      </c>
    </row>
    <row r="259" spans="1:12" ht="15" customHeight="1" x14ac:dyDescent="0.25">
      <c r="A259" s="8">
        <v>258</v>
      </c>
      <c r="B259" s="8">
        <v>318</v>
      </c>
      <c r="C259" t="str">
        <f t="shared" ca="1" si="16"/>
        <v>2015_MIN</v>
      </c>
      <c r="D259" s="8" t="s">
        <v>158</v>
      </c>
      <c r="E259" s="8" t="s">
        <v>186</v>
      </c>
      <c r="F259" s="8"/>
      <c r="G259" s="8"/>
      <c r="H259" s="8">
        <f t="shared" ca="1" si="17"/>
        <v>27.5</v>
      </c>
      <c r="I259" s="8" t="s">
        <v>101</v>
      </c>
      <c r="J259" s="8">
        <v>18</v>
      </c>
      <c r="K259" s="1" t="str">
        <f t="shared" ca="1" si="18"/>
        <v>O</v>
      </c>
      <c r="L259" s="7">
        <f t="shared" ca="1" si="19"/>
        <v>1</v>
      </c>
    </row>
    <row r="260" spans="1:12" ht="15" customHeight="1" x14ac:dyDescent="0.25">
      <c r="A260" s="8">
        <v>259</v>
      </c>
      <c r="B260" s="8">
        <v>319</v>
      </c>
      <c r="C260" t="str">
        <f t="shared" ca="1" si="16"/>
        <v>2015_NOP</v>
      </c>
      <c r="D260" s="8" t="s">
        <v>158</v>
      </c>
      <c r="E260" s="8" t="s">
        <v>186</v>
      </c>
      <c r="F260" s="8"/>
      <c r="G260" s="8"/>
      <c r="H260" s="8">
        <f t="shared" ca="1" si="17"/>
        <v>45</v>
      </c>
      <c r="I260" s="8" t="s">
        <v>100</v>
      </c>
      <c r="J260" s="7">
        <v>4</v>
      </c>
      <c r="K260" s="1" t="str">
        <f t="shared" ca="1" si="18"/>
        <v>U</v>
      </c>
      <c r="L260" s="7">
        <f t="shared" ca="1" si="19"/>
        <v>1</v>
      </c>
    </row>
    <row r="261" spans="1:12" ht="15" customHeight="1" x14ac:dyDescent="0.25">
      <c r="A261" s="8">
        <v>260</v>
      </c>
      <c r="B261" s="8">
        <v>320</v>
      </c>
      <c r="C261" t="str">
        <f t="shared" ca="1" si="16"/>
        <v>2015_NYK</v>
      </c>
      <c r="D261" s="8" t="s">
        <v>158</v>
      </c>
      <c r="E261" s="8" t="s">
        <v>186</v>
      </c>
      <c r="F261" s="8"/>
      <c r="G261" s="8"/>
      <c r="H261" s="8">
        <f t="shared" ca="1" si="17"/>
        <v>29.5</v>
      </c>
      <c r="I261" s="8" t="s">
        <v>100</v>
      </c>
      <c r="J261" s="8">
        <v>5</v>
      </c>
      <c r="K261" s="1" t="str">
        <f t="shared" ca="1" si="18"/>
        <v>O</v>
      </c>
      <c r="L261" s="7">
        <f t="shared" ca="1" si="19"/>
        <v>0</v>
      </c>
    </row>
    <row r="262" spans="1:12" ht="15" customHeight="1" x14ac:dyDescent="0.25">
      <c r="A262" s="8">
        <v>261</v>
      </c>
      <c r="B262" s="8">
        <v>321</v>
      </c>
      <c r="C262" t="str">
        <f t="shared" ca="1" si="16"/>
        <v>2015_OKC</v>
      </c>
      <c r="D262" s="8" t="s">
        <v>158</v>
      </c>
      <c r="E262" s="8" t="s">
        <v>186</v>
      </c>
      <c r="F262" s="8"/>
      <c r="G262" s="8"/>
      <c r="H262" s="8">
        <f t="shared" ca="1" si="17"/>
        <v>57.5</v>
      </c>
      <c r="I262" s="8" t="s">
        <v>100</v>
      </c>
      <c r="J262" s="8">
        <v>24</v>
      </c>
      <c r="K262" s="1" t="str">
        <f t="shared" ca="1" si="18"/>
        <v>U</v>
      </c>
      <c r="L262" s="7">
        <f t="shared" ca="1" si="19"/>
        <v>1</v>
      </c>
    </row>
    <row r="263" spans="1:12" ht="15" customHeight="1" x14ac:dyDescent="0.25">
      <c r="A263" s="8">
        <v>262</v>
      </c>
      <c r="B263" s="8">
        <v>322</v>
      </c>
      <c r="C263" t="str">
        <f t="shared" ca="1" si="16"/>
        <v>2015_ORL</v>
      </c>
      <c r="D263" s="8" t="s">
        <v>158</v>
      </c>
      <c r="E263" s="8" t="s">
        <v>186</v>
      </c>
      <c r="F263" s="8"/>
      <c r="G263" s="8"/>
      <c r="H263" s="8">
        <f t="shared" ca="1" si="17"/>
        <v>34.5</v>
      </c>
      <c r="I263" s="8" t="s">
        <v>101</v>
      </c>
      <c r="J263" s="7">
        <v>1</v>
      </c>
      <c r="K263" s="1" t="str">
        <f t="shared" ca="1" si="18"/>
        <v>O</v>
      </c>
      <c r="L263" s="7">
        <f t="shared" ca="1" si="19"/>
        <v>1</v>
      </c>
    </row>
    <row r="264" spans="1:12" ht="15" customHeight="1" x14ac:dyDescent="0.25">
      <c r="A264" s="8">
        <v>263</v>
      </c>
      <c r="B264" s="8">
        <v>323</v>
      </c>
      <c r="C264" t="str">
        <f t="shared" ca="1" si="16"/>
        <v>2015_PHI</v>
      </c>
      <c r="D264" s="8" t="s">
        <v>158</v>
      </c>
      <c r="E264" s="8" t="s">
        <v>186</v>
      </c>
      <c r="F264" s="8"/>
      <c r="G264" s="8"/>
      <c r="H264" s="8">
        <f t="shared" ca="1" si="17"/>
        <v>20.5</v>
      </c>
      <c r="I264" s="8" t="s">
        <v>100</v>
      </c>
      <c r="J264" s="8">
        <v>11</v>
      </c>
      <c r="K264" s="1" t="str">
        <f t="shared" ca="1" si="18"/>
        <v>U</v>
      </c>
      <c r="L264" s="7">
        <f t="shared" ca="1" si="19"/>
        <v>1</v>
      </c>
    </row>
    <row r="265" spans="1:12" ht="15" customHeight="1" x14ac:dyDescent="0.25">
      <c r="A265" s="8">
        <v>264</v>
      </c>
      <c r="B265" s="8">
        <v>324</v>
      </c>
      <c r="C265" t="str">
        <f t="shared" ca="1" si="16"/>
        <v>2015_PHO</v>
      </c>
      <c r="D265" s="8" t="s">
        <v>158</v>
      </c>
      <c r="E265" s="8" t="s">
        <v>186</v>
      </c>
      <c r="F265" s="8"/>
      <c r="G265" s="8"/>
      <c r="H265" s="8">
        <f t="shared" ca="1" si="17"/>
        <v>36.5</v>
      </c>
      <c r="I265" s="8" t="s">
        <v>100</v>
      </c>
      <c r="J265" s="8">
        <v>22</v>
      </c>
      <c r="K265" s="1" t="str">
        <f t="shared" ca="1" si="18"/>
        <v>U</v>
      </c>
      <c r="L265" s="7">
        <f t="shared" ca="1" si="19"/>
        <v>1</v>
      </c>
    </row>
    <row r="266" spans="1:12" ht="15" customHeight="1" x14ac:dyDescent="0.25">
      <c r="A266" s="8">
        <v>265</v>
      </c>
      <c r="B266" s="8">
        <v>325</v>
      </c>
      <c r="C266" t="str">
        <f t="shared" ca="1" si="16"/>
        <v>2015_POR</v>
      </c>
      <c r="D266" s="8" t="s">
        <v>158</v>
      </c>
      <c r="E266" s="8" t="s">
        <v>186</v>
      </c>
      <c r="F266" s="8"/>
      <c r="G266" s="8"/>
      <c r="H266" s="8">
        <f t="shared" ca="1" si="17"/>
        <v>28.5</v>
      </c>
      <c r="I266" s="8" t="s">
        <v>101</v>
      </c>
      <c r="J266" s="8">
        <v>27</v>
      </c>
      <c r="K266" s="1" t="str">
        <f t="shared" ca="1" si="18"/>
        <v>O</v>
      </c>
      <c r="L266" s="7">
        <f t="shared" ca="1" si="19"/>
        <v>1</v>
      </c>
    </row>
    <row r="267" spans="1:12" ht="15" customHeight="1" x14ac:dyDescent="0.25">
      <c r="A267" s="8">
        <v>266</v>
      </c>
      <c r="B267" s="8">
        <v>326</v>
      </c>
      <c r="C267" t="str">
        <f t="shared" ca="1" si="16"/>
        <v>2015_SAC</v>
      </c>
      <c r="D267" s="8" t="s">
        <v>158</v>
      </c>
      <c r="E267" s="8" t="s">
        <v>186</v>
      </c>
      <c r="F267" s="8"/>
      <c r="G267" s="8"/>
      <c r="H267" s="8">
        <f t="shared" ca="1" si="17"/>
        <v>36</v>
      </c>
      <c r="I267" s="8" t="s">
        <v>100</v>
      </c>
      <c r="J267" s="8">
        <v>25</v>
      </c>
      <c r="K267" s="1" t="str">
        <f t="shared" ca="1" si="18"/>
        <v>U</v>
      </c>
      <c r="L267" s="7">
        <f t="shared" ca="1" si="19"/>
        <v>1</v>
      </c>
    </row>
    <row r="268" spans="1:12" ht="15" customHeight="1" x14ac:dyDescent="0.25">
      <c r="A268" s="8">
        <v>267</v>
      </c>
      <c r="B268" s="8">
        <v>327</v>
      </c>
      <c r="C268" t="str">
        <f t="shared" ca="1" si="16"/>
        <v>2015_SAS</v>
      </c>
      <c r="D268" s="8" t="s">
        <v>158</v>
      </c>
      <c r="E268" s="8" t="s">
        <v>186</v>
      </c>
      <c r="F268" s="8"/>
      <c r="G268" s="8"/>
      <c r="H268" s="8">
        <f t="shared" ca="1" si="17"/>
        <v>56.5</v>
      </c>
      <c r="I268" s="8" t="s">
        <v>100</v>
      </c>
      <c r="J268" s="7">
        <v>15</v>
      </c>
      <c r="K268" s="1" t="str">
        <f t="shared" ca="1" si="18"/>
        <v>O</v>
      </c>
      <c r="L268" s="7">
        <f t="shared" ca="1" si="19"/>
        <v>0</v>
      </c>
    </row>
    <row r="269" spans="1:12" ht="15" customHeight="1" x14ac:dyDescent="0.25">
      <c r="A269" s="8">
        <v>268</v>
      </c>
      <c r="B269" s="8">
        <v>328</v>
      </c>
      <c r="C269" t="str">
        <f t="shared" ca="1" si="16"/>
        <v>2015_TOR</v>
      </c>
      <c r="D269" s="8" t="s">
        <v>158</v>
      </c>
      <c r="E269" s="8" t="s">
        <v>186</v>
      </c>
      <c r="F269" s="8"/>
      <c r="G269" s="8"/>
      <c r="H269" s="8">
        <f t="shared" ca="1" si="17"/>
        <v>46.5</v>
      </c>
      <c r="I269" s="8" t="s">
        <v>101</v>
      </c>
      <c r="J269" s="8">
        <v>16</v>
      </c>
      <c r="K269" s="1" t="str">
        <f t="shared" ca="1" si="18"/>
        <v>O</v>
      </c>
      <c r="L269" s="7">
        <f t="shared" ca="1" si="19"/>
        <v>1</v>
      </c>
    </row>
    <row r="270" spans="1:12" ht="15" customHeight="1" x14ac:dyDescent="0.25">
      <c r="A270" s="8">
        <v>269</v>
      </c>
      <c r="B270" s="8">
        <v>329</v>
      </c>
      <c r="C270" t="str">
        <f t="shared" ca="1" si="16"/>
        <v>2015_UTA</v>
      </c>
      <c r="D270" s="8" t="s">
        <v>158</v>
      </c>
      <c r="E270" s="8" t="s">
        <v>186</v>
      </c>
      <c r="F270" s="8"/>
      <c r="G270" s="8"/>
      <c r="H270" s="8">
        <f t="shared" ca="1" si="17"/>
        <v>42.5</v>
      </c>
      <c r="I270" s="8" t="s">
        <v>101</v>
      </c>
      <c r="J270" s="8">
        <v>29</v>
      </c>
      <c r="K270" s="1" t="str">
        <f t="shared" ca="1" si="18"/>
        <v>U</v>
      </c>
      <c r="L270" s="7">
        <f t="shared" ca="1" si="19"/>
        <v>0</v>
      </c>
    </row>
    <row r="271" spans="1:12" ht="15" customHeight="1" x14ac:dyDescent="0.25">
      <c r="A271" s="8">
        <v>270</v>
      </c>
      <c r="B271" s="8">
        <v>330</v>
      </c>
      <c r="C271" t="str">
        <f t="shared" ca="1" si="16"/>
        <v>2015_WAS</v>
      </c>
      <c r="D271" s="8" t="s">
        <v>158</v>
      </c>
      <c r="E271" s="8" t="s">
        <v>186</v>
      </c>
      <c r="F271" s="8"/>
      <c r="G271" s="8"/>
      <c r="H271" s="8">
        <f t="shared" ca="1" si="17"/>
        <v>45.5</v>
      </c>
      <c r="I271" s="8" t="s">
        <v>101</v>
      </c>
      <c r="J271" s="7">
        <v>12</v>
      </c>
      <c r="K271" s="1" t="str">
        <f t="shared" ca="1" si="18"/>
        <v>U</v>
      </c>
      <c r="L271" s="7">
        <f t="shared" ca="1" si="19"/>
        <v>0</v>
      </c>
    </row>
    <row r="272" spans="1:12" ht="15" customHeight="1" x14ac:dyDescent="0.25">
      <c r="A272" s="8">
        <v>271</v>
      </c>
      <c r="B272" s="8">
        <v>331</v>
      </c>
      <c r="C272" t="str">
        <f t="shared" ca="1" si="16"/>
        <v>2016_ATL</v>
      </c>
      <c r="D272" s="8" t="s">
        <v>158</v>
      </c>
      <c r="E272" s="8" t="s">
        <v>186</v>
      </c>
      <c r="F272" s="8"/>
      <c r="G272" s="8"/>
      <c r="H272" s="8">
        <f t="shared" ca="1" si="17"/>
        <v>43.5</v>
      </c>
      <c r="I272" s="8" t="s">
        <v>101</v>
      </c>
      <c r="J272" s="7">
        <v>11</v>
      </c>
      <c r="K272" s="1" t="str">
        <f t="shared" ca="1" si="18"/>
        <v>U</v>
      </c>
      <c r="L272" s="7">
        <f t="shared" ca="1" si="19"/>
        <v>0</v>
      </c>
    </row>
    <row r="273" spans="1:12" ht="15" customHeight="1" x14ac:dyDescent="0.25">
      <c r="A273" s="8">
        <v>272</v>
      </c>
      <c r="B273" s="8">
        <v>333</v>
      </c>
      <c r="C273" t="str">
        <f t="shared" ca="1" si="16"/>
        <v>2016_BRK</v>
      </c>
      <c r="D273" s="8" t="s">
        <v>158</v>
      </c>
      <c r="E273" s="8" t="s">
        <v>186</v>
      </c>
      <c r="F273" s="8"/>
      <c r="G273" s="8"/>
      <c r="H273" s="8">
        <f t="shared" ca="1" si="17"/>
        <v>21.5</v>
      </c>
      <c r="I273" s="8" t="s">
        <v>100</v>
      </c>
      <c r="J273" s="8">
        <v>7</v>
      </c>
      <c r="K273" s="1" t="str">
        <f t="shared" ca="1" si="18"/>
        <v>U</v>
      </c>
      <c r="L273" s="7">
        <f t="shared" ca="1" si="19"/>
        <v>1</v>
      </c>
    </row>
    <row r="274" spans="1:12" ht="15" customHeight="1" x14ac:dyDescent="0.25">
      <c r="A274" s="8">
        <v>273</v>
      </c>
      <c r="B274" s="8">
        <v>332</v>
      </c>
      <c r="C274" t="str">
        <f t="shared" ca="1" si="16"/>
        <v>2016_BOS</v>
      </c>
      <c r="D274" s="8" t="s">
        <v>158</v>
      </c>
      <c r="E274" s="8" t="s">
        <v>186</v>
      </c>
      <c r="F274" s="8"/>
      <c r="G274" s="8"/>
      <c r="H274" s="8">
        <f t="shared" ca="1" si="17"/>
        <v>52.5</v>
      </c>
      <c r="I274" s="8" t="s">
        <v>100</v>
      </c>
      <c r="J274" s="8">
        <v>29</v>
      </c>
      <c r="K274" s="1" t="str">
        <f t="shared" ca="1" si="18"/>
        <v>O</v>
      </c>
      <c r="L274" s="7">
        <f t="shared" ca="1" si="19"/>
        <v>0</v>
      </c>
    </row>
    <row r="275" spans="1:12" ht="15" customHeight="1" x14ac:dyDescent="0.25">
      <c r="A275" s="8">
        <v>274</v>
      </c>
      <c r="B275" s="8">
        <v>334</v>
      </c>
      <c r="C275" t="str">
        <f t="shared" ca="1" si="16"/>
        <v>2016_CHO</v>
      </c>
      <c r="D275" s="8" t="s">
        <v>158</v>
      </c>
      <c r="E275" s="8" t="s">
        <v>186</v>
      </c>
      <c r="F275" s="8"/>
      <c r="G275" s="8"/>
      <c r="H275" s="8">
        <f t="shared" ca="1" si="17"/>
        <v>42.5</v>
      </c>
      <c r="I275" s="8" t="s">
        <v>101</v>
      </c>
      <c r="J275" s="8">
        <v>1</v>
      </c>
      <c r="K275" s="1" t="str">
        <f t="shared" ca="1" si="18"/>
        <v>U</v>
      </c>
      <c r="L275" s="7">
        <f t="shared" ca="1" si="19"/>
        <v>0</v>
      </c>
    </row>
    <row r="276" spans="1:12" ht="15" customHeight="1" x14ac:dyDescent="0.25">
      <c r="A276" s="8">
        <v>275</v>
      </c>
      <c r="B276" s="8">
        <v>335</v>
      </c>
      <c r="C276" t="str">
        <f t="shared" ca="1" si="16"/>
        <v>2016_CHI</v>
      </c>
      <c r="D276" s="8" t="s">
        <v>158</v>
      </c>
      <c r="E276" s="8" t="s">
        <v>186</v>
      </c>
      <c r="F276" s="8"/>
      <c r="G276" s="8"/>
      <c r="H276" s="8">
        <f t="shared" ca="1" si="17"/>
        <v>39</v>
      </c>
      <c r="I276" s="8" t="s">
        <v>100</v>
      </c>
      <c r="J276" s="8">
        <v>19</v>
      </c>
      <c r="K276" s="1" t="str">
        <f t="shared" ca="1" si="18"/>
        <v>O</v>
      </c>
      <c r="L276" s="7">
        <f t="shared" ca="1" si="19"/>
        <v>0</v>
      </c>
    </row>
    <row r="277" spans="1:12" ht="15" customHeight="1" x14ac:dyDescent="0.25">
      <c r="A277" s="8">
        <v>276</v>
      </c>
      <c r="B277" s="8">
        <v>336</v>
      </c>
      <c r="C277" t="str">
        <f t="shared" ca="1" si="16"/>
        <v>2016_CLE</v>
      </c>
      <c r="D277" s="8" t="s">
        <v>158</v>
      </c>
      <c r="E277" s="8" t="s">
        <v>186</v>
      </c>
      <c r="F277" s="8"/>
      <c r="G277" s="8"/>
      <c r="H277" s="8">
        <f t="shared" ca="1" si="17"/>
        <v>56.5</v>
      </c>
      <c r="I277" s="8" t="s">
        <v>101</v>
      </c>
      <c r="J277" s="8">
        <v>16</v>
      </c>
      <c r="K277" s="1" t="str">
        <f t="shared" ca="1" si="18"/>
        <v>U</v>
      </c>
      <c r="L277" s="7">
        <f t="shared" ca="1" si="19"/>
        <v>0</v>
      </c>
    </row>
    <row r="278" spans="1:12" ht="15" customHeight="1" x14ac:dyDescent="0.25">
      <c r="A278" s="8">
        <v>277</v>
      </c>
      <c r="B278" s="8">
        <v>337</v>
      </c>
      <c r="C278" t="str">
        <f t="shared" ca="1" si="16"/>
        <v>2016_DAL</v>
      </c>
      <c r="D278" s="8" t="s">
        <v>158</v>
      </c>
      <c r="E278" s="8" t="s">
        <v>186</v>
      </c>
      <c r="F278" s="8"/>
      <c r="G278" s="8"/>
      <c r="H278" s="8">
        <f t="shared" ca="1" si="17"/>
        <v>39.5</v>
      </c>
      <c r="I278" s="8" t="s">
        <v>101</v>
      </c>
      <c r="J278" s="8">
        <v>15</v>
      </c>
      <c r="K278" s="1" t="str">
        <f t="shared" ca="1" si="18"/>
        <v>U</v>
      </c>
      <c r="L278" s="7">
        <f t="shared" ca="1" si="19"/>
        <v>0</v>
      </c>
    </row>
    <row r="279" spans="1:12" ht="15" customHeight="1" x14ac:dyDescent="0.25">
      <c r="A279" s="8">
        <v>278</v>
      </c>
      <c r="B279" s="8">
        <v>338</v>
      </c>
      <c r="C279" t="str">
        <f t="shared" ca="1" si="16"/>
        <v>2016_DEN</v>
      </c>
      <c r="D279" s="8" t="s">
        <v>158</v>
      </c>
      <c r="E279" s="8" t="s">
        <v>186</v>
      </c>
      <c r="F279" s="8"/>
      <c r="G279" s="8"/>
      <c r="H279" s="8">
        <f t="shared" ca="1" si="17"/>
        <v>37</v>
      </c>
      <c r="I279" s="8" t="s">
        <v>100</v>
      </c>
      <c r="J279" s="8">
        <v>18</v>
      </c>
      <c r="K279" s="1" t="str">
        <f t="shared" ca="1" si="18"/>
        <v>O</v>
      </c>
      <c r="L279" s="7">
        <f t="shared" ca="1" si="19"/>
        <v>0</v>
      </c>
    </row>
    <row r="280" spans="1:12" ht="15" customHeight="1" x14ac:dyDescent="0.25">
      <c r="A280" s="8">
        <v>279</v>
      </c>
      <c r="B280" s="8">
        <v>339</v>
      </c>
      <c r="C280" t="str">
        <f t="shared" ca="1" si="16"/>
        <v>2016_DET</v>
      </c>
      <c r="D280" s="8" t="s">
        <v>158</v>
      </c>
      <c r="E280" s="8" t="s">
        <v>186</v>
      </c>
      <c r="F280" s="8"/>
      <c r="G280" s="8"/>
      <c r="H280" s="8">
        <f t="shared" ca="1" si="17"/>
        <v>44.5</v>
      </c>
      <c r="I280" s="8" t="s">
        <v>101</v>
      </c>
      <c r="J280" s="8">
        <v>17</v>
      </c>
      <c r="K280" s="1" t="str">
        <f t="shared" ca="1" si="18"/>
        <v>U</v>
      </c>
      <c r="L280" s="7">
        <f t="shared" ca="1" si="19"/>
        <v>0</v>
      </c>
    </row>
    <row r="281" spans="1:12" ht="15" customHeight="1" x14ac:dyDescent="0.25">
      <c r="A281" s="8">
        <v>280</v>
      </c>
      <c r="B281" s="8">
        <v>340</v>
      </c>
      <c r="C281" t="str">
        <f t="shared" ca="1" si="16"/>
        <v>2016_GSW</v>
      </c>
      <c r="D281" s="8" t="s">
        <v>158</v>
      </c>
      <c r="E281" s="8" t="s">
        <v>186</v>
      </c>
      <c r="F281" s="8"/>
      <c r="G281" s="8"/>
      <c r="H281" s="8">
        <f t="shared" ca="1" si="17"/>
        <v>66.5</v>
      </c>
      <c r="I281" s="8" t="s">
        <v>101</v>
      </c>
      <c r="J281" s="7">
        <v>3</v>
      </c>
      <c r="K281" s="1" t="str">
        <f t="shared" ca="1" si="18"/>
        <v>O</v>
      </c>
      <c r="L281" s="7">
        <f t="shared" ca="1" si="19"/>
        <v>1</v>
      </c>
    </row>
    <row r="282" spans="1:12" ht="15" customHeight="1" x14ac:dyDescent="0.25">
      <c r="A282" s="8">
        <v>281</v>
      </c>
      <c r="B282" s="8">
        <v>341</v>
      </c>
      <c r="C282" t="str">
        <f t="shared" ca="1" si="16"/>
        <v>2016_HOU</v>
      </c>
      <c r="D282" s="8" t="s">
        <v>158</v>
      </c>
      <c r="E282" s="8" t="s">
        <v>186</v>
      </c>
      <c r="F282" s="8"/>
      <c r="G282" s="8"/>
      <c r="H282" s="8">
        <f t="shared" ca="1" si="17"/>
        <v>44</v>
      </c>
      <c r="I282" s="8" t="s">
        <v>101</v>
      </c>
      <c r="J282" s="8">
        <v>25</v>
      </c>
      <c r="K282" s="1" t="str">
        <f t="shared" ca="1" si="18"/>
        <v>O</v>
      </c>
      <c r="L282" s="7">
        <f t="shared" ca="1" si="19"/>
        <v>1</v>
      </c>
    </row>
    <row r="283" spans="1:12" ht="15" customHeight="1" x14ac:dyDescent="0.25">
      <c r="A283" s="8">
        <v>282</v>
      </c>
      <c r="B283" s="8">
        <v>342</v>
      </c>
      <c r="C283" t="str">
        <f t="shared" ca="1" si="16"/>
        <v>2016_IND</v>
      </c>
      <c r="D283" s="8" t="s">
        <v>158</v>
      </c>
      <c r="E283" s="8" t="s">
        <v>186</v>
      </c>
      <c r="F283" s="8"/>
      <c r="G283" s="8"/>
      <c r="H283" s="8">
        <f t="shared" ca="1" si="17"/>
        <v>44.5</v>
      </c>
      <c r="I283" s="8" t="s">
        <v>100</v>
      </c>
      <c r="J283" s="8">
        <v>30</v>
      </c>
      <c r="K283" s="1" t="str">
        <f t="shared" ca="1" si="18"/>
        <v>U</v>
      </c>
      <c r="L283" s="7">
        <f t="shared" ca="1" si="19"/>
        <v>1</v>
      </c>
    </row>
    <row r="284" spans="1:12" ht="15" customHeight="1" x14ac:dyDescent="0.25">
      <c r="A284" s="8">
        <v>283</v>
      </c>
      <c r="B284" s="8">
        <v>343</v>
      </c>
      <c r="C284" t="str">
        <f t="shared" ca="1" si="16"/>
        <v>2016_LAC</v>
      </c>
      <c r="D284" s="8" t="s">
        <v>158</v>
      </c>
      <c r="E284" s="8" t="s">
        <v>186</v>
      </c>
      <c r="F284" s="8"/>
      <c r="G284" s="8"/>
      <c r="H284" s="8">
        <f t="shared" ca="1" si="17"/>
        <v>53.5</v>
      </c>
      <c r="I284" s="8" t="s">
        <v>101</v>
      </c>
      <c r="J284" s="8">
        <v>6</v>
      </c>
      <c r="K284" s="1" t="str">
        <f t="shared" ca="1" si="18"/>
        <v>U</v>
      </c>
      <c r="L284" s="7">
        <f t="shared" ca="1" si="19"/>
        <v>0</v>
      </c>
    </row>
    <row r="285" spans="1:12" ht="15" customHeight="1" x14ac:dyDescent="0.25">
      <c r="A285" s="8">
        <v>284</v>
      </c>
      <c r="B285" s="8">
        <v>344</v>
      </c>
      <c r="C285" t="str">
        <f t="shared" ca="1" si="16"/>
        <v>2016_LAL</v>
      </c>
      <c r="D285" s="8" t="s">
        <v>158</v>
      </c>
      <c r="E285" s="8" t="s">
        <v>186</v>
      </c>
      <c r="F285" s="8"/>
      <c r="G285" s="8"/>
      <c r="H285" s="8">
        <f t="shared" ca="1" si="17"/>
        <v>24.5</v>
      </c>
      <c r="I285" s="8" t="s">
        <v>101</v>
      </c>
      <c r="J285" s="7">
        <v>28</v>
      </c>
      <c r="K285" s="1" t="str">
        <f t="shared" ca="1" si="18"/>
        <v>O</v>
      </c>
      <c r="L285" s="7">
        <f t="shared" ca="1" si="19"/>
        <v>1</v>
      </c>
    </row>
    <row r="286" spans="1:12" ht="15" customHeight="1" x14ac:dyDescent="0.25">
      <c r="A286" s="8">
        <v>285</v>
      </c>
      <c r="B286" s="8">
        <v>345</v>
      </c>
      <c r="C286" t="str">
        <f t="shared" ca="1" si="16"/>
        <v>2016_MEM</v>
      </c>
      <c r="D286" s="8" t="s">
        <v>158</v>
      </c>
      <c r="E286" s="8" t="s">
        <v>186</v>
      </c>
      <c r="F286" s="8"/>
      <c r="G286" s="8"/>
      <c r="H286" s="8">
        <f t="shared" ca="1" si="17"/>
        <v>42.5</v>
      </c>
      <c r="I286" s="8" t="s">
        <v>101</v>
      </c>
      <c r="J286" s="8">
        <v>21</v>
      </c>
      <c r="K286" s="1" t="str">
        <f t="shared" ca="1" si="18"/>
        <v>O</v>
      </c>
      <c r="L286" s="7">
        <f t="shared" ca="1" si="19"/>
        <v>1</v>
      </c>
    </row>
    <row r="287" spans="1:12" ht="15" customHeight="1" x14ac:dyDescent="0.25">
      <c r="A287" s="8">
        <v>286</v>
      </c>
      <c r="B287" s="8">
        <v>346</v>
      </c>
      <c r="C287" t="str">
        <f t="shared" ca="1" si="16"/>
        <v>2016_MIA</v>
      </c>
      <c r="D287" s="8" t="s">
        <v>158</v>
      </c>
      <c r="E287" s="8" t="s">
        <v>186</v>
      </c>
      <c r="F287" s="8"/>
      <c r="G287" s="8"/>
      <c r="H287" s="8">
        <f t="shared" ca="1" si="17"/>
        <v>34.5</v>
      </c>
      <c r="I287" s="8" t="s">
        <v>100</v>
      </c>
      <c r="J287" s="8">
        <v>8</v>
      </c>
      <c r="K287" s="1" t="str">
        <f t="shared" ca="1" si="18"/>
        <v>O</v>
      </c>
      <c r="L287" s="7">
        <f t="shared" ca="1" si="19"/>
        <v>0</v>
      </c>
    </row>
    <row r="288" spans="1:12" ht="15" customHeight="1" x14ac:dyDescent="0.25">
      <c r="A288" s="8">
        <v>287</v>
      </c>
      <c r="B288" s="8">
        <v>347</v>
      </c>
      <c r="C288" t="str">
        <f t="shared" ca="1" si="16"/>
        <v>2016_MIL</v>
      </c>
      <c r="D288" s="8" t="s">
        <v>158</v>
      </c>
      <c r="E288" s="8" t="s">
        <v>186</v>
      </c>
      <c r="F288" s="8"/>
      <c r="G288" s="8"/>
      <c r="H288" s="8">
        <f t="shared" ca="1" si="17"/>
        <v>34.5</v>
      </c>
      <c r="I288" s="8" t="s">
        <v>100</v>
      </c>
      <c r="J288" s="8">
        <v>5</v>
      </c>
      <c r="K288" s="1" t="str">
        <f t="shared" ca="1" si="18"/>
        <v>O</v>
      </c>
      <c r="L288" s="7">
        <f t="shared" ca="1" si="19"/>
        <v>0</v>
      </c>
    </row>
    <row r="289" spans="1:12" ht="15" customHeight="1" x14ac:dyDescent="0.25">
      <c r="A289" s="8">
        <v>288</v>
      </c>
      <c r="B289" s="8">
        <v>348</v>
      </c>
      <c r="C289" t="str">
        <f t="shared" ca="1" si="16"/>
        <v>2016_MIN</v>
      </c>
      <c r="D289" s="8" t="s">
        <v>158</v>
      </c>
      <c r="E289" s="8" t="s">
        <v>186</v>
      </c>
      <c r="F289" s="8"/>
      <c r="G289" s="8"/>
      <c r="H289" s="8">
        <f t="shared" ca="1" si="17"/>
        <v>41.5</v>
      </c>
      <c r="I289" s="8" t="s">
        <v>100</v>
      </c>
      <c r="J289" s="8">
        <v>26</v>
      </c>
      <c r="K289" s="1" t="str">
        <f t="shared" ca="1" si="18"/>
        <v>U</v>
      </c>
      <c r="L289" s="7">
        <f t="shared" ca="1" si="19"/>
        <v>1</v>
      </c>
    </row>
    <row r="290" spans="1:12" ht="15" customHeight="1" x14ac:dyDescent="0.25">
      <c r="A290" s="8">
        <v>289</v>
      </c>
      <c r="B290" s="8">
        <v>349</v>
      </c>
      <c r="C290" t="str">
        <f t="shared" ca="1" si="16"/>
        <v>2016_NOP</v>
      </c>
      <c r="D290" s="8" t="s">
        <v>158</v>
      </c>
      <c r="E290" s="8" t="s">
        <v>186</v>
      </c>
      <c r="F290" s="8"/>
      <c r="G290" s="8"/>
      <c r="H290" s="8">
        <f t="shared" ca="1" si="17"/>
        <v>36.5</v>
      </c>
      <c r="I290" s="8" t="s">
        <v>100</v>
      </c>
      <c r="J290" s="7">
        <v>2</v>
      </c>
      <c r="K290" s="1" t="str">
        <f t="shared" ca="1" si="18"/>
        <v>U</v>
      </c>
      <c r="L290" s="7">
        <f t="shared" ca="1" si="19"/>
        <v>1</v>
      </c>
    </row>
    <row r="291" spans="1:12" ht="15" customHeight="1" x14ac:dyDescent="0.25">
      <c r="A291" s="8">
        <v>290</v>
      </c>
      <c r="B291" s="8">
        <v>350</v>
      </c>
      <c r="C291" t="str">
        <f t="shared" ca="1" si="16"/>
        <v>2016_NYK</v>
      </c>
      <c r="D291" s="8" t="s">
        <v>158</v>
      </c>
      <c r="E291" s="8" t="s">
        <v>186</v>
      </c>
      <c r="F291" s="8"/>
      <c r="G291" s="8"/>
      <c r="H291" s="8">
        <f t="shared" ca="1" si="17"/>
        <v>38.5</v>
      </c>
      <c r="I291" s="8" t="s">
        <v>100</v>
      </c>
      <c r="J291" s="8">
        <v>22</v>
      </c>
      <c r="K291" s="1" t="str">
        <f t="shared" ca="1" si="18"/>
        <v>U</v>
      </c>
      <c r="L291" s="7">
        <f t="shared" ca="1" si="19"/>
        <v>1</v>
      </c>
    </row>
    <row r="292" spans="1:12" ht="15" customHeight="1" x14ac:dyDescent="0.25">
      <c r="A292" s="8">
        <v>291</v>
      </c>
      <c r="B292" s="8">
        <v>351</v>
      </c>
      <c r="C292" t="str">
        <f t="shared" ca="1" si="16"/>
        <v>2016_OKC</v>
      </c>
      <c r="D292" s="8" t="s">
        <v>158</v>
      </c>
      <c r="E292" s="8" t="s">
        <v>186</v>
      </c>
      <c r="F292" s="8"/>
      <c r="G292" s="8"/>
      <c r="H292" s="8">
        <f t="shared" ca="1" si="17"/>
        <v>45</v>
      </c>
      <c r="I292" s="8" t="s">
        <v>100</v>
      </c>
      <c r="J292" s="8">
        <v>23</v>
      </c>
      <c r="K292" s="1" t="str">
        <f t="shared" ca="1" si="18"/>
        <v>O</v>
      </c>
      <c r="L292" s="7">
        <f t="shared" ca="1" si="19"/>
        <v>0</v>
      </c>
    </row>
    <row r="293" spans="1:12" ht="15" customHeight="1" x14ac:dyDescent="0.25">
      <c r="A293" s="8">
        <v>292</v>
      </c>
      <c r="B293" s="8">
        <v>352</v>
      </c>
      <c r="C293" t="str">
        <f t="shared" ca="1" si="16"/>
        <v>2016_ORL</v>
      </c>
      <c r="D293" s="8" t="s">
        <v>158</v>
      </c>
      <c r="E293" s="8" t="s">
        <v>186</v>
      </c>
      <c r="F293" s="8"/>
      <c r="G293" s="8"/>
      <c r="H293" s="8">
        <f t="shared" ca="1" si="17"/>
        <v>37.5</v>
      </c>
      <c r="I293" s="8" t="s">
        <v>101</v>
      </c>
      <c r="J293" s="7">
        <v>13</v>
      </c>
      <c r="K293" s="1" t="str">
        <f t="shared" ca="1" si="18"/>
        <v>U</v>
      </c>
      <c r="L293" s="7">
        <f t="shared" ca="1" si="19"/>
        <v>0</v>
      </c>
    </row>
    <row r="294" spans="1:12" ht="15" customHeight="1" x14ac:dyDescent="0.25">
      <c r="A294" s="8">
        <v>293</v>
      </c>
      <c r="B294" s="8">
        <v>353</v>
      </c>
      <c r="C294" t="str">
        <f t="shared" ca="1" si="16"/>
        <v>2016_PHI</v>
      </c>
      <c r="D294" s="8" t="s">
        <v>158</v>
      </c>
      <c r="E294" s="8" t="s">
        <v>186</v>
      </c>
      <c r="F294" s="8"/>
      <c r="G294" s="8"/>
      <c r="H294" s="8">
        <f t="shared" ca="1" si="17"/>
        <v>23.5</v>
      </c>
      <c r="I294" s="8" t="s">
        <v>100</v>
      </c>
      <c r="J294" s="8">
        <v>9</v>
      </c>
      <c r="K294" s="1" t="str">
        <f t="shared" ca="1" si="18"/>
        <v>O</v>
      </c>
      <c r="L294" s="7">
        <f t="shared" ca="1" si="19"/>
        <v>0</v>
      </c>
    </row>
    <row r="295" spans="1:12" ht="15" customHeight="1" x14ac:dyDescent="0.25">
      <c r="A295" s="8">
        <v>294</v>
      </c>
      <c r="B295" s="8">
        <v>354</v>
      </c>
      <c r="C295" t="str">
        <f t="shared" ca="1" si="16"/>
        <v>2016_PHO</v>
      </c>
      <c r="D295" s="8" t="s">
        <v>158</v>
      </c>
      <c r="E295" s="8" t="s">
        <v>186</v>
      </c>
      <c r="F295" s="8"/>
      <c r="G295" s="8"/>
      <c r="H295" s="8">
        <f t="shared" ca="1" si="17"/>
        <v>29.5</v>
      </c>
      <c r="I295" s="8" t="s">
        <v>100</v>
      </c>
      <c r="J295" s="8">
        <v>20</v>
      </c>
      <c r="K295" s="1" t="str">
        <f t="shared" ca="1" si="18"/>
        <v>U</v>
      </c>
      <c r="L295" s="7">
        <f t="shared" ca="1" si="19"/>
        <v>1</v>
      </c>
    </row>
    <row r="296" spans="1:12" ht="15" customHeight="1" x14ac:dyDescent="0.25">
      <c r="A296" s="8">
        <v>295</v>
      </c>
      <c r="B296" s="8">
        <v>355</v>
      </c>
      <c r="C296" t="str">
        <f t="shared" ca="1" si="16"/>
        <v>2016_POR</v>
      </c>
      <c r="D296" s="8" t="s">
        <v>158</v>
      </c>
      <c r="E296" s="8" t="s">
        <v>186</v>
      </c>
      <c r="F296" s="8"/>
      <c r="G296" s="8"/>
      <c r="H296" s="8">
        <f t="shared" ca="1" si="17"/>
        <v>45.5</v>
      </c>
      <c r="I296" s="8" t="s">
        <v>101</v>
      </c>
      <c r="J296" s="8">
        <v>10</v>
      </c>
      <c r="K296" s="1" t="str">
        <f t="shared" ca="1" si="18"/>
        <v>U</v>
      </c>
      <c r="L296" s="7">
        <f t="shared" ca="1" si="19"/>
        <v>0</v>
      </c>
    </row>
    <row r="297" spans="1:12" ht="15" customHeight="1" x14ac:dyDescent="0.25">
      <c r="A297" s="8">
        <v>296</v>
      </c>
      <c r="B297" s="8">
        <v>356</v>
      </c>
      <c r="C297" t="str">
        <f t="shared" ca="1" si="16"/>
        <v>2016_SAC</v>
      </c>
      <c r="D297" s="8" t="s">
        <v>158</v>
      </c>
      <c r="E297" s="8" t="s">
        <v>186</v>
      </c>
      <c r="F297" s="8"/>
      <c r="G297" s="8"/>
      <c r="H297" s="8">
        <f t="shared" ca="1" si="17"/>
        <v>33.5</v>
      </c>
      <c r="I297" s="8" t="s">
        <v>100</v>
      </c>
      <c r="J297" s="8">
        <v>12</v>
      </c>
      <c r="K297" s="1" t="str">
        <f t="shared" ca="1" si="18"/>
        <v>U</v>
      </c>
      <c r="L297" s="7">
        <f t="shared" ca="1" si="19"/>
        <v>1</v>
      </c>
    </row>
    <row r="298" spans="1:12" ht="15" customHeight="1" x14ac:dyDescent="0.25">
      <c r="A298" s="8">
        <v>297</v>
      </c>
      <c r="B298" s="8">
        <v>357</v>
      </c>
      <c r="C298" t="str">
        <f t="shared" ca="1" si="16"/>
        <v>2016_SAS</v>
      </c>
      <c r="D298" s="8" t="s">
        <v>158</v>
      </c>
      <c r="E298" s="8" t="s">
        <v>186</v>
      </c>
      <c r="F298" s="8"/>
      <c r="G298" s="8"/>
      <c r="H298" s="8">
        <f t="shared" ca="1" si="17"/>
        <v>57.5</v>
      </c>
      <c r="I298" s="8" t="s">
        <v>101</v>
      </c>
      <c r="J298" s="7">
        <v>4</v>
      </c>
      <c r="K298" s="1" t="str">
        <f t="shared" ca="1" si="18"/>
        <v>O</v>
      </c>
      <c r="L298" s="7">
        <f t="shared" ca="1" si="19"/>
        <v>1</v>
      </c>
    </row>
    <row r="299" spans="1:12" ht="15" customHeight="1" x14ac:dyDescent="0.25">
      <c r="A299" s="8">
        <v>298</v>
      </c>
      <c r="B299" s="8">
        <v>358</v>
      </c>
      <c r="C299" t="str">
        <f t="shared" ca="1" si="16"/>
        <v>2016_TOR</v>
      </c>
      <c r="D299" s="8" t="s">
        <v>158</v>
      </c>
      <c r="E299" s="8" t="s">
        <v>186</v>
      </c>
      <c r="F299" s="8"/>
      <c r="G299" s="8"/>
      <c r="H299" s="8">
        <f t="shared" ca="1" si="17"/>
        <v>50.5</v>
      </c>
      <c r="I299" s="8" t="s">
        <v>101</v>
      </c>
      <c r="J299" s="8">
        <v>14</v>
      </c>
      <c r="K299" s="1" t="str">
        <f t="shared" ca="1" si="18"/>
        <v>O</v>
      </c>
      <c r="L299" s="7">
        <f t="shared" ca="1" si="19"/>
        <v>1</v>
      </c>
    </row>
    <row r="300" spans="1:12" ht="15" customHeight="1" x14ac:dyDescent="0.25">
      <c r="A300" s="8">
        <v>299</v>
      </c>
      <c r="B300" s="8">
        <v>359</v>
      </c>
      <c r="C300" t="str">
        <f t="shared" ca="1" si="16"/>
        <v>2016_UTA</v>
      </c>
      <c r="D300" s="8" t="s">
        <v>158</v>
      </c>
      <c r="E300" s="8" t="s">
        <v>186</v>
      </c>
      <c r="F300" s="8"/>
      <c r="G300" s="8"/>
      <c r="H300" s="8">
        <f t="shared" ca="1" si="17"/>
        <v>47.5</v>
      </c>
      <c r="I300" s="8" t="s">
        <v>100</v>
      </c>
      <c r="J300" s="8">
        <v>24</v>
      </c>
      <c r="K300" s="1" t="str">
        <f t="shared" ca="1" si="18"/>
        <v>O</v>
      </c>
      <c r="L300" s="7">
        <f t="shared" ca="1" si="19"/>
        <v>0</v>
      </c>
    </row>
    <row r="301" spans="1:12" ht="15" customHeight="1" x14ac:dyDescent="0.25">
      <c r="A301" s="8">
        <v>300</v>
      </c>
      <c r="B301" s="8">
        <v>360</v>
      </c>
      <c r="C301" t="str">
        <f t="shared" ca="1" si="16"/>
        <v>2016_WAS</v>
      </c>
      <c r="D301" s="8" t="s">
        <v>158</v>
      </c>
      <c r="E301" s="8" t="s">
        <v>186</v>
      </c>
      <c r="F301" s="8"/>
      <c r="G301" s="8"/>
      <c r="H301" s="8">
        <f t="shared" ca="1" si="17"/>
        <v>42.5</v>
      </c>
      <c r="I301" s="8" t="s">
        <v>100</v>
      </c>
      <c r="J301" s="7">
        <v>27</v>
      </c>
      <c r="K301" s="1" t="str">
        <f t="shared" ca="1" si="18"/>
        <v>O</v>
      </c>
      <c r="L301" s="7">
        <f t="shared" ca="1" si="19"/>
        <v>0</v>
      </c>
    </row>
    <row r="302" spans="1:12" ht="15" customHeight="1" x14ac:dyDescent="0.25">
      <c r="A302">
        <v>361</v>
      </c>
      <c r="B302" s="8">
        <v>361</v>
      </c>
      <c r="C302" t="str">
        <f t="shared" ca="1" si="16"/>
        <v>2017_ATL</v>
      </c>
      <c r="D302" s="8" t="s">
        <v>157</v>
      </c>
      <c r="E302" s="8">
        <v>27</v>
      </c>
      <c r="F302" s="8">
        <v>22</v>
      </c>
      <c r="G302" s="8">
        <v>32</v>
      </c>
      <c r="H302" s="8">
        <f t="shared" ca="1" si="17"/>
        <v>25.5</v>
      </c>
      <c r="I302" s="8" t="s">
        <v>101</v>
      </c>
      <c r="J302">
        <v>0.51</v>
      </c>
      <c r="L302" s="7" t="str">
        <f t="shared" si="19"/>
        <v/>
      </c>
    </row>
    <row r="303" spans="1:12" ht="15" customHeight="1" x14ac:dyDescent="0.25">
      <c r="A303">
        <v>362</v>
      </c>
      <c r="B303" s="8">
        <v>362</v>
      </c>
      <c r="C303" t="str">
        <f t="shared" ca="1" si="16"/>
        <v>2017_BOS</v>
      </c>
      <c r="D303" s="8" t="s">
        <v>157</v>
      </c>
      <c r="E303" s="8">
        <v>50</v>
      </c>
      <c r="F303" s="8">
        <v>56</v>
      </c>
      <c r="G303" s="8">
        <v>48</v>
      </c>
      <c r="H303" s="8">
        <f t="shared" ca="1" si="17"/>
        <v>56.5</v>
      </c>
      <c r="I303" t="s">
        <v>101</v>
      </c>
      <c r="J303">
        <v>0.55000000000000004</v>
      </c>
      <c r="L303" s="7" t="str">
        <f t="shared" si="19"/>
        <v/>
      </c>
    </row>
    <row r="304" spans="1:12" ht="15" customHeight="1" x14ac:dyDescent="0.25">
      <c r="A304">
        <v>363</v>
      </c>
      <c r="B304" s="8">
        <v>363</v>
      </c>
      <c r="C304" t="str">
        <f t="shared" ca="1" si="16"/>
        <v>2017_BRK</v>
      </c>
      <c r="D304" s="8" t="s">
        <v>157</v>
      </c>
      <c r="E304" s="8">
        <v>26</v>
      </c>
      <c r="F304" s="8">
        <v>31</v>
      </c>
      <c r="G304" s="8">
        <v>20</v>
      </c>
      <c r="H304" s="8">
        <f t="shared" ca="1" si="17"/>
        <v>28.5</v>
      </c>
      <c r="I304" t="s">
        <v>100</v>
      </c>
      <c r="J304">
        <v>0.55000000000000004</v>
      </c>
      <c r="L304" s="7" t="str">
        <f t="shared" si="19"/>
        <v/>
      </c>
    </row>
    <row r="305" spans="1:12" ht="15" customHeight="1" x14ac:dyDescent="0.25">
      <c r="A305">
        <v>364</v>
      </c>
      <c r="B305" s="8">
        <v>364</v>
      </c>
      <c r="C305" t="str">
        <f t="shared" ca="1" si="16"/>
        <v>2017_CHO</v>
      </c>
      <c r="D305" s="8" t="s">
        <v>157</v>
      </c>
      <c r="E305" s="8">
        <v>45</v>
      </c>
      <c r="F305" s="8">
        <v>47</v>
      </c>
      <c r="G305" s="8">
        <v>37</v>
      </c>
      <c r="H305" s="8">
        <f t="shared" ca="1" si="17"/>
        <v>42.5</v>
      </c>
      <c r="I305" t="s">
        <v>101</v>
      </c>
      <c r="J305">
        <v>0.56000000000000005</v>
      </c>
      <c r="L305" s="7" t="str">
        <f t="shared" si="19"/>
        <v/>
      </c>
    </row>
    <row r="306" spans="1:12" ht="15" customHeight="1" x14ac:dyDescent="0.25">
      <c r="A306">
        <v>365</v>
      </c>
      <c r="B306" s="8">
        <v>365</v>
      </c>
      <c r="C306" t="str">
        <f t="shared" ca="1" si="16"/>
        <v>2017_CHI</v>
      </c>
      <c r="D306" s="8" t="s">
        <v>157</v>
      </c>
      <c r="E306" s="8">
        <v>24</v>
      </c>
      <c r="F306" s="8">
        <v>16</v>
      </c>
      <c r="G306" s="8">
        <v>25</v>
      </c>
      <c r="H306" s="8">
        <f t="shared" ca="1" si="17"/>
        <v>21.5</v>
      </c>
      <c r="I306" t="s">
        <v>101</v>
      </c>
      <c r="J306">
        <v>0.55000000000000004</v>
      </c>
      <c r="L306" s="7" t="str">
        <f t="shared" si="19"/>
        <v/>
      </c>
    </row>
    <row r="307" spans="1:12" ht="15" customHeight="1" x14ac:dyDescent="0.25">
      <c r="A307">
        <v>366</v>
      </c>
      <c r="B307" s="8">
        <v>366</v>
      </c>
      <c r="C307" t="str">
        <f t="shared" ca="1" si="16"/>
        <v>2017_CLE</v>
      </c>
      <c r="D307" s="8" t="s">
        <v>157</v>
      </c>
      <c r="E307" s="8">
        <v>52</v>
      </c>
      <c r="F307" s="8">
        <v>49</v>
      </c>
      <c r="G307" s="8">
        <v>57</v>
      </c>
      <c r="H307" s="8">
        <f t="shared" ca="1" si="17"/>
        <v>53.5</v>
      </c>
      <c r="I307" t="s">
        <v>100</v>
      </c>
      <c r="J307">
        <v>0.51</v>
      </c>
      <c r="L307" s="7" t="str">
        <f t="shared" si="19"/>
        <v/>
      </c>
    </row>
    <row r="308" spans="1:12" ht="15" customHeight="1" x14ac:dyDescent="0.25">
      <c r="A308">
        <v>367</v>
      </c>
      <c r="B308" s="8">
        <v>367</v>
      </c>
      <c r="C308" t="str">
        <f t="shared" ca="1" si="16"/>
        <v>2017_DAL</v>
      </c>
      <c r="D308" s="8" t="s">
        <v>157</v>
      </c>
      <c r="E308" s="8">
        <v>34</v>
      </c>
      <c r="F308" s="8">
        <v>29</v>
      </c>
      <c r="G308" s="8">
        <v>37</v>
      </c>
      <c r="H308" s="8">
        <f t="shared" ca="1" si="17"/>
        <v>35.5</v>
      </c>
      <c r="I308" t="s">
        <v>100</v>
      </c>
      <c r="J308">
        <v>0.56999999999999995</v>
      </c>
      <c r="L308" s="7" t="str">
        <f t="shared" si="19"/>
        <v/>
      </c>
    </row>
    <row r="309" spans="1:12" ht="15" customHeight="1" x14ac:dyDescent="0.25">
      <c r="A309">
        <v>368</v>
      </c>
      <c r="B309" s="8">
        <v>368</v>
      </c>
      <c r="C309" t="str">
        <f t="shared" ca="1" si="16"/>
        <v>2017_DEN</v>
      </c>
      <c r="D309" s="8" t="s">
        <v>157</v>
      </c>
      <c r="E309" s="8">
        <v>45</v>
      </c>
      <c r="F309" s="8">
        <v>41</v>
      </c>
      <c r="G309" s="8">
        <v>49</v>
      </c>
      <c r="H309" s="8">
        <f t="shared" ca="1" si="17"/>
        <v>45.5</v>
      </c>
      <c r="I309" t="s">
        <v>100</v>
      </c>
      <c r="J309">
        <v>0.51</v>
      </c>
      <c r="L309" s="7" t="str">
        <f t="shared" si="19"/>
        <v/>
      </c>
    </row>
    <row r="310" spans="1:12" ht="15" customHeight="1" x14ac:dyDescent="0.25">
      <c r="A310">
        <v>369</v>
      </c>
      <c r="B310" s="8">
        <v>369</v>
      </c>
      <c r="C310" t="str">
        <f t="shared" ca="1" si="16"/>
        <v>2017_DET</v>
      </c>
      <c r="D310" s="8" t="s">
        <v>157</v>
      </c>
      <c r="E310" s="8">
        <v>35</v>
      </c>
      <c r="F310" s="8">
        <v>34</v>
      </c>
      <c r="G310" s="8">
        <v>41</v>
      </c>
      <c r="H310" s="8">
        <f t="shared" ca="1" si="17"/>
        <v>38.5</v>
      </c>
      <c r="I310" t="s">
        <v>100</v>
      </c>
      <c r="J310">
        <v>0.53</v>
      </c>
      <c r="L310" s="7" t="str">
        <f t="shared" si="19"/>
        <v/>
      </c>
    </row>
    <row r="311" spans="1:12" ht="15" customHeight="1" x14ac:dyDescent="0.25">
      <c r="A311">
        <v>370</v>
      </c>
      <c r="B311" s="8">
        <v>370</v>
      </c>
      <c r="C311" t="str">
        <f t="shared" ca="1" si="16"/>
        <v>2017_GSW</v>
      </c>
      <c r="D311" s="8" t="s">
        <v>157</v>
      </c>
      <c r="E311" s="8">
        <v>69</v>
      </c>
      <c r="F311" s="8">
        <v>65</v>
      </c>
      <c r="G311" s="8">
        <v>73</v>
      </c>
      <c r="H311" s="8">
        <f t="shared" ca="1" si="17"/>
        <v>67.5</v>
      </c>
      <c r="I311" t="s">
        <v>101</v>
      </c>
      <c r="J311">
        <v>0.65</v>
      </c>
      <c r="L311" s="7" t="str">
        <f t="shared" si="19"/>
        <v/>
      </c>
    </row>
    <row r="312" spans="1:12" ht="15" customHeight="1" x14ac:dyDescent="0.25">
      <c r="A312">
        <v>371</v>
      </c>
      <c r="B312" s="8">
        <v>371</v>
      </c>
      <c r="C312" t="str">
        <f t="shared" ca="1" si="16"/>
        <v>2017_HOU</v>
      </c>
      <c r="D312" s="8" t="s">
        <v>157</v>
      </c>
      <c r="E312" s="8">
        <v>58</v>
      </c>
      <c r="F312" s="8">
        <v>51</v>
      </c>
      <c r="G312" s="8">
        <v>61</v>
      </c>
      <c r="H312" s="8">
        <f t="shared" ca="1" si="17"/>
        <v>55.5</v>
      </c>
      <c r="I312" t="s">
        <v>101</v>
      </c>
      <c r="J312">
        <v>0.61</v>
      </c>
      <c r="L312" s="7" t="str">
        <f t="shared" si="19"/>
        <v/>
      </c>
    </row>
    <row r="313" spans="1:12" ht="15" customHeight="1" x14ac:dyDescent="0.25">
      <c r="A313">
        <v>372</v>
      </c>
      <c r="B313" s="8">
        <v>372</v>
      </c>
      <c r="C313" t="str">
        <f t="shared" ca="1" si="16"/>
        <v>2017_IND</v>
      </c>
      <c r="D313" s="8" t="s">
        <v>157</v>
      </c>
      <c r="E313" s="8">
        <v>34</v>
      </c>
      <c r="F313" s="8">
        <v>29</v>
      </c>
      <c r="G313" s="8">
        <v>38</v>
      </c>
      <c r="H313" s="8">
        <f t="shared" ca="1" si="17"/>
        <v>31.5</v>
      </c>
      <c r="I313" t="s">
        <v>101</v>
      </c>
      <c r="J313">
        <v>0.56000000000000005</v>
      </c>
      <c r="L313" s="7" t="str">
        <f t="shared" si="19"/>
        <v/>
      </c>
    </row>
    <row r="314" spans="1:12" ht="15" customHeight="1" x14ac:dyDescent="0.25">
      <c r="A314">
        <v>373</v>
      </c>
      <c r="B314" s="8">
        <v>373</v>
      </c>
      <c r="C314" t="str">
        <f t="shared" ca="1" si="16"/>
        <v>2017_LAC</v>
      </c>
      <c r="D314" s="8" t="s">
        <v>157</v>
      </c>
      <c r="E314" s="8">
        <v>46</v>
      </c>
      <c r="F314" s="8">
        <v>40</v>
      </c>
      <c r="G314" s="8">
        <v>47</v>
      </c>
      <c r="H314" s="8">
        <f t="shared" ca="1" si="17"/>
        <v>43.5</v>
      </c>
      <c r="I314" t="s">
        <v>101</v>
      </c>
      <c r="J314">
        <v>0.57999999999999996</v>
      </c>
      <c r="L314" s="7" t="str">
        <f t="shared" si="19"/>
        <v/>
      </c>
    </row>
    <row r="315" spans="1:12" ht="15" customHeight="1" x14ac:dyDescent="0.25">
      <c r="A315">
        <v>374</v>
      </c>
      <c r="B315" s="8">
        <v>374</v>
      </c>
      <c r="C315" t="str">
        <f t="shared" ca="1" si="16"/>
        <v>2017_LAL</v>
      </c>
      <c r="D315" s="8" t="s">
        <v>157</v>
      </c>
      <c r="E315" s="8">
        <v>30</v>
      </c>
      <c r="F315" s="8">
        <v>24</v>
      </c>
      <c r="G315" s="8">
        <v>32</v>
      </c>
      <c r="H315" s="8">
        <f t="shared" ca="1" si="17"/>
        <v>33.5</v>
      </c>
      <c r="I315" t="s">
        <v>100</v>
      </c>
      <c r="J315">
        <v>0.52</v>
      </c>
      <c r="L315" s="7" t="str">
        <f t="shared" si="19"/>
        <v/>
      </c>
    </row>
    <row r="316" spans="1:12" ht="15" customHeight="1" x14ac:dyDescent="0.25">
      <c r="A316">
        <v>375</v>
      </c>
      <c r="B316" s="8">
        <v>375</v>
      </c>
      <c r="C316" t="str">
        <f t="shared" ca="1" si="16"/>
        <v>2017_MEM</v>
      </c>
      <c r="D316" s="8" t="s">
        <v>157</v>
      </c>
      <c r="E316" s="8">
        <v>36</v>
      </c>
      <c r="F316" s="8">
        <v>33</v>
      </c>
      <c r="G316" s="8">
        <v>43</v>
      </c>
      <c r="H316" s="8">
        <f t="shared" ca="1" si="17"/>
        <v>37.5</v>
      </c>
      <c r="I316" t="s">
        <v>100</v>
      </c>
      <c r="J316">
        <v>0.57999999999999996</v>
      </c>
      <c r="L316" s="7" t="str">
        <f t="shared" si="19"/>
        <v/>
      </c>
    </row>
    <row r="317" spans="1:12" ht="15" customHeight="1" x14ac:dyDescent="0.25">
      <c r="A317">
        <v>376</v>
      </c>
      <c r="B317" s="8">
        <v>376</v>
      </c>
      <c r="C317" t="str">
        <f t="shared" ca="1" si="16"/>
        <v>2017_MIA</v>
      </c>
      <c r="D317" s="8" t="s">
        <v>157</v>
      </c>
      <c r="E317" s="8">
        <v>47</v>
      </c>
      <c r="F317" s="8">
        <v>39</v>
      </c>
      <c r="G317" s="8">
        <v>48</v>
      </c>
      <c r="H317" s="8">
        <f t="shared" ca="1" si="17"/>
        <v>43.5</v>
      </c>
      <c r="I317" t="s">
        <v>101</v>
      </c>
      <c r="J317">
        <v>0.62</v>
      </c>
      <c r="L317" s="7" t="str">
        <f t="shared" si="19"/>
        <v/>
      </c>
    </row>
    <row r="318" spans="1:12" ht="15" customHeight="1" x14ac:dyDescent="0.25">
      <c r="A318">
        <v>377</v>
      </c>
      <c r="B318" s="8">
        <v>377</v>
      </c>
      <c r="C318" t="str">
        <f t="shared" ca="1" si="16"/>
        <v>2017_MIL</v>
      </c>
      <c r="D318" s="8" t="s">
        <v>157</v>
      </c>
      <c r="E318" s="8">
        <v>47</v>
      </c>
      <c r="F318" s="8">
        <v>41</v>
      </c>
      <c r="G318" s="8">
        <v>51</v>
      </c>
      <c r="H318" s="8">
        <f t="shared" ca="1" si="17"/>
        <v>47.5</v>
      </c>
      <c r="I318" t="s">
        <v>100</v>
      </c>
      <c r="J318">
        <v>0.52</v>
      </c>
      <c r="L318" s="7" t="str">
        <f t="shared" si="19"/>
        <v/>
      </c>
    </row>
    <row r="319" spans="1:12" ht="15" customHeight="1" x14ac:dyDescent="0.25">
      <c r="A319">
        <v>378</v>
      </c>
      <c r="B319" s="8">
        <v>378</v>
      </c>
      <c r="C319" t="str">
        <f t="shared" ca="1" si="16"/>
        <v>2017_MIN</v>
      </c>
      <c r="D319" s="8" t="s">
        <v>157</v>
      </c>
      <c r="E319" s="8">
        <v>46</v>
      </c>
      <c r="F319" s="8">
        <v>41</v>
      </c>
      <c r="G319" s="8">
        <v>48</v>
      </c>
      <c r="H319" s="8">
        <f t="shared" ca="1" si="17"/>
        <v>48.5</v>
      </c>
      <c r="I319" t="s">
        <v>100</v>
      </c>
      <c r="J319">
        <v>0.65</v>
      </c>
      <c r="L319" s="7" t="str">
        <f t="shared" si="19"/>
        <v/>
      </c>
    </row>
    <row r="320" spans="1:12" ht="15" customHeight="1" x14ac:dyDescent="0.25">
      <c r="A320">
        <v>379</v>
      </c>
      <c r="B320" s="8">
        <v>379</v>
      </c>
      <c r="C320" t="str">
        <f t="shared" ca="1" si="16"/>
        <v>2017_NOP</v>
      </c>
      <c r="D320" s="8" t="s">
        <v>157</v>
      </c>
      <c r="E320" s="8">
        <v>36</v>
      </c>
      <c r="F320" s="8">
        <v>26</v>
      </c>
      <c r="G320" s="8">
        <v>37</v>
      </c>
      <c r="H320" s="8">
        <f t="shared" ca="1" si="17"/>
        <v>39.5</v>
      </c>
      <c r="I320" t="s">
        <v>100</v>
      </c>
      <c r="J320">
        <v>0.68</v>
      </c>
      <c r="L320" s="7" t="str">
        <f t="shared" si="19"/>
        <v/>
      </c>
    </row>
    <row r="321" spans="1:12" ht="15" customHeight="1" x14ac:dyDescent="0.25">
      <c r="A321">
        <v>380</v>
      </c>
      <c r="B321" s="8">
        <v>380</v>
      </c>
      <c r="C321" t="str">
        <f t="shared" ca="1" si="16"/>
        <v>2017_NYK</v>
      </c>
      <c r="D321" s="8" t="s">
        <v>157</v>
      </c>
      <c r="E321" s="8">
        <v>25</v>
      </c>
      <c r="F321" s="8">
        <v>20</v>
      </c>
      <c r="G321" s="8">
        <v>30</v>
      </c>
      <c r="H321" s="8">
        <f t="shared" ca="1" si="17"/>
        <v>30.5</v>
      </c>
      <c r="I321" t="s">
        <v>100</v>
      </c>
      <c r="J321">
        <v>0.7</v>
      </c>
      <c r="L321" s="7" t="str">
        <f t="shared" si="19"/>
        <v/>
      </c>
    </row>
    <row r="322" spans="1:12" ht="15" customHeight="1" x14ac:dyDescent="0.25">
      <c r="A322">
        <v>381</v>
      </c>
      <c r="B322" s="8">
        <v>381</v>
      </c>
      <c r="C322" t="str">
        <f t="shared" ref="C322:C361" ca="1" si="20">IFERROR(VLOOKUP($B322,nba_win_total_results,MATCH(C$1,nba_win_total_results_header,0),FALSE),"error")</f>
        <v>2017_OKC</v>
      </c>
      <c r="D322" s="8" t="s">
        <v>157</v>
      </c>
      <c r="E322" s="8">
        <v>55</v>
      </c>
      <c r="F322" s="8">
        <v>49</v>
      </c>
      <c r="G322" s="8">
        <v>58</v>
      </c>
      <c r="H322" s="8">
        <f t="shared" ref="H322:H361" ca="1" si="21">IFERROR(VLOOKUP($B322,nba_win_total_results,MATCH(H$1,nba_win_total_results_header,0),FALSE),"error")</f>
        <v>51.5</v>
      </c>
      <c r="I322" t="s">
        <v>101</v>
      </c>
      <c r="J322">
        <v>0.67</v>
      </c>
      <c r="L322" s="7" t="str">
        <f t="shared" ref="L322:L331" si="22">IFERROR(IF(OR(ISBLANK(I322),ISBLANK(K322),I322="",K322=""),"",IF(I322=K322,1,0)),"error")</f>
        <v/>
      </c>
    </row>
    <row r="323" spans="1:12" ht="15" customHeight="1" x14ac:dyDescent="0.25">
      <c r="A323">
        <v>382</v>
      </c>
      <c r="B323" s="8">
        <v>382</v>
      </c>
      <c r="C323" t="str">
        <f t="shared" ca="1" si="20"/>
        <v>2017_ORL</v>
      </c>
      <c r="D323" s="8" t="s">
        <v>157</v>
      </c>
      <c r="E323" s="8">
        <v>31</v>
      </c>
      <c r="F323" s="8">
        <v>26</v>
      </c>
      <c r="G323" s="8">
        <v>26</v>
      </c>
      <c r="H323" s="8">
        <f t="shared" ca="1" si="21"/>
        <v>33.5</v>
      </c>
      <c r="I323" t="s">
        <v>100</v>
      </c>
      <c r="J323">
        <v>0.51</v>
      </c>
      <c r="L323" s="7" t="str">
        <f t="shared" si="22"/>
        <v/>
      </c>
    </row>
    <row r="324" spans="1:12" ht="15" customHeight="1" x14ac:dyDescent="0.25">
      <c r="A324">
        <v>383</v>
      </c>
      <c r="B324" s="8">
        <v>383</v>
      </c>
      <c r="C324" t="str">
        <f t="shared" ca="1" si="20"/>
        <v>2017_PHI</v>
      </c>
      <c r="D324" s="8" t="s">
        <v>157</v>
      </c>
      <c r="E324" s="8">
        <v>37</v>
      </c>
      <c r="F324" s="8">
        <v>29</v>
      </c>
      <c r="G324" s="8">
        <v>41</v>
      </c>
      <c r="H324" s="8">
        <f t="shared" ca="1" si="21"/>
        <v>42.5</v>
      </c>
      <c r="I324" t="s">
        <v>100</v>
      </c>
      <c r="J324">
        <v>0.63</v>
      </c>
      <c r="L324" s="7" t="str">
        <f t="shared" si="22"/>
        <v/>
      </c>
    </row>
    <row r="325" spans="1:12" ht="15" customHeight="1" x14ac:dyDescent="0.25">
      <c r="A325">
        <v>384</v>
      </c>
      <c r="B325" s="8">
        <v>384</v>
      </c>
      <c r="C325" t="str">
        <f t="shared" ca="1" si="20"/>
        <v>2017_PHO</v>
      </c>
      <c r="D325" s="8" t="s">
        <v>157</v>
      </c>
      <c r="E325" s="8">
        <v>24</v>
      </c>
      <c r="F325" s="8">
        <v>21</v>
      </c>
      <c r="G325" s="8">
        <v>29</v>
      </c>
      <c r="H325" s="8">
        <f t="shared" ca="1" si="21"/>
        <v>28.5</v>
      </c>
      <c r="I325" t="s">
        <v>100</v>
      </c>
      <c r="J325">
        <v>0.64</v>
      </c>
      <c r="L325" s="7" t="str">
        <f t="shared" si="22"/>
        <v/>
      </c>
    </row>
    <row r="326" spans="1:12" ht="15" customHeight="1" x14ac:dyDescent="0.25">
      <c r="A326">
        <v>385</v>
      </c>
      <c r="B326" s="8">
        <v>385</v>
      </c>
      <c r="C326" t="str">
        <f t="shared" ca="1" si="20"/>
        <v>2017_POR</v>
      </c>
      <c r="D326" s="8" t="s">
        <v>157</v>
      </c>
      <c r="E326" s="8">
        <v>41</v>
      </c>
      <c r="F326" s="8">
        <v>39</v>
      </c>
      <c r="G326" s="8">
        <v>45</v>
      </c>
      <c r="H326" s="8">
        <f t="shared" ca="1" si="21"/>
        <v>42.5</v>
      </c>
      <c r="I326" t="s">
        <v>101</v>
      </c>
      <c r="J326">
        <v>0.57999999999999996</v>
      </c>
      <c r="L326" s="7" t="str">
        <f t="shared" si="22"/>
        <v/>
      </c>
    </row>
    <row r="327" spans="1:12" ht="15" customHeight="1" x14ac:dyDescent="0.25">
      <c r="A327">
        <v>386</v>
      </c>
      <c r="B327" s="8">
        <v>386</v>
      </c>
      <c r="C327" t="str">
        <f t="shared" ca="1" si="20"/>
        <v>2017_SAC</v>
      </c>
      <c r="D327" s="8" t="s">
        <v>157</v>
      </c>
      <c r="E327" s="8">
        <v>24</v>
      </c>
      <c r="F327" s="8">
        <v>20</v>
      </c>
      <c r="G327" s="8">
        <v>29</v>
      </c>
      <c r="H327" s="8">
        <f t="shared" ca="1" si="21"/>
        <v>28.5</v>
      </c>
      <c r="I327" t="s">
        <v>101</v>
      </c>
      <c r="J327">
        <v>0.52</v>
      </c>
      <c r="L327" s="7" t="str">
        <f t="shared" si="22"/>
        <v/>
      </c>
    </row>
    <row r="328" spans="1:12" ht="15" customHeight="1" x14ac:dyDescent="0.25">
      <c r="A328">
        <v>387</v>
      </c>
      <c r="B328" s="8">
        <v>387</v>
      </c>
      <c r="C328" t="str">
        <f t="shared" ca="1" si="20"/>
        <v>2017_SAS</v>
      </c>
      <c r="D328" s="8" t="s">
        <v>157</v>
      </c>
      <c r="E328" s="8">
        <v>56</v>
      </c>
      <c r="F328" s="8">
        <v>50</v>
      </c>
      <c r="G328" s="8">
        <v>60</v>
      </c>
      <c r="H328" s="8">
        <f t="shared" ca="1" si="21"/>
        <v>54.5</v>
      </c>
      <c r="I328" t="s">
        <v>101</v>
      </c>
      <c r="J328">
        <v>0.57999999999999996</v>
      </c>
      <c r="L328" s="7" t="str">
        <f t="shared" si="22"/>
        <v/>
      </c>
    </row>
    <row r="329" spans="1:12" ht="15" customHeight="1" x14ac:dyDescent="0.25">
      <c r="A329">
        <v>388</v>
      </c>
      <c r="B329" s="8">
        <v>388</v>
      </c>
      <c r="C329" t="str">
        <f t="shared" ca="1" si="20"/>
        <v>2017_TOR</v>
      </c>
      <c r="D329" s="8" t="s">
        <v>157</v>
      </c>
      <c r="E329" s="8">
        <v>51</v>
      </c>
      <c r="F329" s="8">
        <v>44</v>
      </c>
      <c r="G329" s="8">
        <v>53</v>
      </c>
      <c r="H329" s="8">
        <f t="shared" ca="1" si="21"/>
        <v>48.5</v>
      </c>
      <c r="I329" t="s">
        <v>101</v>
      </c>
      <c r="J329">
        <v>0.55000000000000004</v>
      </c>
      <c r="L329" s="7" t="str">
        <f t="shared" si="22"/>
        <v/>
      </c>
    </row>
    <row r="330" spans="1:12" ht="15" customHeight="1" x14ac:dyDescent="0.25">
      <c r="A330">
        <v>389</v>
      </c>
      <c r="B330" s="8">
        <v>389</v>
      </c>
      <c r="C330" t="str">
        <f t="shared" ca="1" si="20"/>
        <v>2017_UTA</v>
      </c>
      <c r="D330" s="8" t="s">
        <v>157</v>
      </c>
      <c r="E330" s="8">
        <v>44</v>
      </c>
      <c r="F330" s="8">
        <v>38</v>
      </c>
      <c r="G330" s="8">
        <v>44</v>
      </c>
      <c r="H330" s="8">
        <f t="shared" ca="1" si="21"/>
        <v>40.5</v>
      </c>
      <c r="I330" t="s">
        <v>101</v>
      </c>
      <c r="J330">
        <v>0.6</v>
      </c>
      <c r="L330" s="7" t="str">
        <f t="shared" si="22"/>
        <v/>
      </c>
    </row>
    <row r="331" spans="1:12" ht="15" customHeight="1" x14ac:dyDescent="0.25">
      <c r="A331">
        <v>390</v>
      </c>
      <c r="B331" s="8">
        <v>390</v>
      </c>
      <c r="C331" t="str">
        <f t="shared" ca="1" si="20"/>
        <v>2017_WAS</v>
      </c>
      <c r="D331" s="8" t="s">
        <v>157</v>
      </c>
      <c r="E331" s="8">
        <v>46</v>
      </c>
      <c r="F331" s="8">
        <v>45</v>
      </c>
      <c r="G331" s="8">
        <v>50</v>
      </c>
      <c r="H331" s="8">
        <f t="shared" ca="1" si="21"/>
        <v>47.5</v>
      </c>
      <c r="I331" t="s">
        <v>100</v>
      </c>
      <c r="J331">
        <v>0.54</v>
      </c>
      <c r="L331" s="7" t="str">
        <f t="shared" si="22"/>
        <v/>
      </c>
    </row>
    <row r="332" spans="1:12" ht="15" customHeight="1" x14ac:dyDescent="0.25">
      <c r="A332">
        <v>391</v>
      </c>
      <c r="B332" s="8">
        <v>361</v>
      </c>
      <c r="C332" t="str">
        <f t="shared" ca="1" si="20"/>
        <v>2017_ATL</v>
      </c>
      <c r="D332" s="8" t="s">
        <v>158</v>
      </c>
      <c r="E332" s="18">
        <v>27</v>
      </c>
      <c r="H332" s="8">
        <f t="shared" ca="1" si="21"/>
        <v>25.5</v>
      </c>
      <c r="I332" s="18" t="s">
        <v>101</v>
      </c>
      <c r="J332" s="19">
        <v>0.57999999999999996</v>
      </c>
    </row>
    <row r="333" spans="1:12" ht="15" customHeight="1" x14ac:dyDescent="0.25">
      <c r="A333">
        <v>392</v>
      </c>
      <c r="B333" s="8">
        <v>362</v>
      </c>
      <c r="C333" t="str">
        <f t="shared" ca="1" si="20"/>
        <v>2017_BOS</v>
      </c>
      <c r="D333" s="8" t="s">
        <v>158</v>
      </c>
      <c r="E333" s="18">
        <v>58</v>
      </c>
      <c r="H333" s="8">
        <f t="shared" ca="1" si="21"/>
        <v>56.5</v>
      </c>
      <c r="I333" s="18" t="s">
        <v>101</v>
      </c>
      <c r="J333" s="19">
        <v>0.56999999999999995</v>
      </c>
    </row>
    <row r="334" spans="1:12" ht="15" customHeight="1" x14ac:dyDescent="0.25">
      <c r="A334">
        <v>393</v>
      </c>
      <c r="B334" s="8">
        <v>363</v>
      </c>
      <c r="C334" t="str">
        <f t="shared" ca="1" si="20"/>
        <v>2017_BRK</v>
      </c>
      <c r="D334" s="8" t="s">
        <v>158</v>
      </c>
      <c r="E334" s="18">
        <v>28</v>
      </c>
      <c r="H334" s="8">
        <f t="shared" ca="1" si="21"/>
        <v>28.5</v>
      </c>
      <c r="I334" s="18" t="s">
        <v>100</v>
      </c>
      <c r="J334" s="19">
        <v>0.6</v>
      </c>
    </row>
    <row r="335" spans="1:12" ht="15" customHeight="1" x14ac:dyDescent="0.25">
      <c r="A335">
        <v>394</v>
      </c>
      <c r="B335" s="8">
        <v>364</v>
      </c>
      <c r="C335" t="str">
        <f t="shared" ca="1" si="20"/>
        <v>2017_CHO</v>
      </c>
      <c r="D335" s="8" t="s">
        <v>158</v>
      </c>
      <c r="E335" s="18">
        <v>40</v>
      </c>
      <c r="H335" s="8">
        <f t="shared" ca="1" si="21"/>
        <v>42.5</v>
      </c>
      <c r="I335" s="18" t="s">
        <v>100</v>
      </c>
      <c r="J335" s="19">
        <v>0.6</v>
      </c>
    </row>
    <row r="336" spans="1:12" ht="15" customHeight="1" x14ac:dyDescent="0.25">
      <c r="A336">
        <v>395</v>
      </c>
      <c r="B336" s="8">
        <v>365</v>
      </c>
      <c r="C336" t="str">
        <f t="shared" ca="1" si="20"/>
        <v>2017_CHI</v>
      </c>
      <c r="D336" s="8" t="s">
        <v>158</v>
      </c>
      <c r="E336" s="18">
        <v>18</v>
      </c>
      <c r="H336" s="8">
        <f t="shared" ca="1" si="21"/>
        <v>21.5</v>
      </c>
      <c r="I336" s="18" t="s">
        <v>100</v>
      </c>
      <c r="J336" s="19">
        <v>0.63</v>
      </c>
    </row>
    <row r="337" spans="1:10" ht="15" customHeight="1" x14ac:dyDescent="0.25">
      <c r="A337">
        <v>396</v>
      </c>
      <c r="B337" s="8">
        <v>366</v>
      </c>
      <c r="C337" t="str">
        <f t="shared" ca="1" si="20"/>
        <v>2017_CLE</v>
      </c>
      <c r="D337" s="8" t="s">
        <v>158</v>
      </c>
      <c r="E337" s="18">
        <v>55</v>
      </c>
      <c r="H337" s="8">
        <f t="shared" ca="1" si="21"/>
        <v>53.5</v>
      </c>
      <c r="I337" s="18" t="s">
        <v>101</v>
      </c>
      <c r="J337" s="19">
        <v>0.65</v>
      </c>
    </row>
    <row r="338" spans="1:10" ht="15" customHeight="1" x14ac:dyDescent="0.25">
      <c r="A338">
        <v>397</v>
      </c>
      <c r="B338" s="8">
        <v>367</v>
      </c>
      <c r="C338" t="str">
        <f t="shared" ca="1" si="20"/>
        <v>2017_DAL</v>
      </c>
      <c r="D338" s="8" t="s">
        <v>158</v>
      </c>
      <c r="E338" s="18">
        <v>36</v>
      </c>
      <c r="H338" s="8">
        <f t="shared" ca="1" si="21"/>
        <v>35.5</v>
      </c>
      <c r="I338" s="18" t="s">
        <v>101</v>
      </c>
      <c r="J338" s="19">
        <v>0.61</v>
      </c>
    </row>
    <row r="339" spans="1:10" ht="15" customHeight="1" x14ac:dyDescent="0.25">
      <c r="A339">
        <v>398</v>
      </c>
      <c r="B339" s="8">
        <v>368</v>
      </c>
      <c r="C339" t="str">
        <f t="shared" ca="1" si="20"/>
        <v>2017_DEN</v>
      </c>
      <c r="D339" s="8" t="s">
        <v>158</v>
      </c>
      <c r="E339" s="18">
        <v>42</v>
      </c>
      <c r="H339" s="8">
        <f t="shared" ca="1" si="21"/>
        <v>45.5</v>
      </c>
      <c r="I339" s="18" t="s">
        <v>100</v>
      </c>
      <c r="J339" s="19">
        <v>0.63</v>
      </c>
    </row>
    <row r="340" spans="1:10" ht="15" customHeight="1" x14ac:dyDescent="0.25">
      <c r="A340">
        <v>399</v>
      </c>
      <c r="B340" s="8">
        <v>369</v>
      </c>
      <c r="C340" t="str">
        <f t="shared" ca="1" si="20"/>
        <v>2017_DET</v>
      </c>
      <c r="D340" s="8" t="s">
        <v>158</v>
      </c>
      <c r="E340" s="18">
        <v>35</v>
      </c>
      <c r="H340" s="8">
        <f t="shared" ca="1" si="21"/>
        <v>38.5</v>
      </c>
      <c r="I340" s="18" t="s">
        <v>100</v>
      </c>
      <c r="J340" s="19">
        <v>0.63</v>
      </c>
    </row>
    <row r="341" spans="1:10" ht="15" customHeight="1" x14ac:dyDescent="0.25">
      <c r="A341">
        <v>400</v>
      </c>
      <c r="B341" s="8">
        <v>370</v>
      </c>
      <c r="C341" t="str">
        <f t="shared" ca="1" si="20"/>
        <v>2017_GSW</v>
      </c>
      <c r="D341" s="8" t="s">
        <v>158</v>
      </c>
      <c r="E341" s="18">
        <v>68</v>
      </c>
      <c r="H341" s="8">
        <f t="shared" ca="1" si="21"/>
        <v>67.5</v>
      </c>
      <c r="I341" s="18" t="s">
        <v>101</v>
      </c>
      <c r="J341" s="19">
        <v>0.59</v>
      </c>
    </row>
    <row r="342" spans="1:10" ht="15" customHeight="1" x14ac:dyDescent="0.25">
      <c r="A342">
        <v>401</v>
      </c>
      <c r="B342" s="8">
        <v>371</v>
      </c>
      <c r="C342" t="str">
        <f t="shared" ca="1" si="20"/>
        <v>2017_HOU</v>
      </c>
      <c r="D342" s="8" t="s">
        <v>158</v>
      </c>
      <c r="E342" s="18">
        <v>58</v>
      </c>
      <c r="H342" s="8">
        <f t="shared" ca="1" si="21"/>
        <v>55.5</v>
      </c>
      <c r="I342" s="18" t="s">
        <v>101</v>
      </c>
      <c r="J342" s="19">
        <v>0.67</v>
      </c>
    </row>
    <row r="343" spans="1:10" ht="15" customHeight="1" x14ac:dyDescent="0.25">
      <c r="A343">
        <v>402</v>
      </c>
      <c r="B343" s="8">
        <v>372</v>
      </c>
      <c r="C343" t="str">
        <f t="shared" ca="1" si="20"/>
        <v>2017_IND</v>
      </c>
      <c r="D343" s="8" t="s">
        <v>158</v>
      </c>
      <c r="E343" s="18">
        <v>32</v>
      </c>
      <c r="H343" s="8">
        <f t="shared" ca="1" si="21"/>
        <v>31.5</v>
      </c>
      <c r="I343" s="18" t="s">
        <v>101</v>
      </c>
      <c r="J343" s="19">
        <v>0.61</v>
      </c>
    </row>
    <row r="344" spans="1:10" ht="15" customHeight="1" x14ac:dyDescent="0.25">
      <c r="A344">
        <v>403</v>
      </c>
      <c r="B344" s="8">
        <v>373</v>
      </c>
      <c r="C344" t="str">
        <f t="shared" ca="1" si="20"/>
        <v>2017_LAC</v>
      </c>
      <c r="D344" s="8" t="s">
        <v>158</v>
      </c>
      <c r="E344" s="18">
        <v>44</v>
      </c>
      <c r="H344" s="8">
        <f t="shared" ca="1" si="21"/>
        <v>43.5</v>
      </c>
      <c r="I344" s="18" t="s">
        <v>101</v>
      </c>
      <c r="J344" s="19">
        <v>0.52</v>
      </c>
    </row>
    <row r="345" spans="1:10" ht="15" customHeight="1" x14ac:dyDescent="0.25">
      <c r="A345">
        <v>404</v>
      </c>
      <c r="B345" s="8">
        <v>374</v>
      </c>
      <c r="C345" t="str">
        <f t="shared" ca="1" si="20"/>
        <v>2017_LAL</v>
      </c>
      <c r="D345" s="8" t="s">
        <v>158</v>
      </c>
      <c r="E345" s="18">
        <v>29</v>
      </c>
      <c r="H345" s="8">
        <f t="shared" ca="1" si="21"/>
        <v>33.5</v>
      </c>
      <c r="I345" s="18" t="s">
        <v>100</v>
      </c>
      <c r="J345" s="19">
        <v>0.63</v>
      </c>
    </row>
    <row r="346" spans="1:10" ht="15" customHeight="1" x14ac:dyDescent="0.25">
      <c r="A346">
        <v>405</v>
      </c>
      <c r="B346" s="8">
        <v>375</v>
      </c>
      <c r="C346" t="str">
        <f t="shared" ca="1" si="20"/>
        <v>2017_MEM</v>
      </c>
      <c r="D346" s="8" t="s">
        <v>158</v>
      </c>
      <c r="E346" s="18">
        <v>39</v>
      </c>
      <c r="H346" s="8">
        <f t="shared" ca="1" si="21"/>
        <v>37.5</v>
      </c>
      <c r="I346" s="18" t="s">
        <v>101</v>
      </c>
      <c r="J346" s="19">
        <v>0.55000000000000004</v>
      </c>
    </row>
    <row r="347" spans="1:10" ht="15" customHeight="1" x14ac:dyDescent="0.25">
      <c r="A347">
        <v>406</v>
      </c>
      <c r="B347" s="8">
        <v>376</v>
      </c>
      <c r="C347" t="str">
        <f t="shared" ca="1" si="20"/>
        <v>2017_MIA</v>
      </c>
      <c r="D347" s="8" t="s">
        <v>158</v>
      </c>
      <c r="E347" s="18">
        <v>45</v>
      </c>
      <c r="H347" s="8">
        <f t="shared" ca="1" si="21"/>
        <v>43.5</v>
      </c>
      <c r="I347" s="18" t="s">
        <v>101</v>
      </c>
      <c r="J347" s="19">
        <v>0.53</v>
      </c>
    </row>
    <row r="348" spans="1:10" ht="15" customHeight="1" x14ac:dyDescent="0.25">
      <c r="A348">
        <v>407</v>
      </c>
      <c r="B348" s="8">
        <v>377</v>
      </c>
      <c r="C348" t="str">
        <f t="shared" ca="1" si="20"/>
        <v>2017_MIL</v>
      </c>
      <c r="D348" s="8" t="s">
        <v>158</v>
      </c>
      <c r="E348" s="18">
        <v>47</v>
      </c>
      <c r="H348" s="8">
        <f t="shared" ca="1" si="21"/>
        <v>47.5</v>
      </c>
      <c r="I348" s="18" t="s">
        <v>100</v>
      </c>
      <c r="J348" s="19">
        <v>0.55000000000000004</v>
      </c>
    </row>
    <row r="349" spans="1:10" ht="15" customHeight="1" x14ac:dyDescent="0.25">
      <c r="A349">
        <v>408</v>
      </c>
      <c r="B349" s="8">
        <v>378</v>
      </c>
      <c r="C349" t="str">
        <f t="shared" ca="1" si="20"/>
        <v>2017_MIN</v>
      </c>
      <c r="D349" s="8" t="s">
        <v>158</v>
      </c>
      <c r="E349" s="18">
        <v>46</v>
      </c>
      <c r="H349" s="8">
        <f t="shared" ca="1" si="21"/>
        <v>48.5</v>
      </c>
      <c r="I349" s="18" t="s">
        <v>100</v>
      </c>
      <c r="J349" s="19">
        <v>0.64</v>
      </c>
    </row>
    <row r="350" spans="1:10" ht="15" customHeight="1" x14ac:dyDescent="0.25">
      <c r="A350">
        <v>409</v>
      </c>
      <c r="B350" s="8">
        <v>379</v>
      </c>
      <c r="C350" t="str">
        <f t="shared" ca="1" si="20"/>
        <v>2017_NOP</v>
      </c>
      <c r="D350" s="8" t="s">
        <v>158</v>
      </c>
      <c r="E350" s="18">
        <v>36</v>
      </c>
      <c r="H350" s="8">
        <f t="shared" ca="1" si="21"/>
        <v>39.5</v>
      </c>
      <c r="I350" s="18" t="s">
        <v>100</v>
      </c>
      <c r="J350" s="19">
        <v>0.65</v>
      </c>
    </row>
    <row r="351" spans="1:10" ht="15" customHeight="1" x14ac:dyDescent="0.25">
      <c r="A351">
        <v>410</v>
      </c>
      <c r="B351" s="8">
        <v>380</v>
      </c>
      <c r="C351" t="str">
        <f t="shared" ca="1" si="20"/>
        <v>2017_NYK</v>
      </c>
      <c r="D351" s="8" t="s">
        <v>158</v>
      </c>
      <c r="E351" s="18">
        <v>27</v>
      </c>
      <c r="H351" s="8">
        <f t="shared" ca="1" si="21"/>
        <v>30.5</v>
      </c>
      <c r="I351" s="18" t="s">
        <v>100</v>
      </c>
      <c r="J351" s="19">
        <v>0.7</v>
      </c>
    </row>
    <row r="352" spans="1:10" ht="15" customHeight="1" x14ac:dyDescent="0.25">
      <c r="A352">
        <v>411</v>
      </c>
      <c r="B352" s="8">
        <v>381</v>
      </c>
      <c r="C352" t="str">
        <f t="shared" ca="1" si="20"/>
        <v>2017_OKC</v>
      </c>
      <c r="D352" s="8" t="s">
        <v>158</v>
      </c>
      <c r="E352" s="18">
        <v>55</v>
      </c>
      <c r="H352" s="8">
        <f t="shared" ca="1" si="21"/>
        <v>51.5</v>
      </c>
      <c r="I352" s="18" t="s">
        <v>101</v>
      </c>
      <c r="J352" s="19">
        <v>0.67</v>
      </c>
    </row>
    <row r="353" spans="1:10" ht="15" customHeight="1" x14ac:dyDescent="0.25">
      <c r="A353">
        <v>412</v>
      </c>
      <c r="B353" s="8">
        <v>382</v>
      </c>
      <c r="C353" t="str">
        <f t="shared" ca="1" si="20"/>
        <v>2017_ORL</v>
      </c>
      <c r="D353" s="8" t="s">
        <v>158</v>
      </c>
      <c r="E353" s="18">
        <v>31</v>
      </c>
      <c r="H353" s="8">
        <f t="shared" ca="1" si="21"/>
        <v>33.5</v>
      </c>
      <c r="I353" s="18" t="s">
        <v>100</v>
      </c>
      <c r="J353" s="19">
        <v>0.54</v>
      </c>
    </row>
    <row r="354" spans="1:10" ht="15" customHeight="1" x14ac:dyDescent="0.25">
      <c r="A354">
        <v>413</v>
      </c>
      <c r="B354" s="8">
        <v>383</v>
      </c>
      <c r="C354" t="str">
        <f t="shared" ca="1" si="20"/>
        <v>2017_PHI</v>
      </c>
      <c r="D354" s="8" t="s">
        <v>158</v>
      </c>
      <c r="E354" s="18">
        <v>38</v>
      </c>
      <c r="H354" s="8">
        <f t="shared" ca="1" si="21"/>
        <v>42.5</v>
      </c>
      <c r="I354" s="18" t="s">
        <v>100</v>
      </c>
      <c r="J354" s="19">
        <v>0.65</v>
      </c>
    </row>
    <row r="355" spans="1:10" ht="15" customHeight="1" x14ac:dyDescent="0.25">
      <c r="A355">
        <v>414</v>
      </c>
      <c r="B355" s="8">
        <v>384</v>
      </c>
      <c r="C355" t="str">
        <f t="shared" ca="1" si="20"/>
        <v>2017_PHO</v>
      </c>
      <c r="D355" s="8" t="s">
        <v>158</v>
      </c>
      <c r="E355" s="18">
        <v>27</v>
      </c>
      <c r="H355" s="8">
        <f t="shared" ca="1" si="21"/>
        <v>28.5</v>
      </c>
      <c r="I355" s="18" t="s">
        <v>100</v>
      </c>
      <c r="J355" s="19">
        <v>0.68</v>
      </c>
    </row>
    <row r="356" spans="1:10" ht="15" customHeight="1" x14ac:dyDescent="0.25">
      <c r="A356">
        <v>415</v>
      </c>
      <c r="B356" s="8">
        <v>385</v>
      </c>
      <c r="C356" t="str">
        <f t="shared" ca="1" si="20"/>
        <v>2017_POR</v>
      </c>
      <c r="D356" s="8" t="s">
        <v>158</v>
      </c>
      <c r="E356" s="18">
        <v>41</v>
      </c>
      <c r="H356" s="8">
        <f t="shared" ca="1" si="21"/>
        <v>42.5</v>
      </c>
      <c r="I356" s="18" t="s">
        <v>100</v>
      </c>
      <c r="J356" s="19">
        <v>0.52</v>
      </c>
    </row>
    <row r="357" spans="1:10" ht="15" customHeight="1" x14ac:dyDescent="0.25">
      <c r="A357">
        <v>416</v>
      </c>
      <c r="B357" s="8">
        <v>386</v>
      </c>
      <c r="C357" t="str">
        <f t="shared" ca="1" si="20"/>
        <v>2017_SAC</v>
      </c>
      <c r="D357" s="8" t="s">
        <v>158</v>
      </c>
      <c r="E357" s="18">
        <v>30</v>
      </c>
      <c r="H357" s="8">
        <f t="shared" ca="1" si="21"/>
        <v>28.5</v>
      </c>
      <c r="I357" s="18" t="s">
        <v>101</v>
      </c>
      <c r="J357" s="19">
        <v>0.54</v>
      </c>
    </row>
    <row r="358" spans="1:10" ht="15" customHeight="1" x14ac:dyDescent="0.25">
      <c r="A358">
        <v>417</v>
      </c>
      <c r="B358" s="8">
        <v>387</v>
      </c>
      <c r="C358" t="str">
        <f t="shared" ca="1" si="20"/>
        <v>2017_SAS</v>
      </c>
      <c r="D358" s="8" t="s">
        <v>158</v>
      </c>
      <c r="E358" s="18">
        <v>55</v>
      </c>
      <c r="H358" s="8">
        <f t="shared" ca="1" si="21"/>
        <v>54.5</v>
      </c>
      <c r="I358" s="18" t="s">
        <v>101</v>
      </c>
      <c r="J358" s="19">
        <v>0.59</v>
      </c>
    </row>
    <row r="359" spans="1:10" ht="15" customHeight="1" x14ac:dyDescent="0.25">
      <c r="A359">
        <v>418</v>
      </c>
      <c r="B359" s="8">
        <v>388</v>
      </c>
      <c r="C359" t="str">
        <f t="shared" ca="1" si="20"/>
        <v>2017_TOR</v>
      </c>
      <c r="D359" s="8" t="s">
        <v>158</v>
      </c>
      <c r="E359" s="18">
        <v>50</v>
      </c>
      <c r="H359" s="8">
        <f t="shared" ca="1" si="21"/>
        <v>48.5</v>
      </c>
      <c r="I359" s="18" t="s">
        <v>101</v>
      </c>
      <c r="J359" s="19">
        <v>0.59</v>
      </c>
    </row>
    <row r="360" spans="1:10" ht="15" customHeight="1" x14ac:dyDescent="0.25">
      <c r="A360">
        <v>419</v>
      </c>
      <c r="B360" s="8">
        <v>389</v>
      </c>
      <c r="C360" t="str">
        <f t="shared" ca="1" si="20"/>
        <v>2017_UTA</v>
      </c>
      <c r="D360" s="8" t="s">
        <v>158</v>
      </c>
      <c r="E360" s="18">
        <v>41</v>
      </c>
      <c r="H360" s="8">
        <f t="shared" ca="1" si="21"/>
        <v>40.5</v>
      </c>
      <c r="I360" s="18" t="s">
        <v>101</v>
      </c>
      <c r="J360" s="19">
        <v>0.55000000000000004</v>
      </c>
    </row>
    <row r="361" spans="1:10" ht="15" customHeight="1" x14ac:dyDescent="0.25">
      <c r="A361">
        <v>420</v>
      </c>
      <c r="B361" s="8">
        <v>390</v>
      </c>
      <c r="C361" t="str">
        <f t="shared" ca="1" si="20"/>
        <v>2017_WAS</v>
      </c>
      <c r="D361" s="8" t="s">
        <v>158</v>
      </c>
      <c r="E361" s="18">
        <v>50</v>
      </c>
      <c r="H361" s="8">
        <f t="shared" ca="1" si="21"/>
        <v>47.5</v>
      </c>
      <c r="I361" s="18" t="s">
        <v>101</v>
      </c>
      <c r="J361" s="19">
        <v>0.55000000000000004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Z793"/>
  <sheetViews>
    <sheetView zoomScale="80" zoomScaleNormal="80" workbookViewId="0"/>
  </sheetViews>
  <sheetFormatPr defaultRowHeight="15" customHeight="1" x14ac:dyDescent="0.25"/>
  <cols>
    <col min="1" max="2" width="9.140625" style="7" customWidth="1"/>
    <col min="3" max="3" width="9.140625" style="2" customWidth="1"/>
    <col min="4" max="4" width="9.140625" style="7" customWidth="1"/>
    <col min="5" max="5" width="9.140625" style="3" customWidth="1"/>
    <col min="6" max="9" width="9.140625" style="4" customWidth="1"/>
    <col min="10" max="18" width="9.140625" style="2" customWidth="1"/>
    <col min="19" max="22" width="9.140625" style="2"/>
    <col min="23" max="26" width="9.140625" style="7"/>
    <col min="27" max="16384" width="9.140625" style="2"/>
  </cols>
  <sheetData>
    <row r="1" spans="1:18" ht="15" customHeight="1" x14ac:dyDescent="0.25">
      <c r="A1" s="8" t="s">
        <v>409</v>
      </c>
      <c r="B1" s="8" t="s">
        <v>157</v>
      </c>
      <c r="C1" s="8" t="s">
        <v>424</v>
      </c>
      <c r="D1" s="8" t="s">
        <v>163</v>
      </c>
      <c r="E1" s="11" t="s">
        <v>94</v>
      </c>
      <c r="F1" s="10" t="s">
        <v>214</v>
      </c>
      <c r="G1" s="10" t="s">
        <v>215</v>
      </c>
      <c r="H1" s="10" t="s">
        <v>216</v>
      </c>
      <c r="I1" s="10" t="s">
        <v>95</v>
      </c>
      <c r="J1" s="8" t="s">
        <v>414</v>
      </c>
      <c r="K1" s="8" t="s">
        <v>415</v>
      </c>
      <c r="L1" s="8" t="s">
        <v>164</v>
      </c>
      <c r="M1" s="8" t="s">
        <v>416</v>
      </c>
      <c r="N1" s="8" t="s">
        <v>179</v>
      </c>
      <c r="O1" s="8" t="s">
        <v>180</v>
      </c>
      <c r="P1" s="8" t="s">
        <v>417</v>
      </c>
      <c r="Q1" s="8" t="s">
        <v>165</v>
      </c>
      <c r="R1" s="8" t="s">
        <v>189</v>
      </c>
    </row>
    <row r="2" spans="1:18" ht="15" customHeight="1" x14ac:dyDescent="0.25">
      <c r="A2" s="7">
        <v>1</v>
      </c>
      <c r="B2" s="8" t="s">
        <v>151</v>
      </c>
      <c r="C2" s="7">
        <v>2012</v>
      </c>
      <c r="D2" s="7">
        <v>2013</v>
      </c>
      <c r="E2" s="3">
        <v>41306</v>
      </c>
      <c r="F2" s="4">
        <f t="shared" ref="F2:F65" si="0">MONTH(E2)</f>
        <v>2</v>
      </c>
      <c r="G2" s="4">
        <f t="shared" ref="G2:G65" si="1">DAY(E2)</f>
        <v>1</v>
      </c>
      <c r="H2" s="4">
        <f t="shared" ref="H2:H65" si="2">YEAR(E2)</f>
        <v>2013</v>
      </c>
      <c r="I2" s="10" t="s">
        <v>158</v>
      </c>
      <c r="J2" s="2" t="s">
        <v>11</v>
      </c>
      <c r="K2" s="2" t="s">
        <v>17</v>
      </c>
      <c r="L2" s="2">
        <v>-8.5</v>
      </c>
      <c r="M2" s="2" t="s">
        <v>11</v>
      </c>
      <c r="N2" s="2">
        <v>84</v>
      </c>
      <c r="O2" s="2">
        <v>97</v>
      </c>
      <c r="P2" s="2" t="str">
        <f>IF(OR(N2="",O2=""),"",IF((O2+L2)&gt;N2,K2,IF((O2+L2)=N2,"",J2)))</f>
        <v>BOS</v>
      </c>
      <c r="Q2" s="2">
        <f t="shared" ref="Q2:Q65" si="3">IF(AND(N2&gt;0,O2&gt;0,(O2+L2)=N2),0,IF(P2="","",IF(P2=M2,ABS((O2+L2)-N2),-ABS((O2+L2)-N2))))</f>
        <v>-4.5</v>
      </c>
      <c r="R2" s="2">
        <f>IF(Q2="","",IF(P2=M2,1,IF(Q2=0,"na",0)))</f>
        <v>0</v>
      </c>
    </row>
    <row r="3" spans="1:18" ht="15" customHeight="1" x14ac:dyDescent="0.25">
      <c r="A3" s="7">
        <v>2</v>
      </c>
      <c r="B3" s="8" t="s">
        <v>151</v>
      </c>
      <c r="C3" s="7">
        <v>2012</v>
      </c>
      <c r="D3" s="7">
        <v>2013</v>
      </c>
      <c r="E3" s="3">
        <v>41307</v>
      </c>
      <c r="F3" s="4">
        <f t="shared" si="0"/>
        <v>2</v>
      </c>
      <c r="G3" s="4">
        <f t="shared" si="1"/>
        <v>2</v>
      </c>
      <c r="H3" s="4">
        <f t="shared" si="2"/>
        <v>2013</v>
      </c>
      <c r="I3" s="10" t="s">
        <v>158</v>
      </c>
      <c r="J3" s="2" t="s">
        <v>8</v>
      </c>
      <c r="K3" s="2" t="s">
        <v>4</v>
      </c>
      <c r="L3" s="2">
        <v>-12</v>
      </c>
      <c r="M3" s="2" t="s">
        <v>4</v>
      </c>
      <c r="N3" s="2">
        <v>95</v>
      </c>
      <c r="O3" s="2">
        <v>109</v>
      </c>
      <c r="P3" s="2" t="str">
        <f>IF(OR(N3="",O3=""),"",IF((O3+L3)&gt;N3,K3,IF((O3+L3)=N3,"",J3)))</f>
        <v>HOU</v>
      </c>
      <c r="Q3" s="2">
        <f t="shared" si="3"/>
        <v>2</v>
      </c>
      <c r="R3" s="7">
        <f t="shared" ref="R3:R66" si="4">IF(Q3="","",IF(P3=M3,1,IF(Q3=0,"na",0)))</f>
        <v>1</v>
      </c>
    </row>
    <row r="4" spans="1:18" ht="15" customHeight="1" x14ac:dyDescent="0.25">
      <c r="A4" s="7">
        <v>3</v>
      </c>
      <c r="B4" s="8" t="s">
        <v>151</v>
      </c>
      <c r="C4" s="7">
        <v>2012</v>
      </c>
      <c r="D4" s="7">
        <v>2013</v>
      </c>
      <c r="E4" s="3">
        <v>41308</v>
      </c>
      <c r="F4" s="4">
        <f t="shared" si="0"/>
        <v>2</v>
      </c>
      <c r="G4" s="4">
        <f t="shared" si="1"/>
        <v>3</v>
      </c>
      <c r="H4" s="4">
        <f t="shared" si="2"/>
        <v>2013</v>
      </c>
      <c r="I4" s="10" t="s">
        <v>158</v>
      </c>
      <c r="J4" s="2" t="s">
        <v>15</v>
      </c>
      <c r="K4" s="2" t="s">
        <v>2</v>
      </c>
      <c r="L4" s="2">
        <v>5</v>
      </c>
      <c r="M4" s="2" t="s">
        <v>2</v>
      </c>
      <c r="N4" s="2">
        <v>100</v>
      </c>
      <c r="O4" s="2">
        <v>85</v>
      </c>
      <c r="P4" s="2" t="str">
        <f>IF(OR(N4="",O4=""),"",IF((O4+L4)&gt;N4,K4,IF((O4+L4)=N4,"",J4)))</f>
        <v>MIA</v>
      </c>
      <c r="Q4" s="2">
        <f t="shared" si="3"/>
        <v>-10</v>
      </c>
      <c r="R4" s="7">
        <f t="shared" si="4"/>
        <v>0</v>
      </c>
    </row>
    <row r="5" spans="1:18" ht="15" customHeight="1" x14ac:dyDescent="0.25">
      <c r="A5" s="7">
        <v>4</v>
      </c>
      <c r="B5" s="8" t="s">
        <v>151</v>
      </c>
      <c r="C5" s="7">
        <v>2012</v>
      </c>
      <c r="D5" s="7">
        <v>2013</v>
      </c>
      <c r="E5" s="3">
        <v>41309</v>
      </c>
      <c r="F5" s="4">
        <f t="shared" si="0"/>
        <v>2</v>
      </c>
      <c r="G5" s="4">
        <f t="shared" si="1"/>
        <v>4</v>
      </c>
      <c r="H5" s="4">
        <f t="shared" si="2"/>
        <v>2013</v>
      </c>
      <c r="I5" s="10" t="s">
        <v>158</v>
      </c>
      <c r="J5" s="2" t="s">
        <v>21</v>
      </c>
      <c r="K5" s="2" t="s">
        <v>137</v>
      </c>
      <c r="L5" s="2">
        <v>-8.5</v>
      </c>
      <c r="M5" s="2" t="s">
        <v>137</v>
      </c>
      <c r="N5" s="2">
        <v>91</v>
      </c>
      <c r="O5" s="2">
        <v>98</v>
      </c>
      <c r="P5" s="2" t="str">
        <f>IF(OR(N5="",O5=""),"",IF((O5+L5)&gt;N5,K5,IF((O5+L5)=N5,"",J5)))</f>
        <v>SAC</v>
      </c>
      <c r="Q5" s="2">
        <f t="shared" si="3"/>
        <v>-1.5</v>
      </c>
      <c r="R5" s="7">
        <f t="shared" si="4"/>
        <v>0</v>
      </c>
    </row>
    <row r="6" spans="1:18" ht="15" customHeight="1" x14ac:dyDescent="0.25">
      <c r="A6" s="7">
        <v>5</v>
      </c>
      <c r="B6" s="8" t="s">
        <v>151</v>
      </c>
      <c r="C6" s="7">
        <v>2012</v>
      </c>
      <c r="D6" s="7">
        <v>2013</v>
      </c>
      <c r="E6" s="3">
        <v>41310</v>
      </c>
      <c r="F6" s="4">
        <f t="shared" si="0"/>
        <v>2</v>
      </c>
      <c r="G6" s="4">
        <f t="shared" si="1"/>
        <v>5</v>
      </c>
      <c r="H6" s="4">
        <f t="shared" si="2"/>
        <v>2013</v>
      </c>
      <c r="I6" s="10" t="s">
        <v>158</v>
      </c>
      <c r="J6" s="2" t="s">
        <v>18</v>
      </c>
      <c r="K6" s="2" t="s">
        <v>22</v>
      </c>
      <c r="L6" s="2">
        <v>-4.5</v>
      </c>
      <c r="M6" s="2" t="s">
        <v>22</v>
      </c>
      <c r="N6" s="2">
        <v>92</v>
      </c>
      <c r="O6" s="2">
        <v>83</v>
      </c>
      <c r="P6" s="2" t="str">
        <f t="shared" ref="P6:P69" si="5">IF(OR(N6="",O6=""),"",IF((O6+L6)&gt;N6,K6,IF((O6+L6)=N6,"N/A",J6)))</f>
        <v>LAL</v>
      </c>
      <c r="Q6" s="2">
        <f t="shared" si="3"/>
        <v>-13.5</v>
      </c>
      <c r="R6" s="7">
        <f t="shared" si="4"/>
        <v>0</v>
      </c>
    </row>
    <row r="7" spans="1:18" ht="15" customHeight="1" x14ac:dyDescent="0.25">
      <c r="A7" s="7">
        <v>6</v>
      </c>
      <c r="B7" s="8" t="s">
        <v>151</v>
      </c>
      <c r="C7" s="7">
        <v>2012</v>
      </c>
      <c r="D7" s="7">
        <v>2013</v>
      </c>
      <c r="E7" s="3">
        <v>41311</v>
      </c>
      <c r="F7" s="4">
        <f t="shared" si="0"/>
        <v>2</v>
      </c>
      <c r="G7" s="4">
        <f t="shared" si="1"/>
        <v>6</v>
      </c>
      <c r="H7" s="4">
        <f t="shared" si="2"/>
        <v>2013</v>
      </c>
      <c r="I7" s="10" t="s">
        <v>158</v>
      </c>
      <c r="J7" s="2" t="s">
        <v>13</v>
      </c>
      <c r="K7" s="2" t="s">
        <v>20</v>
      </c>
      <c r="L7" s="2">
        <v>-2.5</v>
      </c>
      <c r="M7" s="2" t="s">
        <v>13</v>
      </c>
      <c r="N7" s="2">
        <v>88</v>
      </c>
      <c r="O7" s="2">
        <v>69</v>
      </c>
      <c r="P7" s="2" t="str">
        <f t="shared" si="5"/>
        <v>IND</v>
      </c>
      <c r="Q7" s="2">
        <f t="shared" si="3"/>
        <v>21.5</v>
      </c>
      <c r="R7" s="7">
        <f t="shared" si="4"/>
        <v>1</v>
      </c>
    </row>
    <row r="8" spans="1:18" ht="15" customHeight="1" x14ac:dyDescent="0.25">
      <c r="A8" s="7">
        <v>7</v>
      </c>
      <c r="B8" s="8" t="s">
        <v>151</v>
      </c>
      <c r="C8" s="7">
        <v>2012</v>
      </c>
      <c r="D8" s="7">
        <v>2013</v>
      </c>
      <c r="E8" s="3">
        <v>41312</v>
      </c>
      <c r="F8" s="4">
        <f t="shared" si="0"/>
        <v>2</v>
      </c>
      <c r="G8" s="4">
        <f t="shared" si="1"/>
        <v>7</v>
      </c>
      <c r="H8" s="4">
        <f t="shared" si="2"/>
        <v>2013</v>
      </c>
      <c r="I8" s="10" t="s">
        <v>158</v>
      </c>
      <c r="J8" s="2" t="s">
        <v>0</v>
      </c>
      <c r="K8" s="2" t="s">
        <v>23</v>
      </c>
      <c r="L8" s="2">
        <v>-6.5</v>
      </c>
      <c r="M8" s="2" t="s">
        <v>23</v>
      </c>
      <c r="N8" s="2">
        <v>96</v>
      </c>
      <c r="O8" s="2">
        <v>128</v>
      </c>
      <c r="P8" s="2" t="str">
        <f t="shared" si="5"/>
        <v>DEN</v>
      </c>
      <c r="Q8" s="2">
        <f t="shared" si="3"/>
        <v>25.5</v>
      </c>
      <c r="R8" s="7">
        <f t="shared" si="4"/>
        <v>1</v>
      </c>
    </row>
    <row r="9" spans="1:18" ht="15" customHeight="1" x14ac:dyDescent="0.25">
      <c r="A9" s="7">
        <v>8</v>
      </c>
      <c r="B9" s="8" t="s">
        <v>151</v>
      </c>
      <c r="C9" s="7">
        <v>2012</v>
      </c>
      <c r="D9" s="7">
        <v>2013</v>
      </c>
      <c r="E9" s="3">
        <v>41313</v>
      </c>
      <c r="F9" s="4">
        <f t="shared" si="0"/>
        <v>2</v>
      </c>
      <c r="G9" s="4">
        <f t="shared" si="1"/>
        <v>8</v>
      </c>
      <c r="H9" s="4">
        <f t="shared" si="2"/>
        <v>2013</v>
      </c>
      <c r="I9" s="10" t="s">
        <v>158</v>
      </c>
      <c r="J9" s="2" t="s">
        <v>134</v>
      </c>
      <c r="K9" s="2" t="s">
        <v>7</v>
      </c>
      <c r="L9" s="2">
        <v>5.5</v>
      </c>
      <c r="M9" s="2" t="s">
        <v>134</v>
      </c>
      <c r="N9" s="2">
        <v>109</v>
      </c>
      <c r="O9" s="2">
        <v>119</v>
      </c>
      <c r="P9" s="2" t="str">
        <f t="shared" si="5"/>
        <v>DET</v>
      </c>
      <c r="Q9" s="2">
        <f t="shared" si="3"/>
        <v>-15.5</v>
      </c>
      <c r="R9" s="7">
        <f t="shared" si="4"/>
        <v>0</v>
      </c>
    </row>
    <row r="10" spans="1:18" ht="15" customHeight="1" x14ac:dyDescent="0.25">
      <c r="A10" s="7">
        <v>9</v>
      </c>
      <c r="B10" s="8" t="s">
        <v>151</v>
      </c>
      <c r="C10" s="7">
        <v>2012</v>
      </c>
      <c r="D10" s="7">
        <v>2013</v>
      </c>
      <c r="E10" s="3">
        <v>41314</v>
      </c>
      <c r="F10" s="4">
        <f t="shared" si="0"/>
        <v>2</v>
      </c>
      <c r="G10" s="4">
        <f t="shared" si="1"/>
        <v>9</v>
      </c>
      <c r="H10" s="4">
        <f t="shared" si="2"/>
        <v>2013</v>
      </c>
      <c r="I10" s="10" t="s">
        <v>158</v>
      </c>
      <c r="J10" s="2" t="s">
        <v>23</v>
      </c>
      <c r="K10" s="2" t="s">
        <v>6</v>
      </c>
      <c r="L10" s="2">
        <v>5.5</v>
      </c>
      <c r="M10" s="2" t="s">
        <v>23</v>
      </c>
      <c r="N10" s="2">
        <v>111</v>
      </c>
      <c r="O10" s="2">
        <v>103</v>
      </c>
      <c r="P10" s="2" t="str">
        <f t="shared" si="5"/>
        <v>DEN</v>
      </c>
      <c r="Q10" s="2">
        <f t="shared" si="3"/>
        <v>2.5</v>
      </c>
      <c r="R10" s="7">
        <f t="shared" si="4"/>
        <v>1</v>
      </c>
    </row>
    <row r="11" spans="1:18" ht="15" customHeight="1" x14ac:dyDescent="0.25">
      <c r="A11" s="7">
        <v>10</v>
      </c>
      <c r="B11" s="8" t="s">
        <v>151</v>
      </c>
      <c r="C11" s="7">
        <v>2012</v>
      </c>
      <c r="D11" s="7">
        <v>2013</v>
      </c>
      <c r="E11" s="3">
        <v>41315</v>
      </c>
      <c r="F11" s="4">
        <f t="shared" si="0"/>
        <v>2</v>
      </c>
      <c r="G11" s="4">
        <f t="shared" si="1"/>
        <v>10</v>
      </c>
      <c r="H11" s="4">
        <f t="shared" si="2"/>
        <v>2013</v>
      </c>
      <c r="I11" s="10" t="s">
        <v>158</v>
      </c>
      <c r="J11" s="2" t="s">
        <v>1</v>
      </c>
      <c r="K11" s="2" t="s">
        <v>11</v>
      </c>
      <c r="L11" s="2">
        <v>3</v>
      </c>
      <c r="M11" s="2" t="s">
        <v>1</v>
      </c>
      <c r="N11" s="2">
        <v>104</v>
      </c>
      <c r="O11" s="2">
        <v>110</v>
      </c>
      <c r="P11" s="2" t="str">
        <f t="shared" si="5"/>
        <v>ORL</v>
      </c>
      <c r="Q11" s="2">
        <f t="shared" si="3"/>
        <v>-9</v>
      </c>
      <c r="R11" s="7">
        <f t="shared" si="4"/>
        <v>0</v>
      </c>
    </row>
    <row r="12" spans="1:18" ht="15" customHeight="1" x14ac:dyDescent="0.25">
      <c r="A12" s="7">
        <v>11</v>
      </c>
      <c r="B12" s="8" t="s">
        <v>151</v>
      </c>
      <c r="C12" s="7">
        <v>2012</v>
      </c>
      <c r="D12" s="7">
        <v>2013</v>
      </c>
      <c r="E12" s="3">
        <v>41316</v>
      </c>
      <c r="F12" s="4">
        <f t="shared" si="0"/>
        <v>2</v>
      </c>
      <c r="G12" s="4">
        <f t="shared" si="1"/>
        <v>11</v>
      </c>
      <c r="H12" s="4">
        <f t="shared" si="2"/>
        <v>2013</v>
      </c>
      <c r="I12" s="10" t="s">
        <v>158</v>
      </c>
      <c r="J12" s="2" t="s">
        <v>5</v>
      </c>
      <c r="K12" s="2" t="s">
        <v>16</v>
      </c>
      <c r="L12" s="2">
        <v>-5</v>
      </c>
      <c r="M12" s="2" t="s">
        <v>16</v>
      </c>
      <c r="N12" s="2">
        <v>105</v>
      </c>
      <c r="O12" s="2">
        <v>101</v>
      </c>
      <c r="P12" s="2" t="str">
        <f t="shared" si="5"/>
        <v>ATL</v>
      </c>
      <c r="Q12" s="2">
        <f t="shared" si="3"/>
        <v>-9</v>
      </c>
      <c r="R12" s="7">
        <f t="shared" si="4"/>
        <v>0</v>
      </c>
    </row>
    <row r="13" spans="1:18" ht="15" customHeight="1" x14ac:dyDescent="0.25">
      <c r="A13" s="7">
        <v>12</v>
      </c>
      <c r="B13" s="8" t="s">
        <v>151</v>
      </c>
      <c r="C13" s="7">
        <v>2012</v>
      </c>
      <c r="D13" s="7">
        <v>2013</v>
      </c>
      <c r="E13" s="3">
        <v>41317</v>
      </c>
      <c r="F13" s="4">
        <f t="shared" si="0"/>
        <v>2</v>
      </c>
      <c r="G13" s="4">
        <f t="shared" si="1"/>
        <v>12</v>
      </c>
      <c r="H13" s="4">
        <f t="shared" si="2"/>
        <v>2013</v>
      </c>
      <c r="I13" s="10" t="s">
        <v>158</v>
      </c>
      <c r="J13" s="2" t="s">
        <v>23</v>
      </c>
      <c r="K13" s="2" t="s">
        <v>2</v>
      </c>
      <c r="L13" s="2">
        <v>1.5</v>
      </c>
      <c r="M13" s="2" t="s">
        <v>23</v>
      </c>
      <c r="N13" s="2">
        <v>108</v>
      </c>
      <c r="O13" s="2">
        <v>109</v>
      </c>
      <c r="P13" s="2" t="str">
        <f t="shared" si="5"/>
        <v>TOR</v>
      </c>
      <c r="Q13" s="2">
        <f t="shared" si="3"/>
        <v>-2.5</v>
      </c>
      <c r="R13" s="7">
        <f t="shared" si="4"/>
        <v>0</v>
      </c>
    </row>
    <row r="14" spans="1:18" ht="15" customHeight="1" x14ac:dyDescent="0.25">
      <c r="A14" s="7">
        <v>13</v>
      </c>
      <c r="B14" s="8" t="s">
        <v>151</v>
      </c>
      <c r="C14" s="7">
        <v>2012</v>
      </c>
      <c r="D14" s="7">
        <v>2013</v>
      </c>
      <c r="E14" s="3">
        <v>41318</v>
      </c>
      <c r="F14" s="4">
        <f t="shared" si="0"/>
        <v>2</v>
      </c>
      <c r="G14" s="4">
        <f t="shared" si="1"/>
        <v>13</v>
      </c>
      <c r="H14" s="4">
        <f t="shared" si="2"/>
        <v>2013</v>
      </c>
      <c r="I14" s="10" t="s">
        <v>158</v>
      </c>
      <c r="J14" s="2" t="s">
        <v>23</v>
      </c>
      <c r="K14" s="2" t="s">
        <v>22</v>
      </c>
      <c r="L14" s="2">
        <v>-2.5</v>
      </c>
      <c r="M14" s="2" t="s">
        <v>23</v>
      </c>
      <c r="N14" s="2">
        <v>108</v>
      </c>
      <c r="O14" s="2">
        <v>119</v>
      </c>
      <c r="P14" s="2" t="str">
        <f t="shared" si="5"/>
        <v>BKN</v>
      </c>
      <c r="Q14" s="2">
        <f t="shared" si="3"/>
        <v>-8.5</v>
      </c>
      <c r="R14" s="7">
        <f t="shared" si="4"/>
        <v>0</v>
      </c>
    </row>
    <row r="15" spans="1:18" ht="15" customHeight="1" x14ac:dyDescent="0.25">
      <c r="A15" s="7">
        <v>14</v>
      </c>
      <c r="B15" s="8" t="s">
        <v>151</v>
      </c>
      <c r="C15" s="7">
        <v>2012</v>
      </c>
      <c r="D15" s="7">
        <v>2013</v>
      </c>
      <c r="E15" s="3">
        <v>41319</v>
      </c>
      <c r="F15" s="4">
        <f t="shared" si="0"/>
        <v>2</v>
      </c>
      <c r="G15" s="4">
        <f t="shared" si="1"/>
        <v>14</v>
      </c>
      <c r="H15" s="4">
        <f t="shared" si="2"/>
        <v>2013</v>
      </c>
      <c r="I15" s="10" t="s">
        <v>158</v>
      </c>
      <c r="J15" s="2" t="s">
        <v>14</v>
      </c>
      <c r="K15" s="2" t="s">
        <v>18</v>
      </c>
      <c r="L15" s="2">
        <v>-5.5</v>
      </c>
      <c r="M15" s="2" t="s">
        <v>14</v>
      </c>
      <c r="N15" s="2">
        <v>125</v>
      </c>
      <c r="O15" s="2">
        <v>101</v>
      </c>
      <c r="P15" s="2" t="str">
        <f t="shared" si="5"/>
        <v>LAC</v>
      </c>
      <c r="Q15" s="2">
        <f t="shared" si="3"/>
        <v>29.5</v>
      </c>
      <c r="R15" s="7">
        <f t="shared" si="4"/>
        <v>1</v>
      </c>
    </row>
    <row r="16" spans="1:18" ht="15" customHeight="1" x14ac:dyDescent="0.25">
      <c r="A16" s="7">
        <v>15</v>
      </c>
      <c r="B16" s="8" t="s">
        <v>151</v>
      </c>
      <c r="C16" s="7">
        <v>2012</v>
      </c>
      <c r="D16" s="7">
        <v>2013</v>
      </c>
      <c r="E16" s="3">
        <v>41324</v>
      </c>
      <c r="F16" s="4">
        <f t="shared" si="0"/>
        <v>2</v>
      </c>
      <c r="G16" s="4">
        <f t="shared" si="1"/>
        <v>19</v>
      </c>
      <c r="H16" s="4">
        <f t="shared" si="2"/>
        <v>2013</v>
      </c>
      <c r="I16" s="10" t="s">
        <v>158</v>
      </c>
      <c r="J16" s="7" t="s">
        <v>2</v>
      </c>
      <c r="K16" s="7" t="s">
        <v>139</v>
      </c>
      <c r="L16" s="7">
        <v>-3</v>
      </c>
      <c r="M16" s="7" t="s">
        <v>2</v>
      </c>
      <c r="N16" s="7">
        <v>96</v>
      </c>
      <c r="O16" s="7">
        <v>88</v>
      </c>
      <c r="P16" s="2" t="str">
        <f t="shared" si="5"/>
        <v>TOR</v>
      </c>
      <c r="Q16" s="2">
        <f t="shared" si="3"/>
        <v>11</v>
      </c>
      <c r="R16" s="7">
        <f t="shared" si="4"/>
        <v>1</v>
      </c>
    </row>
    <row r="17" spans="1:18" ht="15" customHeight="1" x14ac:dyDescent="0.25">
      <c r="A17" s="7">
        <v>16</v>
      </c>
      <c r="B17" s="8" t="s">
        <v>151</v>
      </c>
      <c r="C17" s="7">
        <v>2012</v>
      </c>
      <c r="D17" s="7">
        <v>2013</v>
      </c>
      <c r="E17" s="3">
        <v>41325</v>
      </c>
      <c r="F17" s="4">
        <f t="shared" si="0"/>
        <v>2</v>
      </c>
      <c r="G17" s="4">
        <f t="shared" si="1"/>
        <v>20</v>
      </c>
      <c r="H17" s="4">
        <f t="shared" si="2"/>
        <v>2013</v>
      </c>
      <c r="I17" s="10" t="s">
        <v>158</v>
      </c>
      <c r="J17" s="7" t="s">
        <v>11</v>
      </c>
      <c r="K17" s="7" t="s">
        <v>16</v>
      </c>
      <c r="L17" s="7">
        <v>-11.5</v>
      </c>
      <c r="M17" s="7" t="s">
        <v>16</v>
      </c>
      <c r="N17" s="7">
        <v>96</v>
      </c>
      <c r="O17" s="7">
        <v>111</v>
      </c>
      <c r="P17" s="2" t="str">
        <f t="shared" si="5"/>
        <v>DAL</v>
      </c>
      <c r="Q17" s="2">
        <f t="shared" si="3"/>
        <v>3.5</v>
      </c>
      <c r="R17" s="7">
        <f t="shared" si="4"/>
        <v>1</v>
      </c>
    </row>
    <row r="18" spans="1:18" ht="15" customHeight="1" x14ac:dyDescent="0.25">
      <c r="A18" s="7">
        <v>17</v>
      </c>
      <c r="B18" s="8" t="s">
        <v>151</v>
      </c>
      <c r="C18" s="7">
        <v>2012</v>
      </c>
      <c r="D18" s="7">
        <v>2013</v>
      </c>
      <c r="E18" s="3">
        <v>41326</v>
      </c>
      <c r="F18" s="4">
        <f t="shared" si="0"/>
        <v>2</v>
      </c>
      <c r="G18" s="4">
        <f t="shared" si="1"/>
        <v>21</v>
      </c>
      <c r="H18" s="4">
        <f t="shared" si="2"/>
        <v>2013</v>
      </c>
      <c r="I18" s="10" t="s">
        <v>158</v>
      </c>
      <c r="J18" s="7" t="s">
        <v>15</v>
      </c>
      <c r="K18" s="7" t="s">
        <v>0</v>
      </c>
      <c r="L18" s="7">
        <v>3</v>
      </c>
      <c r="M18" s="7" t="s">
        <v>15</v>
      </c>
      <c r="N18" s="7">
        <v>86</v>
      </c>
      <c r="O18" s="7">
        <v>67</v>
      </c>
      <c r="P18" s="2" t="str">
        <f t="shared" si="5"/>
        <v>MIA</v>
      </c>
      <c r="Q18" s="2">
        <f t="shared" si="3"/>
        <v>16</v>
      </c>
      <c r="R18" s="7">
        <f t="shared" si="4"/>
        <v>1</v>
      </c>
    </row>
    <row r="19" spans="1:18" ht="15" customHeight="1" x14ac:dyDescent="0.25">
      <c r="A19" s="7">
        <v>18</v>
      </c>
      <c r="B19" s="8" t="s">
        <v>151</v>
      </c>
      <c r="C19" s="7">
        <v>2012</v>
      </c>
      <c r="D19" s="7">
        <v>2013</v>
      </c>
      <c r="E19" s="3">
        <v>41327</v>
      </c>
      <c r="F19" s="4">
        <f t="shared" si="0"/>
        <v>2</v>
      </c>
      <c r="G19" s="4">
        <f t="shared" si="1"/>
        <v>22</v>
      </c>
      <c r="H19" s="4">
        <f t="shared" si="2"/>
        <v>2013</v>
      </c>
      <c r="I19" s="10" t="s">
        <v>158</v>
      </c>
      <c r="J19" s="7" t="s">
        <v>1</v>
      </c>
      <c r="K19" s="7" t="s">
        <v>18</v>
      </c>
      <c r="L19" s="7">
        <v>-9.5</v>
      </c>
      <c r="M19" s="7" t="s">
        <v>1</v>
      </c>
      <c r="N19" s="7">
        <v>107</v>
      </c>
      <c r="O19" s="7">
        <v>111</v>
      </c>
      <c r="P19" s="2" t="str">
        <f t="shared" si="5"/>
        <v>POR</v>
      </c>
      <c r="Q19" s="2">
        <f t="shared" si="3"/>
        <v>5.5</v>
      </c>
      <c r="R19" s="7">
        <f t="shared" si="4"/>
        <v>1</v>
      </c>
    </row>
    <row r="20" spans="1:18" ht="15" customHeight="1" x14ac:dyDescent="0.25">
      <c r="A20" s="7">
        <v>19</v>
      </c>
      <c r="B20" s="8" t="s">
        <v>151</v>
      </c>
      <c r="C20" s="7">
        <v>2012</v>
      </c>
      <c r="D20" s="7">
        <v>2013</v>
      </c>
      <c r="E20" s="3">
        <v>41328</v>
      </c>
      <c r="F20" s="4">
        <f t="shared" si="0"/>
        <v>2</v>
      </c>
      <c r="G20" s="4">
        <f t="shared" si="1"/>
        <v>23</v>
      </c>
      <c r="H20" s="4">
        <f t="shared" si="2"/>
        <v>2013</v>
      </c>
      <c r="I20" s="10" t="s">
        <v>158</v>
      </c>
      <c r="J20" s="7" t="s">
        <v>13</v>
      </c>
      <c r="K20" s="7" t="s">
        <v>7</v>
      </c>
      <c r="L20" s="7">
        <v>4</v>
      </c>
      <c r="M20" s="7" t="s">
        <v>13</v>
      </c>
      <c r="N20" s="7">
        <v>90</v>
      </c>
      <c r="O20" s="7">
        <v>72</v>
      </c>
      <c r="P20" s="2" t="str">
        <f t="shared" si="5"/>
        <v>IND</v>
      </c>
      <c r="Q20" s="2">
        <f t="shared" si="3"/>
        <v>14</v>
      </c>
      <c r="R20" s="7">
        <f t="shared" si="4"/>
        <v>1</v>
      </c>
    </row>
    <row r="21" spans="1:18" ht="15" customHeight="1" x14ac:dyDescent="0.25">
      <c r="A21" s="7">
        <v>20</v>
      </c>
      <c r="B21" s="8" t="s">
        <v>151</v>
      </c>
      <c r="C21" s="7">
        <v>2012</v>
      </c>
      <c r="D21" s="7">
        <v>2013</v>
      </c>
      <c r="E21" s="3">
        <v>41329</v>
      </c>
      <c r="F21" s="4">
        <f t="shared" si="0"/>
        <v>2</v>
      </c>
      <c r="G21" s="4">
        <f t="shared" si="1"/>
        <v>24</v>
      </c>
      <c r="H21" s="4">
        <f t="shared" si="2"/>
        <v>2013</v>
      </c>
      <c r="I21" s="10" t="s">
        <v>158</v>
      </c>
      <c r="J21" s="7" t="s">
        <v>21</v>
      </c>
      <c r="K21" s="7" t="s">
        <v>124</v>
      </c>
      <c r="L21" s="7">
        <v>-6</v>
      </c>
      <c r="M21" s="7" t="s">
        <v>124</v>
      </c>
      <c r="N21" s="7">
        <v>95</v>
      </c>
      <c r="O21" s="7">
        <v>110</v>
      </c>
      <c r="P21" s="2" t="str">
        <f t="shared" si="5"/>
        <v>NO</v>
      </c>
      <c r="Q21" s="2">
        <f t="shared" si="3"/>
        <v>9</v>
      </c>
      <c r="R21" s="7">
        <f t="shared" si="4"/>
        <v>1</v>
      </c>
    </row>
    <row r="22" spans="1:18" ht="15" customHeight="1" x14ac:dyDescent="0.25">
      <c r="A22" s="7">
        <v>21</v>
      </c>
      <c r="B22" s="8" t="s">
        <v>151</v>
      </c>
      <c r="C22" s="7">
        <v>2012</v>
      </c>
      <c r="D22" s="7">
        <v>2013</v>
      </c>
      <c r="E22" s="3">
        <v>41330</v>
      </c>
      <c r="F22" s="4">
        <f t="shared" si="0"/>
        <v>2</v>
      </c>
      <c r="G22" s="4">
        <f t="shared" si="1"/>
        <v>25</v>
      </c>
      <c r="H22" s="4">
        <f t="shared" si="2"/>
        <v>2013</v>
      </c>
      <c r="I22" s="10" t="s">
        <v>158</v>
      </c>
      <c r="J22" s="7" t="s">
        <v>17</v>
      </c>
      <c r="K22" s="7" t="s">
        <v>137</v>
      </c>
      <c r="L22" s="7">
        <v>-7</v>
      </c>
      <c r="M22" s="7" t="s">
        <v>137</v>
      </c>
      <c r="N22" s="7">
        <v>110</v>
      </c>
      <c r="O22" s="7">
        <v>107</v>
      </c>
      <c r="P22" s="2" t="str">
        <f t="shared" si="5"/>
        <v>BOS</v>
      </c>
      <c r="Q22" s="2">
        <f t="shared" si="3"/>
        <v>-10</v>
      </c>
      <c r="R22" s="7">
        <f t="shared" si="4"/>
        <v>0</v>
      </c>
    </row>
    <row r="23" spans="1:18" ht="15" customHeight="1" x14ac:dyDescent="0.25">
      <c r="A23" s="7">
        <v>22</v>
      </c>
      <c r="B23" s="8" t="s">
        <v>151</v>
      </c>
      <c r="C23" s="7">
        <v>2012</v>
      </c>
      <c r="D23" s="7">
        <v>2013</v>
      </c>
      <c r="E23" s="3">
        <v>41331</v>
      </c>
      <c r="F23" s="4">
        <f t="shared" si="0"/>
        <v>2</v>
      </c>
      <c r="G23" s="4">
        <f t="shared" si="1"/>
        <v>26</v>
      </c>
      <c r="H23" s="4">
        <f t="shared" si="2"/>
        <v>2013</v>
      </c>
      <c r="I23" s="10" t="s">
        <v>158</v>
      </c>
      <c r="J23" s="7" t="s">
        <v>21</v>
      </c>
      <c r="K23" s="7" t="s">
        <v>15</v>
      </c>
      <c r="L23" s="7">
        <v>-15</v>
      </c>
      <c r="M23" s="7" t="s">
        <v>21</v>
      </c>
      <c r="N23" s="7">
        <v>129</v>
      </c>
      <c r="O23" s="7">
        <v>141</v>
      </c>
      <c r="P23" s="2" t="str">
        <f t="shared" si="5"/>
        <v>SAC</v>
      </c>
      <c r="Q23" s="2">
        <f t="shared" si="3"/>
        <v>3</v>
      </c>
      <c r="R23" s="7">
        <f t="shared" si="4"/>
        <v>1</v>
      </c>
    </row>
    <row r="24" spans="1:18" ht="15" customHeight="1" x14ac:dyDescent="0.25">
      <c r="A24" s="7">
        <v>23</v>
      </c>
      <c r="B24" s="8" t="s">
        <v>151</v>
      </c>
      <c r="C24" s="7">
        <v>2012</v>
      </c>
      <c r="D24" s="7">
        <v>2013</v>
      </c>
      <c r="E24" s="3">
        <v>41332</v>
      </c>
      <c r="F24" s="4">
        <f t="shared" si="0"/>
        <v>2</v>
      </c>
      <c r="G24" s="4">
        <f t="shared" si="1"/>
        <v>27</v>
      </c>
      <c r="H24" s="4">
        <f t="shared" si="2"/>
        <v>2013</v>
      </c>
      <c r="I24" s="10" t="s">
        <v>158</v>
      </c>
      <c r="J24" s="7" t="s">
        <v>2</v>
      </c>
      <c r="K24" s="7" t="s">
        <v>6</v>
      </c>
      <c r="L24" s="7">
        <v>5</v>
      </c>
      <c r="M24" s="7" t="s">
        <v>2</v>
      </c>
      <c r="N24" s="7">
        <v>92</v>
      </c>
      <c r="O24" s="7">
        <v>103</v>
      </c>
      <c r="P24" s="2" t="str">
        <f t="shared" si="5"/>
        <v>CLE</v>
      </c>
      <c r="Q24" s="2">
        <f t="shared" si="3"/>
        <v>-16</v>
      </c>
      <c r="R24" s="7">
        <f t="shared" si="4"/>
        <v>0</v>
      </c>
    </row>
    <row r="25" spans="1:18" ht="15" customHeight="1" x14ac:dyDescent="0.25">
      <c r="A25" s="7">
        <v>24</v>
      </c>
      <c r="B25" s="8" t="s">
        <v>151</v>
      </c>
      <c r="C25" s="7">
        <v>2012</v>
      </c>
      <c r="D25" s="7">
        <v>2013</v>
      </c>
      <c r="E25" s="3">
        <v>41333</v>
      </c>
      <c r="F25" s="4">
        <f t="shared" si="0"/>
        <v>2</v>
      </c>
      <c r="G25" s="4">
        <f t="shared" si="1"/>
        <v>28</v>
      </c>
      <c r="H25" s="4">
        <f t="shared" si="2"/>
        <v>2013</v>
      </c>
      <c r="I25" s="10" t="s">
        <v>158</v>
      </c>
      <c r="J25" s="7" t="s">
        <v>20</v>
      </c>
      <c r="K25" s="7" t="s">
        <v>0</v>
      </c>
      <c r="L25" s="7">
        <v>-7</v>
      </c>
      <c r="M25" s="7" t="s">
        <v>20</v>
      </c>
      <c r="N25" s="7">
        <v>82</v>
      </c>
      <c r="O25" s="7">
        <v>93</v>
      </c>
      <c r="P25" s="2" t="str">
        <f t="shared" si="5"/>
        <v>CHI</v>
      </c>
      <c r="Q25" s="2">
        <f t="shared" si="3"/>
        <v>-4</v>
      </c>
      <c r="R25" s="7">
        <f t="shared" si="4"/>
        <v>0</v>
      </c>
    </row>
    <row r="26" spans="1:18" ht="15" customHeight="1" x14ac:dyDescent="0.25">
      <c r="A26" s="7">
        <v>25</v>
      </c>
      <c r="B26" s="8" t="s">
        <v>151</v>
      </c>
      <c r="C26" s="7">
        <v>2012</v>
      </c>
      <c r="D26" s="7">
        <v>2013</v>
      </c>
      <c r="E26" s="3">
        <v>41334</v>
      </c>
      <c r="F26" s="4">
        <f t="shared" si="0"/>
        <v>3</v>
      </c>
      <c r="G26" s="4">
        <f t="shared" si="1"/>
        <v>1</v>
      </c>
      <c r="H26" s="4">
        <f t="shared" si="2"/>
        <v>2013</v>
      </c>
      <c r="I26" s="10" t="s">
        <v>158</v>
      </c>
      <c r="J26" s="7" t="s">
        <v>4</v>
      </c>
      <c r="K26" s="7" t="s">
        <v>11</v>
      </c>
      <c r="L26" s="7">
        <v>9</v>
      </c>
      <c r="M26" s="7" t="s">
        <v>4</v>
      </c>
      <c r="N26" s="7">
        <v>118</v>
      </c>
      <c r="O26" s="7">
        <v>110</v>
      </c>
      <c r="P26" s="7" t="str">
        <f t="shared" si="5"/>
        <v>ORL</v>
      </c>
      <c r="Q26" s="7">
        <f t="shared" si="3"/>
        <v>-1</v>
      </c>
      <c r="R26" s="7">
        <f t="shared" si="4"/>
        <v>0</v>
      </c>
    </row>
    <row r="27" spans="1:18" ht="15" customHeight="1" x14ac:dyDescent="0.25">
      <c r="A27" s="7">
        <v>26</v>
      </c>
      <c r="B27" s="8" t="s">
        <v>151</v>
      </c>
      <c r="C27" s="7">
        <v>2012</v>
      </c>
      <c r="D27" s="7">
        <v>2013</v>
      </c>
      <c r="E27" s="3">
        <v>41335</v>
      </c>
      <c r="F27" s="4">
        <f t="shared" si="0"/>
        <v>3</v>
      </c>
      <c r="G27" s="4">
        <f t="shared" si="1"/>
        <v>2</v>
      </c>
      <c r="H27" s="4">
        <f t="shared" si="2"/>
        <v>2013</v>
      </c>
      <c r="I27" s="10" t="s">
        <v>158</v>
      </c>
      <c r="J27" s="7" t="s">
        <v>114</v>
      </c>
      <c r="K27" s="7" t="s">
        <v>20</v>
      </c>
      <c r="L27" s="7">
        <v>2</v>
      </c>
      <c r="M27" s="7" t="s">
        <v>114</v>
      </c>
      <c r="N27" s="7">
        <v>97</v>
      </c>
      <c r="O27" s="7">
        <v>104</v>
      </c>
      <c r="P27" s="7" t="str">
        <f t="shared" si="5"/>
        <v>PHI</v>
      </c>
      <c r="Q27" s="7">
        <f t="shared" si="3"/>
        <v>-9</v>
      </c>
      <c r="R27" s="7">
        <f t="shared" si="4"/>
        <v>0</v>
      </c>
    </row>
    <row r="28" spans="1:18" ht="15" customHeight="1" x14ac:dyDescent="0.25">
      <c r="A28" s="7">
        <v>27</v>
      </c>
      <c r="B28" s="8" t="s">
        <v>151</v>
      </c>
      <c r="C28" s="7">
        <v>2012</v>
      </c>
      <c r="D28" s="7">
        <v>2013</v>
      </c>
      <c r="E28" s="3">
        <v>41336</v>
      </c>
      <c r="F28" s="4">
        <f t="shared" si="0"/>
        <v>3</v>
      </c>
      <c r="G28" s="4">
        <f t="shared" si="1"/>
        <v>3</v>
      </c>
      <c r="H28" s="4">
        <f t="shared" si="2"/>
        <v>2013</v>
      </c>
      <c r="I28" s="10" t="s">
        <v>158</v>
      </c>
      <c r="J28" s="7" t="s">
        <v>16</v>
      </c>
      <c r="K28" s="7" t="s">
        <v>4</v>
      </c>
      <c r="L28" s="7">
        <v>-5.5</v>
      </c>
      <c r="M28" s="7" t="s">
        <v>4</v>
      </c>
      <c r="N28" s="7">
        <v>103</v>
      </c>
      <c r="O28" s="7">
        <v>136</v>
      </c>
      <c r="P28" s="7" t="str">
        <f t="shared" si="5"/>
        <v>HOU</v>
      </c>
      <c r="Q28" s="7">
        <f t="shared" si="3"/>
        <v>27.5</v>
      </c>
      <c r="R28" s="7">
        <f t="shared" si="4"/>
        <v>1</v>
      </c>
    </row>
    <row r="29" spans="1:18" ht="15" customHeight="1" x14ac:dyDescent="0.25">
      <c r="A29" s="7">
        <v>28</v>
      </c>
      <c r="B29" s="8" t="s">
        <v>151</v>
      </c>
      <c r="C29" s="7">
        <v>2012</v>
      </c>
      <c r="D29" s="7">
        <v>2013</v>
      </c>
      <c r="E29" s="3">
        <v>41337</v>
      </c>
      <c r="F29" s="4">
        <f t="shared" si="0"/>
        <v>3</v>
      </c>
      <c r="G29" s="4">
        <f t="shared" si="1"/>
        <v>4</v>
      </c>
      <c r="H29" s="4">
        <f t="shared" si="2"/>
        <v>2013</v>
      </c>
      <c r="I29" s="10" t="s">
        <v>158</v>
      </c>
      <c r="J29" s="2" t="s">
        <v>5</v>
      </c>
      <c r="K29" s="2" t="s">
        <v>23</v>
      </c>
      <c r="L29" s="2">
        <v>-10</v>
      </c>
      <c r="M29" s="2" t="s">
        <v>23</v>
      </c>
      <c r="N29" s="2">
        <v>88</v>
      </c>
      <c r="O29" s="2">
        <v>104</v>
      </c>
      <c r="P29" s="2" t="str">
        <f t="shared" si="5"/>
        <v>DEN</v>
      </c>
      <c r="Q29" s="2">
        <f t="shared" si="3"/>
        <v>6</v>
      </c>
      <c r="R29" s="7">
        <f t="shared" si="4"/>
        <v>1</v>
      </c>
    </row>
    <row r="30" spans="1:18" ht="15" customHeight="1" x14ac:dyDescent="0.25">
      <c r="A30" s="7">
        <v>29</v>
      </c>
      <c r="B30" s="8" t="s">
        <v>151</v>
      </c>
      <c r="C30" s="7">
        <v>2012</v>
      </c>
      <c r="D30" s="7">
        <v>2013</v>
      </c>
      <c r="E30" s="3">
        <v>41338</v>
      </c>
      <c r="F30" s="4">
        <f t="shared" si="0"/>
        <v>3</v>
      </c>
      <c r="G30" s="4">
        <f t="shared" si="1"/>
        <v>5</v>
      </c>
      <c r="H30" s="4">
        <f t="shared" si="2"/>
        <v>2013</v>
      </c>
      <c r="I30" s="10" t="s">
        <v>158</v>
      </c>
      <c r="J30" s="2" t="s">
        <v>23</v>
      </c>
      <c r="K30" s="2" t="s">
        <v>21</v>
      </c>
      <c r="L30" s="2">
        <v>4.5</v>
      </c>
      <c r="M30" s="2" t="s">
        <v>23</v>
      </c>
      <c r="N30" s="2">
        <v>120</v>
      </c>
      <c r="O30" s="2">
        <v>113</v>
      </c>
      <c r="P30" s="2" t="str">
        <f t="shared" si="5"/>
        <v>DEN</v>
      </c>
      <c r="Q30" s="2">
        <f t="shared" si="3"/>
        <v>2.5</v>
      </c>
      <c r="R30" s="7">
        <f t="shared" si="4"/>
        <v>1</v>
      </c>
    </row>
    <row r="31" spans="1:18" ht="15" customHeight="1" x14ac:dyDescent="0.25">
      <c r="A31" s="7">
        <v>30</v>
      </c>
      <c r="B31" s="8" t="s">
        <v>151</v>
      </c>
      <c r="C31" s="7">
        <v>2012</v>
      </c>
      <c r="D31" s="7">
        <v>2013</v>
      </c>
      <c r="E31" s="3">
        <v>41339</v>
      </c>
      <c r="F31" s="4">
        <f t="shared" si="0"/>
        <v>3</v>
      </c>
      <c r="G31" s="4">
        <f t="shared" si="1"/>
        <v>6</v>
      </c>
      <c r="H31" s="4">
        <f t="shared" si="2"/>
        <v>2013</v>
      </c>
      <c r="I31" s="10" t="s">
        <v>158</v>
      </c>
      <c r="J31" s="2" t="s">
        <v>139</v>
      </c>
      <c r="K31" s="2" t="s">
        <v>3</v>
      </c>
      <c r="L31" s="2">
        <v>2</v>
      </c>
      <c r="M31" s="2" t="s">
        <v>139</v>
      </c>
      <c r="N31" s="2">
        <v>82</v>
      </c>
      <c r="O31" s="2">
        <v>87</v>
      </c>
      <c r="P31" s="2" t="str">
        <f t="shared" si="5"/>
        <v>MIN</v>
      </c>
      <c r="Q31" s="2">
        <f t="shared" si="3"/>
        <v>-7</v>
      </c>
      <c r="R31" s="7">
        <f t="shared" si="4"/>
        <v>0</v>
      </c>
    </row>
    <row r="32" spans="1:18" ht="15" customHeight="1" x14ac:dyDescent="0.25">
      <c r="A32" s="7">
        <v>31</v>
      </c>
      <c r="B32" s="8" t="s">
        <v>151</v>
      </c>
      <c r="C32" s="7">
        <v>2012</v>
      </c>
      <c r="D32" s="7">
        <v>2013</v>
      </c>
      <c r="E32" s="3">
        <v>41340</v>
      </c>
      <c r="F32" s="4">
        <f t="shared" si="0"/>
        <v>3</v>
      </c>
      <c r="G32" s="4">
        <f t="shared" si="1"/>
        <v>7</v>
      </c>
      <c r="H32" s="4">
        <f t="shared" si="2"/>
        <v>2013</v>
      </c>
      <c r="I32" s="10" t="s">
        <v>158</v>
      </c>
      <c r="J32" s="2" t="s">
        <v>12</v>
      </c>
      <c r="K32" s="2" t="s">
        <v>126</v>
      </c>
      <c r="L32" s="2">
        <v>7.5</v>
      </c>
      <c r="M32" s="2" t="s">
        <v>126</v>
      </c>
      <c r="N32" s="2">
        <v>95</v>
      </c>
      <c r="O32" s="2">
        <v>94</v>
      </c>
      <c r="P32" s="2" t="str">
        <f t="shared" si="5"/>
        <v>NY</v>
      </c>
      <c r="Q32" s="2">
        <f t="shared" si="3"/>
        <v>6.5</v>
      </c>
      <c r="R32" s="7">
        <f t="shared" si="4"/>
        <v>1</v>
      </c>
    </row>
    <row r="33" spans="1:18" ht="15" customHeight="1" x14ac:dyDescent="0.25">
      <c r="A33" s="7">
        <v>32</v>
      </c>
      <c r="B33" s="8" t="s">
        <v>151</v>
      </c>
      <c r="C33" s="7">
        <v>2012</v>
      </c>
      <c r="D33" s="7">
        <v>2013</v>
      </c>
      <c r="E33" s="3">
        <v>41341</v>
      </c>
      <c r="F33" s="4">
        <f t="shared" si="0"/>
        <v>3</v>
      </c>
      <c r="G33" s="4">
        <f t="shared" si="1"/>
        <v>8</v>
      </c>
      <c r="H33" s="4">
        <f t="shared" si="2"/>
        <v>2013</v>
      </c>
      <c r="I33" s="10" t="s">
        <v>158</v>
      </c>
      <c r="J33" s="2" t="s">
        <v>137</v>
      </c>
      <c r="K33" s="2" t="s">
        <v>0</v>
      </c>
      <c r="L33" s="2">
        <v>-4</v>
      </c>
      <c r="M33" s="2" t="s">
        <v>0</v>
      </c>
      <c r="N33" s="2">
        <v>88</v>
      </c>
      <c r="O33" s="2">
        <v>89</v>
      </c>
      <c r="P33" s="2" t="str">
        <f t="shared" si="5"/>
        <v>UTAH</v>
      </c>
      <c r="Q33" s="2">
        <f t="shared" si="3"/>
        <v>-3</v>
      </c>
      <c r="R33" s="7">
        <f t="shared" si="4"/>
        <v>0</v>
      </c>
    </row>
    <row r="34" spans="1:18" ht="15" customHeight="1" x14ac:dyDescent="0.25">
      <c r="A34" s="7">
        <v>33</v>
      </c>
      <c r="B34" s="8" t="s">
        <v>151</v>
      </c>
      <c r="C34" s="7">
        <v>2012</v>
      </c>
      <c r="D34" s="7">
        <v>2013</v>
      </c>
      <c r="E34" s="3">
        <v>41342</v>
      </c>
      <c r="F34" s="4">
        <f t="shared" si="0"/>
        <v>3</v>
      </c>
      <c r="G34" s="4">
        <f t="shared" si="1"/>
        <v>9</v>
      </c>
      <c r="H34" s="4">
        <f t="shared" si="2"/>
        <v>2013</v>
      </c>
      <c r="I34" s="10" t="s">
        <v>158</v>
      </c>
      <c r="J34" s="2" t="s">
        <v>8</v>
      </c>
      <c r="K34" s="2" t="s">
        <v>139</v>
      </c>
      <c r="L34" s="2">
        <v>-10.5</v>
      </c>
      <c r="M34" s="2" t="s">
        <v>8</v>
      </c>
      <c r="N34" s="2">
        <v>87</v>
      </c>
      <c r="O34" s="2">
        <v>104</v>
      </c>
      <c r="P34" s="2" t="str">
        <f t="shared" si="5"/>
        <v>WSH</v>
      </c>
      <c r="Q34" s="2">
        <f t="shared" si="3"/>
        <v>-6.5</v>
      </c>
      <c r="R34" s="7">
        <f t="shared" si="4"/>
        <v>0</v>
      </c>
    </row>
    <row r="35" spans="1:18" ht="15" customHeight="1" x14ac:dyDescent="0.25">
      <c r="A35" s="7">
        <v>34</v>
      </c>
      <c r="B35" s="8" t="s">
        <v>151</v>
      </c>
      <c r="C35" s="7">
        <v>2012</v>
      </c>
      <c r="D35" s="7">
        <v>2013</v>
      </c>
      <c r="E35" s="3">
        <v>41343</v>
      </c>
      <c r="F35" s="4">
        <f t="shared" si="0"/>
        <v>3</v>
      </c>
      <c r="G35" s="4">
        <f t="shared" si="1"/>
        <v>10</v>
      </c>
      <c r="H35" s="4">
        <f t="shared" si="2"/>
        <v>2013</v>
      </c>
      <c r="I35" s="10" t="s">
        <v>158</v>
      </c>
      <c r="J35" s="2" t="s">
        <v>13</v>
      </c>
      <c r="K35" s="2" t="s">
        <v>15</v>
      </c>
      <c r="L35" s="2">
        <v>-7</v>
      </c>
      <c r="M35" s="2" t="s">
        <v>13</v>
      </c>
      <c r="N35" s="2">
        <v>91</v>
      </c>
      <c r="O35" s="2">
        <v>105</v>
      </c>
      <c r="P35" s="2" t="str">
        <f t="shared" si="5"/>
        <v>MIA</v>
      </c>
      <c r="Q35" s="2">
        <f t="shared" si="3"/>
        <v>-7</v>
      </c>
      <c r="R35" s="7">
        <f t="shared" si="4"/>
        <v>0</v>
      </c>
    </row>
    <row r="36" spans="1:18" ht="15" customHeight="1" x14ac:dyDescent="0.25">
      <c r="A36" s="7">
        <v>35</v>
      </c>
      <c r="B36" s="8" t="s">
        <v>151</v>
      </c>
      <c r="C36" s="7">
        <v>2012</v>
      </c>
      <c r="D36" s="7">
        <v>2013</v>
      </c>
      <c r="E36" s="3">
        <v>41344</v>
      </c>
      <c r="F36" s="4">
        <f t="shared" si="0"/>
        <v>3</v>
      </c>
      <c r="G36" s="4">
        <f t="shared" si="1"/>
        <v>11</v>
      </c>
      <c r="H36" s="4">
        <f t="shared" si="2"/>
        <v>2013</v>
      </c>
      <c r="I36" s="10" t="s">
        <v>158</v>
      </c>
      <c r="J36" s="7" t="s">
        <v>23</v>
      </c>
      <c r="K36" s="7" t="s">
        <v>19</v>
      </c>
      <c r="L36" s="7">
        <v>9</v>
      </c>
      <c r="M36" s="7" t="s">
        <v>23</v>
      </c>
      <c r="N36" s="7">
        <v>108</v>
      </c>
      <c r="O36" s="7">
        <v>93</v>
      </c>
      <c r="P36" s="2" t="str">
        <f t="shared" si="5"/>
        <v>DEN</v>
      </c>
      <c r="Q36" s="2">
        <f t="shared" si="3"/>
        <v>6</v>
      </c>
      <c r="R36" s="7">
        <f t="shared" si="4"/>
        <v>1</v>
      </c>
    </row>
    <row r="37" spans="1:18" ht="15" customHeight="1" x14ac:dyDescent="0.25">
      <c r="A37" s="7">
        <v>36</v>
      </c>
      <c r="B37" s="8" t="s">
        <v>151</v>
      </c>
      <c r="C37" s="7">
        <v>2012</v>
      </c>
      <c r="D37" s="7">
        <v>2013</v>
      </c>
      <c r="E37" s="3">
        <v>41345</v>
      </c>
      <c r="F37" s="4">
        <f t="shared" si="0"/>
        <v>3</v>
      </c>
      <c r="G37" s="4">
        <f t="shared" si="1"/>
        <v>12</v>
      </c>
      <c r="H37" s="4">
        <f t="shared" si="2"/>
        <v>2013</v>
      </c>
      <c r="I37" s="10" t="s">
        <v>158</v>
      </c>
      <c r="J37" s="7" t="s">
        <v>16</v>
      </c>
      <c r="K37" s="7" t="s">
        <v>10</v>
      </c>
      <c r="L37" s="7">
        <v>-2</v>
      </c>
      <c r="M37" s="7" t="s">
        <v>16</v>
      </c>
      <c r="N37" s="7">
        <v>115</v>
      </c>
      <c r="O37" s="7">
        <v>108</v>
      </c>
      <c r="P37" s="2" t="str">
        <f t="shared" si="5"/>
        <v>DAL</v>
      </c>
      <c r="Q37" s="2">
        <f t="shared" si="3"/>
        <v>9</v>
      </c>
      <c r="R37" s="7">
        <f t="shared" si="4"/>
        <v>1</v>
      </c>
    </row>
    <row r="38" spans="1:18" ht="15" customHeight="1" x14ac:dyDescent="0.25">
      <c r="A38" s="7">
        <v>37</v>
      </c>
      <c r="B38" s="8" t="s">
        <v>151</v>
      </c>
      <c r="C38" s="7">
        <v>2012</v>
      </c>
      <c r="D38" s="7">
        <v>2013</v>
      </c>
      <c r="E38" s="3">
        <v>41346</v>
      </c>
      <c r="F38" s="4">
        <f t="shared" si="0"/>
        <v>3</v>
      </c>
      <c r="G38" s="4">
        <f t="shared" si="1"/>
        <v>13</v>
      </c>
      <c r="H38" s="4">
        <f t="shared" si="2"/>
        <v>2013</v>
      </c>
      <c r="I38" s="10" t="s">
        <v>158</v>
      </c>
      <c r="J38" s="7" t="s">
        <v>126</v>
      </c>
      <c r="K38" s="7" t="s">
        <v>23</v>
      </c>
      <c r="L38" s="7">
        <v>-8.5</v>
      </c>
      <c r="M38" s="7" t="s">
        <v>23</v>
      </c>
      <c r="N38" s="7">
        <v>94</v>
      </c>
      <c r="O38" s="7">
        <v>117</v>
      </c>
      <c r="P38" s="2" t="str">
        <f t="shared" si="5"/>
        <v>DEN</v>
      </c>
      <c r="Q38" s="2">
        <f t="shared" si="3"/>
        <v>14.5</v>
      </c>
      <c r="R38" s="7">
        <f t="shared" si="4"/>
        <v>1</v>
      </c>
    </row>
    <row r="39" spans="1:18" ht="15" customHeight="1" x14ac:dyDescent="0.25">
      <c r="A39" s="7">
        <v>38</v>
      </c>
      <c r="B39" s="8" t="s">
        <v>151</v>
      </c>
      <c r="C39" s="7">
        <v>2012</v>
      </c>
      <c r="D39" s="7">
        <v>2013</v>
      </c>
      <c r="E39" s="3">
        <v>41347</v>
      </c>
      <c r="F39" s="4">
        <f t="shared" si="0"/>
        <v>3</v>
      </c>
      <c r="G39" s="4">
        <f t="shared" si="1"/>
        <v>14</v>
      </c>
      <c r="H39" s="4">
        <f t="shared" si="2"/>
        <v>2013</v>
      </c>
      <c r="I39" s="10" t="s">
        <v>158</v>
      </c>
      <c r="J39" s="7" t="s">
        <v>126</v>
      </c>
      <c r="K39" s="7" t="s">
        <v>1</v>
      </c>
      <c r="L39" s="7">
        <v>-6.5</v>
      </c>
      <c r="M39" s="7" t="s">
        <v>1</v>
      </c>
      <c r="N39" s="7">
        <v>90</v>
      </c>
      <c r="O39" s="7">
        <v>105</v>
      </c>
      <c r="P39" s="2" t="str">
        <f t="shared" si="5"/>
        <v>POR</v>
      </c>
      <c r="Q39" s="2">
        <f t="shared" si="3"/>
        <v>8.5</v>
      </c>
      <c r="R39" s="7">
        <f t="shared" si="4"/>
        <v>1</v>
      </c>
    </row>
    <row r="40" spans="1:18" ht="15" customHeight="1" x14ac:dyDescent="0.25">
      <c r="A40" s="7">
        <v>39</v>
      </c>
      <c r="B40" s="8" t="s">
        <v>151</v>
      </c>
      <c r="C40" s="7">
        <v>2012</v>
      </c>
      <c r="D40" s="7">
        <v>2013</v>
      </c>
      <c r="E40" s="3">
        <v>41348</v>
      </c>
      <c r="F40" s="4">
        <f t="shared" si="0"/>
        <v>3</v>
      </c>
      <c r="G40" s="4">
        <f t="shared" si="1"/>
        <v>15</v>
      </c>
      <c r="H40" s="4">
        <f t="shared" si="2"/>
        <v>2013</v>
      </c>
      <c r="I40" s="10" t="s">
        <v>158</v>
      </c>
      <c r="J40" s="7" t="s">
        <v>0</v>
      </c>
      <c r="K40" s="7" t="s">
        <v>114</v>
      </c>
      <c r="L40" s="7">
        <v>-5</v>
      </c>
      <c r="M40" s="7" t="s">
        <v>0</v>
      </c>
      <c r="N40" s="7">
        <v>113</v>
      </c>
      <c r="O40" s="7">
        <v>95</v>
      </c>
      <c r="P40" s="2" t="str">
        <f t="shared" si="5"/>
        <v>CHI</v>
      </c>
      <c r="Q40" s="2">
        <f t="shared" si="3"/>
        <v>23</v>
      </c>
      <c r="R40" s="7">
        <f t="shared" si="4"/>
        <v>1</v>
      </c>
    </row>
    <row r="41" spans="1:18" ht="15" customHeight="1" x14ac:dyDescent="0.25">
      <c r="A41" s="7">
        <v>40</v>
      </c>
      <c r="B41" s="8" t="s">
        <v>151</v>
      </c>
      <c r="C41" s="7">
        <v>2012</v>
      </c>
      <c r="D41" s="7">
        <v>2013</v>
      </c>
      <c r="E41" s="3">
        <v>41349</v>
      </c>
      <c r="F41" s="4">
        <f t="shared" si="0"/>
        <v>3</v>
      </c>
      <c r="G41" s="4">
        <f t="shared" si="1"/>
        <v>16</v>
      </c>
      <c r="H41" s="4">
        <f t="shared" si="2"/>
        <v>2013</v>
      </c>
      <c r="I41" s="10" t="s">
        <v>158</v>
      </c>
      <c r="J41" s="7" t="s">
        <v>8</v>
      </c>
      <c r="K41" s="7" t="s">
        <v>17</v>
      </c>
      <c r="L41" s="7">
        <v>-15.5</v>
      </c>
      <c r="M41" s="7" t="s">
        <v>17</v>
      </c>
      <c r="N41" s="7">
        <v>88</v>
      </c>
      <c r="O41" s="7">
        <v>105</v>
      </c>
      <c r="P41" s="7" t="str">
        <f t="shared" si="5"/>
        <v>BOS</v>
      </c>
      <c r="Q41" s="7">
        <f t="shared" si="3"/>
        <v>1.5</v>
      </c>
      <c r="R41" s="7">
        <f t="shared" si="4"/>
        <v>1</v>
      </c>
    </row>
    <row r="42" spans="1:18" ht="15" customHeight="1" x14ac:dyDescent="0.25">
      <c r="A42" s="7">
        <v>41</v>
      </c>
      <c r="B42" s="8" t="s">
        <v>151</v>
      </c>
      <c r="C42" s="7">
        <v>2012</v>
      </c>
      <c r="D42" s="7">
        <v>2013</v>
      </c>
      <c r="E42" s="3">
        <v>41350</v>
      </c>
      <c r="F42" s="4">
        <f t="shared" si="0"/>
        <v>3</v>
      </c>
      <c r="G42" s="4">
        <f t="shared" si="1"/>
        <v>17</v>
      </c>
      <c r="H42" s="4">
        <f t="shared" si="2"/>
        <v>2013</v>
      </c>
      <c r="I42" s="10" t="s">
        <v>158</v>
      </c>
      <c r="J42" s="7" t="s">
        <v>5</v>
      </c>
      <c r="K42" s="7" t="s">
        <v>22</v>
      </c>
      <c r="L42" s="7">
        <v>-4</v>
      </c>
      <c r="M42" s="7" t="s">
        <v>5</v>
      </c>
      <c r="N42" s="7">
        <v>105</v>
      </c>
      <c r="O42" s="7">
        <v>93</v>
      </c>
      <c r="P42" s="7" t="str">
        <f t="shared" si="5"/>
        <v>ATL</v>
      </c>
      <c r="Q42" s="7">
        <f t="shared" si="3"/>
        <v>16</v>
      </c>
      <c r="R42" s="7">
        <f t="shared" si="4"/>
        <v>1</v>
      </c>
    </row>
    <row r="43" spans="1:18" ht="15" customHeight="1" x14ac:dyDescent="0.25">
      <c r="A43" s="7">
        <v>42</v>
      </c>
      <c r="B43" s="8" t="s">
        <v>151</v>
      </c>
      <c r="C43" s="7">
        <v>2012</v>
      </c>
      <c r="D43" s="7">
        <v>2013</v>
      </c>
      <c r="E43" s="3">
        <v>41351</v>
      </c>
      <c r="F43" s="4">
        <f t="shared" si="0"/>
        <v>3</v>
      </c>
      <c r="G43" s="4">
        <f t="shared" si="1"/>
        <v>18</v>
      </c>
      <c r="H43" s="4">
        <f t="shared" si="2"/>
        <v>2013</v>
      </c>
      <c r="I43" s="10" t="s">
        <v>158</v>
      </c>
      <c r="J43" s="7" t="s">
        <v>16</v>
      </c>
      <c r="K43" s="7" t="s">
        <v>5</v>
      </c>
      <c r="L43" s="7">
        <v>-4.5</v>
      </c>
      <c r="M43" s="7" t="s">
        <v>16</v>
      </c>
      <c r="N43" s="7">
        <v>127</v>
      </c>
      <c r="O43" s="7">
        <v>113</v>
      </c>
      <c r="P43" s="7" t="str">
        <f t="shared" si="5"/>
        <v>DAL</v>
      </c>
      <c r="Q43" s="7">
        <f t="shared" si="3"/>
        <v>18.5</v>
      </c>
      <c r="R43" s="7">
        <f t="shared" si="4"/>
        <v>1</v>
      </c>
    </row>
    <row r="44" spans="1:18" ht="15" customHeight="1" x14ac:dyDescent="0.25">
      <c r="A44" s="7">
        <v>43</v>
      </c>
      <c r="B44" s="8" t="s">
        <v>151</v>
      </c>
      <c r="C44" s="7">
        <v>2012</v>
      </c>
      <c r="D44" s="7">
        <v>2013</v>
      </c>
      <c r="E44" s="3">
        <v>41352</v>
      </c>
      <c r="F44" s="4">
        <f t="shared" si="0"/>
        <v>3</v>
      </c>
      <c r="G44" s="4">
        <f t="shared" si="1"/>
        <v>19</v>
      </c>
      <c r="H44" s="4">
        <f t="shared" si="2"/>
        <v>2013</v>
      </c>
      <c r="I44" s="10" t="s">
        <v>158</v>
      </c>
      <c r="J44" s="7" t="s">
        <v>23</v>
      </c>
      <c r="K44" s="7" t="s">
        <v>12</v>
      </c>
      <c r="L44" s="7">
        <v>-9.5</v>
      </c>
      <c r="M44" s="7" t="s">
        <v>23</v>
      </c>
      <c r="N44" s="7">
        <v>114</v>
      </c>
      <c r="O44" s="7">
        <v>104</v>
      </c>
      <c r="P44" s="7" t="str">
        <f t="shared" si="5"/>
        <v>DEN</v>
      </c>
      <c r="Q44" s="7">
        <f t="shared" si="3"/>
        <v>19.5</v>
      </c>
      <c r="R44" s="7">
        <f t="shared" si="4"/>
        <v>1</v>
      </c>
    </row>
    <row r="45" spans="1:18" ht="15" customHeight="1" x14ac:dyDescent="0.25">
      <c r="A45" s="7">
        <v>44</v>
      </c>
      <c r="B45" s="8" t="s">
        <v>151</v>
      </c>
      <c r="C45" s="7">
        <v>2012</v>
      </c>
      <c r="D45" s="7">
        <v>2013</v>
      </c>
      <c r="E45" s="3">
        <v>41353</v>
      </c>
      <c r="F45" s="4">
        <f t="shared" si="0"/>
        <v>3</v>
      </c>
      <c r="G45" s="4">
        <f t="shared" si="1"/>
        <v>20</v>
      </c>
      <c r="H45" s="4">
        <f t="shared" si="2"/>
        <v>2013</v>
      </c>
      <c r="I45" s="10" t="s">
        <v>158</v>
      </c>
      <c r="J45" s="7" t="s">
        <v>137</v>
      </c>
      <c r="K45" s="7" t="s">
        <v>4</v>
      </c>
      <c r="L45" s="7">
        <v>-7.5</v>
      </c>
      <c r="M45" s="7" t="s">
        <v>137</v>
      </c>
      <c r="N45" s="7">
        <v>93</v>
      </c>
      <c r="O45" s="7">
        <v>100</v>
      </c>
      <c r="P45" s="7" t="str">
        <f t="shared" si="5"/>
        <v>UTAH</v>
      </c>
      <c r="Q45" s="7">
        <f t="shared" si="3"/>
        <v>0.5</v>
      </c>
      <c r="R45" s="7">
        <f t="shared" si="4"/>
        <v>1</v>
      </c>
    </row>
    <row r="46" spans="1:18" ht="15" customHeight="1" x14ac:dyDescent="0.25">
      <c r="A46" s="7">
        <v>45</v>
      </c>
      <c r="B46" s="8" t="s">
        <v>151</v>
      </c>
      <c r="C46" s="7">
        <v>2012</v>
      </c>
      <c r="D46" s="7">
        <v>2013</v>
      </c>
      <c r="E46" s="3">
        <v>41354</v>
      </c>
      <c r="F46" s="4">
        <f t="shared" si="0"/>
        <v>3</v>
      </c>
      <c r="G46" s="4">
        <f t="shared" si="1"/>
        <v>21</v>
      </c>
      <c r="H46" s="4">
        <f t="shared" si="2"/>
        <v>2013</v>
      </c>
      <c r="I46" s="10" t="s">
        <v>158</v>
      </c>
      <c r="J46" s="7" t="s">
        <v>1</v>
      </c>
      <c r="K46" s="7" t="s">
        <v>0</v>
      </c>
      <c r="L46" s="7">
        <v>-6</v>
      </c>
      <c r="M46" s="7" t="s">
        <v>1</v>
      </c>
      <c r="N46" s="7">
        <v>99</v>
      </c>
      <c r="O46" s="7">
        <v>89</v>
      </c>
      <c r="P46" s="7" t="str">
        <f t="shared" si="5"/>
        <v>POR</v>
      </c>
      <c r="Q46" s="7">
        <f t="shared" si="3"/>
        <v>16</v>
      </c>
      <c r="R46" s="7">
        <f t="shared" si="4"/>
        <v>1</v>
      </c>
    </row>
    <row r="47" spans="1:18" ht="15" customHeight="1" x14ac:dyDescent="0.25">
      <c r="A47" s="7">
        <v>46</v>
      </c>
      <c r="B47" s="8" t="s">
        <v>151</v>
      </c>
      <c r="C47" s="7">
        <v>2012</v>
      </c>
      <c r="D47" s="7">
        <v>2013</v>
      </c>
      <c r="E47" s="3">
        <v>41355</v>
      </c>
      <c r="F47" s="4">
        <f t="shared" si="0"/>
        <v>3</v>
      </c>
      <c r="G47" s="4">
        <f t="shared" si="1"/>
        <v>22</v>
      </c>
      <c r="H47" s="4">
        <f t="shared" si="2"/>
        <v>2013</v>
      </c>
      <c r="I47" s="10" t="s">
        <v>158</v>
      </c>
      <c r="J47" s="2" t="s">
        <v>7</v>
      </c>
      <c r="K47" s="2" t="s">
        <v>15</v>
      </c>
      <c r="L47" s="2">
        <v>-16</v>
      </c>
      <c r="M47" s="2" t="s">
        <v>7</v>
      </c>
      <c r="N47" s="2">
        <v>89</v>
      </c>
      <c r="O47" s="2">
        <v>103</v>
      </c>
      <c r="P47" s="2" t="str">
        <f t="shared" si="5"/>
        <v>DET</v>
      </c>
      <c r="Q47" s="2">
        <f t="shared" si="3"/>
        <v>2</v>
      </c>
      <c r="R47" s="7">
        <f t="shared" si="4"/>
        <v>1</v>
      </c>
    </row>
    <row r="48" spans="1:18" ht="15" customHeight="1" x14ac:dyDescent="0.25">
      <c r="A48" s="7">
        <v>47</v>
      </c>
      <c r="B48" s="8" t="s">
        <v>151</v>
      </c>
      <c r="C48" s="7">
        <v>2012</v>
      </c>
      <c r="D48" s="7">
        <v>2013</v>
      </c>
      <c r="E48" s="3">
        <v>41356</v>
      </c>
      <c r="F48" s="4">
        <f t="shared" si="0"/>
        <v>3</v>
      </c>
      <c r="G48" s="4">
        <f t="shared" si="1"/>
        <v>23</v>
      </c>
      <c r="H48" s="4">
        <f t="shared" si="2"/>
        <v>2013</v>
      </c>
      <c r="I48" s="10" t="s">
        <v>158</v>
      </c>
      <c r="J48" s="2" t="s">
        <v>22</v>
      </c>
      <c r="K48" s="2" t="s">
        <v>14</v>
      </c>
      <c r="L48" s="2">
        <v>-7.5</v>
      </c>
      <c r="M48" s="2" t="s">
        <v>14</v>
      </c>
      <c r="N48" s="2">
        <v>95</v>
      </c>
      <c r="O48" s="2">
        <v>101</v>
      </c>
      <c r="P48" s="2" t="str">
        <f t="shared" si="5"/>
        <v>BKN</v>
      </c>
      <c r="Q48" s="2">
        <f t="shared" si="3"/>
        <v>-1.5</v>
      </c>
      <c r="R48" s="7">
        <f t="shared" si="4"/>
        <v>0</v>
      </c>
    </row>
    <row r="49" spans="1:18" ht="15" customHeight="1" x14ac:dyDescent="0.25">
      <c r="A49" s="7">
        <v>48</v>
      </c>
      <c r="B49" s="8" t="s">
        <v>151</v>
      </c>
      <c r="C49" s="7">
        <v>2012</v>
      </c>
      <c r="D49" s="7">
        <v>2013</v>
      </c>
      <c r="E49" s="3">
        <v>41357</v>
      </c>
      <c r="F49" s="4">
        <f t="shared" si="0"/>
        <v>3</v>
      </c>
      <c r="G49" s="4">
        <f t="shared" si="1"/>
        <v>24</v>
      </c>
      <c r="H49" s="4">
        <f t="shared" si="2"/>
        <v>2013</v>
      </c>
      <c r="I49" s="10" t="s">
        <v>158</v>
      </c>
      <c r="J49" s="2" t="s">
        <v>8</v>
      </c>
      <c r="K49" s="2" t="s">
        <v>15</v>
      </c>
      <c r="L49" s="2">
        <v>-17</v>
      </c>
      <c r="M49" s="2" t="s">
        <v>8</v>
      </c>
      <c r="N49" s="2">
        <v>77</v>
      </c>
      <c r="O49" s="2">
        <v>109</v>
      </c>
      <c r="P49" s="2" t="str">
        <f t="shared" si="5"/>
        <v>MIA</v>
      </c>
      <c r="Q49" s="2">
        <f t="shared" si="3"/>
        <v>-15</v>
      </c>
      <c r="R49" s="7">
        <f t="shared" si="4"/>
        <v>0</v>
      </c>
    </row>
    <row r="50" spans="1:18" ht="15" customHeight="1" x14ac:dyDescent="0.25">
      <c r="A50" s="7">
        <v>49</v>
      </c>
      <c r="B50" s="8" t="s">
        <v>151</v>
      </c>
      <c r="C50" s="7">
        <v>2012</v>
      </c>
      <c r="D50" s="7">
        <v>2013</v>
      </c>
      <c r="E50" s="3">
        <v>41358</v>
      </c>
      <c r="F50" s="4">
        <f t="shared" si="0"/>
        <v>3</v>
      </c>
      <c r="G50" s="4">
        <f t="shared" si="1"/>
        <v>25</v>
      </c>
      <c r="H50" s="4">
        <f t="shared" si="2"/>
        <v>2013</v>
      </c>
      <c r="I50" s="10" t="s">
        <v>158</v>
      </c>
      <c r="J50" s="2" t="s">
        <v>15</v>
      </c>
      <c r="K50" s="2" t="s">
        <v>11</v>
      </c>
      <c r="L50" s="2">
        <v>12.5</v>
      </c>
      <c r="M50" s="2" t="s">
        <v>11</v>
      </c>
      <c r="N50" s="2">
        <v>108</v>
      </c>
      <c r="O50" s="2">
        <v>94</v>
      </c>
      <c r="P50" s="2" t="str">
        <f t="shared" si="5"/>
        <v>MIA</v>
      </c>
      <c r="Q50" s="2">
        <f t="shared" si="3"/>
        <v>-1.5</v>
      </c>
      <c r="R50" s="7">
        <f t="shared" si="4"/>
        <v>0</v>
      </c>
    </row>
    <row r="51" spans="1:18" ht="15" customHeight="1" x14ac:dyDescent="0.25">
      <c r="A51" s="7">
        <v>50</v>
      </c>
      <c r="B51" s="8" t="s">
        <v>151</v>
      </c>
      <c r="C51" s="7">
        <v>2012</v>
      </c>
      <c r="D51" s="7">
        <v>2013</v>
      </c>
      <c r="E51" s="3">
        <v>41359</v>
      </c>
      <c r="F51" s="4">
        <f t="shared" si="0"/>
        <v>3</v>
      </c>
      <c r="G51" s="4">
        <f t="shared" si="1"/>
        <v>26</v>
      </c>
      <c r="H51" s="4">
        <f t="shared" si="2"/>
        <v>2013</v>
      </c>
      <c r="I51" s="10" t="s">
        <v>158</v>
      </c>
      <c r="J51" s="2" t="s">
        <v>3</v>
      </c>
      <c r="K51" s="2" t="s">
        <v>7</v>
      </c>
      <c r="L51" s="2">
        <v>1.5</v>
      </c>
      <c r="M51" s="2" t="s">
        <v>7</v>
      </c>
      <c r="N51" s="2">
        <v>105</v>
      </c>
      <c r="O51" s="2">
        <v>82</v>
      </c>
      <c r="P51" s="2" t="str">
        <f t="shared" si="5"/>
        <v>MIN</v>
      </c>
      <c r="Q51" s="2">
        <f t="shared" si="3"/>
        <v>-21.5</v>
      </c>
      <c r="R51" s="7">
        <f t="shared" si="4"/>
        <v>0</v>
      </c>
    </row>
    <row r="52" spans="1:18" ht="15" customHeight="1" x14ac:dyDescent="0.25">
      <c r="A52" s="7">
        <v>51</v>
      </c>
      <c r="B52" s="8" t="s">
        <v>151</v>
      </c>
      <c r="C52" s="7">
        <v>2012</v>
      </c>
      <c r="D52" s="7">
        <v>2013</v>
      </c>
      <c r="E52" s="3">
        <v>41360</v>
      </c>
      <c r="F52" s="4">
        <f t="shared" si="0"/>
        <v>3</v>
      </c>
      <c r="G52" s="4">
        <f t="shared" si="1"/>
        <v>27</v>
      </c>
      <c r="H52" s="4">
        <f t="shared" si="2"/>
        <v>2013</v>
      </c>
      <c r="I52" s="10" t="s">
        <v>158</v>
      </c>
      <c r="J52" s="2" t="s">
        <v>22</v>
      </c>
      <c r="K52" s="2" t="s">
        <v>1</v>
      </c>
      <c r="L52" s="2">
        <v>-3.5</v>
      </c>
      <c r="M52" s="2" t="s">
        <v>1</v>
      </c>
      <c r="N52" s="2">
        <v>111</v>
      </c>
      <c r="O52" s="2">
        <v>93</v>
      </c>
      <c r="P52" s="2" t="str">
        <f t="shared" si="5"/>
        <v>BKN</v>
      </c>
      <c r="Q52" s="2">
        <f t="shared" si="3"/>
        <v>-21.5</v>
      </c>
      <c r="R52" s="7">
        <f t="shared" si="4"/>
        <v>0</v>
      </c>
    </row>
    <row r="53" spans="1:18" ht="15" customHeight="1" x14ac:dyDescent="0.25">
      <c r="A53" s="7">
        <v>52</v>
      </c>
      <c r="B53" s="8" t="s">
        <v>151</v>
      </c>
      <c r="C53" s="7">
        <v>2012</v>
      </c>
      <c r="D53" s="7">
        <v>2013</v>
      </c>
      <c r="E53" s="3">
        <v>41361</v>
      </c>
      <c r="F53" s="4">
        <f t="shared" si="0"/>
        <v>3</v>
      </c>
      <c r="G53" s="4">
        <f t="shared" si="1"/>
        <v>28</v>
      </c>
      <c r="H53" s="4">
        <f t="shared" si="2"/>
        <v>2013</v>
      </c>
      <c r="I53" s="10" t="s">
        <v>158</v>
      </c>
      <c r="J53" s="2" t="s">
        <v>21</v>
      </c>
      <c r="K53" s="2" t="s">
        <v>19</v>
      </c>
      <c r="L53" s="2">
        <v>4</v>
      </c>
      <c r="M53" s="2" t="s">
        <v>21</v>
      </c>
      <c r="N53" s="2">
        <v>117</v>
      </c>
      <c r="O53" s="2">
        <v>103</v>
      </c>
      <c r="P53" s="2" t="str">
        <f t="shared" si="5"/>
        <v>SAC</v>
      </c>
      <c r="Q53" s="2">
        <f t="shared" si="3"/>
        <v>10</v>
      </c>
      <c r="R53" s="7">
        <f t="shared" si="4"/>
        <v>1</v>
      </c>
    </row>
    <row r="54" spans="1:18" ht="15" customHeight="1" x14ac:dyDescent="0.25">
      <c r="A54" s="7">
        <v>53</v>
      </c>
      <c r="B54" s="8" t="s">
        <v>151</v>
      </c>
      <c r="C54" s="7">
        <v>2012</v>
      </c>
      <c r="D54" s="7">
        <v>2013</v>
      </c>
      <c r="E54" s="3">
        <v>41362</v>
      </c>
      <c r="F54" s="4">
        <f t="shared" si="0"/>
        <v>3</v>
      </c>
      <c r="G54" s="4">
        <f t="shared" si="1"/>
        <v>29</v>
      </c>
      <c r="H54" s="4">
        <f t="shared" si="2"/>
        <v>2013</v>
      </c>
      <c r="I54" s="10" t="s">
        <v>158</v>
      </c>
      <c r="J54" s="2" t="s">
        <v>139</v>
      </c>
      <c r="K54" s="2" t="s">
        <v>11</v>
      </c>
      <c r="L54" s="2">
        <v>3.5</v>
      </c>
      <c r="M54" s="2" t="s">
        <v>139</v>
      </c>
      <c r="N54" s="2">
        <v>92</v>
      </c>
      <c r="O54" s="2">
        <v>97</v>
      </c>
      <c r="P54" s="2" t="str">
        <f t="shared" si="5"/>
        <v>ORL</v>
      </c>
      <c r="Q54" s="2">
        <f t="shared" si="3"/>
        <v>-8.5</v>
      </c>
      <c r="R54" s="7">
        <f t="shared" si="4"/>
        <v>0</v>
      </c>
    </row>
    <row r="55" spans="1:18" ht="15" customHeight="1" x14ac:dyDescent="0.25">
      <c r="A55" s="7">
        <v>54</v>
      </c>
      <c r="B55" s="8" t="s">
        <v>151</v>
      </c>
      <c r="C55" s="7">
        <v>2012</v>
      </c>
      <c r="D55" s="7">
        <v>2013</v>
      </c>
      <c r="E55" s="3">
        <v>41363</v>
      </c>
      <c r="F55" s="4">
        <f t="shared" si="0"/>
        <v>3</v>
      </c>
      <c r="G55" s="4">
        <f t="shared" si="1"/>
        <v>30</v>
      </c>
      <c r="H55" s="4">
        <f t="shared" si="2"/>
        <v>2013</v>
      </c>
      <c r="I55" s="10" t="s">
        <v>158</v>
      </c>
      <c r="J55" s="2" t="s">
        <v>12</v>
      </c>
      <c r="K55" s="2" t="s">
        <v>10</v>
      </c>
      <c r="L55" s="2">
        <v>6</v>
      </c>
      <c r="M55" s="2" t="s">
        <v>12</v>
      </c>
      <c r="N55" s="2">
        <v>109</v>
      </c>
      <c r="O55" s="2">
        <v>99</v>
      </c>
      <c r="P55" s="2" t="str">
        <f t="shared" si="5"/>
        <v>OKC</v>
      </c>
      <c r="Q55" s="2">
        <f t="shared" si="3"/>
        <v>4</v>
      </c>
      <c r="R55" s="7">
        <f t="shared" si="4"/>
        <v>1</v>
      </c>
    </row>
    <row r="56" spans="1:18" ht="15" customHeight="1" x14ac:dyDescent="0.25">
      <c r="A56" s="7">
        <v>55</v>
      </c>
      <c r="B56" s="8" t="s">
        <v>151</v>
      </c>
      <c r="C56" s="7">
        <v>2012</v>
      </c>
      <c r="D56" s="7">
        <v>2013</v>
      </c>
      <c r="E56" s="3">
        <v>41364</v>
      </c>
      <c r="F56" s="4">
        <f t="shared" si="0"/>
        <v>3</v>
      </c>
      <c r="G56" s="4">
        <f t="shared" si="1"/>
        <v>31</v>
      </c>
      <c r="H56" s="4">
        <f t="shared" si="2"/>
        <v>2013</v>
      </c>
      <c r="I56" s="10" t="s">
        <v>158</v>
      </c>
      <c r="J56" s="2" t="s">
        <v>2</v>
      </c>
      <c r="K56" s="2" t="s">
        <v>139</v>
      </c>
      <c r="L56" s="2">
        <v>-4</v>
      </c>
      <c r="M56" s="2" t="s">
        <v>139</v>
      </c>
      <c r="N56" s="2">
        <v>92</v>
      </c>
      <c r="O56" s="2">
        <v>109</v>
      </c>
      <c r="P56" s="2" t="str">
        <f t="shared" si="5"/>
        <v>WSH</v>
      </c>
      <c r="Q56" s="2">
        <f t="shared" si="3"/>
        <v>13</v>
      </c>
      <c r="R56" s="7">
        <f t="shared" si="4"/>
        <v>1</v>
      </c>
    </row>
    <row r="57" spans="1:18" ht="15" customHeight="1" x14ac:dyDescent="0.25">
      <c r="A57" s="7">
        <v>56</v>
      </c>
      <c r="B57" s="8" t="s">
        <v>151</v>
      </c>
      <c r="C57" s="7">
        <v>2012</v>
      </c>
      <c r="D57" s="7">
        <v>2013</v>
      </c>
      <c r="E57" s="3">
        <v>41365</v>
      </c>
      <c r="F57" s="4">
        <f t="shared" si="0"/>
        <v>4</v>
      </c>
      <c r="G57" s="4">
        <f t="shared" si="1"/>
        <v>1</v>
      </c>
      <c r="H57" s="4">
        <f t="shared" si="2"/>
        <v>2013</v>
      </c>
      <c r="I57" s="10" t="s">
        <v>158</v>
      </c>
      <c r="J57" s="2" t="s">
        <v>7</v>
      </c>
      <c r="K57" s="2" t="s">
        <v>2</v>
      </c>
      <c r="L57" s="2">
        <v>-7</v>
      </c>
      <c r="M57" s="2" t="s">
        <v>2</v>
      </c>
      <c r="N57" s="2">
        <v>108</v>
      </c>
      <c r="O57" s="2">
        <v>98</v>
      </c>
      <c r="P57" s="2" t="str">
        <f t="shared" si="5"/>
        <v>DET</v>
      </c>
      <c r="Q57" s="2">
        <f t="shared" si="3"/>
        <v>-17</v>
      </c>
      <c r="R57" s="7">
        <f t="shared" si="4"/>
        <v>0</v>
      </c>
    </row>
    <row r="58" spans="1:18" ht="15" customHeight="1" x14ac:dyDescent="0.25">
      <c r="A58" s="7">
        <v>57</v>
      </c>
      <c r="B58" s="8" t="s">
        <v>151</v>
      </c>
      <c r="C58" s="7">
        <v>2012</v>
      </c>
      <c r="D58" s="7">
        <v>2013</v>
      </c>
      <c r="E58" s="3">
        <v>41366</v>
      </c>
      <c r="F58" s="4">
        <f t="shared" si="0"/>
        <v>4</v>
      </c>
      <c r="G58" s="4">
        <f t="shared" si="1"/>
        <v>2</v>
      </c>
      <c r="H58" s="4">
        <f t="shared" si="2"/>
        <v>2013</v>
      </c>
      <c r="I58" s="10" t="s">
        <v>158</v>
      </c>
      <c r="J58" s="2" t="s">
        <v>16</v>
      </c>
      <c r="K58" s="2" t="s">
        <v>18</v>
      </c>
      <c r="L58" s="2">
        <v>-3.5</v>
      </c>
      <c r="M58" s="2" t="s">
        <v>16</v>
      </c>
      <c r="N58" s="2">
        <v>81</v>
      </c>
      <c r="O58" s="2">
        <v>101</v>
      </c>
      <c r="P58" s="2" t="str">
        <f t="shared" si="5"/>
        <v>LAL</v>
      </c>
      <c r="Q58" s="2">
        <f t="shared" si="3"/>
        <v>-16.5</v>
      </c>
      <c r="R58" s="7">
        <f t="shared" si="4"/>
        <v>0</v>
      </c>
    </row>
    <row r="59" spans="1:18" ht="15" customHeight="1" x14ac:dyDescent="0.25">
      <c r="A59" s="7">
        <v>58</v>
      </c>
      <c r="B59" s="8" t="s">
        <v>151</v>
      </c>
      <c r="C59" s="7">
        <v>2012</v>
      </c>
      <c r="D59" s="7">
        <v>2013</v>
      </c>
      <c r="E59" s="3">
        <v>41367</v>
      </c>
      <c r="F59" s="4">
        <f t="shared" si="0"/>
        <v>4</v>
      </c>
      <c r="G59" s="4">
        <f t="shared" si="1"/>
        <v>3</v>
      </c>
      <c r="H59" s="4">
        <f t="shared" si="2"/>
        <v>2013</v>
      </c>
      <c r="I59" s="10" t="s">
        <v>158</v>
      </c>
      <c r="J59" s="2" t="s">
        <v>139</v>
      </c>
      <c r="K59" s="2" t="s">
        <v>2</v>
      </c>
      <c r="L59" s="2">
        <v>-4.5</v>
      </c>
      <c r="M59" s="2" t="s">
        <v>139</v>
      </c>
      <c r="N59" s="2">
        <v>78</v>
      </c>
      <c r="O59" s="2">
        <v>88</v>
      </c>
      <c r="P59" s="2" t="str">
        <f t="shared" si="5"/>
        <v>TOR</v>
      </c>
      <c r="Q59" s="2">
        <f t="shared" si="3"/>
        <v>-5.5</v>
      </c>
      <c r="R59" s="7">
        <f t="shared" si="4"/>
        <v>0</v>
      </c>
    </row>
    <row r="60" spans="1:18" ht="15" customHeight="1" x14ac:dyDescent="0.25">
      <c r="A60" s="7">
        <v>59</v>
      </c>
      <c r="B60" s="8" t="s">
        <v>151</v>
      </c>
      <c r="C60" s="7">
        <v>2012</v>
      </c>
      <c r="D60" s="7">
        <v>2013</v>
      </c>
      <c r="E60" s="3">
        <v>41368</v>
      </c>
      <c r="F60" s="4">
        <f t="shared" si="0"/>
        <v>4</v>
      </c>
      <c r="G60" s="4">
        <f t="shared" si="1"/>
        <v>4</v>
      </c>
      <c r="H60" s="4">
        <f t="shared" si="2"/>
        <v>2013</v>
      </c>
      <c r="I60" s="10" t="s">
        <v>158</v>
      </c>
      <c r="J60" s="2" t="s">
        <v>134</v>
      </c>
      <c r="K60" s="2" t="s">
        <v>12</v>
      </c>
      <c r="L60" s="2">
        <v>-7.5</v>
      </c>
      <c r="M60" s="2" t="s">
        <v>134</v>
      </c>
      <c r="N60" s="2">
        <v>88</v>
      </c>
      <c r="O60" s="2">
        <v>100</v>
      </c>
      <c r="P60" s="2" t="str">
        <f t="shared" si="5"/>
        <v>OKC</v>
      </c>
      <c r="Q60" s="2">
        <f t="shared" si="3"/>
        <v>-4.5</v>
      </c>
      <c r="R60" s="7">
        <f t="shared" si="4"/>
        <v>0</v>
      </c>
    </row>
    <row r="61" spans="1:18" ht="15" customHeight="1" x14ac:dyDescent="0.25">
      <c r="A61" s="7">
        <v>60</v>
      </c>
      <c r="B61" s="8" t="s">
        <v>151</v>
      </c>
      <c r="C61" s="7">
        <v>2012</v>
      </c>
      <c r="D61" s="7">
        <v>2013</v>
      </c>
      <c r="E61" s="3">
        <v>41369</v>
      </c>
      <c r="F61" s="4">
        <f t="shared" si="0"/>
        <v>4</v>
      </c>
      <c r="G61" s="4">
        <f t="shared" si="1"/>
        <v>5</v>
      </c>
      <c r="H61" s="4">
        <f t="shared" si="2"/>
        <v>2013</v>
      </c>
      <c r="I61" s="10" t="s">
        <v>158</v>
      </c>
      <c r="J61" s="2" t="s">
        <v>16</v>
      </c>
      <c r="K61" s="2" t="s">
        <v>21</v>
      </c>
      <c r="L61" s="2">
        <v>-1.5</v>
      </c>
      <c r="M61" s="2" t="s">
        <v>16</v>
      </c>
      <c r="N61" s="2">
        <v>117</v>
      </c>
      <c r="O61" s="2">
        <v>108</v>
      </c>
      <c r="P61" s="2" t="str">
        <f t="shared" si="5"/>
        <v>DAL</v>
      </c>
      <c r="Q61" s="2">
        <f t="shared" si="3"/>
        <v>10.5</v>
      </c>
      <c r="R61" s="7">
        <f t="shared" si="4"/>
        <v>1</v>
      </c>
    </row>
    <row r="62" spans="1:18" ht="15" customHeight="1" x14ac:dyDescent="0.25">
      <c r="A62" s="7">
        <v>61</v>
      </c>
      <c r="B62" s="8" t="s">
        <v>151</v>
      </c>
      <c r="C62" s="7">
        <v>2012</v>
      </c>
      <c r="D62" s="7">
        <v>2013</v>
      </c>
      <c r="E62" s="3">
        <v>41370</v>
      </c>
      <c r="F62" s="4">
        <f t="shared" si="0"/>
        <v>4</v>
      </c>
      <c r="G62" s="4">
        <f t="shared" si="1"/>
        <v>6</v>
      </c>
      <c r="H62" s="4">
        <f t="shared" si="2"/>
        <v>2013</v>
      </c>
      <c r="I62" s="10" t="s">
        <v>158</v>
      </c>
      <c r="J62" s="2" t="s">
        <v>8</v>
      </c>
      <c r="K62" s="2" t="s">
        <v>22</v>
      </c>
      <c r="L62" s="2">
        <v>-15</v>
      </c>
      <c r="M62" s="2" t="s">
        <v>8</v>
      </c>
      <c r="N62" s="2">
        <v>96</v>
      </c>
      <c r="O62" s="2">
        <v>105</v>
      </c>
      <c r="P62" s="2" t="str">
        <f t="shared" si="5"/>
        <v>CHA</v>
      </c>
      <c r="Q62" s="2">
        <f t="shared" si="3"/>
        <v>6</v>
      </c>
      <c r="R62" s="7">
        <f t="shared" si="4"/>
        <v>1</v>
      </c>
    </row>
    <row r="63" spans="1:18" ht="15" customHeight="1" x14ac:dyDescent="0.25">
      <c r="A63" s="7">
        <v>62</v>
      </c>
      <c r="B63" s="8" t="s">
        <v>151</v>
      </c>
      <c r="C63" s="7">
        <v>2012</v>
      </c>
      <c r="D63" s="7">
        <v>2013</v>
      </c>
      <c r="E63" s="3">
        <v>41371</v>
      </c>
      <c r="F63" s="4">
        <f t="shared" si="0"/>
        <v>4</v>
      </c>
      <c r="G63" s="4">
        <f t="shared" si="1"/>
        <v>7</v>
      </c>
      <c r="H63" s="4">
        <f t="shared" si="2"/>
        <v>2013</v>
      </c>
      <c r="I63" s="10" t="s">
        <v>158</v>
      </c>
      <c r="J63" s="2" t="s">
        <v>124</v>
      </c>
      <c r="K63" s="2" t="s">
        <v>19</v>
      </c>
      <c r="L63" s="2">
        <v>2.5</v>
      </c>
      <c r="M63" s="2" t="s">
        <v>124</v>
      </c>
      <c r="N63" s="2">
        <v>95</v>
      </c>
      <c r="O63" s="2">
        <v>92</v>
      </c>
      <c r="P63" s="2" t="str">
        <f t="shared" si="5"/>
        <v>NO</v>
      </c>
      <c r="Q63" s="2">
        <f t="shared" si="3"/>
        <v>0.5</v>
      </c>
      <c r="R63" s="7">
        <f t="shared" si="4"/>
        <v>1</v>
      </c>
    </row>
    <row r="64" spans="1:18" ht="15" customHeight="1" x14ac:dyDescent="0.25">
      <c r="A64" s="7">
        <v>63</v>
      </c>
      <c r="B64" s="8" t="s">
        <v>151</v>
      </c>
      <c r="C64" s="7">
        <v>2012</v>
      </c>
      <c r="D64" s="7">
        <v>2013</v>
      </c>
      <c r="E64" s="3">
        <v>41372</v>
      </c>
      <c r="F64" s="4">
        <f t="shared" si="0"/>
        <v>4</v>
      </c>
      <c r="G64" s="4">
        <f t="shared" si="1"/>
        <v>8</v>
      </c>
      <c r="H64" s="4">
        <f t="shared" si="2"/>
        <v>2013</v>
      </c>
      <c r="I64" s="10" t="s">
        <v>158</v>
      </c>
      <c r="J64" s="7" t="s">
        <v>3</v>
      </c>
      <c r="K64" s="7" t="s">
        <v>114</v>
      </c>
      <c r="L64" s="7">
        <v>-6.5</v>
      </c>
      <c r="M64" s="7" t="s">
        <v>114</v>
      </c>
      <c r="N64" s="7">
        <v>89</v>
      </c>
      <c r="O64" s="7">
        <v>105</v>
      </c>
      <c r="P64" s="2" t="str">
        <f t="shared" si="5"/>
        <v>GS</v>
      </c>
      <c r="Q64" s="2">
        <f t="shared" si="3"/>
        <v>9.5</v>
      </c>
      <c r="R64" s="7">
        <f t="shared" si="4"/>
        <v>1</v>
      </c>
    </row>
    <row r="65" spans="1:18" ht="15" customHeight="1" x14ac:dyDescent="0.25">
      <c r="A65" s="7">
        <v>64</v>
      </c>
      <c r="B65" s="8" t="s">
        <v>151</v>
      </c>
      <c r="C65" s="7">
        <v>2012</v>
      </c>
      <c r="D65" s="7">
        <v>2013</v>
      </c>
      <c r="E65" s="3">
        <v>41373</v>
      </c>
      <c r="F65" s="4">
        <f t="shared" si="0"/>
        <v>4</v>
      </c>
      <c r="G65" s="4">
        <f t="shared" si="1"/>
        <v>9</v>
      </c>
      <c r="H65" s="4">
        <f t="shared" si="2"/>
        <v>2013</v>
      </c>
      <c r="I65" s="10" t="s">
        <v>158</v>
      </c>
      <c r="J65" s="7" t="s">
        <v>124</v>
      </c>
      <c r="K65" s="7" t="s">
        <v>21</v>
      </c>
      <c r="L65" s="7">
        <v>-6</v>
      </c>
      <c r="M65" s="7" t="s">
        <v>21</v>
      </c>
      <c r="N65" s="7">
        <v>110</v>
      </c>
      <c r="O65" s="7">
        <v>121</v>
      </c>
      <c r="P65" s="2" t="str">
        <f t="shared" si="5"/>
        <v>SAC</v>
      </c>
      <c r="Q65" s="2">
        <f t="shared" si="3"/>
        <v>5</v>
      </c>
      <c r="R65" s="7">
        <f t="shared" si="4"/>
        <v>1</v>
      </c>
    </row>
    <row r="66" spans="1:18" ht="15" customHeight="1" x14ac:dyDescent="0.25">
      <c r="A66" s="7">
        <v>65</v>
      </c>
      <c r="B66" s="8" t="s">
        <v>151</v>
      </c>
      <c r="C66" s="7">
        <v>2012</v>
      </c>
      <c r="D66" s="7">
        <v>2013</v>
      </c>
      <c r="E66" s="3">
        <v>41374</v>
      </c>
      <c r="F66" s="4">
        <f t="shared" ref="F66:F129" si="6">MONTH(E66)</f>
        <v>4</v>
      </c>
      <c r="G66" s="4">
        <f t="shared" ref="G66:G129" si="7">DAY(E66)</f>
        <v>10</v>
      </c>
      <c r="H66" s="4">
        <f t="shared" ref="H66:H129" si="8">YEAR(E66)</f>
        <v>2013</v>
      </c>
      <c r="I66" s="10" t="s">
        <v>158</v>
      </c>
      <c r="J66" s="7" t="s">
        <v>126</v>
      </c>
      <c r="K66" s="7" t="s">
        <v>28</v>
      </c>
      <c r="L66" s="7">
        <v>4</v>
      </c>
      <c r="M66" s="7" t="s">
        <v>126</v>
      </c>
      <c r="N66" s="7">
        <v>111</v>
      </c>
      <c r="O66" s="7">
        <v>118</v>
      </c>
      <c r="P66" s="2" t="str">
        <f t="shared" si="5"/>
        <v>Bullls</v>
      </c>
      <c r="Q66" s="2">
        <f t="shared" ref="Q66:Q129" si="9">IF(AND(N66&gt;0,O66&gt;0,(O66+L66)=N66),0,IF(P66="","",IF(P66=M66,ABS((O66+L66)-N66),-ABS((O66+L66)-N66))))</f>
        <v>-11</v>
      </c>
      <c r="R66" s="7">
        <f t="shared" si="4"/>
        <v>0</v>
      </c>
    </row>
    <row r="67" spans="1:18" ht="15" customHeight="1" x14ac:dyDescent="0.25">
      <c r="A67" s="7">
        <v>66</v>
      </c>
      <c r="B67" s="8" t="s">
        <v>151</v>
      </c>
      <c r="C67" s="7">
        <v>2012</v>
      </c>
      <c r="D67" s="7">
        <v>2013</v>
      </c>
      <c r="E67" s="3">
        <v>41375</v>
      </c>
      <c r="F67" s="4">
        <f t="shared" si="6"/>
        <v>4</v>
      </c>
      <c r="G67" s="4">
        <f t="shared" si="7"/>
        <v>11</v>
      </c>
      <c r="H67" s="4">
        <f t="shared" si="8"/>
        <v>2013</v>
      </c>
      <c r="I67" s="10" t="s">
        <v>158</v>
      </c>
      <c r="J67" s="7" t="s">
        <v>22</v>
      </c>
      <c r="K67" s="7" t="s">
        <v>13</v>
      </c>
      <c r="L67" s="7">
        <v>-6.5</v>
      </c>
      <c r="M67" s="7" t="s">
        <v>22</v>
      </c>
      <c r="N67" s="7">
        <v>117</v>
      </c>
      <c r="O67" s="7">
        <v>109</v>
      </c>
      <c r="P67" s="2" t="str">
        <f t="shared" si="5"/>
        <v>BKN</v>
      </c>
      <c r="Q67" s="2">
        <f t="shared" si="9"/>
        <v>14.5</v>
      </c>
      <c r="R67" s="7">
        <f t="shared" ref="R67:R130" si="10">IF(Q67="","",IF(P67=M67,1,IF(Q67=0,"na",0)))</f>
        <v>1</v>
      </c>
    </row>
    <row r="68" spans="1:18" ht="15" customHeight="1" x14ac:dyDescent="0.25">
      <c r="A68" s="7">
        <v>67</v>
      </c>
      <c r="B68" s="8" t="s">
        <v>151</v>
      </c>
      <c r="C68" s="7">
        <v>2012</v>
      </c>
      <c r="D68" s="7">
        <v>2013</v>
      </c>
      <c r="E68" s="3">
        <v>41376</v>
      </c>
      <c r="F68" s="4">
        <f t="shared" si="6"/>
        <v>4</v>
      </c>
      <c r="G68" s="4">
        <f t="shared" si="7"/>
        <v>12</v>
      </c>
      <c r="H68" s="4">
        <f t="shared" si="8"/>
        <v>2013</v>
      </c>
      <c r="I68" s="10" t="s">
        <v>158</v>
      </c>
      <c r="J68" s="7" t="s">
        <v>17</v>
      </c>
      <c r="K68" s="7" t="s">
        <v>11</v>
      </c>
      <c r="L68" s="7">
        <v>3.5</v>
      </c>
      <c r="M68" s="7" t="s">
        <v>17</v>
      </c>
      <c r="N68" s="7">
        <v>120</v>
      </c>
      <c r="O68" s="7">
        <v>88</v>
      </c>
      <c r="P68" s="2" t="str">
        <f t="shared" si="5"/>
        <v>BOS</v>
      </c>
      <c r="Q68" s="2">
        <f t="shared" si="9"/>
        <v>28.5</v>
      </c>
      <c r="R68" s="7">
        <f t="shared" si="10"/>
        <v>1</v>
      </c>
    </row>
    <row r="69" spans="1:18" ht="15" customHeight="1" x14ac:dyDescent="0.25">
      <c r="A69" s="7">
        <v>68</v>
      </c>
      <c r="B69" s="8" t="s">
        <v>151</v>
      </c>
      <c r="C69" s="7">
        <v>2012</v>
      </c>
      <c r="D69" s="7">
        <v>2013</v>
      </c>
      <c r="E69" s="3">
        <v>41377</v>
      </c>
      <c r="F69" s="4">
        <f t="shared" si="6"/>
        <v>4</v>
      </c>
      <c r="G69" s="4">
        <f t="shared" si="7"/>
        <v>13</v>
      </c>
      <c r="H69" s="4">
        <f t="shared" si="8"/>
        <v>2013</v>
      </c>
      <c r="I69" s="10" t="s">
        <v>158</v>
      </c>
      <c r="J69" s="7" t="s">
        <v>1</v>
      </c>
      <c r="K69" s="7" t="s">
        <v>23</v>
      </c>
      <c r="L69" s="2">
        <v>-14</v>
      </c>
      <c r="M69" s="7" t="s">
        <v>23</v>
      </c>
      <c r="N69" s="2">
        <v>109</v>
      </c>
      <c r="O69" s="2">
        <v>118</v>
      </c>
      <c r="P69" s="2" t="str">
        <f t="shared" si="5"/>
        <v>POR</v>
      </c>
      <c r="Q69" s="2">
        <f t="shared" si="9"/>
        <v>-5</v>
      </c>
      <c r="R69" s="7">
        <f t="shared" si="10"/>
        <v>0</v>
      </c>
    </row>
    <row r="70" spans="1:18" ht="15" customHeight="1" x14ac:dyDescent="0.25">
      <c r="A70" s="7">
        <v>69</v>
      </c>
      <c r="B70" s="8" t="s">
        <v>151</v>
      </c>
      <c r="C70" s="7">
        <v>2012</v>
      </c>
      <c r="D70" s="7">
        <v>2013</v>
      </c>
      <c r="E70" s="3">
        <v>41378</v>
      </c>
      <c r="F70" s="4">
        <f t="shared" si="6"/>
        <v>4</v>
      </c>
      <c r="G70" s="4">
        <f t="shared" si="7"/>
        <v>14</v>
      </c>
      <c r="H70" s="4">
        <f t="shared" si="8"/>
        <v>2013</v>
      </c>
      <c r="I70" s="10" t="s">
        <v>158</v>
      </c>
      <c r="J70" s="7" t="s">
        <v>4</v>
      </c>
      <c r="K70" s="7" t="s">
        <v>19</v>
      </c>
      <c r="L70" s="7">
        <v>7</v>
      </c>
      <c r="M70" s="7" t="s">
        <v>4</v>
      </c>
      <c r="N70" s="7">
        <v>112</v>
      </c>
      <c r="O70" s="7">
        <v>119</v>
      </c>
      <c r="P70" s="2" t="str">
        <f t="shared" ref="P70:P133" si="11">IF(OR(N70="",O70=""),"",IF((O70+L70)&gt;N70,K70,IF((O70+L70)=N70,"N/A",J70)))</f>
        <v>PHX</v>
      </c>
      <c r="Q70" s="2">
        <f t="shared" si="9"/>
        <v>-14</v>
      </c>
      <c r="R70" s="7">
        <f t="shared" si="10"/>
        <v>0</v>
      </c>
    </row>
    <row r="71" spans="1:18" ht="15" customHeight="1" x14ac:dyDescent="0.25">
      <c r="A71" s="7">
        <v>70</v>
      </c>
      <c r="B71" s="8" t="s">
        <v>151</v>
      </c>
      <c r="C71" s="7">
        <v>2012</v>
      </c>
      <c r="D71" s="7">
        <v>2013</v>
      </c>
      <c r="E71" s="3">
        <v>41379</v>
      </c>
      <c r="F71" s="4">
        <f t="shared" si="6"/>
        <v>4</v>
      </c>
      <c r="G71" s="4">
        <f t="shared" si="7"/>
        <v>15</v>
      </c>
      <c r="H71" s="4">
        <f t="shared" si="8"/>
        <v>2013</v>
      </c>
      <c r="I71" s="10" t="s">
        <v>158</v>
      </c>
      <c r="J71" s="7" t="s">
        <v>2</v>
      </c>
      <c r="K71" s="7" t="s">
        <v>5</v>
      </c>
      <c r="L71" s="7">
        <v>-6</v>
      </c>
      <c r="M71" s="7" t="s">
        <v>5</v>
      </c>
      <c r="N71" s="7">
        <v>113</v>
      </c>
      <c r="O71" s="7">
        <v>96</v>
      </c>
      <c r="P71" s="2" t="str">
        <f t="shared" si="11"/>
        <v>TOR</v>
      </c>
      <c r="Q71" s="2">
        <f t="shared" si="9"/>
        <v>-23</v>
      </c>
      <c r="R71" s="7">
        <f t="shared" si="10"/>
        <v>0</v>
      </c>
    </row>
    <row r="72" spans="1:18" ht="15" customHeight="1" x14ac:dyDescent="0.25">
      <c r="A72" s="7">
        <v>71</v>
      </c>
      <c r="B72" s="8" t="s">
        <v>151</v>
      </c>
      <c r="C72" s="7">
        <v>2012</v>
      </c>
      <c r="D72" s="7">
        <v>2013</v>
      </c>
      <c r="E72" s="3">
        <v>41380</v>
      </c>
      <c r="F72" s="4">
        <f t="shared" si="6"/>
        <v>4</v>
      </c>
      <c r="G72" s="4">
        <f t="shared" si="7"/>
        <v>16</v>
      </c>
      <c r="H72" s="4">
        <f t="shared" si="8"/>
        <v>2013</v>
      </c>
      <c r="I72" s="10" t="s">
        <v>158</v>
      </c>
      <c r="J72" s="7" t="s">
        <v>17</v>
      </c>
      <c r="K72" s="7" t="s">
        <v>2</v>
      </c>
      <c r="L72" s="7">
        <v>-5.5</v>
      </c>
      <c r="M72" s="7" t="s">
        <v>2</v>
      </c>
      <c r="N72" s="7">
        <v>90</v>
      </c>
      <c r="O72" s="7">
        <v>114</v>
      </c>
      <c r="P72" s="2" t="str">
        <f t="shared" si="11"/>
        <v>TOR</v>
      </c>
      <c r="Q72" s="2">
        <f t="shared" si="9"/>
        <v>18.5</v>
      </c>
      <c r="R72" s="7">
        <f t="shared" si="10"/>
        <v>1</v>
      </c>
    </row>
    <row r="73" spans="1:18" ht="15" customHeight="1" x14ac:dyDescent="0.25">
      <c r="A73" s="7">
        <v>72</v>
      </c>
      <c r="B73" s="8" t="s">
        <v>185</v>
      </c>
      <c r="C73" s="7">
        <v>2012</v>
      </c>
      <c r="D73" s="7">
        <v>2013</v>
      </c>
      <c r="E73" s="3">
        <v>41384</v>
      </c>
      <c r="F73" s="4">
        <f t="shared" si="6"/>
        <v>4</v>
      </c>
      <c r="G73" s="4">
        <f t="shared" si="7"/>
        <v>20</v>
      </c>
      <c r="H73" s="4">
        <f t="shared" si="8"/>
        <v>2013</v>
      </c>
      <c r="I73" s="10" t="s">
        <v>158</v>
      </c>
      <c r="J73" s="7" t="s">
        <v>17</v>
      </c>
      <c r="K73" s="7" t="s">
        <v>126</v>
      </c>
      <c r="L73" s="7">
        <v>-7</v>
      </c>
      <c r="M73" s="7" t="s">
        <v>17</v>
      </c>
      <c r="N73" s="7">
        <v>78</v>
      </c>
      <c r="O73" s="7">
        <v>85</v>
      </c>
      <c r="P73" s="2" t="str">
        <f t="shared" si="11"/>
        <v>N/A</v>
      </c>
      <c r="Q73" s="2">
        <f t="shared" si="9"/>
        <v>0</v>
      </c>
      <c r="R73" s="7" t="str">
        <f t="shared" si="10"/>
        <v>na</v>
      </c>
    </row>
    <row r="74" spans="1:18" ht="15" customHeight="1" x14ac:dyDescent="0.25">
      <c r="A74" s="7">
        <v>73</v>
      </c>
      <c r="B74" s="8" t="s">
        <v>185</v>
      </c>
      <c r="C74" s="7">
        <v>2012</v>
      </c>
      <c r="D74" s="7">
        <v>2013</v>
      </c>
      <c r="E74" s="3">
        <v>41385</v>
      </c>
      <c r="F74" s="4">
        <f t="shared" si="6"/>
        <v>4</v>
      </c>
      <c r="G74" s="4">
        <f t="shared" si="7"/>
        <v>21</v>
      </c>
      <c r="H74" s="4">
        <f t="shared" si="8"/>
        <v>2013</v>
      </c>
      <c r="I74" s="10" t="s">
        <v>158</v>
      </c>
      <c r="J74" s="7" t="s">
        <v>5</v>
      </c>
      <c r="K74" s="7" t="s">
        <v>13</v>
      </c>
      <c r="L74" s="7">
        <v>-7</v>
      </c>
      <c r="M74" s="7" t="s">
        <v>5</v>
      </c>
      <c r="N74" s="7">
        <v>90</v>
      </c>
      <c r="O74" s="7">
        <v>107</v>
      </c>
      <c r="P74" s="2" t="str">
        <f t="shared" si="11"/>
        <v>IND</v>
      </c>
      <c r="Q74" s="2">
        <f t="shared" si="9"/>
        <v>-10</v>
      </c>
      <c r="R74" s="7">
        <f t="shared" si="10"/>
        <v>0</v>
      </c>
    </row>
    <row r="75" spans="1:18" ht="15" customHeight="1" x14ac:dyDescent="0.25">
      <c r="A75" s="7">
        <v>74</v>
      </c>
      <c r="B75" s="8" t="s">
        <v>185</v>
      </c>
      <c r="C75" s="7">
        <v>2012</v>
      </c>
      <c r="D75" s="7">
        <v>2013</v>
      </c>
      <c r="E75" s="3">
        <v>41386</v>
      </c>
      <c r="F75" s="4">
        <f t="shared" si="6"/>
        <v>4</v>
      </c>
      <c r="G75" s="4">
        <f t="shared" si="7"/>
        <v>22</v>
      </c>
      <c r="H75" s="4">
        <f t="shared" si="8"/>
        <v>2013</v>
      </c>
      <c r="I75" s="10" t="s">
        <v>158</v>
      </c>
      <c r="J75" s="7" t="s">
        <v>9</v>
      </c>
      <c r="K75" s="7" t="s">
        <v>14</v>
      </c>
      <c r="L75" s="7">
        <v>-6</v>
      </c>
      <c r="M75" s="7" t="s">
        <v>9</v>
      </c>
      <c r="N75" s="7">
        <v>91</v>
      </c>
      <c r="O75" s="7">
        <v>93</v>
      </c>
      <c r="P75" s="2" t="str">
        <f t="shared" si="11"/>
        <v>MEM</v>
      </c>
      <c r="Q75" s="2">
        <f t="shared" si="9"/>
        <v>4</v>
      </c>
      <c r="R75" s="7">
        <f t="shared" si="10"/>
        <v>1</v>
      </c>
    </row>
    <row r="76" spans="1:18" ht="15" customHeight="1" x14ac:dyDescent="0.25">
      <c r="A76" s="7">
        <v>75</v>
      </c>
      <c r="B76" s="8" t="s">
        <v>185</v>
      </c>
      <c r="C76" s="7">
        <v>2012</v>
      </c>
      <c r="D76" s="7">
        <v>2013</v>
      </c>
      <c r="E76" s="3">
        <v>41387</v>
      </c>
      <c r="F76" s="4">
        <f t="shared" si="6"/>
        <v>4</v>
      </c>
      <c r="G76" s="4">
        <f t="shared" si="7"/>
        <v>23</v>
      </c>
      <c r="H76" s="4">
        <f t="shared" si="8"/>
        <v>2013</v>
      </c>
      <c r="I76" s="10" t="s">
        <v>158</v>
      </c>
      <c r="J76" s="7" t="s">
        <v>10</v>
      </c>
      <c r="K76" s="7" t="s">
        <v>15</v>
      </c>
      <c r="L76" s="7">
        <v>-14</v>
      </c>
      <c r="M76" s="7" t="s">
        <v>15</v>
      </c>
      <c r="N76" s="7">
        <v>86</v>
      </c>
      <c r="O76" s="7">
        <v>98</v>
      </c>
      <c r="P76" s="2" t="str">
        <f t="shared" si="11"/>
        <v>MIL</v>
      </c>
      <c r="Q76" s="2">
        <f t="shared" si="9"/>
        <v>-2</v>
      </c>
      <c r="R76" s="7">
        <f t="shared" si="10"/>
        <v>0</v>
      </c>
    </row>
    <row r="77" spans="1:18" ht="15" customHeight="1" x14ac:dyDescent="0.25">
      <c r="A77" s="7">
        <v>76</v>
      </c>
      <c r="B77" s="8" t="s">
        <v>185</v>
      </c>
      <c r="C77" s="7">
        <v>2012</v>
      </c>
      <c r="D77" s="7">
        <v>2013</v>
      </c>
      <c r="E77" s="3">
        <v>41388</v>
      </c>
      <c r="F77" s="4">
        <f t="shared" si="6"/>
        <v>4</v>
      </c>
      <c r="G77" s="4">
        <f t="shared" si="7"/>
        <v>24</v>
      </c>
      <c r="H77" s="4">
        <f t="shared" si="8"/>
        <v>2013</v>
      </c>
      <c r="I77" s="10" t="s">
        <v>158</v>
      </c>
      <c r="J77" s="7" t="s">
        <v>4</v>
      </c>
      <c r="K77" s="7" t="s">
        <v>12</v>
      </c>
      <c r="L77" s="7">
        <v>-11</v>
      </c>
      <c r="M77" s="7" t="s">
        <v>4</v>
      </c>
      <c r="N77" s="7">
        <v>102</v>
      </c>
      <c r="O77" s="7">
        <v>105</v>
      </c>
      <c r="P77" s="2" t="str">
        <f t="shared" si="11"/>
        <v>HOU</v>
      </c>
      <c r="Q77" s="2">
        <f t="shared" si="9"/>
        <v>8</v>
      </c>
      <c r="R77" s="7">
        <f t="shared" si="10"/>
        <v>1</v>
      </c>
    </row>
    <row r="78" spans="1:18" ht="15" customHeight="1" x14ac:dyDescent="0.25">
      <c r="A78" s="7">
        <v>77</v>
      </c>
      <c r="B78" s="8" t="s">
        <v>185</v>
      </c>
      <c r="C78" s="7">
        <v>2012</v>
      </c>
      <c r="D78" s="7">
        <v>2013</v>
      </c>
      <c r="E78" s="3">
        <v>41389</v>
      </c>
      <c r="F78" s="4">
        <f t="shared" si="6"/>
        <v>4</v>
      </c>
      <c r="G78" s="4">
        <f t="shared" si="7"/>
        <v>25</v>
      </c>
      <c r="H78" s="4">
        <f t="shared" si="8"/>
        <v>2013</v>
      </c>
      <c r="I78" s="10" t="s">
        <v>158</v>
      </c>
      <c r="J78" s="7" t="s">
        <v>14</v>
      </c>
      <c r="K78" s="7" t="s">
        <v>9</v>
      </c>
      <c r="L78" s="7">
        <v>-4.5</v>
      </c>
      <c r="M78" s="7" t="s">
        <v>9</v>
      </c>
      <c r="N78" s="7">
        <v>82</v>
      </c>
      <c r="O78" s="7">
        <v>94</v>
      </c>
      <c r="P78" s="7" t="str">
        <f t="shared" si="11"/>
        <v>MEM</v>
      </c>
      <c r="Q78" s="7">
        <f t="shared" si="9"/>
        <v>7.5</v>
      </c>
      <c r="R78" s="7">
        <f t="shared" si="10"/>
        <v>1</v>
      </c>
    </row>
    <row r="79" spans="1:18" ht="15" customHeight="1" x14ac:dyDescent="0.25">
      <c r="A79" s="7">
        <v>78</v>
      </c>
      <c r="B79" s="8" t="s">
        <v>185</v>
      </c>
      <c r="C79" s="7">
        <v>2012</v>
      </c>
      <c r="D79" s="7">
        <v>2013</v>
      </c>
      <c r="E79" s="3">
        <v>41390</v>
      </c>
      <c r="F79" s="4">
        <f t="shared" si="6"/>
        <v>4</v>
      </c>
      <c r="G79" s="4">
        <f t="shared" si="7"/>
        <v>26</v>
      </c>
      <c r="H79" s="4">
        <f t="shared" si="8"/>
        <v>2013</v>
      </c>
      <c r="I79" s="10" t="s">
        <v>158</v>
      </c>
      <c r="J79" s="7" t="s">
        <v>126</v>
      </c>
      <c r="K79" s="7" t="s">
        <v>17</v>
      </c>
      <c r="L79" s="7">
        <v>-2.5</v>
      </c>
      <c r="M79" s="7" t="s">
        <v>17</v>
      </c>
      <c r="N79" s="7">
        <v>90</v>
      </c>
      <c r="O79" s="7">
        <v>76</v>
      </c>
      <c r="P79" s="7" t="str">
        <f t="shared" si="11"/>
        <v>NY</v>
      </c>
      <c r="Q79" s="7">
        <f t="shared" si="9"/>
        <v>-16.5</v>
      </c>
      <c r="R79" s="7">
        <f t="shared" si="10"/>
        <v>0</v>
      </c>
    </row>
    <row r="80" spans="1:18" ht="15" customHeight="1" x14ac:dyDescent="0.25">
      <c r="A80" s="7">
        <v>79</v>
      </c>
      <c r="B80" s="8" t="s">
        <v>185</v>
      </c>
      <c r="C80" s="7">
        <v>2012</v>
      </c>
      <c r="D80" s="7">
        <v>2013</v>
      </c>
      <c r="E80" s="3">
        <v>41391</v>
      </c>
      <c r="F80" s="4">
        <f t="shared" si="6"/>
        <v>4</v>
      </c>
      <c r="G80" s="4">
        <f t="shared" si="7"/>
        <v>27</v>
      </c>
      <c r="H80" s="4">
        <f t="shared" si="8"/>
        <v>2013</v>
      </c>
      <c r="I80" s="10" t="s">
        <v>158</v>
      </c>
      <c r="J80" s="7" t="s">
        <v>13</v>
      </c>
      <c r="K80" s="7" t="s">
        <v>5</v>
      </c>
      <c r="L80" s="7">
        <v>-1</v>
      </c>
      <c r="M80" s="7" t="s">
        <v>13</v>
      </c>
      <c r="N80" s="7">
        <v>69</v>
      </c>
      <c r="O80" s="7">
        <v>90</v>
      </c>
      <c r="P80" s="7" t="str">
        <f t="shared" si="11"/>
        <v>ATL</v>
      </c>
      <c r="Q80" s="7">
        <f t="shared" si="9"/>
        <v>-20</v>
      </c>
      <c r="R80" s="7">
        <f t="shared" si="10"/>
        <v>0</v>
      </c>
    </row>
    <row r="81" spans="1:18" ht="15" customHeight="1" x14ac:dyDescent="0.25">
      <c r="A81" s="7">
        <v>80</v>
      </c>
      <c r="B81" s="8" t="s">
        <v>185</v>
      </c>
      <c r="C81" s="7">
        <v>2012</v>
      </c>
      <c r="D81" s="7">
        <v>2013</v>
      </c>
      <c r="E81" s="3">
        <v>41392</v>
      </c>
      <c r="F81" s="4">
        <f t="shared" si="6"/>
        <v>4</v>
      </c>
      <c r="G81" s="4">
        <f t="shared" si="7"/>
        <v>28</v>
      </c>
      <c r="H81" s="4">
        <f t="shared" si="8"/>
        <v>2013</v>
      </c>
      <c r="I81" s="10" t="s">
        <v>158</v>
      </c>
      <c r="J81" s="7" t="s">
        <v>23</v>
      </c>
      <c r="K81" s="7" t="s">
        <v>114</v>
      </c>
      <c r="L81" s="7">
        <v>1.5</v>
      </c>
      <c r="M81" s="7" t="s">
        <v>23</v>
      </c>
      <c r="N81" s="7">
        <v>101</v>
      </c>
      <c r="O81" s="7">
        <v>115</v>
      </c>
      <c r="P81" s="7" t="str">
        <f t="shared" si="11"/>
        <v>GS</v>
      </c>
      <c r="Q81" s="7">
        <f t="shared" si="9"/>
        <v>-15.5</v>
      </c>
      <c r="R81" s="7">
        <f t="shared" si="10"/>
        <v>0</v>
      </c>
    </row>
    <row r="82" spans="1:18" ht="15" customHeight="1" x14ac:dyDescent="0.25">
      <c r="A82" s="7">
        <v>81</v>
      </c>
      <c r="B82" s="8" t="s">
        <v>185</v>
      </c>
      <c r="C82" s="7">
        <v>2012</v>
      </c>
      <c r="D82" s="7">
        <v>2013</v>
      </c>
      <c r="E82" s="3">
        <v>41393</v>
      </c>
      <c r="F82" s="4">
        <f t="shared" si="6"/>
        <v>4</v>
      </c>
      <c r="G82" s="4">
        <f t="shared" si="7"/>
        <v>29</v>
      </c>
      <c r="H82" s="4">
        <f t="shared" si="8"/>
        <v>2013</v>
      </c>
      <c r="I82" s="10" t="s">
        <v>158</v>
      </c>
      <c r="J82" s="2" t="s">
        <v>12</v>
      </c>
      <c r="K82" s="2" t="s">
        <v>4</v>
      </c>
      <c r="L82" s="2">
        <v>1</v>
      </c>
      <c r="M82" s="2" t="s">
        <v>4</v>
      </c>
      <c r="N82" s="2">
        <v>103</v>
      </c>
      <c r="O82" s="2">
        <v>105</v>
      </c>
      <c r="P82" s="2" t="str">
        <f t="shared" si="11"/>
        <v>HOU</v>
      </c>
      <c r="Q82" s="2">
        <f t="shared" si="9"/>
        <v>3</v>
      </c>
      <c r="R82" s="7">
        <f t="shared" si="10"/>
        <v>1</v>
      </c>
    </row>
    <row r="83" spans="1:18" ht="15" customHeight="1" x14ac:dyDescent="0.25">
      <c r="A83" s="7">
        <v>82</v>
      </c>
      <c r="B83" s="8" t="s">
        <v>185</v>
      </c>
      <c r="C83" s="7">
        <v>2012</v>
      </c>
      <c r="D83" s="7">
        <v>2013</v>
      </c>
      <c r="E83" s="3">
        <v>41394</v>
      </c>
      <c r="F83" s="4">
        <f t="shared" si="6"/>
        <v>4</v>
      </c>
      <c r="G83" s="4">
        <f t="shared" si="7"/>
        <v>30</v>
      </c>
      <c r="H83" s="4">
        <f t="shared" si="8"/>
        <v>2013</v>
      </c>
      <c r="I83" s="10" t="s">
        <v>158</v>
      </c>
      <c r="J83" s="2" t="s">
        <v>9</v>
      </c>
      <c r="K83" s="2" t="s">
        <v>14</v>
      </c>
      <c r="L83" s="2">
        <v>-5.5</v>
      </c>
      <c r="M83" s="2" t="s">
        <v>9</v>
      </c>
      <c r="N83" s="2">
        <v>103</v>
      </c>
      <c r="O83" s="2">
        <v>93</v>
      </c>
      <c r="P83" s="2" t="str">
        <f t="shared" si="11"/>
        <v>MEM</v>
      </c>
      <c r="Q83" s="2">
        <f t="shared" si="9"/>
        <v>15.5</v>
      </c>
      <c r="R83" s="7">
        <f t="shared" si="10"/>
        <v>1</v>
      </c>
    </row>
    <row r="84" spans="1:18" ht="15" customHeight="1" x14ac:dyDescent="0.25">
      <c r="A84" s="7">
        <v>83</v>
      </c>
      <c r="B84" s="8" t="s">
        <v>185</v>
      </c>
      <c r="C84" s="7">
        <v>2012</v>
      </c>
      <c r="D84" s="7">
        <v>2013</v>
      </c>
      <c r="E84" s="3">
        <v>41395</v>
      </c>
      <c r="F84" s="4">
        <f t="shared" si="6"/>
        <v>5</v>
      </c>
      <c r="G84" s="4">
        <f t="shared" si="7"/>
        <v>1</v>
      </c>
      <c r="H84" s="4">
        <f t="shared" si="8"/>
        <v>2013</v>
      </c>
      <c r="I84" s="10" t="s">
        <v>158</v>
      </c>
      <c r="J84" s="2" t="s">
        <v>4</v>
      </c>
      <c r="K84" s="2" t="s">
        <v>12</v>
      </c>
      <c r="L84" s="2">
        <v>-8.5</v>
      </c>
      <c r="M84" s="2" t="s">
        <v>4</v>
      </c>
      <c r="N84" s="2">
        <v>107</v>
      </c>
      <c r="O84" s="2">
        <v>100</v>
      </c>
      <c r="P84" s="2" t="str">
        <f t="shared" si="11"/>
        <v>HOU</v>
      </c>
      <c r="Q84" s="2">
        <f t="shared" si="9"/>
        <v>15.5</v>
      </c>
      <c r="R84" s="7">
        <f t="shared" si="10"/>
        <v>1</v>
      </c>
    </row>
    <row r="85" spans="1:18" ht="15" customHeight="1" x14ac:dyDescent="0.25">
      <c r="A85" s="7">
        <v>84</v>
      </c>
      <c r="B85" s="8" t="s">
        <v>185</v>
      </c>
      <c r="C85" s="7">
        <v>2012</v>
      </c>
      <c r="D85" s="7">
        <v>2013</v>
      </c>
      <c r="E85" s="3">
        <v>41396</v>
      </c>
      <c r="F85" s="4">
        <f t="shared" si="6"/>
        <v>5</v>
      </c>
      <c r="G85" s="4">
        <f t="shared" si="7"/>
        <v>2</v>
      </c>
      <c r="H85" s="4">
        <f t="shared" si="8"/>
        <v>2013</v>
      </c>
      <c r="I85" s="10" t="s">
        <v>158</v>
      </c>
      <c r="J85" s="2" t="s">
        <v>22</v>
      </c>
      <c r="K85" s="2" t="s">
        <v>0</v>
      </c>
      <c r="L85" s="2">
        <v>-1</v>
      </c>
      <c r="M85" s="2" t="s">
        <v>22</v>
      </c>
      <c r="N85" s="2">
        <v>95</v>
      </c>
      <c r="O85" s="2">
        <v>92</v>
      </c>
      <c r="P85" s="2" t="str">
        <f t="shared" si="11"/>
        <v>BKN</v>
      </c>
      <c r="Q85" s="2">
        <f t="shared" si="9"/>
        <v>4</v>
      </c>
      <c r="R85" s="7">
        <f t="shared" si="10"/>
        <v>1</v>
      </c>
    </row>
    <row r="86" spans="1:18" ht="15" customHeight="1" x14ac:dyDescent="0.25">
      <c r="A86" s="7">
        <v>85</v>
      </c>
      <c r="B86" s="8" t="s">
        <v>185</v>
      </c>
      <c r="C86" s="7">
        <v>2012</v>
      </c>
      <c r="D86" s="7">
        <v>2013</v>
      </c>
      <c r="E86" s="3">
        <v>41397</v>
      </c>
      <c r="F86" s="4">
        <f t="shared" si="6"/>
        <v>5</v>
      </c>
      <c r="G86" s="4">
        <f t="shared" si="7"/>
        <v>3</v>
      </c>
      <c r="H86" s="4">
        <f t="shared" si="8"/>
        <v>2013</v>
      </c>
      <c r="I86" s="10" t="s">
        <v>158</v>
      </c>
      <c r="J86" s="2" t="s">
        <v>13</v>
      </c>
      <c r="K86" s="2" t="s">
        <v>5</v>
      </c>
      <c r="L86" s="2">
        <v>-1.5</v>
      </c>
      <c r="M86" s="2" t="s">
        <v>13</v>
      </c>
      <c r="N86" s="2">
        <v>81</v>
      </c>
      <c r="O86" s="2">
        <v>73</v>
      </c>
      <c r="P86" s="2" t="str">
        <f t="shared" si="11"/>
        <v>IND</v>
      </c>
      <c r="Q86" s="2">
        <f t="shared" si="9"/>
        <v>9.5</v>
      </c>
      <c r="R86" s="7">
        <f t="shared" si="10"/>
        <v>1</v>
      </c>
    </row>
    <row r="87" spans="1:18" ht="15" customHeight="1" x14ac:dyDescent="0.25">
      <c r="A87" s="7">
        <v>86</v>
      </c>
      <c r="B87" s="8" t="s">
        <v>185</v>
      </c>
      <c r="C87" s="7">
        <v>2012</v>
      </c>
      <c r="D87" s="7">
        <v>2013</v>
      </c>
      <c r="E87" s="3">
        <v>41398</v>
      </c>
      <c r="F87" s="4">
        <f t="shared" si="6"/>
        <v>5</v>
      </c>
      <c r="G87" s="4">
        <f t="shared" si="7"/>
        <v>4</v>
      </c>
      <c r="H87" s="4">
        <f t="shared" si="8"/>
        <v>2013</v>
      </c>
      <c r="I87" s="10" t="s">
        <v>158</v>
      </c>
      <c r="J87" s="2" t="s">
        <v>0</v>
      </c>
      <c r="K87" s="2" t="s">
        <v>22</v>
      </c>
      <c r="L87" s="2">
        <v>-6</v>
      </c>
      <c r="M87" s="2" t="s">
        <v>22</v>
      </c>
      <c r="N87" s="2">
        <v>99</v>
      </c>
      <c r="O87" s="2">
        <v>93</v>
      </c>
      <c r="P87" s="2" t="str">
        <f t="shared" si="11"/>
        <v>CHI</v>
      </c>
      <c r="Q87" s="2">
        <f t="shared" si="9"/>
        <v>-12</v>
      </c>
      <c r="R87" s="7">
        <f t="shared" si="10"/>
        <v>0</v>
      </c>
    </row>
    <row r="88" spans="1:18" ht="15" customHeight="1" x14ac:dyDescent="0.25">
      <c r="A88" s="7">
        <v>87</v>
      </c>
      <c r="B88" s="8" t="s">
        <v>185</v>
      </c>
      <c r="C88" s="7">
        <v>2012</v>
      </c>
      <c r="D88" s="7">
        <v>2013</v>
      </c>
      <c r="E88" s="3">
        <v>41399</v>
      </c>
      <c r="F88" s="4">
        <f t="shared" si="6"/>
        <v>5</v>
      </c>
      <c r="G88" s="4">
        <f t="shared" si="7"/>
        <v>5</v>
      </c>
      <c r="H88" s="4">
        <f t="shared" si="8"/>
        <v>2013</v>
      </c>
      <c r="I88" s="10" t="s">
        <v>158</v>
      </c>
      <c r="J88" s="2" t="s">
        <v>13</v>
      </c>
      <c r="K88" s="2" t="s">
        <v>126</v>
      </c>
      <c r="L88" s="2">
        <v>-5</v>
      </c>
      <c r="M88" s="2" t="s">
        <v>13</v>
      </c>
      <c r="N88" s="2">
        <v>102</v>
      </c>
      <c r="O88" s="2">
        <v>95</v>
      </c>
      <c r="P88" s="2" t="str">
        <f t="shared" si="11"/>
        <v>IND</v>
      </c>
      <c r="Q88" s="2">
        <f t="shared" si="9"/>
        <v>12</v>
      </c>
      <c r="R88" s="7">
        <f t="shared" si="10"/>
        <v>1</v>
      </c>
    </row>
    <row r="89" spans="1:18" ht="15" customHeight="1" x14ac:dyDescent="0.25">
      <c r="A89" s="7">
        <v>88</v>
      </c>
      <c r="B89" s="8" t="s">
        <v>185</v>
      </c>
      <c r="C89" s="7">
        <v>2012</v>
      </c>
      <c r="D89" s="7">
        <v>2013</v>
      </c>
      <c r="E89" s="3">
        <v>41400</v>
      </c>
      <c r="F89" s="4">
        <f t="shared" si="6"/>
        <v>5</v>
      </c>
      <c r="G89" s="4">
        <f t="shared" si="7"/>
        <v>6</v>
      </c>
      <c r="H89" s="4">
        <f t="shared" si="8"/>
        <v>2013</v>
      </c>
      <c r="I89" s="10" t="s">
        <v>158</v>
      </c>
      <c r="J89" s="2" t="s">
        <v>114</v>
      </c>
      <c r="K89" s="2" t="s">
        <v>134</v>
      </c>
      <c r="L89" s="2">
        <v>-9</v>
      </c>
      <c r="M89" s="2" t="s">
        <v>114</v>
      </c>
      <c r="N89" s="2">
        <v>127</v>
      </c>
      <c r="O89" s="2">
        <v>129</v>
      </c>
      <c r="P89" s="2" t="str">
        <f t="shared" si="11"/>
        <v>GS</v>
      </c>
      <c r="Q89" s="2">
        <f t="shared" si="9"/>
        <v>7</v>
      </c>
      <c r="R89" s="7">
        <f t="shared" si="10"/>
        <v>1</v>
      </c>
    </row>
    <row r="90" spans="1:18" ht="15" customHeight="1" x14ac:dyDescent="0.25">
      <c r="A90" s="7">
        <v>89</v>
      </c>
      <c r="B90" s="8" t="s">
        <v>185</v>
      </c>
      <c r="C90" s="7">
        <v>2012</v>
      </c>
      <c r="D90" s="7">
        <v>2013</v>
      </c>
      <c r="E90" s="3">
        <v>41401</v>
      </c>
      <c r="F90" s="4">
        <f t="shared" si="6"/>
        <v>5</v>
      </c>
      <c r="G90" s="4">
        <f t="shared" si="7"/>
        <v>7</v>
      </c>
      <c r="H90" s="4">
        <f t="shared" si="8"/>
        <v>2013</v>
      </c>
      <c r="I90" s="10" t="s">
        <v>158</v>
      </c>
      <c r="J90" s="2" t="s">
        <v>13</v>
      </c>
      <c r="K90" s="2" t="s">
        <v>126</v>
      </c>
      <c r="L90" s="2">
        <v>-6</v>
      </c>
      <c r="M90" s="2" t="s">
        <v>13</v>
      </c>
      <c r="N90" s="2">
        <v>79</v>
      </c>
      <c r="O90" s="2">
        <v>105</v>
      </c>
      <c r="P90" s="2" t="str">
        <f t="shared" si="11"/>
        <v>NY</v>
      </c>
      <c r="Q90" s="2">
        <f t="shared" si="9"/>
        <v>-20</v>
      </c>
      <c r="R90" s="7">
        <f t="shared" si="10"/>
        <v>0</v>
      </c>
    </row>
    <row r="91" spans="1:18" ht="15" customHeight="1" x14ac:dyDescent="0.25">
      <c r="A91" s="7">
        <v>90</v>
      </c>
      <c r="B91" s="8" t="s">
        <v>185</v>
      </c>
      <c r="C91" s="7">
        <v>2012</v>
      </c>
      <c r="D91" s="7">
        <v>2013</v>
      </c>
      <c r="E91" s="3">
        <v>41402</v>
      </c>
      <c r="F91" s="4">
        <f t="shared" si="6"/>
        <v>5</v>
      </c>
      <c r="G91" s="4">
        <f t="shared" si="7"/>
        <v>8</v>
      </c>
      <c r="H91" s="4">
        <f t="shared" si="8"/>
        <v>2013</v>
      </c>
      <c r="I91" s="10" t="s">
        <v>158</v>
      </c>
      <c r="J91" s="2" t="s">
        <v>0</v>
      </c>
      <c r="K91" s="2" t="s">
        <v>15</v>
      </c>
      <c r="L91" s="2">
        <v>-12.5</v>
      </c>
      <c r="M91" s="2" t="s">
        <v>0</v>
      </c>
      <c r="N91" s="2">
        <v>78</v>
      </c>
      <c r="O91" s="2">
        <v>115</v>
      </c>
      <c r="P91" s="2" t="str">
        <f t="shared" si="11"/>
        <v>MIA</v>
      </c>
      <c r="Q91" s="2">
        <f t="shared" si="9"/>
        <v>-24.5</v>
      </c>
      <c r="R91" s="7">
        <f t="shared" si="10"/>
        <v>0</v>
      </c>
    </row>
    <row r="92" spans="1:18" ht="15" customHeight="1" x14ac:dyDescent="0.25">
      <c r="A92" s="7">
        <v>91</v>
      </c>
      <c r="B92" s="8" t="s">
        <v>185</v>
      </c>
      <c r="C92" s="7">
        <v>2012</v>
      </c>
      <c r="D92" s="7">
        <v>2013</v>
      </c>
      <c r="E92" s="3">
        <v>41404</v>
      </c>
      <c r="F92" s="4">
        <f t="shared" si="6"/>
        <v>5</v>
      </c>
      <c r="G92" s="4">
        <f t="shared" si="7"/>
        <v>10</v>
      </c>
      <c r="H92" s="4">
        <f t="shared" si="8"/>
        <v>2013</v>
      </c>
      <c r="I92" s="10" t="s">
        <v>158</v>
      </c>
      <c r="J92" s="2" t="s">
        <v>15</v>
      </c>
      <c r="K92" s="2" t="s">
        <v>0</v>
      </c>
      <c r="L92" s="2">
        <v>5.5</v>
      </c>
      <c r="M92" s="2" t="s">
        <v>0</v>
      </c>
      <c r="N92" s="2">
        <v>104</v>
      </c>
      <c r="O92" s="2">
        <v>94</v>
      </c>
      <c r="P92" s="2" t="str">
        <f t="shared" si="11"/>
        <v>MIA</v>
      </c>
      <c r="Q92" s="2">
        <f t="shared" si="9"/>
        <v>-4.5</v>
      </c>
      <c r="R92" s="7">
        <f t="shared" si="10"/>
        <v>0</v>
      </c>
    </row>
    <row r="93" spans="1:18" ht="15" customHeight="1" x14ac:dyDescent="0.25">
      <c r="A93" s="7">
        <v>92</v>
      </c>
      <c r="B93" s="8" t="s">
        <v>185</v>
      </c>
      <c r="C93" s="7">
        <v>2012</v>
      </c>
      <c r="D93" s="7">
        <v>2013</v>
      </c>
      <c r="E93" s="3">
        <v>41405</v>
      </c>
      <c r="F93" s="4">
        <f t="shared" si="6"/>
        <v>5</v>
      </c>
      <c r="G93" s="4">
        <f t="shared" si="7"/>
        <v>11</v>
      </c>
      <c r="H93" s="4">
        <f t="shared" si="8"/>
        <v>2013</v>
      </c>
      <c r="I93" s="10" t="s">
        <v>158</v>
      </c>
      <c r="J93" s="7" t="s">
        <v>12</v>
      </c>
      <c r="K93" s="7" t="s">
        <v>9</v>
      </c>
      <c r="L93" s="7">
        <v>-5</v>
      </c>
      <c r="M93" s="7" t="s">
        <v>9</v>
      </c>
      <c r="N93" s="7">
        <v>81</v>
      </c>
      <c r="O93" s="7">
        <v>87</v>
      </c>
      <c r="P93" s="2" t="str">
        <f t="shared" si="11"/>
        <v>MEM</v>
      </c>
      <c r="Q93" s="2">
        <f t="shared" si="9"/>
        <v>1</v>
      </c>
      <c r="R93" s="7">
        <f t="shared" si="10"/>
        <v>1</v>
      </c>
    </row>
    <row r="94" spans="1:18" ht="15" customHeight="1" x14ac:dyDescent="0.25">
      <c r="A94" s="7">
        <v>93</v>
      </c>
      <c r="B94" s="8" t="s">
        <v>185</v>
      </c>
      <c r="C94" s="7">
        <v>2012</v>
      </c>
      <c r="D94" s="7">
        <v>2013</v>
      </c>
      <c r="E94" s="3">
        <v>41406</v>
      </c>
      <c r="F94" s="4">
        <f t="shared" si="6"/>
        <v>5</v>
      </c>
      <c r="G94" s="4">
        <f t="shared" si="7"/>
        <v>12</v>
      </c>
      <c r="H94" s="4">
        <f t="shared" si="8"/>
        <v>2013</v>
      </c>
      <c r="I94" s="10" t="s">
        <v>158</v>
      </c>
      <c r="J94" s="7" t="s">
        <v>134</v>
      </c>
      <c r="K94" s="7" t="s">
        <v>114</v>
      </c>
      <c r="L94" s="7">
        <v>-2</v>
      </c>
      <c r="M94" s="7" t="s">
        <v>134</v>
      </c>
      <c r="N94" s="7">
        <v>87</v>
      </c>
      <c r="O94" s="7">
        <v>97</v>
      </c>
      <c r="P94" s="2" t="str">
        <f t="shared" si="11"/>
        <v>GS</v>
      </c>
      <c r="Q94" s="2">
        <f t="shared" si="9"/>
        <v>-8</v>
      </c>
      <c r="R94" s="7">
        <f t="shared" si="10"/>
        <v>0</v>
      </c>
    </row>
    <row r="95" spans="1:18" ht="15" customHeight="1" x14ac:dyDescent="0.25">
      <c r="A95" s="7">
        <v>94</v>
      </c>
      <c r="B95" s="8" t="s">
        <v>185</v>
      </c>
      <c r="C95" s="7">
        <v>2012</v>
      </c>
      <c r="D95" s="7">
        <v>2013</v>
      </c>
      <c r="E95" s="3">
        <v>41407</v>
      </c>
      <c r="F95" s="4">
        <f t="shared" si="6"/>
        <v>5</v>
      </c>
      <c r="G95" s="4">
        <f t="shared" si="7"/>
        <v>13</v>
      </c>
      <c r="H95" s="4">
        <f t="shared" si="8"/>
        <v>2013</v>
      </c>
      <c r="I95" s="10" t="s">
        <v>158</v>
      </c>
      <c r="J95" s="7" t="s">
        <v>12</v>
      </c>
      <c r="K95" s="7" t="s">
        <v>9</v>
      </c>
      <c r="L95" s="7">
        <v>-5</v>
      </c>
      <c r="M95" s="7" t="s">
        <v>9</v>
      </c>
      <c r="N95" s="7">
        <v>97</v>
      </c>
      <c r="O95" s="7">
        <v>103</v>
      </c>
      <c r="P95" s="2" t="str">
        <f t="shared" si="11"/>
        <v>MEM</v>
      </c>
      <c r="Q95" s="2">
        <f t="shared" si="9"/>
        <v>1</v>
      </c>
      <c r="R95" s="7">
        <f t="shared" si="10"/>
        <v>1</v>
      </c>
    </row>
    <row r="96" spans="1:18" ht="15" customHeight="1" x14ac:dyDescent="0.25">
      <c r="A96" s="7">
        <v>95</v>
      </c>
      <c r="B96" s="8" t="s">
        <v>185</v>
      </c>
      <c r="C96" s="7">
        <v>2012</v>
      </c>
      <c r="D96" s="7">
        <v>2013</v>
      </c>
      <c r="E96" s="3">
        <v>41408</v>
      </c>
      <c r="F96" s="4">
        <f t="shared" si="6"/>
        <v>5</v>
      </c>
      <c r="G96" s="4">
        <f t="shared" si="7"/>
        <v>14</v>
      </c>
      <c r="H96" s="4">
        <f t="shared" si="8"/>
        <v>2013</v>
      </c>
      <c r="I96" s="10" t="s">
        <v>158</v>
      </c>
      <c r="J96" s="7" t="s">
        <v>126</v>
      </c>
      <c r="K96" s="7" t="s">
        <v>13</v>
      </c>
      <c r="L96" s="7">
        <v>-5.5</v>
      </c>
      <c r="M96" s="7" t="s">
        <v>13</v>
      </c>
      <c r="N96" s="7">
        <v>82</v>
      </c>
      <c r="O96" s="7">
        <v>93</v>
      </c>
      <c r="P96" s="7" t="str">
        <f t="shared" si="11"/>
        <v>IND</v>
      </c>
      <c r="Q96" s="7">
        <f t="shared" si="9"/>
        <v>5.5</v>
      </c>
      <c r="R96" s="7">
        <f t="shared" si="10"/>
        <v>1</v>
      </c>
    </row>
    <row r="97" spans="1:18" ht="15" customHeight="1" x14ac:dyDescent="0.25">
      <c r="A97" s="7">
        <v>96</v>
      </c>
      <c r="B97" s="8" t="s">
        <v>185</v>
      </c>
      <c r="C97" s="7">
        <v>2012</v>
      </c>
      <c r="D97" s="7">
        <v>2013</v>
      </c>
      <c r="E97" s="3">
        <v>41409</v>
      </c>
      <c r="F97" s="4">
        <f t="shared" si="6"/>
        <v>5</v>
      </c>
      <c r="G97" s="4">
        <f t="shared" si="7"/>
        <v>15</v>
      </c>
      <c r="H97" s="4">
        <f t="shared" si="8"/>
        <v>2013</v>
      </c>
      <c r="I97" s="10" t="s">
        <v>158</v>
      </c>
      <c r="J97" s="7" t="s">
        <v>0</v>
      </c>
      <c r="K97" s="7" t="s">
        <v>15</v>
      </c>
      <c r="L97" s="7">
        <v>-14</v>
      </c>
      <c r="M97" s="7" t="s">
        <v>0</v>
      </c>
      <c r="N97" s="7">
        <v>91</v>
      </c>
      <c r="O97" s="7">
        <v>94</v>
      </c>
      <c r="P97" s="7" t="str">
        <f t="shared" si="11"/>
        <v>CHI</v>
      </c>
      <c r="Q97" s="7">
        <f t="shared" si="9"/>
        <v>11</v>
      </c>
      <c r="R97" s="7">
        <f t="shared" si="10"/>
        <v>1</v>
      </c>
    </row>
    <row r="98" spans="1:18" ht="15" customHeight="1" x14ac:dyDescent="0.25">
      <c r="A98" s="7">
        <v>97</v>
      </c>
      <c r="B98" s="8" t="s">
        <v>185</v>
      </c>
      <c r="C98" s="7">
        <v>2012</v>
      </c>
      <c r="D98" s="7">
        <v>2013</v>
      </c>
      <c r="E98" s="3">
        <v>41410</v>
      </c>
      <c r="F98" s="4">
        <f t="shared" si="6"/>
        <v>5</v>
      </c>
      <c r="G98" s="4">
        <f t="shared" si="7"/>
        <v>16</v>
      </c>
      <c r="H98" s="4">
        <f t="shared" si="8"/>
        <v>2013</v>
      </c>
      <c r="I98" s="10" t="s">
        <v>158</v>
      </c>
      <c r="J98" s="7" t="s">
        <v>134</v>
      </c>
      <c r="K98" s="7" t="s">
        <v>114</v>
      </c>
      <c r="L98" s="7">
        <v>1.5</v>
      </c>
      <c r="M98" s="7" t="s">
        <v>134</v>
      </c>
      <c r="N98" s="7">
        <v>94</v>
      </c>
      <c r="O98" s="7">
        <v>82</v>
      </c>
      <c r="P98" s="7" t="str">
        <f t="shared" si="11"/>
        <v>SA</v>
      </c>
      <c r="Q98" s="7">
        <f t="shared" si="9"/>
        <v>10.5</v>
      </c>
      <c r="R98" s="7">
        <f t="shared" si="10"/>
        <v>1</v>
      </c>
    </row>
    <row r="99" spans="1:18" ht="15" customHeight="1" x14ac:dyDescent="0.25">
      <c r="A99" s="7">
        <v>98</v>
      </c>
      <c r="B99" s="8" t="s">
        <v>185</v>
      </c>
      <c r="C99" s="7">
        <v>2012</v>
      </c>
      <c r="D99" s="7">
        <v>2013</v>
      </c>
      <c r="E99" s="3">
        <v>41412</v>
      </c>
      <c r="F99" s="4">
        <f t="shared" si="6"/>
        <v>5</v>
      </c>
      <c r="G99" s="4">
        <f t="shared" si="7"/>
        <v>18</v>
      </c>
      <c r="H99" s="4">
        <f t="shared" si="8"/>
        <v>2013</v>
      </c>
      <c r="I99" s="10" t="s">
        <v>158</v>
      </c>
      <c r="J99" s="7" t="s">
        <v>126</v>
      </c>
      <c r="K99" s="7" t="s">
        <v>13</v>
      </c>
      <c r="L99" s="7">
        <v>-5.5</v>
      </c>
      <c r="M99" s="7" t="s">
        <v>126</v>
      </c>
      <c r="N99" s="7">
        <v>99</v>
      </c>
      <c r="O99" s="7">
        <v>106</v>
      </c>
      <c r="P99" s="7" t="str">
        <f t="shared" si="11"/>
        <v>IND</v>
      </c>
      <c r="Q99" s="7">
        <f t="shared" si="9"/>
        <v>-1.5</v>
      </c>
      <c r="R99" s="7">
        <f t="shared" si="10"/>
        <v>0</v>
      </c>
    </row>
    <row r="100" spans="1:18" ht="15" customHeight="1" x14ac:dyDescent="0.25">
      <c r="A100" s="7">
        <v>99</v>
      </c>
      <c r="B100" s="8" t="s">
        <v>185</v>
      </c>
      <c r="C100" s="7">
        <v>2012</v>
      </c>
      <c r="D100" s="7">
        <v>2013</v>
      </c>
      <c r="E100" s="3">
        <v>41413</v>
      </c>
      <c r="F100" s="4">
        <f t="shared" si="6"/>
        <v>5</v>
      </c>
      <c r="G100" s="4">
        <f t="shared" si="7"/>
        <v>19</v>
      </c>
      <c r="H100" s="4">
        <f t="shared" si="8"/>
        <v>2013</v>
      </c>
      <c r="I100" s="10" t="s">
        <v>158</v>
      </c>
      <c r="J100" s="2" t="s">
        <v>9</v>
      </c>
      <c r="K100" s="2" t="s">
        <v>134</v>
      </c>
      <c r="L100" s="2">
        <v>-4.5</v>
      </c>
      <c r="M100" s="2" t="s">
        <v>134</v>
      </c>
      <c r="N100" s="2">
        <v>83</v>
      </c>
      <c r="O100" s="2">
        <v>105</v>
      </c>
      <c r="P100" s="2" t="str">
        <f t="shared" si="11"/>
        <v>SA</v>
      </c>
      <c r="Q100" s="2">
        <f t="shared" si="9"/>
        <v>17.5</v>
      </c>
      <c r="R100" s="7">
        <f t="shared" si="10"/>
        <v>1</v>
      </c>
    </row>
    <row r="101" spans="1:18" ht="15" customHeight="1" x14ac:dyDescent="0.25">
      <c r="A101" s="7">
        <v>100</v>
      </c>
      <c r="B101" s="8" t="s">
        <v>185</v>
      </c>
      <c r="C101" s="7">
        <v>2012</v>
      </c>
      <c r="D101" s="7">
        <v>2013</v>
      </c>
      <c r="E101" s="3">
        <v>41415</v>
      </c>
      <c r="F101" s="4">
        <f t="shared" si="6"/>
        <v>5</v>
      </c>
      <c r="G101" s="4">
        <f t="shared" si="7"/>
        <v>21</v>
      </c>
      <c r="H101" s="4">
        <f t="shared" si="8"/>
        <v>2013</v>
      </c>
      <c r="I101" s="10" t="s">
        <v>158</v>
      </c>
      <c r="J101" s="2" t="s">
        <v>9</v>
      </c>
      <c r="K101" s="2" t="s">
        <v>134</v>
      </c>
      <c r="L101" s="2">
        <v>-5</v>
      </c>
      <c r="M101" s="2" t="s">
        <v>134</v>
      </c>
      <c r="N101" s="2">
        <v>89</v>
      </c>
      <c r="O101" s="2">
        <v>93</v>
      </c>
      <c r="P101" s="2" t="str">
        <f t="shared" si="11"/>
        <v>MEM</v>
      </c>
      <c r="Q101" s="2">
        <f t="shared" si="9"/>
        <v>-1</v>
      </c>
      <c r="R101" s="7">
        <f t="shared" si="10"/>
        <v>0</v>
      </c>
    </row>
    <row r="102" spans="1:18" ht="15" customHeight="1" x14ac:dyDescent="0.25">
      <c r="A102" s="7">
        <v>101</v>
      </c>
      <c r="B102" s="8" t="s">
        <v>185</v>
      </c>
      <c r="C102" s="7">
        <v>2012</v>
      </c>
      <c r="D102" s="7">
        <v>2013</v>
      </c>
      <c r="E102" s="3">
        <v>41416</v>
      </c>
      <c r="F102" s="4">
        <f t="shared" si="6"/>
        <v>5</v>
      </c>
      <c r="G102" s="4">
        <f t="shared" si="7"/>
        <v>22</v>
      </c>
      <c r="H102" s="4">
        <f t="shared" si="8"/>
        <v>2013</v>
      </c>
      <c r="I102" s="10" t="s">
        <v>158</v>
      </c>
      <c r="J102" s="2" t="s">
        <v>13</v>
      </c>
      <c r="K102" s="2" t="s">
        <v>15</v>
      </c>
      <c r="L102" s="2">
        <v>-8</v>
      </c>
      <c r="M102" s="2" t="s">
        <v>13</v>
      </c>
      <c r="N102" s="2">
        <v>102</v>
      </c>
      <c r="O102" s="2">
        <v>103</v>
      </c>
      <c r="P102" s="2" t="str">
        <f t="shared" si="11"/>
        <v>IND</v>
      </c>
      <c r="Q102" s="2">
        <f t="shared" si="9"/>
        <v>7</v>
      </c>
      <c r="R102" s="7">
        <f t="shared" si="10"/>
        <v>1</v>
      </c>
    </row>
    <row r="103" spans="1:18" ht="15" customHeight="1" x14ac:dyDescent="0.25">
      <c r="A103" s="7">
        <v>102</v>
      </c>
      <c r="B103" s="8" t="s">
        <v>185</v>
      </c>
      <c r="C103" s="7">
        <v>2012</v>
      </c>
      <c r="D103" s="7">
        <v>2013</v>
      </c>
      <c r="E103" s="3">
        <v>41418</v>
      </c>
      <c r="F103" s="4">
        <f t="shared" si="6"/>
        <v>5</v>
      </c>
      <c r="G103" s="4">
        <f t="shared" si="7"/>
        <v>24</v>
      </c>
      <c r="H103" s="4">
        <f t="shared" si="8"/>
        <v>2013</v>
      </c>
      <c r="I103" s="10" t="s">
        <v>158</v>
      </c>
      <c r="J103" s="2" t="s">
        <v>13</v>
      </c>
      <c r="K103" s="2" t="s">
        <v>15</v>
      </c>
      <c r="L103" s="2">
        <v>-7.5</v>
      </c>
      <c r="M103" s="2" t="s">
        <v>13</v>
      </c>
      <c r="N103" s="2">
        <v>97</v>
      </c>
      <c r="O103" s="2">
        <v>93</v>
      </c>
      <c r="P103" s="2" t="str">
        <f t="shared" si="11"/>
        <v>IND</v>
      </c>
      <c r="Q103" s="2">
        <f t="shared" si="9"/>
        <v>11.5</v>
      </c>
      <c r="R103" s="7">
        <f t="shared" si="10"/>
        <v>1</v>
      </c>
    </row>
    <row r="104" spans="1:18" ht="15" customHeight="1" x14ac:dyDescent="0.25">
      <c r="A104" s="7">
        <v>103</v>
      </c>
      <c r="B104" s="8" t="s">
        <v>185</v>
      </c>
      <c r="C104" s="7">
        <v>2012</v>
      </c>
      <c r="D104" s="7">
        <v>2013</v>
      </c>
      <c r="E104" s="3">
        <v>41419</v>
      </c>
      <c r="F104" s="4">
        <f t="shared" si="6"/>
        <v>5</v>
      </c>
      <c r="G104" s="4">
        <f t="shared" si="7"/>
        <v>25</v>
      </c>
      <c r="H104" s="4">
        <f t="shared" si="8"/>
        <v>2013</v>
      </c>
      <c r="I104" s="10" t="s">
        <v>158</v>
      </c>
      <c r="J104" s="2" t="s">
        <v>134</v>
      </c>
      <c r="K104" s="2" t="s">
        <v>9</v>
      </c>
      <c r="L104" s="2">
        <v>-5.5</v>
      </c>
      <c r="M104" s="2" t="s">
        <v>9</v>
      </c>
      <c r="N104" s="2">
        <v>104</v>
      </c>
      <c r="O104" s="2">
        <v>93</v>
      </c>
      <c r="P104" s="2" t="str">
        <f t="shared" si="11"/>
        <v>SA</v>
      </c>
      <c r="Q104" s="2">
        <f t="shared" si="9"/>
        <v>-16.5</v>
      </c>
      <c r="R104" s="7">
        <f t="shared" si="10"/>
        <v>0</v>
      </c>
    </row>
    <row r="105" spans="1:18" ht="15" customHeight="1" x14ac:dyDescent="0.25">
      <c r="A105" s="7">
        <v>104</v>
      </c>
      <c r="B105" s="8" t="s">
        <v>185</v>
      </c>
      <c r="C105" s="7">
        <v>2012</v>
      </c>
      <c r="D105" s="7">
        <v>2013</v>
      </c>
      <c r="E105" s="3">
        <v>41420</v>
      </c>
      <c r="F105" s="4">
        <f t="shared" si="6"/>
        <v>5</v>
      </c>
      <c r="G105" s="4">
        <f t="shared" si="7"/>
        <v>26</v>
      </c>
      <c r="H105" s="4">
        <f t="shared" si="8"/>
        <v>2013</v>
      </c>
      <c r="I105" s="10" t="s">
        <v>158</v>
      </c>
      <c r="J105" s="2" t="s">
        <v>15</v>
      </c>
      <c r="K105" s="2" t="s">
        <v>13</v>
      </c>
      <c r="L105" s="2">
        <v>1.5</v>
      </c>
      <c r="M105" s="2" t="s">
        <v>13</v>
      </c>
      <c r="N105" s="2">
        <v>114</v>
      </c>
      <c r="O105" s="2">
        <v>96</v>
      </c>
      <c r="P105" s="2" t="str">
        <f t="shared" si="11"/>
        <v>MIA</v>
      </c>
      <c r="Q105" s="2">
        <f t="shared" si="9"/>
        <v>-16.5</v>
      </c>
      <c r="R105" s="7">
        <f t="shared" si="10"/>
        <v>0</v>
      </c>
    </row>
    <row r="106" spans="1:18" ht="15" customHeight="1" x14ac:dyDescent="0.25">
      <c r="A106" s="7">
        <v>105</v>
      </c>
      <c r="B106" s="8" t="s">
        <v>185</v>
      </c>
      <c r="C106" s="7">
        <v>2012</v>
      </c>
      <c r="D106" s="7">
        <v>2013</v>
      </c>
      <c r="E106" s="3">
        <v>41421</v>
      </c>
      <c r="F106" s="4">
        <f t="shared" si="6"/>
        <v>5</v>
      </c>
      <c r="G106" s="4">
        <f t="shared" si="7"/>
        <v>27</v>
      </c>
      <c r="H106" s="4">
        <f t="shared" si="8"/>
        <v>2013</v>
      </c>
      <c r="I106" s="10" t="s">
        <v>158</v>
      </c>
      <c r="J106" s="2" t="s">
        <v>134</v>
      </c>
      <c r="K106" s="2" t="s">
        <v>9</v>
      </c>
      <c r="L106" s="2">
        <v>-2.5</v>
      </c>
      <c r="M106" s="2" t="s">
        <v>9</v>
      </c>
      <c r="N106" s="2">
        <v>93</v>
      </c>
      <c r="O106" s="2">
        <v>86</v>
      </c>
      <c r="P106" s="2" t="str">
        <f t="shared" si="11"/>
        <v>SA</v>
      </c>
      <c r="Q106" s="2">
        <f t="shared" si="9"/>
        <v>-9.5</v>
      </c>
      <c r="R106" s="7">
        <f t="shared" si="10"/>
        <v>0</v>
      </c>
    </row>
    <row r="107" spans="1:18" ht="15" customHeight="1" x14ac:dyDescent="0.25">
      <c r="A107" s="7">
        <v>106</v>
      </c>
      <c r="B107" s="8" t="s">
        <v>185</v>
      </c>
      <c r="C107" s="7">
        <v>2012</v>
      </c>
      <c r="D107" s="7">
        <v>2013</v>
      </c>
      <c r="E107" s="3">
        <v>41422</v>
      </c>
      <c r="F107" s="4">
        <f t="shared" si="6"/>
        <v>5</v>
      </c>
      <c r="G107" s="4">
        <f t="shared" si="7"/>
        <v>28</v>
      </c>
      <c r="H107" s="4">
        <f t="shared" si="8"/>
        <v>2013</v>
      </c>
      <c r="I107" s="10" t="s">
        <v>158</v>
      </c>
      <c r="J107" s="2" t="s">
        <v>15</v>
      </c>
      <c r="K107" s="2" t="s">
        <v>13</v>
      </c>
      <c r="L107" s="2">
        <v>2.5</v>
      </c>
      <c r="M107" s="2" t="s">
        <v>15</v>
      </c>
      <c r="N107" s="2">
        <v>92</v>
      </c>
      <c r="O107" s="2">
        <v>99</v>
      </c>
      <c r="P107" s="2" t="str">
        <f t="shared" si="11"/>
        <v>IND</v>
      </c>
      <c r="Q107" s="2">
        <f t="shared" si="9"/>
        <v>-9.5</v>
      </c>
      <c r="R107" s="7">
        <f t="shared" si="10"/>
        <v>0</v>
      </c>
    </row>
    <row r="108" spans="1:18" ht="15" customHeight="1" x14ac:dyDescent="0.25">
      <c r="A108" s="7">
        <v>107</v>
      </c>
      <c r="B108" s="8" t="s">
        <v>185</v>
      </c>
      <c r="C108" s="7">
        <v>2012</v>
      </c>
      <c r="D108" s="7">
        <v>2013</v>
      </c>
      <c r="E108" s="3">
        <v>41424</v>
      </c>
      <c r="F108" s="4">
        <f t="shared" si="6"/>
        <v>5</v>
      </c>
      <c r="G108" s="4">
        <f t="shared" si="7"/>
        <v>30</v>
      </c>
      <c r="H108" s="4">
        <f t="shared" si="8"/>
        <v>2013</v>
      </c>
      <c r="I108" s="10" t="s">
        <v>158</v>
      </c>
      <c r="J108" s="2" t="s">
        <v>13</v>
      </c>
      <c r="K108" s="2" t="s">
        <v>15</v>
      </c>
      <c r="L108" s="2">
        <v>-7.5</v>
      </c>
      <c r="M108" s="2" t="s">
        <v>13</v>
      </c>
      <c r="N108" s="2">
        <v>79</v>
      </c>
      <c r="O108" s="2">
        <v>90</v>
      </c>
      <c r="P108" s="2" t="str">
        <f t="shared" si="11"/>
        <v>MIA</v>
      </c>
      <c r="Q108" s="2">
        <f t="shared" si="9"/>
        <v>-3.5</v>
      </c>
      <c r="R108" s="7">
        <f t="shared" si="10"/>
        <v>0</v>
      </c>
    </row>
    <row r="109" spans="1:18" ht="15" customHeight="1" x14ac:dyDescent="0.25">
      <c r="A109" s="7">
        <v>108</v>
      </c>
      <c r="B109" s="8" t="s">
        <v>185</v>
      </c>
      <c r="C109" s="7">
        <v>2012</v>
      </c>
      <c r="D109" s="7">
        <v>2013</v>
      </c>
      <c r="E109" s="3">
        <v>41426</v>
      </c>
      <c r="F109" s="4">
        <f t="shared" si="6"/>
        <v>6</v>
      </c>
      <c r="G109" s="4">
        <f t="shared" si="7"/>
        <v>1</v>
      </c>
      <c r="H109" s="4">
        <f t="shared" si="8"/>
        <v>2013</v>
      </c>
      <c r="I109" s="10" t="s">
        <v>158</v>
      </c>
      <c r="J109" s="2" t="s">
        <v>15</v>
      </c>
      <c r="K109" s="2" t="s">
        <v>13</v>
      </c>
      <c r="L109" s="2">
        <v>3</v>
      </c>
      <c r="M109" s="2" t="s">
        <v>15</v>
      </c>
      <c r="N109" s="2">
        <v>77</v>
      </c>
      <c r="O109" s="2">
        <v>91</v>
      </c>
      <c r="P109" s="2" t="str">
        <f t="shared" si="11"/>
        <v>IND</v>
      </c>
      <c r="Q109" s="2">
        <f t="shared" si="9"/>
        <v>-17</v>
      </c>
      <c r="R109" s="7">
        <f t="shared" si="10"/>
        <v>0</v>
      </c>
    </row>
    <row r="110" spans="1:18" ht="15" customHeight="1" x14ac:dyDescent="0.25">
      <c r="A110" s="7">
        <v>109</v>
      </c>
      <c r="B110" s="8" t="s">
        <v>185</v>
      </c>
      <c r="C110" s="7">
        <v>2012</v>
      </c>
      <c r="D110" s="7">
        <v>2013</v>
      </c>
      <c r="E110" s="3">
        <v>41428</v>
      </c>
      <c r="F110" s="4">
        <f t="shared" si="6"/>
        <v>6</v>
      </c>
      <c r="G110" s="4">
        <f t="shared" si="7"/>
        <v>3</v>
      </c>
      <c r="H110" s="4">
        <f t="shared" si="8"/>
        <v>2013</v>
      </c>
      <c r="I110" s="10" t="s">
        <v>158</v>
      </c>
      <c r="J110" s="2" t="s">
        <v>13</v>
      </c>
      <c r="K110" s="2" t="s">
        <v>15</v>
      </c>
      <c r="L110" s="2">
        <v>-7</v>
      </c>
      <c r="M110" s="2" t="s">
        <v>13</v>
      </c>
      <c r="N110" s="2">
        <v>76</v>
      </c>
      <c r="O110" s="2">
        <v>99</v>
      </c>
      <c r="P110" s="2" t="str">
        <f t="shared" si="11"/>
        <v>MIA</v>
      </c>
      <c r="Q110" s="2">
        <f t="shared" si="9"/>
        <v>-16</v>
      </c>
      <c r="R110" s="7">
        <f t="shared" si="10"/>
        <v>0</v>
      </c>
    </row>
    <row r="111" spans="1:18" ht="15" customHeight="1" x14ac:dyDescent="0.25">
      <c r="A111" s="7">
        <v>110</v>
      </c>
      <c r="B111" s="8" t="s">
        <v>185</v>
      </c>
      <c r="C111" s="7">
        <v>2012</v>
      </c>
      <c r="D111" s="7">
        <v>2013</v>
      </c>
      <c r="E111" s="3">
        <v>41431</v>
      </c>
      <c r="F111" s="4">
        <f t="shared" si="6"/>
        <v>6</v>
      </c>
      <c r="G111" s="4">
        <f t="shared" si="7"/>
        <v>6</v>
      </c>
      <c r="H111" s="4">
        <f t="shared" si="8"/>
        <v>2013</v>
      </c>
      <c r="I111" s="10" t="s">
        <v>158</v>
      </c>
      <c r="J111" s="2" t="s">
        <v>134</v>
      </c>
      <c r="K111" s="2" t="s">
        <v>15</v>
      </c>
      <c r="L111" s="2">
        <v>-5</v>
      </c>
      <c r="M111" s="2" t="s">
        <v>134</v>
      </c>
      <c r="N111" s="2">
        <v>92</v>
      </c>
      <c r="O111" s="2">
        <v>88</v>
      </c>
      <c r="P111" s="2" t="str">
        <f t="shared" si="11"/>
        <v>SA</v>
      </c>
      <c r="Q111" s="2">
        <f t="shared" si="9"/>
        <v>9</v>
      </c>
      <c r="R111" s="7">
        <f t="shared" si="10"/>
        <v>1</v>
      </c>
    </row>
    <row r="112" spans="1:18" ht="15" customHeight="1" x14ac:dyDescent="0.25">
      <c r="A112" s="7">
        <v>111</v>
      </c>
      <c r="B112" s="8" t="s">
        <v>185</v>
      </c>
      <c r="C112" s="7">
        <v>2012</v>
      </c>
      <c r="D112" s="7">
        <v>2013</v>
      </c>
      <c r="E112" s="3">
        <v>41434</v>
      </c>
      <c r="F112" s="4">
        <f t="shared" si="6"/>
        <v>6</v>
      </c>
      <c r="G112" s="4">
        <f t="shared" si="7"/>
        <v>9</v>
      </c>
      <c r="H112" s="4">
        <f t="shared" si="8"/>
        <v>2013</v>
      </c>
      <c r="I112" s="10" t="s">
        <v>158</v>
      </c>
      <c r="J112" s="2" t="s">
        <v>134</v>
      </c>
      <c r="K112" s="2" t="s">
        <v>15</v>
      </c>
      <c r="L112" s="2">
        <v>-6</v>
      </c>
      <c r="M112" s="2" t="s">
        <v>15</v>
      </c>
      <c r="N112" s="2">
        <v>84</v>
      </c>
      <c r="O112" s="2">
        <v>103</v>
      </c>
      <c r="P112" s="2" t="str">
        <f t="shared" si="11"/>
        <v>MIA</v>
      </c>
      <c r="Q112" s="2">
        <f t="shared" si="9"/>
        <v>13</v>
      </c>
      <c r="R112" s="7">
        <f t="shared" si="10"/>
        <v>1</v>
      </c>
    </row>
    <row r="113" spans="1:18" ht="15" customHeight="1" x14ac:dyDescent="0.25">
      <c r="A113" s="7">
        <v>112</v>
      </c>
      <c r="B113" s="8" t="s">
        <v>185</v>
      </c>
      <c r="C113" s="7">
        <v>2012</v>
      </c>
      <c r="D113" s="7">
        <v>2013</v>
      </c>
      <c r="E113" s="3">
        <v>41436</v>
      </c>
      <c r="F113" s="4">
        <f t="shared" si="6"/>
        <v>6</v>
      </c>
      <c r="G113" s="4">
        <f t="shared" si="7"/>
        <v>11</v>
      </c>
      <c r="H113" s="4">
        <f t="shared" si="8"/>
        <v>2013</v>
      </c>
      <c r="I113" s="10" t="s">
        <v>158</v>
      </c>
      <c r="J113" s="2" t="s">
        <v>15</v>
      </c>
      <c r="K113" s="2" t="s">
        <v>134</v>
      </c>
      <c r="L113" s="2">
        <v>-2</v>
      </c>
      <c r="M113" s="2" t="s">
        <v>134</v>
      </c>
      <c r="N113" s="2">
        <v>77</v>
      </c>
      <c r="O113" s="2">
        <v>113</v>
      </c>
      <c r="P113" s="2" t="str">
        <f t="shared" si="11"/>
        <v>SA</v>
      </c>
      <c r="Q113" s="2">
        <f t="shared" si="9"/>
        <v>34</v>
      </c>
      <c r="R113" s="7">
        <f t="shared" si="10"/>
        <v>1</v>
      </c>
    </row>
    <row r="114" spans="1:18" ht="15" customHeight="1" x14ac:dyDescent="0.25">
      <c r="A114" s="7">
        <v>113</v>
      </c>
      <c r="B114" s="8" t="s">
        <v>185</v>
      </c>
      <c r="C114" s="7">
        <v>2012</v>
      </c>
      <c r="D114" s="7">
        <v>2013</v>
      </c>
      <c r="E114" s="3">
        <v>41438</v>
      </c>
      <c r="F114" s="4">
        <f t="shared" si="6"/>
        <v>6</v>
      </c>
      <c r="G114" s="4">
        <f t="shared" si="7"/>
        <v>13</v>
      </c>
      <c r="H114" s="4">
        <f t="shared" si="8"/>
        <v>2013</v>
      </c>
      <c r="I114" s="10" t="s">
        <v>158</v>
      </c>
      <c r="J114" s="2" t="s">
        <v>15</v>
      </c>
      <c r="K114" s="2" t="s">
        <v>134</v>
      </c>
      <c r="L114" s="2">
        <v>-2</v>
      </c>
      <c r="M114" s="2" t="s">
        <v>15</v>
      </c>
      <c r="N114" s="2">
        <v>109</v>
      </c>
      <c r="O114" s="2">
        <v>93</v>
      </c>
      <c r="P114" s="2" t="str">
        <f t="shared" si="11"/>
        <v>MIA</v>
      </c>
      <c r="Q114" s="2">
        <f t="shared" si="9"/>
        <v>18</v>
      </c>
      <c r="R114" s="7">
        <f t="shared" si="10"/>
        <v>1</v>
      </c>
    </row>
    <row r="115" spans="1:18" ht="15" customHeight="1" x14ac:dyDescent="0.25">
      <c r="A115" s="7">
        <v>114</v>
      </c>
      <c r="B115" s="8" t="s">
        <v>185</v>
      </c>
      <c r="C115" s="7">
        <v>2012</v>
      </c>
      <c r="D115" s="7">
        <v>2013</v>
      </c>
      <c r="E115" s="3">
        <v>41441</v>
      </c>
      <c r="F115" s="4">
        <f t="shared" si="6"/>
        <v>6</v>
      </c>
      <c r="G115" s="4">
        <f t="shared" si="7"/>
        <v>16</v>
      </c>
      <c r="H115" s="4">
        <f t="shared" si="8"/>
        <v>2013</v>
      </c>
      <c r="I115" s="10" t="s">
        <v>158</v>
      </c>
      <c r="J115" s="2" t="s">
        <v>15</v>
      </c>
      <c r="K115" s="2" t="s">
        <v>134</v>
      </c>
      <c r="L115" s="2">
        <v>1.5</v>
      </c>
      <c r="M115" s="2" t="s">
        <v>134</v>
      </c>
      <c r="N115" s="2">
        <v>104</v>
      </c>
      <c r="O115" s="2">
        <v>114</v>
      </c>
      <c r="P115" s="2" t="str">
        <f t="shared" si="11"/>
        <v>SA</v>
      </c>
      <c r="Q115" s="2">
        <f t="shared" si="9"/>
        <v>11.5</v>
      </c>
      <c r="R115" s="7">
        <f t="shared" si="10"/>
        <v>1</v>
      </c>
    </row>
    <row r="116" spans="1:18" ht="15" customHeight="1" x14ac:dyDescent="0.25">
      <c r="A116" s="7">
        <v>115</v>
      </c>
      <c r="B116" s="8" t="s">
        <v>185</v>
      </c>
      <c r="C116" s="7">
        <v>2012</v>
      </c>
      <c r="D116" s="7">
        <v>2013</v>
      </c>
      <c r="E116" s="3">
        <v>41443</v>
      </c>
      <c r="F116" s="4">
        <f t="shared" si="6"/>
        <v>6</v>
      </c>
      <c r="G116" s="4">
        <f t="shared" si="7"/>
        <v>18</v>
      </c>
      <c r="H116" s="4">
        <f t="shared" si="8"/>
        <v>2013</v>
      </c>
      <c r="I116" s="10" t="s">
        <v>158</v>
      </c>
      <c r="J116" s="2" t="s">
        <v>134</v>
      </c>
      <c r="K116" s="2" t="s">
        <v>15</v>
      </c>
      <c r="L116" s="2">
        <v>-7</v>
      </c>
      <c r="M116" s="2" t="s">
        <v>15</v>
      </c>
      <c r="N116" s="2">
        <v>100</v>
      </c>
      <c r="O116" s="2">
        <v>103</v>
      </c>
      <c r="P116" s="2" t="str">
        <f t="shared" si="11"/>
        <v>SA</v>
      </c>
      <c r="Q116" s="2">
        <f t="shared" si="9"/>
        <v>-4</v>
      </c>
      <c r="R116" s="7">
        <f t="shared" si="10"/>
        <v>0</v>
      </c>
    </row>
    <row r="117" spans="1:18" ht="15" customHeight="1" x14ac:dyDescent="0.25">
      <c r="A117" s="7">
        <v>116</v>
      </c>
      <c r="B117" s="8" t="s">
        <v>185</v>
      </c>
      <c r="C117" s="7">
        <v>2012</v>
      </c>
      <c r="D117" s="7">
        <v>2013</v>
      </c>
      <c r="E117" s="3">
        <v>41445</v>
      </c>
      <c r="F117" s="4">
        <f t="shared" si="6"/>
        <v>6</v>
      </c>
      <c r="G117" s="4">
        <f t="shared" si="7"/>
        <v>20</v>
      </c>
      <c r="H117" s="4">
        <f t="shared" si="8"/>
        <v>2013</v>
      </c>
      <c r="I117" s="10" t="s">
        <v>158</v>
      </c>
      <c r="J117" s="2" t="s">
        <v>134</v>
      </c>
      <c r="K117" s="2" t="s">
        <v>15</v>
      </c>
      <c r="L117" s="2">
        <v>-6</v>
      </c>
      <c r="M117" s="2" t="s">
        <v>134</v>
      </c>
      <c r="N117" s="2">
        <v>88</v>
      </c>
      <c r="O117" s="2">
        <v>95</v>
      </c>
      <c r="P117" s="2" t="str">
        <f t="shared" si="11"/>
        <v>MIA</v>
      </c>
      <c r="Q117" s="2">
        <f t="shared" si="9"/>
        <v>-1</v>
      </c>
      <c r="R117" s="7">
        <f t="shared" si="10"/>
        <v>0</v>
      </c>
    </row>
    <row r="118" spans="1:18" ht="15" customHeight="1" x14ac:dyDescent="0.25">
      <c r="A118" s="7">
        <v>117</v>
      </c>
      <c r="B118" s="8" t="s">
        <v>151</v>
      </c>
      <c r="C118" s="7">
        <v>2012</v>
      </c>
      <c r="D118" s="7">
        <v>2013</v>
      </c>
      <c r="E118" s="3">
        <v>41306</v>
      </c>
      <c r="F118" s="4">
        <f t="shared" si="6"/>
        <v>2</v>
      </c>
      <c r="G118" s="4">
        <f t="shared" si="7"/>
        <v>1</v>
      </c>
      <c r="H118" s="4">
        <f t="shared" si="8"/>
        <v>2013</v>
      </c>
      <c r="I118" s="10" t="s">
        <v>157</v>
      </c>
      <c r="J118" s="2" t="s">
        <v>10</v>
      </c>
      <c r="K118" s="2" t="s">
        <v>126</v>
      </c>
      <c r="L118" s="2">
        <v>-5</v>
      </c>
      <c r="M118" s="2" t="s">
        <v>126</v>
      </c>
      <c r="N118" s="2">
        <v>86</v>
      </c>
      <c r="O118" s="2">
        <v>96</v>
      </c>
      <c r="P118" s="2" t="str">
        <f t="shared" si="11"/>
        <v>NY</v>
      </c>
      <c r="Q118" s="2">
        <f t="shared" si="9"/>
        <v>5</v>
      </c>
      <c r="R118" s="7">
        <f t="shared" si="10"/>
        <v>1</v>
      </c>
    </row>
    <row r="119" spans="1:18" ht="15" customHeight="1" x14ac:dyDescent="0.25">
      <c r="A119" s="7">
        <v>118</v>
      </c>
      <c r="B119" s="8" t="s">
        <v>151</v>
      </c>
      <c r="C119" s="7">
        <v>2012</v>
      </c>
      <c r="D119" s="7">
        <v>2013</v>
      </c>
      <c r="E119" s="3">
        <v>41307</v>
      </c>
      <c r="F119" s="4">
        <f t="shared" si="6"/>
        <v>2</v>
      </c>
      <c r="G119" s="4">
        <f t="shared" si="7"/>
        <v>2</v>
      </c>
      <c r="H119" s="4">
        <f t="shared" si="8"/>
        <v>2013</v>
      </c>
      <c r="I119" s="10" t="s">
        <v>157</v>
      </c>
      <c r="J119" s="2" t="s">
        <v>0</v>
      </c>
      <c r="K119" s="2" t="s">
        <v>5</v>
      </c>
      <c r="L119" s="2">
        <v>-7</v>
      </c>
      <c r="M119" s="2" t="s">
        <v>0</v>
      </c>
      <c r="N119" s="2">
        <v>93</v>
      </c>
      <c r="O119" s="2">
        <v>76</v>
      </c>
      <c r="P119" s="2" t="str">
        <f t="shared" si="11"/>
        <v>CHI</v>
      </c>
      <c r="Q119" s="2">
        <f t="shared" si="9"/>
        <v>24</v>
      </c>
      <c r="R119" s="7">
        <f t="shared" si="10"/>
        <v>1</v>
      </c>
    </row>
    <row r="120" spans="1:18" ht="15" customHeight="1" x14ac:dyDescent="0.25">
      <c r="A120" s="7">
        <v>119</v>
      </c>
      <c r="B120" s="8" t="s">
        <v>151</v>
      </c>
      <c r="C120" s="7">
        <v>2012</v>
      </c>
      <c r="D120" s="7">
        <v>2013</v>
      </c>
      <c r="E120" s="3">
        <v>41308</v>
      </c>
      <c r="F120" s="4">
        <f t="shared" si="6"/>
        <v>2</v>
      </c>
      <c r="G120" s="4">
        <f t="shared" si="7"/>
        <v>3</v>
      </c>
      <c r="H120" s="4">
        <f t="shared" si="8"/>
        <v>2013</v>
      </c>
      <c r="I120" s="10" t="s">
        <v>157</v>
      </c>
      <c r="J120" s="2" t="s">
        <v>14</v>
      </c>
      <c r="K120" s="2" t="s">
        <v>17</v>
      </c>
      <c r="L120" s="2">
        <v>1</v>
      </c>
      <c r="M120" s="2" t="s">
        <v>17</v>
      </c>
      <c r="N120" s="2">
        <v>104</v>
      </c>
      <c r="O120" s="2">
        <v>106</v>
      </c>
      <c r="P120" s="2" t="str">
        <f t="shared" si="11"/>
        <v>BOS</v>
      </c>
      <c r="Q120" s="2">
        <f t="shared" si="9"/>
        <v>3</v>
      </c>
      <c r="R120" s="7">
        <f t="shared" si="10"/>
        <v>1</v>
      </c>
    </row>
    <row r="121" spans="1:18" ht="15" customHeight="1" x14ac:dyDescent="0.25">
      <c r="A121" s="7">
        <v>120</v>
      </c>
      <c r="B121" s="8" t="s">
        <v>151</v>
      </c>
      <c r="C121" s="7">
        <v>2012</v>
      </c>
      <c r="D121" s="7">
        <v>2013</v>
      </c>
      <c r="E121" s="3">
        <v>41309</v>
      </c>
      <c r="F121" s="4">
        <f t="shared" si="6"/>
        <v>2</v>
      </c>
      <c r="G121" s="4">
        <f t="shared" si="7"/>
        <v>4</v>
      </c>
      <c r="H121" s="4">
        <f t="shared" si="8"/>
        <v>2013</v>
      </c>
      <c r="I121" s="10" t="s">
        <v>157</v>
      </c>
      <c r="J121" s="2" t="s">
        <v>14</v>
      </c>
      <c r="K121" s="2" t="s">
        <v>139</v>
      </c>
      <c r="L121" s="2">
        <v>3</v>
      </c>
      <c r="M121" s="2" t="s">
        <v>17</v>
      </c>
      <c r="N121" s="2">
        <v>90</v>
      </c>
      <c r="O121" s="2">
        <v>98</v>
      </c>
      <c r="P121" s="2" t="str">
        <f t="shared" si="11"/>
        <v>WSH</v>
      </c>
      <c r="Q121" s="2">
        <f t="shared" si="9"/>
        <v>-11</v>
      </c>
      <c r="R121" s="7">
        <f t="shared" si="10"/>
        <v>0</v>
      </c>
    </row>
    <row r="122" spans="1:18" ht="15" customHeight="1" x14ac:dyDescent="0.25">
      <c r="A122" s="7">
        <v>121</v>
      </c>
      <c r="B122" s="8" t="s">
        <v>151</v>
      </c>
      <c r="C122" s="7">
        <v>2012</v>
      </c>
      <c r="D122" s="7">
        <v>2013</v>
      </c>
      <c r="E122" s="3">
        <v>41310</v>
      </c>
      <c r="F122" s="4">
        <f t="shared" si="6"/>
        <v>2</v>
      </c>
      <c r="G122" s="4">
        <f t="shared" si="7"/>
        <v>5</v>
      </c>
      <c r="H122" s="4">
        <f t="shared" si="8"/>
        <v>2013</v>
      </c>
      <c r="I122" s="10" t="s">
        <v>157</v>
      </c>
      <c r="J122" s="2" t="s">
        <v>10</v>
      </c>
      <c r="K122" s="2" t="s">
        <v>23</v>
      </c>
      <c r="L122" s="2">
        <v>-7</v>
      </c>
      <c r="M122" s="2" t="s">
        <v>10</v>
      </c>
      <c r="N122" s="2">
        <v>104</v>
      </c>
      <c r="O122" s="2">
        <v>112</v>
      </c>
      <c r="P122" s="2" t="str">
        <f t="shared" si="11"/>
        <v>DEN</v>
      </c>
      <c r="Q122" s="2">
        <f t="shared" si="9"/>
        <v>-1</v>
      </c>
      <c r="R122" s="7">
        <f t="shared" si="10"/>
        <v>0</v>
      </c>
    </row>
    <row r="123" spans="1:18" ht="15" customHeight="1" x14ac:dyDescent="0.25">
      <c r="A123" s="7">
        <v>122</v>
      </c>
      <c r="B123" s="8" t="s">
        <v>151</v>
      </c>
      <c r="C123" s="7">
        <v>2012</v>
      </c>
      <c r="D123" s="7">
        <v>2013</v>
      </c>
      <c r="E123" s="3">
        <v>41311</v>
      </c>
      <c r="F123" s="4">
        <f t="shared" si="6"/>
        <v>2</v>
      </c>
      <c r="G123" s="4">
        <f t="shared" si="7"/>
        <v>6</v>
      </c>
      <c r="H123" s="4">
        <f t="shared" si="8"/>
        <v>2013</v>
      </c>
      <c r="I123" s="10" t="s">
        <v>157</v>
      </c>
      <c r="J123" s="2" t="s">
        <v>19</v>
      </c>
      <c r="K123" s="2" t="s">
        <v>124</v>
      </c>
      <c r="L123" s="2">
        <v>-6.5</v>
      </c>
      <c r="M123" s="2" t="s">
        <v>124</v>
      </c>
      <c r="N123" s="2">
        <v>84</v>
      </c>
      <c r="O123" s="2">
        <v>93</v>
      </c>
      <c r="P123" s="2" t="str">
        <f t="shared" si="11"/>
        <v>NO</v>
      </c>
      <c r="Q123" s="2">
        <f t="shared" si="9"/>
        <v>2.5</v>
      </c>
      <c r="R123" s="7">
        <f t="shared" si="10"/>
        <v>1</v>
      </c>
    </row>
    <row r="124" spans="1:18" ht="15" customHeight="1" x14ac:dyDescent="0.25">
      <c r="A124" s="7">
        <v>123</v>
      </c>
      <c r="B124" s="8" t="s">
        <v>151</v>
      </c>
      <c r="C124" s="7">
        <v>2012</v>
      </c>
      <c r="D124" s="7">
        <v>2013</v>
      </c>
      <c r="E124" s="3">
        <v>41312</v>
      </c>
      <c r="F124" s="4">
        <f t="shared" si="6"/>
        <v>2</v>
      </c>
      <c r="G124" s="4">
        <f t="shared" si="7"/>
        <v>7</v>
      </c>
      <c r="H124" s="4">
        <f t="shared" si="8"/>
        <v>2013</v>
      </c>
      <c r="I124" s="10" t="s">
        <v>157</v>
      </c>
      <c r="J124" s="2" t="s">
        <v>18</v>
      </c>
      <c r="K124" s="2" t="s">
        <v>17</v>
      </c>
      <c r="L124" s="2">
        <v>-1.5</v>
      </c>
      <c r="M124" s="2" t="s">
        <v>18</v>
      </c>
      <c r="N124" s="2">
        <v>95</v>
      </c>
      <c r="O124" s="2">
        <v>116</v>
      </c>
      <c r="P124" s="2" t="str">
        <f t="shared" si="11"/>
        <v>BOS</v>
      </c>
      <c r="Q124" s="2">
        <f t="shared" si="9"/>
        <v>-19.5</v>
      </c>
      <c r="R124" s="7">
        <f t="shared" si="10"/>
        <v>0</v>
      </c>
    </row>
    <row r="125" spans="1:18" ht="15" customHeight="1" x14ac:dyDescent="0.25">
      <c r="A125" s="7">
        <v>124</v>
      </c>
      <c r="B125" s="8" t="s">
        <v>151</v>
      </c>
      <c r="C125" s="7">
        <v>2012</v>
      </c>
      <c r="D125" s="7">
        <v>2013</v>
      </c>
      <c r="E125" s="3">
        <v>41313</v>
      </c>
      <c r="F125" s="4">
        <f t="shared" si="6"/>
        <v>2</v>
      </c>
      <c r="G125" s="4">
        <f t="shared" si="7"/>
        <v>8</v>
      </c>
      <c r="H125" s="4">
        <f t="shared" si="8"/>
        <v>2013</v>
      </c>
      <c r="I125" s="10" t="s">
        <v>157</v>
      </c>
      <c r="J125" s="2" t="s">
        <v>11</v>
      </c>
      <c r="K125" s="2" t="s">
        <v>6</v>
      </c>
      <c r="L125" s="2">
        <v>-6.5</v>
      </c>
      <c r="M125" s="2" t="s">
        <v>6</v>
      </c>
      <c r="N125" s="2">
        <v>108</v>
      </c>
      <c r="O125" s="2">
        <v>119</v>
      </c>
      <c r="P125" s="2" t="str">
        <f t="shared" si="11"/>
        <v>CLE</v>
      </c>
      <c r="Q125" s="2">
        <f t="shared" si="9"/>
        <v>4.5</v>
      </c>
      <c r="R125" s="7">
        <f t="shared" si="10"/>
        <v>1</v>
      </c>
    </row>
    <row r="126" spans="1:18" ht="15" customHeight="1" x14ac:dyDescent="0.25">
      <c r="A126" s="7">
        <v>125</v>
      </c>
      <c r="B126" s="8" t="s">
        <v>151</v>
      </c>
      <c r="C126" s="7">
        <v>2012</v>
      </c>
      <c r="D126" s="7">
        <v>2013</v>
      </c>
      <c r="E126" s="3">
        <v>41314</v>
      </c>
      <c r="F126" s="4">
        <f t="shared" si="6"/>
        <v>2</v>
      </c>
      <c r="G126" s="4">
        <f t="shared" si="7"/>
        <v>9</v>
      </c>
      <c r="H126" s="4">
        <f t="shared" si="8"/>
        <v>2013</v>
      </c>
      <c r="I126" s="10" t="s">
        <v>157</v>
      </c>
      <c r="J126" s="2" t="s">
        <v>7</v>
      </c>
      <c r="K126" s="2" t="s">
        <v>10</v>
      </c>
      <c r="L126" s="2">
        <v>-7</v>
      </c>
      <c r="M126" s="2" t="s">
        <v>7</v>
      </c>
      <c r="N126" s="2">
        <v>105</v>
      </c>
      <c r="O126" s="2">
        <v>100</v>
      </c>
      <c r="P126" s="2" t="str">
        <f t="shared" si="11"/>
        <v>DET</v>
      </c>
      <c r="Q126" s="2">
        <f t="shared" si="9"/>
        <v>12</v>
      </c>
      <c r="R126" s="7">
        <f t="shared" si="10"/>
        <v>1</v>
      </c>
    </row>
    <row r="127" spans="1:18" ht="15" customHeight="1" x14ac:dyDescent="0.25">
      <c r="A127" s="7">
        <v>126</v>
      </c>
      <c r="B127" s="8" t="s">
        <v>151</v>
      </c>
      <c r="C127" s="7">
        <v>2012</v>
      </c>
      <c r="D127" s="7">
        <v>2013</v>
      </c>
      <c r="E127" s="3">
        <v>41315</v>
      </c>
      <c r="F127" s="4">
        <f t="shared" si="6"/>
        <v>2</v>
      </c>
      <c r="G127" s="4">
        <f t="shared" si="7"/>
        <v>10</v>
      </c>
      <c r="H127" s="4">
        <f t="shared" si="8"/>
        <v>2013</v>
      </c>
      <c r="I127" s="10" t="s">
        <v>157</v>
      </c>
      <c r="J127" s="2" t="s">
        <v>1</v>
      </c>
      <c r="K127" s="2" t="s">
        <v>11</v>
      </c>
      <c r="L127" s="2">
        <v>3</v>
      </c>
      <c r="M127" s="2" t="s">
        <v>1</v>
      </c>
      <c r="N127" s="2">
        <v>104</v>
      </c>
      <c r="O127" s="2">
        <v>110</v>
      </c>
      <c r="P127" s="2" t="str">
        <f t="shared" si="11"/>
        <v>ORL</v>
      </c>
      <c r="Q127" s="2">
        <f t="shared" si="9"/>
        <v>-9</v>
      </c>
      <c r="R127" s="7">
        <f t="shared" si="10"/>
        <v>0</v>
      </c>
    </row>
    <row r="128" spans="1:18" ht="15" customHeight="1" x14ac:dyDescent="0.25">
      <c r="A128" s="7">
        <v>127</v>
      </c>
      <c r="B128" s="8" t="s">
        <v>151</v>
      </c>
      <c r="C128" s="7">
        <v>2012</v>
      </c>
      <c r="D128" s="7">
        <v>2013</v>
      </c>
      <c r="E128" s="3">
        <v>41316</v>
      </c>
      <c r="F128" s="4">
        <f t="shared" si="6"/>
        <v>2</v>
      </c>
      <c r="G128" s="4">
        <f t="shared" si="7"/>
        <v>11</v>
      </c>
      <c r="H128" s="4">
        <f t="shared" si="8"/>
        <v>2013</v>
      </c>
      <c r="I128" s="10" t="s">
        <v>157</v>
      </c>
      <c r="J128" s="2" t="s">
        <v>134</v>
      </c>
      <c r="K128" s="2" t="s">
        <v>0</v>
      </c>
      <c r="L128" s="2">
        <v>-2</v>
      </c>
      <c r="M128" s="2" t="s">
        <v>0</v>
      </c>
      <c r="N128" s="2">
        <v>103</v>
      </c>
      <c r="O128" s="2">
        <v>89</v>
      </c>
      <c r="P128" s="2" t="str">
        <f t="shared" si="11"/>
        <v>SA</v>
      </c>
      <c r="Q128" s="2">
        <f t="shared" si="9"/>
        <v>-16</v>
      </c>
      <c r="R128" s="7">
        <f t="shared" si="10"/>
        <v>0</v>
      </c>
    </row>
    <row r="129" spans="1:18" ht="15" customHeight="1" x14ac:dyDescent="0.25">
      <c r="A129" s="7">
        <v>128</v>
      </c>
      <c r="B129" s="8" t="s">
        <v>151</v>
      </c>
      <c r="C129" s="7">
        <v>2012</v>
      </c>
      <c r="D129" s="7">
        <v>2013</v>
      </c>
      <c r="E129" s="3">
        <v>41317</v>
      </c>
      <c r="F129" s="4">
        <f t="shared" si="6"/>
        <v>2</v>
      </c>
      <c r="G129" s="4">
        <f t="shared" si="7"/>
        <v>12</v>
      </c>
      <c r="H129" s="4">
        <f t="shared" si="8"/>
        <v>2013</v>
      </c>
      <c r="I129" s="10" t="s">
        <v>157</v>
      </c>
      <c r="J129" s="2" t="s">
        <v>4</v>
      </c>
      <c r="K129" s="2" t="s">
        <v>114</v>
      </c>
      <c r="L129" s="2">
        <v>-4.5</v>
      </c>
      <c r="M129" s="2" t="s">
        <v>114</v>
      </c>
      <c r="N129" s="2">
        <v>116</v>
      </c>
      <c r="O129" s="2">
        <v>107</v>
      </c>
      <c r="P129" s="2" t="str">
        <f t="shared" si="11"/>
        <v>HOU</v>
      </c>
      <c r="Q129" s="2">
        <f t="shared" si="9"/>
        <v>-13.5</v>
      </c>
      <c r="R129" s="7">
        <f t="shared" si="10"/>
        <v>0</v>
      </c>
    </row>
    <row r="130" spans="1:18" ht="15" customHeight="1" x14ac:dyDescent="0.25">
      <c r="A130" s="7">
        <v>129</v>
      </c>
      <c r="B130" s="8" t="s">
        <v>151</v>
      </c>
      <c r="C130" s="7">
        <v>2012</v>
      </c>
      <c r="D130" s="7">
        <v>2013</v>
      </c>
      <c r="E130" s="3">
        <v>41318</v>
      </c>
      <c r="F130" s="4">
        <f t="shared" ref="F130:F193" si="12">MONTH(E130)</f>
        <v>2</v>
      </c>
      <c r="G130" s="4">
        <f t="shared" ref="G130:G193" si="13">DAY(E130)</f>
        <v>13</v>
      </c>
      <c r="H130" s="4">
        <f t="shared" ref="H130:H193" si="14">YEAR(E130)</f>
        <v>2013</v>
      </c>
      <c r="I130" s="10" t="s">
        <v>157</v>
      </c>
      <c r="J130" s="2" t="s">
        <v>137</v>
      </c>
      <c r="K130" s="2" t="s">
        <v>3</v>
      </c>
      <c r="L130" s="2">
        <v>-2</v>
      </c>
      <c r="M130" s="2" t="s">
        <v>137</v>
      </c>
      <c r="N130" s="2">
        <v>97</v>
      </c>
      <c r="O130" s="2">
        <v>93</v>
      </c>
      <c r="P130" s="2" t="str">
        <f t="shared" si="11"/>
        <v>UTAH</v>
      </c>
      <c r="Q130" s="2">
        <f t="shared" ref="Q130:Q193" si="15">IF(AND(N130&gt;0,O130&gt;0,(O130+L130)=N130),0,IF(P130="","",IF(P130=M130,ABS((O130+L130)-N130),-ABS((O130+L130)-N130))))</f>
        <v>6</v>
      </c>
      <c r="R130" s="7">
        <f t="shared" si="10"/>
        <v>1</v>
      </c>
    </row>
    <row r="131" spans="1:18" ht="15" customHeight="1" x14ac:dyDescent="0.25">
      <c r="A131" s="7">
        <v>130</v>
      </c>
      <c r="B131" s="8" t="s">
        <v>151</v>
      </c>
      <c r="C131" s="7">
        <v>2012</v>
      </c>
      <c r="D131" s="7">
        <v>2013</v>
      </c>
      <c r="E131" s="3">
        <v>41319</v>
      </c>
      <c r="F131" s="4">
        <f t="shared" si="12"/>
        <v>2</v>
      </c>
      <c r="G131" s="4">
        <f t="shared" si="13"/>
        <v>14</v>
      </c>
      <c r="H131" s="4">
        <f t="shared" si="14"/>
        <v>2013</v>
      </c>
      <c r="I131" s="10" t="s">
        <v>157</v>
      </c>
      <c r="J131" s="2" t="s">
        <v>14</v>
      </c>
      <c r="K131" s="2" t="s">
        <v>18</v>
      </c>
      <c r="L131" s="2">
        <v>-5.5</v>
      </c>
      <c r="M131" s="2" t="s">
        <v>14</v>
      </c>
      <c r="N131" s="2">
        <v>125</v>
      </c>
      <c r="O131" s="2">
        <v>101</v>
      </c>
      <c r="P131" s="2" t="str">
        <f t="shared" si="11"/>
        <v>LAC</v>
      </c>
      <c r="Q131" s="2">
        <f t="shared" si="15"/>
        <v>29.5</v>
      </c>
      <c r="R131" s="7">
        <f t="shared" ref="R131:R194" si="16">IF(Q131="","",IF(P131=M131,1,IF(Q131=0,"na",0)))</f>
        <v>1</v>
      </c>
    </row>
    <row r="132" spans="1:18" ht="15" customHeight="1" x14ac:dyDescent="0.25">
      <c r="A132" s="7">
        <v>131</v>
      </c>
      <c r="B132" s="8" t="s">
        <v>151</v>
      </c>
      <c r="C132" s="7">
        <v>2012</v>
      </c>
      <c r="D132" s="7">
        <v>2013</v>
      </c>
      <c r="E132" s="3">
        <v>41324</v>
      </c>
      <c r="F132" s="4">
        <f t="shared" si="12"/>
        <v>2</v>
      </c>
      <c r="G132" s="4">
        <f t="shared" si="13"/>
        <v>19</v>
      </c>
      <c r="H132" s="4">
        <f t="shared" si="14"/>
        <v>2013</v>
      </c>
      <c r="I132" s="10" t="s">
        <v>157</v>
      </c>
      <c r="J132" s="2" t="s">
        <v>19</v>
      </c>
      <c r="K132" s="2" t="s">
        <v>1</v>
      </c>
      <c r="L132" s="2">
        <v>-6.5</v>
      </c>
      <c r="M132" s="2" t="s">
        <v>19</v>
      </c>
      <c r="N132" s="2">
        <v>102</v>
      </c>
      <c r="O132" s="2">
        <v>98</v>
      </c>
      <c r="P132" s="2" t="str">
        <f t="shared" si="11"/>
        <v>PHX</v>
      </c>
      <c r="Q132" s="2">
        <f t="shared" si="15"/>
        <v>10.5</v>
      </c>
      <c r="R132" s="7">
        <f t="shared" si="16"/>
        <v>1</v>
      </c>
    </row>
    <row r="133" spans="1:18" ht="15" customHeight="1" x14ac:dyDescent="0.25">
      <c r="A133" s="7">
        <v>132</v>
      </c>
      <c r="B133" s="8" t="s">
        <v>151</v>
      </c>
      <c r="C133" s="7">
        <v>2012</v>
      </c>
      <c r="D133" s="7">
        <v>2013</v>
      </c>
      <c r="E133" s="3">
        <v>41325</v>
      </c>
      <c r="F133" s="4">
        <f t="shared" si="12"/>
        <v>2</v>
      </c>
      <c r="G133" s="4">
        <f t="shared" si="13"/>
        <v>20</v>
      </c>
      <c r="H133" s="4">
        <f t="shared" si="14"/>
        <v>2013</v>
      </c>
      <c r="I133" s="10" t="s">
        <v>157</v>
      </c>
      <c r="J133" s="2" t="s">
        <v>126</v>
      </c>
      <c r="K133" s="2" t="s">
        <v>13</v>
      </c>
      <c r="L133" s="2">
        <v>-3.5</v>
      </c>
      <c r="M133" s="2" t="s">
        <v>13</v>
      </c>
      <c r="N133" s="2">
        <v>91</v>
      </c>
      <c r="O133" s="2">
        <v>125</v>
      </c>
      <c r="P133" s="2" t="str">
        <f t="shared" si="11"/>
        <v>IND</v>
      </c>
      <c r="Q133" s="2">
        <f t="shared" si="15"/>
        <v>30.5</v>
      </c>
      <c r="R133" s="7">
        <f t="shared" si="16"/>
        <v>1</v>
      </c>
    </row>
    <row r="134" spans="1:18" ht="15" customHeight="1" x14ac:dyDescent="0.25">
      <c r="A134" s="7">
        <v>133</v>
      </c>
      <c r="B134" s="8" t="s">
        <v>151</v>
      </c>
      <c r="C134" s="7">
        <v>2012</v>
      </c>
      <c r="D134" s="7">
        <v>2013</v>
      </c>
      <c r="E134" s="3">
        <v>41326</v>
      </c>
      <c r="F134" s="4">
        <f t="shared" si="12"/>
        <v>2</v>
      </c>
      <c r="G134" s="4">
        <f t="shared" si="13"/>
        <v>21</v>
      </c>
      <c r="H134" s="4">
        <f t="shared" si="14"/>
        <v>2013</v>
      </c>
      <c r="I134" s="10" t="s">
        <v>157</v>
      </c>
      <c r="J134" s="2" t="s">
        <v>15</v>
      </c>
      <c r="K134" s="2" t="s">
        <v>0</v>
      </c>
      <c r="L134" s="2">
        <v>3</v>
      </c>
      <c r="M134" s="2" t="s">
        <v>15</v>
      </c>
      <c r="N134" s="2">
        <v>86</v>
      </c>
      <c r="O134" s="2">
        <v>67</v>
      </c>
      <c r="P134" s="2" t="str">
        <f t="shared" ref="P134:P197" si="17">IF(OR(N134="",O134=""),"",IF((O134+L134)&gt;N134,K134,IF((O134+L134)=N134,"N/A",J134)))</f>
        <v>MIA</v>
      </c>
      <c r="Q134" s="2">
        <f t="shared" si="15"/>
        <v>16</v>
      </c>
      <c r="R134" s="7">
        <f t="shared" si="16"/>
        <v>1</v>
      </c>
    </row>
    <row r="135" spans="1:18" ht="15" customHeight="1" x14ac:dyDescent="0.25">
      <c r="A135" s="7">
        <v>134</v>
      </c>
      <c r="B135" s="8" t="s">
        <v>151</v>
      </c>
      <c r="C135" s="7">
        <v>2012</v>
      </c>
      <c r="D135" s="7">
        <v>2013</v>
      </c>
      <c r="E135" s="3">
        <v>41327</v>
      </c>
      <c r="F135" s="4">
        <f t="shared" si="12"/>
        <v>2</v>
      </c>
      <c r="G135" s="4">
        <f t="shared" si="13"/>
        <v>22</v>
      </c>
      <c r="H135" s="4">
        <f t="shared" si="14"/>
        <v>2013</v>
      </c>
      <c r="I135" s="10" t="s">
        <v>157</v>
      </c>
      <c r="J135" s="7" t="s">
        <v>126</v>
      </c>
      <c r="K135" s="7" t="s">
        <v>2</v>
      </c>
      <c r="L135" s="7">
        <v>1</v>
      </c>
      <c r="M135" s="7" t="s">
        <v>126</v>
      </c>
      <c r="N135" s="7">
        <v>98</v>
      </c>
      <c r="O135" s="7">
        <v>100</v>
      </c>
      <c r="P135" s="2" t="str">
        <f t="shared" si="17"/>
        <v>TOR</v>
      </c>
      <c r="Q135" s="2">
        <f t="shared" si="15"/>
        <v>-3</v>
      </c>
      <c r="R135" s="7">
        <f t="shared" si="16"/>
        <v>0</v>
      </c>
    </row>
    <row r="136" spans="1:18" ht="15" customHeight="1" x14ac:dyDescent="0.25">
      <c r="A136" s="7">
        <v>135</v>
      </c>
      <c r="B136" s="8" t="s">
        <v>151</v>
      </c>
      <c r="C136" s="7">
        <v>2012</v>
      </c>
      <c r="D136" s="7">
        <v>2013</v>
      </c>
      <c r="E136" s="3">
        <v>41328</v>
      </c>
      <c r="F136" s="4">
        <f t="shared" si="12"/>
        <v>2</v>
      </c>
      <c r="G136" s="4">
        <f t="shared" si="13"/>
        <v>23</v>
      </c>
      <c r="H136" s="4">
        <f t="shared" si="14"/>
        <v>2013</v>
      </c>
      <c r="I136" s="10" t="s">
        <v>157</v>
      </c>
      <c r="J136" s="7" t="s">
        <v>5</v>
      </c>
      <c r="K136" s="7" t="s">
        <v>10</v>
      </c>
      <c r="L136" s="7">
        <v>-4</v>
      </c>
      <c r="M136" s="7" t="s">
        <v>10</v>
      </c>
      <c r="N136" s="7">
        <v>103</v>
      </c>
      <c r="O136" s="7">
        <v>102</v>
      </c>
      <c r="P136" s="2" t="str">
        <f t="shared" si="17"/>
        <v>ATL</v>
      </c>
      <c r="Q136" s="2">
        <f t="shared" si="15"/>
        <v>-5</v>
      </c>
      <c r="R136" s="7">
        <f t="shared" si="16"/>
        <v>0</v>
      </c>
    </row>
    <row r="137" spans="1:18" ht="15" customHeight="1" x14ac:dyDescent="0.25">
      <c r="A137" s="7">
        <v>136</v>
      </c>
      <c r="B137" s="8" t="s">
        <v>151</v>
      </c>
      <c r="C137" s="7">
        <v>2012</v>
      </c>
      <c r="D137" s="7">
        <v>2013</v>
      </c>
      <c r="E137" s="3">
        <v>41329</v>
      </c>
      <c r="F137" s="4">
        <f t="shared" si="12"/>
        <v>2</v>
      </c>
      <c r="G137" s="4">
        <f t="shared" si="13"/>
        <v>24</v>
      </c>
      <c r="H137" s="4">
        <f t="shared" si="14"/>
        <v>2013</v>
      </c>
      <c r="I137" s="10" t="s">
        <v>157</v>
      </c>
      <c r="J137" s="7" t="s">
        <v>114</v>
      </c>
      <c r="K137" s="7" t="s">
        <v>3</v>
      </c>
      <c r="L137" s="7">
        <v>1.5</v>
      </c>
      <c r="M137" s="7" t="s">
        <v>114</v>
      </c>
      <c r="N137" s="7">
        <v>100</v>
      </c>
      <c r="O137" s="7">
        <v>99</v>
      </c>
      <c r="P137" s="2" t="str">
        <f t="shared" si="17"/>
        <v>MIN</v>
      </c>
      <c r="Q137" s="2">
        <f t="shared" si="15"/>
        <v>-0.5</v>
      </c>
      <c r="R137" s="7">
        <f t="shared" si="16"/>
        <v>0</v>
      </c>
    </row>
    <row r="138" spans="1:18" ht="15" customHeight="1" x14ac:dyDescent="0.25">
      <c r="A138" s="7">
        <v>137</v>
      </c>
      <c r="B138" s="8" t="s">
        <v>151</v>
      </c>
      <c r="C138" s="7">
        <v>2012</v>
      </c>
      <c r="D138" s="7">
        <v>2013</v>
      </c>
      <c r="E138" s="3">
        <v>41330</v>
      </c>
      <c r="F138" s="4">
        <f t="shared" si="12"/>
        <v>2</v>
      </c>
      <c r="G138" s="4">
        <f t="shared" si="13"/>
        <v>25</v>
      </c>
      <c r="H138" s="4">
        <f t="shared" si="14"/>
        <v>2013</v>
      </c>
      <c r="I138" s="10" t="s">
        <v>157</v>
      </c>
      <c r="J138" s="7" t="s">
        <v>17</v>
      </c>
      <c r="K138" s="7" t="s">
        <v>137</v>
      </c>
      <c r="L138" s="7">
        <v>-7</v>
      </c>
      <c r="M138" s="7" t="s">
        <v>137</v>
      </c>
      <c r="N138" s="7">
        <v>110</v>
      </c>
      <c r="O138" s="7">
        <v>107</v>
      </c>
      <c r="P138" s="2" t="str">
        <f t="shared" si="17"/>
        <v>BOS</v>
      </c>
      <c r="Q138" s="2">
        <f t="shared" si="15"/>
        <v>-10</v>
      </c>
      <c r="R138" s="7">
        <f t="shared" si="16"/>
        <v>0</v>
      </c>
    </row>
    <row r="139" spans="1:18" ht="15" customHeight="1" x14ac:dyDescent="0.25">
      <c r="A139" s="7">
        <v>138</v>
      </c>
      <c r="B139" s="8" t="s">
        <v>151</v>
      </c>
      <c r="C139" s="7">
        <v>2012</v>
      </c>
      <c r="D139" s="7">
        <v>2013</v>
      </c>
      <c r="E139" s="3">
        <v>41331</v>
      </c>
      <c r="F139" s="4">
        <f t="shared" si="12"/>
        <v>2</v>
      </c>
      <c r="G139" s="4">
        <f t="shared" si="13"/>
        <v>26</v>
      </c>
      <c r="H139" s="4">
        <f t="shared" si="14"/>
        <v>2013</v>
      </c>
      <c r="I139" s="10" t="s">
        <v>157</v>
      </c>
      <c r="J139" s="7" t="s">
        <v>21</v>
      </c>
      <c r="K139" s="7" t="s">
        <v>15</v>
      </c>
      <c r="L139" s="2">
        <v>-15</v>
      </c>
      <c r="M139" s="7" t="s">
        <v>21</v>
      </c>
      <c r="N139" s="2">
        <v>129</v>
      </c>
      <c r="O139" s="2">
        <v>141</v>
      </c>
      <c r="P139" s="2" t="str">
        <f t="shared" si="17"/>
        <v>SAC</v>
      </c>
      <c r="Q139" s="2">
        <f t="shared" si="15"/>
        <v>3</v>
      </c>
      <c r="R139" s="7">
        <f t="shared" si="16"/>
        <v>1</v>
      </c>
    </row>
    <row r="140" spans="1:18" ht="15" customHeight="1" x14ac:dyDescent="0.25">
      <c r="A140" s="7">
        <v>139</v>
      </c>
      <c r="B140" s="8" t="s">
        <v>151</v>
      </c>
      <c r="C140" s="7">
        <v>2012</v>
      </c>
      <c r="D140" s="7">
        <v>2013</v>
      </c>
      <c r="E140" s="3">
        <v>41332</v>
      </c>
      <c r="F140" s="4">
        <f t="shared" si="12"/>
        <v>2</v>
      </c>
      <c r="G140" s="4">
        <f t="shared" si="13"/>
        <v>27</v>
      </c>
      <c r="H140" s="4">
        <f t="shared" si="14"/>
        <v>2013</v>
      </c>
      <c r="I140" s="10" t="s">
        <v>157</v>
      </c>
      <c r="J140" s="7" t="s">
        <v>5</v>
      </c>
      <c r="K140" s="7" t="s">
        <v>137</v>
      </c>
      <c r="L140" s="7">
        <v>-4.5</v>
      </c>
      <c r="M140" s="7" t="s">
        <v>5</v>
      </c>
      <c r="N140" s="7">
        <v>102</v>
      </c>
      <c r="O140" s="7">
        <v>91</v>
      </c>
      <c r="P140" s="2" t="str">
        <f t="shared" si="17"/>
        <v>ATL</v>
      </c>
      <c r="Q140" s="2">
        <f t="shared" si="15"/>
        <v>15.5</v>
      </c>
      <c r="R140" s="7">
        <f t="shared" si="16"/>
        <v>1</v>
      </c>
    </row>
    <row r="141" spans="1:18" ht="15" customHeight="1" x14ac:dyDescent="0.25">
      <c r="A141" s="7">
        <v>140</v>
      </c>
      <c r="B141" s="8" t="s">
        <v>151</v>
      </c>
      <c r="C141" s="7">
        <v>2012</v>
      </c>
      <c r="D141" s="7">
        <v>2013</v>
      </c>
      <c r="E141" s="3">
        <v>41333</v>
      </c>
      <c r="F141" s="4">
        <f t="shared" si="12"/>
        <v>2</v>
      </c>
      <c r="G141" s="4">
        <f t="shared" si="13"/>
        <v>28</v>
      </c>
      <c r="H141" s="4">
        <f t="shared" si="14"/>
        <v>2013</v>
      </c>
      <c r="I141" s="10" t="s">
        <v>157</v>
      </c>
      <c r="J141" s="7" t="s">
        <v>3</v>
      </c>
      <c r="K141" s="7" t="s">
        <v>18</v>
      </c>
      <c r="L141" s="7">
        <v>-10</v>
      </c>
      <c r="M141" s="7" t="s">
        <v>3</v>
      </c>
      <c r="N141" s="7">
        <v>94</v>
      </c>
      <c r="O141" s="7">
        <v>116</v>
      </c>
      <c r="P141" s="2" t="str">
        <f t="shared" si="17"/>
        <v>LAL</v>
      </c>
      <c r="Q141" s="2">
        <f t="shared" si="15"/>
        <v>-12</v>
      </c>
      <c r="R141" s="7">
        <f t="shared" si="16"/>
        <v>0</v>
      </c>
    </row>
    <row r="142" spans="1:18" ht="15" customHeight="1" x14ac:dyDescent="0.25">
      <c r="A142" s="7">
        <v>141</v>
      </c>
      <c r="B142" s="8" t="s">
        <v>151</v>
      </c>
      <c r="C142" s="7">
        <v>2012</v>
      </c>
      <c r="D142" s="7">
        <v>2013</v>
      </c>
      <c r="E142" s="3">
        <v>41334</v>
      </c>
      <c r="F142" s="4">
        <f t="shared" si="12"/>
        <v>3</v>
      </c>
      <c r="G142" s="4">
        <f t="shared" si="13"/>
        <v>1</v>
      </c>
      <c r="H142" s="4">
        <f t="shared" si="14"/>
        <v>2013</v>
      </c>
      <c r="I142" s="10" t="s">
        <v>157</v>
      </c>
      <c r="J142" s="7" t="s">
        <v>16</v>
      </c>
      <c r="K142" s="7" t="s">
        <v>22</v>
      </c>
      <c r="L142" s="7">
        <v>-3.5</v>
      </c>
      <c r="M142" s="7" t="s">
        <v>16</v>
      </c>
      <c r="N142" s="7">
        <v>98</v>
      </c>
      <c r="O142" s="7">
        <v>90</v>
      </c>
      <c r="P142" s="2" t="str">
        <f t="shared" si="17"/>
        <v>DAL</v>
      </c>
      <c r="Q142" s="2">
        <f t="shared" si="15"/>
        <v>11.5</v>
      </c>
      <c r="R142" s="7">
        <f t="shared" si="16"/>
        <v>1</v>
      </c>
    </row>
    <row r="143" spans="1:18" ht="15" customHeight="1" x14ac:dyDescent="0.25">
      <c r="A143" s="7">
        <v>142</v>
      </c>
      <c r="B143" s="8" t="s">
        <v>151</v>
      </c>
      <c r="C143" s="7">
        <v>2012</v>
      </c>
      <c r="D143" s="7">
        <v>2013</v>
      </c>
      <c r="E143" s="3">
        <v>41335</v>
      </c>
      <c r="F143" s="4">
        <f t="shared" si="12"/>
        <v>3</v>
      </c>
      <c r="G143" s="4">
        <f t="shared" si="13"/>
        <v>2</v>
      </c>
      <c r="H143" s="4">
        <f t="shared" si="14"/>
        <v>2013</v>
      </c>
      <c r="I143" s="10" t="s">
        <v>157</v>
      </c>
      <c r="J143" s="7" t="s">
        <v>22</v>
      </c>
      <c r="K143" s="7" t="s">
        <v>0</v>
      </c>
      <c r="L143" s="7">
        <v>-4.5</v>
      </c>
      <c r="M143" s="7" t="s">
        <v>22</v>
      </c>
      <c r="N143" s="7">
        <v>85</v>
      </c>
      <c r="O143" s="7">
        <v>96</v>
      </c>
      <c r="P143" s="2" t="str">
        <f t="shared" si="17"/>
        <v>CHI</v>
      </c>
      <c r="Q143" s="2">
        <f t="shared" si="15"/>
        <v>-6.5</v>
      </c>
      <c r="R143" s="7">
        <f t="shared" si="16"/>
        <v>0</v>
      </c>
    </row>
    <row r="144" spans="1:18" ht="15" customHeight="1" x14ac:dyDescent="0.25">
      <c r="A144" s="7">
        <v>143</v>
      </c>
      <c r="B144" s="8" t="s">
        <v>151</v>
      </c>
      <c r="C144" s="7">
        <v>2012</v>
      </c>
      <c r="D144" s="7">
        <v>2013</v>
      </c>
      <c r="E144" s="3">
        <v>41336</v>
      </c>
      <c r="F144" s="4">
        <f t="shared" si="12"/>
        <v>3</v>
      </c>
      <c r="G144" s="4">
        <f t="shared" si="13"/>
        <v>3</v>
      </c>
      <c r="H144" s="4">
        <f t="shared" si="14"/>
        <v>2013</v>
      </c>
      <c r="I144" s="10" t="s">
        <v>157</v>
      </c>
      <c r="J144" s="7" t="s">
        <v>5</v>
      </c>
      <c r="K144" s="7" t="s">
        <v>18</v>
      </c>
      <c r="L144" s="7">
        <v>-5.5</v>
      </c>
      <c r="M144" s="7" t="s">
        <v>18</v>
      </c>
      <c r="N144" s="7">
        <v>98</v>
      </c>
      <c r="O144" s="7">
        <v>99</v>
      </c>
      <c r="P144" s="2" t="str">
        <f t="shared" si="17"/>
        <v>ATL</v>
      </c>
      <c r="Q144" s="2">
        <f t="shared" si="15"/>
        <v>-4.5</v>
      </c>
      <c r="R144" s="7">
        <f t="shared" si="16"/>
        <v>0</v>
      </c>
    </row>
    <row r="145" spans="1:18" ht="15" customHeight="1" x14ac:dyDescent="0.25">
      <c r="A145" s="7">
        <v>144</v>
      </c>
      <c r="B145" s="8" t="s">
        <v>151</v>
      </c>
      <c r="C145" s="7">
        <v>2012</v>
      </c>
      <c r="D145" s="7">
        <v>2013</v>
      </c>
      <c r="E145" s="3">
        <v>41337</v>
      </c>
      <c r="F145" s="4">
        <f t="shared" si="12"/>
        <v>3</v>
      </c>
      <c r="G145" s="4">
        <f t="shared" si="13"/>
        <v>4</v>
      </c>
      <c r="H145" s="4">
        <f t="shared" si="14"/>
        <v>2013</v>
      </c>
      <c r="I145" s="10" t="s">
        <v>157</v>
      </c>
      <c r="J145" s="7" t="s">
        <v>5</v>
      </c>
      <c r="K145" s="7" t="s">
        <v>23</v>
      </c>
      <c r="L145" s="7">
        <v>-10</v>
      </c>
      <c r="M145" s="7" t="s">
        <v>23</v>
      </c>
      <c r="N145" s="7">
        <v>88</v>
      </c>
      <c r="O145" s="7">
        <v>104</v>
      </c>
      <c r="P145" s="7" t="str">
        <f t="shared" si="17"/>
        <v>DEN</v>
      </c>
      <c r="Q145" s="7">
        <f t="shared" si="15"/>
        <v>6</v>
      </c>
      <c r="R145" s="7">
        <f t="shared" si="16"/>
        <v>1</v>
      </c>
    </row>
    <row r="146" spans="1:18" ht="15" customHeight="1" x14ac:dyDescent="0.25">
      <c r="A146" s="7">
        <v>145</v>
      </c>
      <c r="B146" s="8" t="s">
        <v>151</v>
      </c>
      <c r="C146" s="7">
        <v>2012</v>
      </c>
      <c r="D146" s="7">
        <v>2013</v>
      </c>
      <c r="E146" s="3">
        <v>41338</v>
      </c>
      <c r="F146" s="4">
        <f t="shared" si="12"/>
        <v>3</v>
      </c>
      <c r="G146" s="4">
        <f t="shared" si="13"/>
        <v>5</v>
      </c>
      <c r="H146" s="4">
        <f t="shared" si="14"/>
        <v>2013</v>
      </c>
      <c r="I146" s="10" t="s">
        <v>157</v>
      </c>
      <c r="J146" s="7" t="s">
        <v>17</v>
      </c>
      <c r="K146" s="7" t="s">
        <v>20</v>
      </c>
      <c r="L146" s="7">
        <v>2.5</v>
      </c>
      <c r="M146" s="7" t="s">
        <v>20</v>
      </c>
      <c r="N146" s="7">
        <v>109</v>
      </c>
      <c r="O146" s="7">
        <v>101</v>
      </c>
      <c r="P146" s="7" t="str">
        <f t="shared" si="17"/>
        <v>BOS</v>
      </c>
      <c r="Q146" s="7">
        <f t="shared" si="15"/>
        <v>-5.5</v>
      </c>
      <c r="R146" s="7">
        <f t="shared" si="16"/>
        <v>0</v>
      </c>
    </row>
    <row r="147" spans="1:18" ht="15" customHeight="1" x14ac:dyDescent="0.25">
      <c r="A147" s="7">
        <v>146</v>
      </c>
      <c r="B147" s="8" t="s">
        <v>151</v>
      </c>
      <c r="C147" s="7">
        <v>2012</v>
      </c>
      <c r="D147" s="7">
        <v>2013</v>
      </c>
      <c r="E147" s="3">
        <v>41339</v>
      </c>
      <c r="F147" s="4">
        <f t="shared" si="12"/>
        <v>3</v>
      </c>
      <c r="G147" s="4">
        <f t="shared" si="13"/>
        <v>6</v>
      </c>
      <c r="H147" s="4">
        <f t="shared" si="14"/>
        <v>2013</v>
      </c>
      <c r="I147" s="10" t="s">
        <v>157</v>
      </c>
      <c r="J147" s="7" t="s">
        <v>2</v>
      </c>
      <c r="K147" s="7" t="s">
        <v>19</v>
      </c>
      <c r="L147" s="7">
        <v>1.5</v>
      </c>
      <c r="M147" s="7" t="s">
        <v>2</v>
      </c>
      <c r="N147" s="7">
        <v>98</v>
      </c>
      <c r="O147" s="7">
        <v>71</v>
      </c>
      <c r="P147" s="7" t="str">
        <f t="shared" si="17"/>
        <v>TOR</v>
      </c>
      <c r="Q147" s="7">
        <f t="shared" si="15"/>
        <v>25.5</v>
      </c>
      <c r="R147" s="7">
        <f t="shared" si="16"/>
        <v>1</v>
      </c>
    </row>
    <row r="148" spans="1:18" ht="15" customHeight="1" x14ac:dyDescent="0.25">
      <c r="A148" s="7">
        <v>147</v>
      </c>
      <c r="B148" s="8" t="s">
        <v>151</v>
      </c>
      <c r="C148" s="7">
        <v>2012</v>
      </c>
      <c r="D148" s="7">
        <v>2013</v>
      </c>
      <c r="E148" s="3">
        <v>41340</v>
      </c>
      <c r="F148" s="4">
        <f t="shared" si="12"/>
        <v>3</v>
      </c>
      <c r="G148" s="4">
        <f t="shared" si="13"/>
        <v>7</v>
      </c>
      <c r="H148" s="4">
        <f t="shared" si="14"/>
        <v>2013</v>
      </c>
      <c r="I148" s="10" t="s">
        <v>157</v>
      </c>
      <c r="J148" s="7" t="s">
        <v>12</v>
      </c>
      <c r="K148" s="7" t="s">
        <v>126</v>
      </c>
      <c r="L148" s="2">
        <v>7.5</v>
      </c>
      <c r="M148" s="7" t="s">
        <v>12</v>
      </c>
      <c r="N148" s="2">
        <v>95</v>
      </c>
      <c r="O148" s="2">
        <v>94</v>
      </c>
      <c r="P148" s="7" t="str">
        <f t="shared" si="17"/>
        <v>NY</v>
      </c>
      <c r="Q148" s="7">
        <f t="shared" si="15"/>
        <v>-6.5</v>
      </c>
      <c r="R148" s="7">
        <f t="shared" si="16"/>
        <v>0</v>
      </c>
    </row>
    <row r="149" spans="1:18" ht="15" customHeight="1" x14ac:dyDescent="0.25">
      <c r="A149" s="7">
        <v>148</v>
      </c>
      <c r="B149" s="8" t="s">
        <v>151</v>
      </c>
      <c r="C149" s="7">
        <v>2012</v>
      </c>
      <c r="D149" s="7">
        <v>2013</v>
      </c>
      <c r="E149" s="3">
        <v>41341</v>
      </c>
      <c r="F149" s="4">
        <f t="shared" si="12"/>
        <v>3</v>
      </c>
      <c r="G149" s="4">
        <f t="shared" si="13"/>
        <v>8</v>
      </c>
      <c r="H149" s="4">
        <f t="shared" si="14"/>
        <v>2013</v>
      </c>
      <c r="I149" s="10" t="s">
        <v>157</v>
      </c>
      <c r="J149" s="2" t="s">
        <v>139</v>
      </c>
      <c r="K149" s="2" t="s">
        <v>22</v>
      </c>
      <c r="L149" s="2">
        <v>-6</v>
      </c>
      <c r="M149" s="2" t="s">
        <v>139</v>
      </c>
      <c r="N149" s="2">
        <v>78</v>
      </c>
      <c r="O149" s="2">
        <v>95</v>
      </c>
      <c r="P149" s="2" t="str">
        <f t="shared" si="17"/>
        <v>BKN</v>
      </c>
      <c r="Q149" s="2">
        <f t="shared" si="15"/>
        <v>-11</v>
      </c>
      <c r="R149" s="7">
        <f t="shared" si="16"/>
        <v>0</v>
      </c>
    </row>
    <row r="150" spans="1:18" ht="15" customHeight="1" x14ac:dyDescent="0.25">
      <c r="A150" s="7">
        <v>149</v>
      </c>
      <c r="B150" s="8" t="s">
        <v>151</v>
      </c>
      <c r="C150" s="7">
        <v>2012</v>
      </c>
      <c r="D150" s="7">
        <v>2013</v>
      </c>
      <c r="E150" s="3">
        <v>41342</v>
      </c>
      <c r="F150" s="4">
        <f t="shared" si="12"/>
        <v>3</v>
      </c>
      <c r="G150" s="4">
        <f t="shared" si="13"/>
        <v>9</v>
      </c>
      <c r="H150" s="4">
        <f t="shared" si="14"/>
        <v>2013</v>
      </c>
      <c r="I150" s="10" t="s">
        <v>157</v>
      </c>
      <c r="J150" s="2" t="s">
        <v>124</v>
      </c>
      <c r="K150" s="2" t="s">
        <v>9</v>
      </c>
      <c r="L150" s="2">
        <v>-7.5</v>
      </c>
      <c r="M150" s="2" t="s">
        <v>9</v>
      </c>
      <c r="N150" s="2">
        <v>85</v>
      </c>
      <c r="O150" s="2">
        <v>96</v>
      </c>
      <c r="P150" s="2" t="str">
        <f t="shared" si="17"/>
        <v>MEM</v>
      </c>
      <c r="Q150" s="2">
        <f t="shared" si="15"/>
        <v>3.5</v>
      </c>
      <c r="R150" s="7">
        <f t="shared" si="16"/>
        <v>1</v>
      </c>
    </row>
    <row r="151" spans="1:18" ht="15" customHeight="1" x14ac:dyDescent="0.25">
      <c r="A151" s="7">
        <v>150</v>
      </c>
      <c r="B151" s="8" t="s">
        <v>151</v>
      </c>
      <c r="C151" s="7">
        <v>2012</v>
      </c>
      <c r="D151" s="7">
        <v>2013</v>
      </c>
      <c r="E151" s="3">
        <v>41343</v>
      </c>
      <c r="F151" s="4">
        <f t="shared" si="12"/>
        <v>3</v>
      </c>
      <c r="G151" s="4">
        <f t="shared" si="13"/>
        <v>10</v>
      </c>
      <c r="H151" s="4">
        <f t="shared" si="14"/>
        <v>2013</v>
      </c>
      <c r="I151" s="10" t="s">
        <v>157</v>
      </c>
      <c r="J151" s="2" t="s">
        <v>13</v>
      </c>
      <c r="K151" s="2" t="s">
        <v>15</v>
      </c>
      <c r="L151" s="2">
        <v>-7</v>
      </c>
      <c r="M151" s="2" t="s">
        <v>13</v>
      </c>
      <c r="N151" s="2">
        <v>91</v>
      </c>
      <c r="O151" s="2">
        <v>105</v>
      </c>
      <c r="P151" s="2" t="str">
        <f t="shared" si="17"/>
        <v>MIA</v>
      </c>
      <c r="Q151" s="2">
        <f t="shared" si="15"/>
        <v>-7</v>
      </c>
      <c r="R151" s="7">
        <f t="shared" si="16"/>
        <v>0</v>
      </c>
    </row>
    <row r="152" spans="1:18" ht="15" customHeight="1" x14ac:dyDescent="0.25">
      <c r="A152" s="7">
        <v>151</v>
      </c>
      <c r="B152" s="8" t="s">
        <v>151</v>
      </c>
      <c r="C152" s="7">
        <v>2012</v>
      </c>
      <c r="D152" s="7">
        <v>2013</v>
      </c>
      <c r="E152" s="3">
        <v>41344</v>
      </c>
      <c r="F152" s="4">
        <f t="shared" si="12"/>
        <v>3</v>
      </c>
      <c r="G152" s="4">
        <f t="shared" si="13"/>
        <v>11</v>
      </c>
      <c r="H152" s="4">
        <f t="shared" si="14"/>
        <v>2013</v>
      </c>
      <c r="I152" s="10" t="s">
        <v>157</v>
      </c>
      <c r="J152" s="2" t="s">
        <v>12</v>
      </c>
      <c r="K152" s="2" t="s">
        <v>134</v>
      </c>
      <c r="L152" s="2">
        <v>-2.5</v>
      </c>
      <c r="M152" s="2" t="s">
        <v>134</v>
      </c>
      <c r="N152" s="2">
        <v>93</v>
      </c>
      <c r="O152" s="2">
        <v>105</v>
      </c>
      <c r="P152" s="2" t="str">
        <f t="shared" si="17"/>
        <v>SA</v>
      </c>
      <c r="Q152" s="2">
        <f t="shared" si="15"/>
        <v>9.5</v>
      </c>
      <c r="R152" s="7">
        <f t="shared" si="16"/>
        <v>1</v>
      </c>
    </row>
    <row r="153" spans="1:18" ht="15" customHeight="1" x14ac:dyDescent="0.25">
      <c r="A153" s="7">
        <v>152</v>
      </c>
      <c r="B153" s="8" t="s">
        <v>151</v>
      </c>
      <c r="C153" s="7">
        <v>2012</v>
      </c>
      <c r="D153" s="7">
        <v>2013</v>
      </c>
      <c r="E153" s="3">
        <v>41345</v>
      </c>
      <c r="F153" s="4">
        <f t="shared" si="12"/>
        <v>3</v>
      </c>
      <c r="G153" s="4">
        <f t="shared" si="13"/>
        <v>12</v>
      </c>
      <c r="H153" s="4">
        <f t="shared" si="14"/>
        <v>2013</v>
      </c>
      <c r="I153" s="10" t="s">
        <v>157</v>
      </c>
      <c r="J153" s="2" t="s">
        <v>16</v>
      </c>
      <c r="K153" s="2" t="s">
        <v>10</v>
      </c>
      <c r="L153" s="2">
        <v>-2</v>
      </c>
      <c r="M153" s="2" t="s">
        <v>16</v>
      </c>
      <c r="N153" s="2">
        <v>115</v>
      </c>
      <c r="O153" s="2">
        <v>108</v>
      </c>
      <c r="P153" s="2" t="str">
        <f t="shared" si="17"/>
        <v>DAL</v>
      </c>
      <c r="Q153" s="2">
        <f t="shared" si="15"/>
        <v>9</v>
      </c>
      <c r="R153" s="7">
        <f t="shared" si="16"/>
        <v>1</v>
      </c>
    </row>
    <row r="154" spans="1:18" ht="15" customHeight="1" x14ac:dyDescent="0.25">
      <c r="A154" s="7">
        <v>153</v>
      </c>
      <c r="B154" s="8" t="s">
        <v>151</v>
      </c>
      <c r="C154" s="7">
        <v>2012</v>
      </c>
      <c r="D154" s="7">
        <v>2013</v>
      </c>
      <c r="E154" s="3">
        <v>41346</v>
      </c>
      <c r="F154" s="4">
        <f t="shared" si="12"/>
        <v>3</v>
      </c>
      <c r="G154" s="4">
        <f t="shared" si="13"/>
        <v>13</v>
      </c>
      <c r="H154" s="4">
        <f t="shared" si="14"/>
        <v>2013</v>
      </c>
      <c r="I154" s="10" t="s">
        <v>157</v>
      </c>
      <c r="J154" s="2" t="s">
        <v>18</v>
      </c>
      <c r="K154" s="2" t="s">
        <v>5</v>
      </c>
      <c r="L154" s="2">
        <v>1</v>
      </c>
      <c r="M154" s="2" t="s">
        <v>5</v>
      </c>
      <c r="N154" s="2">
        <v>92</v>
      </c>
      <c r="O154" s="2">
        <v>96</v>
      </c>
      <c r="P154" s="2" t="str">
        <f t="shared" si="17"/>
        <v>ATL</v>
      </c>
      <c r="Q154" s="2">
        <f t="shared" si="15"/>
        <v>5</v>
      </c>
      <c r="R154" s="7">
        <f t="shared" si="16"/>
        <v>1</v>
      </c>
    </row>
    <row r="155" spans="1:18" ht="15" customHeight="1" x14ac:dyDescent="0.25">
      <c r="A155" s="7">
        <v>154</v>
      </c>
      <c r="B155" s="8" t="s">
        <v>151</v>
      </c>
      <c r="C155" s="7">
        <v>2012</v>
      </c>
      <c r="D155" s="7">
        <v>2013</v>
      </c>
      <c r="E155" s="3">
        <v>41347</v>
      </c>
      <c r="F155" s="4">
        <f t="shared" si="12"/>
        <v>3</v>
      </c>
      <c r="G155" s="4">
        <f t="shared" si="13"/>
        <v>14</v>
      </c>
      <c r="H155" s="4">
        <f t="shared" si="14"/>
        <v>2013</v>
      </c>
      <c r="I155" s="10" t="s">
        <v>157</v>
      </c>
      <c r="J155" s="2" t="s">
        <v>126</v>
      </c>
      <c r="K155" s="2" t="s">
        <v>1</v>
      </c>
      <c r="L155" s="2">
        <v>-6.5</v>
      </c>
      <c r="M155" s="2" t="s">
        <v>1</v>
      </c>
      <c r="N155" s="2">
        <v>90</v>
      </c>
      <c r="O155" s="2">
        <v>105</v>
      </c>
      <c r="P155" s="2" t="str">
        <f t="shared" si="17"/>
        <v>POR</v>
      </c>
      <c r="Q155" s="2">
        <f t="shared" si="15"/>
        <v>8.5</v>
      </c>
      <c r="R155" s="7">
        <f t="shared" si="16"/>
        <v>1</v>
      </c>
    </row>
    <row r="156" spans="1:18" ht="15" customHeight="1" x14ac:dyDescent="0.25">
      <c r="A156" s="7">
        <v>155</v>
      </c>
      <c r="B156" s="8" t="s">
        <v>151</v>
      </c>
      <c r="C156" s="7">
        <v>2012</v>
      </c>
      <c r="D156" s="7">
        <v>2013</v>
      </c>
      <c r="E156" s="3">
        <v>41348</v>
      </c>
      <c r="F156" s="4">
        <f t="shared" si="12"/>
        <v>3</v>
      </c>
      <c r="G156" s="4">
        <f t="shared" si="13"/>
        <v>15</v>
      </c>
      <c r="H156" s="4">
        <f t="shared" si="14"/>
        <v>2013</v>
      </c>
      <c r="I156" s="10" t="s">
        <v>157</v>
      </c>
      <c r="J156" s="2" t="s">
        <v>18</v>
      </c>
      <c r="K156" s="2" t="s">
        <v>13</v>
      </c>
      <c r="L156" s="2">
        <v>-9.5</v>
      </c>
      <c r="M156" s="2" t="s">
        <v>18</v>
      </c>
      <c r="N156" s="2">
        <v>99</v>
      </c>
      <c r="O156" s="2">
        <v>93</v>
      </c>
      <c r="P156" s="2" t="str">
        <f t="shared" si="17"/>
        <v>LAL</v>
      </c>
      <c r="Q156" s="2">
        <f t="shared" si="15"/>
        <v>15.5</v>
      </c>
      <c r="R156" s="7">
        <f t="shared" si="16"/>
        <v>1</v>
      </c>
    </row>
    <row r="157" spans="1:18" ht="15" customHeight="1" x14ac:dyDescent="0.25">
      <c r="A157" s="7">
        <v>156</v>
      </c>
      <c r="B157" s="8" t="s">
        <v>151</v>
      </c>
      <c r="C157" s="7">
        <v>2012</v>
      </c>
      <c r="D157" s="7">
        <v>2013</v>
      </c>
      <c r="E157" s="3">
        <v>41349</v>
      </c>
      <c r="F157" s="4">
        <f t="shared" si="12"/>
        <v>3</v>
      </c>
      <c r="G157" s="4">
        <f t="shared" si="13"/>
        <v>16</v>
      </c>
      <c r="H157" s="4">
        <f t="shared" si="14"/>
        <v>2013</v>
      </c>
      <c r="I157" s="10" t="s">
        <v>157</v>
      </c>
      <c r="J157" s="2" t="s">
        <v>8</v>
      </c>
      <c r="K157" s="2" t="s">
        <v>17</v>
      </c>
      <c r="L157" s="2">
        <v>-15.5</v>
      </c>
      <c r="M157" s="2" t="s">
        <v>17</v>
      </c>
      <c r="N157" s="2">
        <v>88</v>
      </c>
      <c r="O157" s="2">
        <v>105</v>
      </c>
      <c r="P157" s="2" t="str">
        <f t="shared" si="17"/>
        <v>BOS</v>
      </c>
      <c r="Q157" s="2">
        <f t="shared" si="15"/>
        <v>1.5</v>
      </c>
      <c r="R157" s="7">
        <f t="shared" si="16"/>
        <v>1</v>
      </c>
    </row>
    <row r="158" spans="1:18" ht="15" customHeight="1" x14ac:dyDescent="0.25">
      <c r="A158" s="7">
        <v>157</v>
      </c>
      <c r="B158" s="8" t="s">
        <v>151</v>
      </c>
      <c r="C158" s="7">
        <v>2012</v>
      </c>
      <c r="D158" s="7">
        <v>2013</v>
      </c>
      <c r="E158" s="3">
        <v>41350</v>
      </c>
      <c r="F158" s="4">
        <f t="shared" si="12"/>
        <v>3</v>
      </c>
      <c r="G158" s="4">
        <f t="shared" si="13"/>
        <v>17</v>
      </c>
      <c r="H158" s="4">
        <f t="shared" si="14"/>
        <v>2013</v>
      </c>
      <c r="I158" s="10" t="s">
        <v>157</v>
      </c>
      <c r="J158" s="2" t="s">
        <v>12</v>
      </c>
      <c r="K158" s="2" t="s">
        <v>16</v>
      </c>
      <c r="L158" s="2">
        <v>4.5</v>
      </c>
      <c r="M158" s="2" t="s">
        <v>12</v>
      </c>
      <c r="N158" s="2">
        <v>107</v>
      </c>
      <c r="O158" s="2">
        <v>101</v>
      </c>
      <c r="P158" s="2" t="str">
        <f t="shared" si="17"/>
        <v>OKC</v>
      </c>
      <c r="Q158" s="2">
        <f t="shared" si="15"/>
        <v>1.5</v>
      </c>
      <c r="R158" s="7">
        <f t="shared" si="16"/>
        <v>1</v>
      </c>
    </row>
    <row r="159" spans="1:18" ht="15" customHeight="1" x14ac:dyDescent="0.25">
      <c r="A159" s="7">
        <v>158</v>
      </c>
      <c r="B159" s="8" t="s">
        <v>151</v>
      </c>
      <c r="C159" s="7">
        <v>2012</v>
      </c>
      <c r="D159" s="7">
        <v>2013</v>
      </c>
      <c r="E159" s="3">
        <v>41351</v>
      </c>
      <c r="F159" s="4">
        <f t="shared" si="12"/>
        <v>3</v>
      </c>
      <c r="G159" s="4">
        <f t="shared" si="13"/>
        <v>18</v>
      </c>
      <c r="H159" s="4">
        <f t="shared" si="14"/>
        <v>2013</v>
      </c>
      <c r="I159" s="10" t="s">
        <v>157</v>
      </c>
      <c r="J159" s="2" t="s">
        <v>114</v>
      </c>
      <c r="K159" s="2" t="s">
        <v>124</v>
      </c>
      <c r="L159" s="2">
        <v>4</v>
      </c>
      <c r="M159" s="2" t="s">
        <v>114</v>
      </c>
      <c r="N159" s="2">
        <v>93</v>
      </c>
      <c r="O159" s="2">
        <v>72</v>
      </c>
      <c r="P159" s="2" t="str">
        <f t="shared" si="17"/>
        <v>GS</v>
      </c>
      <c r="Q159" s="2">
        <f t="shared" si="15"/>
        <v>17</v>
      </c>
      <c r="R159" s="7">
        <f t="shared" si="16"/>
        <v>1</v>
      </c>
    </row>
    <row r="160" spans="1:18" ht="15" customHeight="1" x14ac:dyDescent="0.25">
      <c r="A160" s="7">
        <v>159</v>
      </c>
      <c r="B160" s="8" t="s">
        <v>151</v>
      </c>
      <c r="C160" s="7">
        <v>2012</v>
      </c>
      <c r="D160" s="7">
        <v>2013</v>
      </c>
      <c r="E160" s="3">
        <v>41352</v>
      </c>
      <c r="F160" s="4">
        <f t="shared" si="12"/>
        <v>3</v>
      </c>
      <c r="G160" s="4">
        <f t="shared" si="13"/>
        <v>19</v>
      </c>
      <c r="H160" s="4">
        <f t="shared" si="14"/>
        <v>2013</v>
      </c>
      <c r="I160" s="10" t="s">
        <v>157</v>
      </c>
      <c r="J160" s="2" t="s">
        <v>14</v>
      </c>
      <c r="K160" s="2" t="s">
        <v>21</v>
      </c>
      <c r="L160" s="2">
        <v>9.5</v>
      </c>
      <c r="M160" s="2" t="s">
        <v>21</v>
      </c>
      <c r="N160" s="2">
        <v>101</v>
      </c>
      <c r="O160" s="2">
        <v>116</v>
      </c>
      <c r="P160" s="2" t="str">
        <f t="shared" si="17"/>
        <v>SAC</v>
      </c>
      <c r="Q160" s="2">
        <f t="shared" si="15"/>
        <v>24.5</v>
      </c>
      <c r="R160" s="7">
        <f t="shared" si="16"/>
        <v>1</v>
      </c>
    </row>
    <row r="161" spans="1:18" ht="15" customHeight="1" x14ac:dyDescent="0.25">
      <c r="A161" s="7">
        <v>160</v>
      </c>
      <c r="B161" s="8" t="s">
        <v>151</v>
      </c>
      <c r="C161" s="7">
        <v>2012</v>
      </c>
      <c r="D161" s="7">
        <v>2013</v>
      </c>
      <c r="E161" s="3">
        <v>41353</v>
      </c>
      <c r="F161" s="4">
        <f t="shared" si="12"/>
        <v>3</v>
      </c>
      <c r="G161" s="4">
        <f t="shared" si="13"/>
        <v>20</v>
      </c>
      <c r="H161" s="4">
        <f t="shared" si="14"/>
        <v>2013</v>
      </c>
      <c r="I161" s="10" t="s">
        <v>157</v>
      </c>
      <c r="J161" s="2" t="s">
        <v>11</v>
      </c>
      <c r="K161" s="2" t="s">
        <v>126</v>
      </c>
      <c r="L161" s="2">
        <v>-10.5</v>
      </c>
      <c r="M161" s="2" t="s">
        <v>126</v>
      </c>
      <c r="N161" s="2">
        <v>94</v>
      </c>
      <c r="O161" s="2">
        <v>106</v>
      </c>
      <c r="P161" s="2" t="str">
        <f t="shared" si="17"/>
        <v>NY</v>
      </c>
      <c r="Q161" s="2">
        <f t="shared" si="15"/>
        <v>1.5</v>
      </c>
      <c r="R161" s="7">
        <f t="shared" si="16"/>
        <v>1</v>
      </c>
    </row>
    <row r="162" spans="1:18" ht="15" customHeight="1" x14ac:dyDescent="0.25">
      <c r="A162" s="7">
        <v>161</v>
      </c>
      <c r="B162" s="8" t="s">
        <v>151</v>
      </c>
      <c r="C162" s="7">
        <v>2012</v>
      </c>
      <c r="D162" s="7">
        <v>2013</v>
      </c>
      <c r="E162" s="3">
        <v>41354</v>
      </c>
      <c r="F162" s="4">
        <f t="shared" si="12"/>
        <v>3</v>
      </c>
      <c r="G162" s="4">
        <f t="shared" si="13"/>
        <v>21</v>
      </c>
      <c r="H162" s="4">
        <f t="shared" si="14"/>
        <v>2013</v>
      </c>
      <c r="I162" s="10" t="s">
        <v>157</v>
      </c>
      <c r="J162" s="2" t="s">
        <v>3</v>
      </c>
      <c r="K162" s="2" t="s">
        <v>21</v>
      </c>
      <c r="L162" s="2">
        <v>-6</v>
      </c>
      <c r="M162" s="2" t="s">
        <v>3</v>
      </c>
      <c r="N162" s="2">
        <v>98</v>
      </c>
      <c r="O162" s="2">
        <v>101</v>
      </c>
      <c r="P162" s="2" t="str">
        <f t="shared" si="17"/>
        <v>MIN</v>
      </c>
      <c r="Q162" s="2">
        <f t="shared" si="15"/>
        <v>3</v>
      </c>
      <c r="R162" s="7">
        <f t="shared" si="16"/>
        <v>1</v>
      </c>
    </row>
    <row r="163" spans="1:18" ht="15" customHeight="1" x14ac:dyDescent="0.25">
      <c r="A163" s="7">
        <v>162</v>
      </c>
      <c r="B163" s="8" t="s">
        <v>151</v>
      </c>
      <c r="C163" s="7">
        <v>2012</v>
      </c>
      <c r="D163" s="7">
        <v>2013</v>
      </c>
      <c r="E163" s="3">
        <v>41355</v>
      </c>
      <c r="F163" s="4">
        <f t="shared" si="12"/>
        <v>3</v>
      </c>
      <c r="G163" s="4">
        <f t="shared" si="13"/>
        <v>22</v>
      </c>
      <c r="H163" s="4">
        <f t="shared" si="14"/>
        <v>2013</v>
      </c>
      <c r="I163" s="10" t="s">
        <v>157</v>
      </c>
      <c r="J163" s="7" t="s">
        <v>3</v>
      </c>
      <c r="K163" s="7" t="s">
        <v>19</v>
      </c>
      <c r="L163" s="7">
        <v>-3</v>
      </c>
      <c r="M163" s="7" t="s">
        <v>3</v>
      </c>
      <c r="N163" s="7">
        <v>117</v>
      </c>
      <c r="O163" s="7">
        <v>86</v>
      </c>
      <c r="P163" s="2" t="str">
        <f t="shared" si="17"/>
        <v>MIN</v>
      </c>
      <c r="Q163" s="2">
        <f t="shared" si="15"/>
        <v>34</v>
      </c>
      <c r="R163" s="7">
        <f t="shared" si="16"/>
        <v>1</v>
      </c>
    </row>
    <row r="164" spans="1:18" ht="15" customHeight="1" x14ac:dyDescent="0.25">
      <c r="A164" s="7">
        <v>163</v>
      </c>
      <c r="B164" s="8" t="s">
        <v>151</v>
      </c>
      <c r="C164" s="7">
        <v>2012</v>
      </c>
      <c r="D164" s="7">
        <v>2013</v>
      </c>
      <c r="E164" s="3">
        <v>41356</v>
      </c>
      <c r="F164" s="4">
        <f t="shared" si="12"/>
        <v>3</v>
      </c>
      <c r="G164" s="4">
        <f t="shared" si="13"/>
        <v>23</v>
      </c>
      <c r="H164" s="4">
        <f t="shared" si="14"/>
        <v>2013</v>
      </c>
      <c r="I164" s="10" t="s">
        <v>157</v>
      </c>
      <c r="J164" s="7" t="s">
        <v>139</v>
      </c>
      <c r="K164" s="7" t="s">
        <v>114</v>
      </c>
      <c r="L164" s="7">
        <v>-8.5</v>
      </c>
      <c r="M164" s="7" t="s">
        <v>139</v>
      </c>
      <c r="N164" s="7">
        <v>92</v>
      </c>
      <c r="O164" s="7">
        <v>101</v>
      </c>
      <c r="P164" s="2" t="str">
        <f t="shared" si="17"/>
        <v>GS</v>
      </c>
      <c r="Q164" s="2">
        <f t="shared" si="15"/>
        <v>-0.5</v>
      </c>
      <c r="R164" s="7">
        <f t="shared" si="16"/>
        <v>0</v>
      </c>
    </row>
    <row r="165" spans="1:18" ht="15" customHeight="1" x14ac:dyDescent="0.25">
      <c r="A165" s="7">
        <v>164</v>
      </c>
      <c r="B165" s="8" t="s">
        <v>151</v>
      </c>
      <c r="C165" s="7">
        <v>2012</v>
      </c>
      <c r="D165" s="7">
        <v>2013</v>
      </c>
      <c r="E165" s="3">
        <v>41357</v>
      </c>
      <c r="F165" s="4">
        <f t="shared" si="12"/>
        <v>3</v>
      </c>
      <c r="G165" s="4">
        <f t="shared" si="13"/>
        <v>24</v>
      </c>
      <c r="H165" s="4">
        <f t="shared" si="14"/>
        <v>2013</v>
      </c>
      <c r="I165" s="10" t="s">
        <v>157</v>
      </c>
      <c r="J165" s="7" t="s">
        <v>5</v>
      </c>
      <c r="K165" s="7" t="s">
        <v>10</v>
      </c>
      <c r="L165" s="7">
        <v>-2.5</v>
      </c>
      <c r="M165" s="7" t="s">
        <v>5</v>
      </c>
      <c r="N165" s="7">
        <v>104</v>
      </c>
      <c r="O165" s="7">
        <v>99</v>
      </c>
      <c r="P165" s="2" t="str">
        <f t="shared" si="17"/>
        <v>ATL</v>
      </c>
      <c r="Q165" s="2">
        <f t="shared" si="15"/>
        <v>7.5</v>
      </c>
      <c r="R165" s="7">
        <f t="shared" si="16"/>
        <v>1</v>
      </c>
    </row>
    <row r="166" spans="1:18" ht="15" customHeight="1" x14ac:dyDescent="0.25">
      <c r="A166" s="7">
        <v>165</v>
      </c>
      <c r="B166" s="8" t="s">
        <v>151</v>
      </c>
      <c r="C166" s="7">
        <v>2012</v>
      </c>
      <c r="D166" s="7">
        <v>2013</v>
      </c>
      <c r="E166" s="3">
        <v>41358</v>
      </c>
      <c r="F166" s="4">
        <f t="shared" si="12"/>
        <v>3</v>
      </c>
      <c r="G166" s="4">
        <f t="shared" si="13"/>
        <v>25</v>
      </c>
      <c r="H166" s="4">
        <f t="shared" si="14"/>
        <v>2013</v>
      </c>
      <c r="I166" s="10" t="s">
        <v>157</v>
      </c>
      <c r="J166" s="7" t="s">
        <v>9</v>
      </c>
      <c r="K166" s="7" t="s">
        <v>139</v>
      </c>
      <c r="L166" s="7">
        <v>3</v>
      </c>
      <c r="M166" s="7" t="s">
        <v>9</v>
      </c>
      <c r="N166" s="7">
        <v>94</v>
      </c>
      <c r="O166" s="7">
        <v>107</v>
      </c>
      <c r="P166" s="2" t="str">
        <f t="shared" si="17"/>
        <v>WSH</v>
      </c>
      <c r="Q166" s="2">
        <f t="shared" si="15"/>
        <v>-16</v>
      </c>
      <c r="R166" s="7">
        <f t="shared" si="16"/>
        <v>0</v>
      </c>
    </row>
    <row r="167" spans="1:18" ht="15" customHeight="1" x14ac:dyDescent="0.25">
      <c r="A167" s="7">
        <v>166</v>
      </c>
      <c r="B167" s="8" t="s">
        <v>151</v>
      </c>
      <c r="C167" s="7">
        <v>2012</v>
      </c>
      <c r="D167" s="7">
        <v>2013</v>
      </c>
      <c r="E167" s="3">
        <v>41359</v>
      </c>
      <c r="F167" s="4">
        <f t="shared" si="12"/>
        <v>3</v>
      </c>
      <c r="G167" s="4">
        <f t="shared" si="13"/>
        <v>26</v>
      </c>
      <c r="H167" s="4">
        <f t="shared" si="14"/>
        <v>2013</v>
      </c>
      <c r="I167" s="10" t="s">
        <v>157</v>
      </c>
      <c r="J167" s="7" t="s">
        <v>126</v>
      </c>
      <c r="K167" s="7" t="s">
        <v>17</v>
      </c>
      <c r="L167" s="7">
        <v>-3</v>
      </c>
      <c r="M167" s="7" t="s">
        <v>126</v>
      </c>
      <c r="N167" s="7">
        <v>100</v>
      </c>
      <c r="O167" s="7">
        <v>85</v>
      </c>
      <c r="P167" s="2" t="str">
        <f t="shared" si="17"/>
        <v>NY</v>
      </c>
      <c r="Q167" s="2">
        <f t="shared" si="15"/>
        <v>18</v>
      </c>
      <c r="R167" s="7">
        <f t="shared" si="16"/>
        <v>1</v>
      </c>
    </row>
    <row r="168" spans="1:18" ht="15" customHeight="1" x14ac:dyDescent="0.25">
      <c r="A168" s="7">
        <v>167</v>
      </c>
      <c r="B168" s="8" t="s">
        <v>151</v>
      </c>
      <c r="C168" s="7">
        <v>2012</v>
      </c>
      <c r="D168" s="7">
        <v>2013</v>
      </c>
      <c r="E168" s="3">
        <v>41360</v>
      </c>
      <c r="F168" s="4">
        <f t="shared" si="12"/>
        <v>3</v>
      </c>
      <c r="G168" s="4">
        <f t="shared" si="13"/>
        <v>27</v>
      </c>
      <c r="H168" s="4">
        <f t="shared" si="14"/>
        <v>2013</v>
      </c>
      <c r="I168" s="10" t="s">
        <v>157</v>
      </c>
      <c r="J168" s="7" t="s">
        <v>10</v>
      </c>
      <c r="K168" s="7" t="s">
        <v>20</v>
      </c>
      <c r="L168" s="7">
        <v>1</v>
      </c>
      <c r="M168" s="7" t="s">
        <v>10</v>
      </c>
      <c r="N168" s="7">
        <v>92</v>
      </c>
      <c r="O168" s="7">
        <v>100</v>
      </c>
      <c r="P168" s="2" t="str">
        <f t="shared" si="17"/>
        <v>PHI</v>
      </c>
      <c r="Q168" s="2">
        <f t="shared" si="15"/>
        <v>-9</v>
      </c>
      <c r="R168" s="7">
        <f t="shared" si="16"/>
        <v>0</v>
      </c>
    </row>
    <row r="169" spans="1:18" ht="15" customHeight="1" x14ac:dyDescent="0.25">
      <c r="A169" s="7">
        <v>168</v>
      </c>
      <c r="B169" s="8" t="s">
        <v>151</v>
      </c>
      <c r="C169" s="7">
        <v>2012</v>
      </c>
      <c r="D169" s="7">
        <v>2013</v>
      </c>
      <c r="E169" s="3">
        <v>41361</v>
      </c>
      <c r="F169" s="4">
        <f t="shared" si="12"/>
        <v>3</v>
      </c>
      <c r="G169" s="4">
        <f t="shared" si="13"/>
        <v>28</v>
      </c>
      <c r="H169" s="4">
        <f t="shared" si="14"/>
        <v>2013</v>
      </c>
      <c r="I169" s="10" t="s">
        <v>157</v>
      </c>
      <c r="J169" s="7" t="s">
        <v>21</v>
      </c>
      <c r="K169" s="7" t="s">
        <v>19</v>
      </c>
      <c r="L169" s="7">
        <v>4</v>
      </c>
      <c r="M169" s="7" t="s">
        <v>19</v>
      </c>
      <c r="N169" s="7">
        <v>117</v>
      </c>
      <c r="O169" s="7">
        <v>103</v>
      </c>
      <c r="P169" s="2" t="str">
        <f t="shared" si="17"/>
        <v>SAC</v>
      </c>
      <c r="Q169" s="2">
        <f t="shared" si="15"/>
        <v>-10</v>
      </c>
      <c r="R169" s="7">
        <f t="shared" si="16"/>
        <v>0</v>
      </c>
    </row>
    <row r="170" spans="1:18" ht="15" customHeight="1" x14ac:dyDescent="0.25">
      <c r="A170" s="7">
        <v>169</v>
      </c>
      <c r="B170" s="8" t="s">
        <v>151</v>
      </c>
      <c r="C170" s="7">
        <v>2012</v>
      </c>
      <c r="D170" s="7">
        <v>2013</v>
      </c>
      <c r="E170" s="3">
        <v>41362</v>
      </c>
      <c r="F170" s="4">
        <f t="shared" si="12"/>
        <v>3</v>
      </c>
      <c r="G170" s="4">
        <f t="shared" si="13"/>
        <v>29</v>
      </c>
      <c r="H170" s="4">
        <f t="shared" si="14"/>
        <v>2013</v>
      </c>
      <c r="I170" s="10" t="s">
        <v>157</v>
      </c>
      <c r="J170" s="7" t="s">
        <v>12</v>
      </c>
      <c r="K170" s="7" t="s">
        <v>3</v>
      </c>
      <c r="L170" s="7">
        <v>8</v>
      </c>
      <c r="M170" s="7" t="s">
        <v>12</v>
      </c>
      <c r="N170" s="7">
        <v>93</v>
      </c>
      <c r="O170" s="7">
        <v>101</v>
      </c>
      <c r="P170" s="2" t="str">
        <f t="shared" si="17"/>
        <v>MIN</v>
      </c>
      <c r="Q170" s="2">
        <f t="shared" si="15"/>
        <v>-16</v>
      </c>
      <c r="R170" s="7">
        <f t="shared" si="16"/>
        <v>0</v>
      </c>
    </row>
    <row r="171" spans="1:18" ht="15" customHeight="1" x14ac:dyDescent="0.25">
      <c r="A171" s="7">
        <v>170</v>
      </c>
      <c r="B171" s="8" t="s">
        <v>151</v>
      </c>
      <c r="C171" s="7">
        <v>2012</v>
      </c>
      <c r="D171" s="7">
        <v>2013</v>
      </c>
      <c r="E171" s="3">
        <v>41363</v>
      </c>
      <c r="F171" s="4">
        <f t="shared" si="12"/>
        <v>3</v>
      </c>
      <c r="G171" s="4">
        <f t="shared" si="13"/>
        <v>30</v>
      </c>
      <c r="H171" s="4">
        <f t="shared" si="14"/>
        <v>2013</v>
      </c>
      <c r="I171" s="10" t="s">
        <v>157</v>
      </c>
      <c r="J171" s="7" t="s">
        <v>13</v>
      </c>
      <c r="K171" s="7" t="s">
        <v>19</v>
      </c>
      <c r="L171" s="7">
        <v>10</v>
      </c>
      <c r="M171" s="7" t="s">
        <v>13</v>
      </c>
      <c r="N171" s="7">
        <v>112</v>
      </c>
      <c r="O171" s="7">
        <v>104</v>
      </c>
      <c r="P171" s="7" t="str">
        <f t="shared" si="17"/>
        <v>PHX</v>
      </c>
      <c r="Q171" s="7">
        <f t="shared" si="15"/>
        <v>-2</v>
      </c>
      <c r="R171" s="7">
        <f t="shared" si="16"/>
        <v>0</v>
      </c>
    </row>
    <row r="172" spans="1:18" ht="15" customHeight="1" x14ac:dyDescent="0.25">
      <c r="A172" s="7">
        <v>171</v>
      </c>
      <c r="B172" s="8" t="s">
        <v>151</v>
      </c>
      <c r="C172" s="7">
        <v>2012</v>
      </c>
      <c r="D172" s="7">
        <v>2013</v>
      </c>
      <c r="E172" s="3">
        <v>41364</v>
      </c>
      <c r="F172" s="4">
        <f t="shared" si="12"/>
        <v>3</v>
      </c>
      <c r="G172" s="4">
        <f t="shared" si="13"/>
        <v>31</v>
      </c>
      <c r="H172" s="4">
        <f t="shared" si="14"/>
        <v>2013</v>
      </c>
      <c r="I172" s="10" t="s">
        <v>157</v>
      </c>
      <c r="J172" s="7" t="s">
        <v>6</v>
      </c>
      <c r="K172" s="7" t="s">
        <v>124</v>
      </c>
      <c r="L172" s="7">
        <v>-6.5</v>
      </c>
      <c r="M172" s="7" t="s">
        <v>124</v>
      </c>
      <c r="N172" s="7">
        <v>92</v>
      </c>
      <c r="O172" s="7">
        <v>112</v>
      </c>
      <c r="P172" s="7" t="str">
        <f t="shared" si="17"/>
        <v>NO</v>
      </c>
      <c r="Q172" s="7">
        <f t="shared" si="15"/>
        <v>13.5</v>
      </c>
      <c r="R172" s="7">
        <f t="shared" si="16"/>
        <v>1</v>
      </c>
    </row>
    <row r="173" spans="1:18" ht="15" customHeight="1" x14ac:dyDescent="0.25">
      <c r="A173" s="7">
        <v>172</v>
      </c>
      <c r="B173" s="8" t="s">
        <v>151</v>
      </c>
      <c r="C173" s="7">
        <v>2012</v>
      </c>
      <c r="D173" s="7">
        <v>2013</v>
      </c>
      <c r="E173" s="3">
        <v>41365</v>
      </c>
      <c r="F173" s="4">
        <f t="shared" si="12"/>
        <v>4</v>
      </c>
      <c r="G173" s="4">
        <f t="shared" si="13"/>
        <v>1</v>
      </c>
      <c r="H173" s="4">
        <f t="shared" si="14"/>
        <v>2013</v>
      </c>
      <c r="I173" s="10" t="s">
        <v>157</v>
      </c>
      <c r="J173" s="7" t="s">
        <v>6</v>
      </c>
      <c r="K173" s="7" t="s">
        <v>5</v>
      </c>
      <c r="L173" s="7">
        <v>-10</v>
      </c>
      <c r="M173" s="7" t="s">
        <v>6</v>
      </c>
      <c r="N173" s="7">
        <v>94</v>
      </c>
      <c r="O173" s="7">
        <v>102</v>
      </c>
      <c r="P173" s="7" t="str">
        <f t="shared" si="17"/>
        <v>CLE</v>
      </c>
      <c r="Q173" s="7">
        <f t="shared" si="15"/>
        <v>2</v>
      </c>
      <c r="R173" s="7">
        <f t="shared" si="16"/>
        <v>1</v>
      </c>
    </row>
    <row r="174" spans="1:18" ht="15" customHeight="1" x14ac:dyDescent="0.25">
      <c r="A174" s="7">
        <v>173</v>
      </c>
      <c r="B174" s="8" t="s">
        <v>151</v>
      </c>
      <c r="C174" s="7">
        <v>2012</v>
      </c>
      <c r="D174" s="7">
        <v>2013</v>
      </c>
      <c r="E174" s="3">
        <v>41366</v>
      </c>
      <c r="F174" s="4">
        <f t="shared" si="12"/>
        <v>4</v>
      </c>
      <c r="G174" s="4">
        <f t="shared" si="13"/>
        <v>2</v>
      </c>
      <c r="H174" s="4">
        <f t="shared" si="14"/>
        <v>2013</v>
      </c>
      <c r="I174" s="10" t="s">
        <v>157</v>
      </c>
      <c r="J174" s="7" t="s">
        <v>0</v>
      </c>
      <c r="K174" s="7" t="s">
        <v>139</v>
      </c>
      <c r="L174" s="7">
        <v>-2.5</v>
      </c>
      <c r="M174" s="7" t="s">
        <v>0</v>
      </c>
      <c r="N174" s="7">
        <v>86</v>
      </c>
      <c r="O174" s="7">
        <v>90</v>
      </c>
      <c r="P174" s="7" t="str">
        <f t="shared" si="17"/>
        <v>WSH</v>
      </c>
      <c r="Q174" s="7">
        <f t="shared" si="15"/>
        <v>-1.5</v>
      </c>
      <c r="R174" s="7">
        <f t="shared" si="16"/>
        <v>0</v>
      </c>
    </row>
    <row r="175" spans="1:18" ht="15" customHeight="1" x14ac:dyDescent="0.25">
      <c r="A175" s="7">
        <v>174</v>
      </c>
      <c r="B175" s="8" t="s">
        <v>151</v>
      </c>
      <c r="C175" s="7">
        <v>2012</v>
      </c>
      <c r="D175" s="7">
        <v>2013</v>
      </c>
      <c r="E175" s="3">
        <v>41367</v>
      </c>
      <c r="F175" s="4">
        <f t="shared" si="12"/>
        <v>4</v>
      </c>
      <c r="G175" s="4">
        <f t="shared" si="13"/>
        <v>3</v>
      </c>
      <c r="H175" s="4">
        <f t="shared" si="14"/>
        <v>2013</v>
      </c>
      <c r="I175" s="10" t="s">
        <v>157</v>
      </c>
      <c r="J175" s="7" t="s">
        <v>139</v>
      </c>
      <c r="K175" s="7" t="s">
        <v>2</v>
      </c>
      <c r="L175" s="7">
        <v>-4.5</v>
      </c>
      <c r="M175" s="7" t="s">
        <v>139</v>
      </c>
      <c r="N175" s="7">
        <v>78</v>
      </c>
      <c r="O175" s="7">
        <v>88</v>
      </c>
      <c r="P175" s="7" t="str">
        <f t="shared" si="17"/>
        <v>TOR</v>
      </c>
      <c r="Q175" s="7">
        <f t="shared" si="15"/>
        <v>-5.5</v>
      </c>
      <c r="R175" s="7">
        <f t="shared" si="16"/>
        <v>0</v>
      </c>
    </row>
    <row r="176" spans="1:18" ht="15" customHeight="1" x14ac:dyDescent="0.25">
      <c r="A176" s="7">
        <v>175</v>
      </c>
      <c r="B176" s="8" t="s">
        <v>151</v>
      </c>
      <c r="C176" s="7">
        <v>2012</v>
      </c>
      <c r="D176" s="7">
        <v>2013</v>
      </c>
      <c r="E176" s="3">
        <v>41368</v>
      </c>
      <c r="F176" s="4">
        <f t="shared" si="12"/>
        <v>4</v>
      </c>
      <c r="G176" s="4">
        <f t="shared" si="13"/>
        <v>4</v>
      </c>
      <c r="H176" s="4">
        <f t="shared" si="14"/>
        <v>2013</v>
      </c>
      <c r="I176" s="10" t="s">
        <v>157</v>
      </c>
      <c r="J176" s="7" t="s">
        <v>16</v>
      </c>
      <c r="K176" s="7" t="s">
        <v>23</v>
      </c>
      <c r="L176" s="7">
        <v>-6.5</v>
      </c>
      <c r="M176" s="7" t="s">
        <v>23</v>
      </c>
      <c r="N176" s="7">
        <v>94</v>
      </c>
      <c r="O176" s="7">
        <v>95</v>
      </c>
      <c r="P176" s="7" t="str">
        <f t="shared" si="17"/>
        <v>DAL</v>
      </c>
      <c r="Q176" s="7">
        <f t="shared" si="15"/>
        <v>-5.5</v>
      </c>
      <c r="R176" s="7">
        <f t="shared" si="16"/>
        <v>0</v>
      </c>
    </row>
    <row r="177" spans="1:18" ht="15" customHeight="1" x14ac:dyDescent="0.25">
      <c r="A177" s="7">
        <v>176</v>
      </c>
      <c r="B177" s="8" t="s">
        <v>151</v>
      </c>
      <c r="C177" s="7">
        <v>2012</v>
      </c>
      <c r="D177" s="7">
        <v>2013</v>
      </c>
      <c r="E177" s="3">
        <v>41369</v>
      </c>
      <c r="F177" s="4">
        <f t="shared" si="12"/>
        <v>4</v>
      </c>
      <c r="G177" s="4">
        <f t="shared" si="13"/>
        <v>5</v>
      </c>
      <c r="H177" s="4">
        <f t="shared" si="14"/>
        <v>2013</v>
      </c>
      <c r="I177" s="10" t="s">
        <v>157</v>
      </c>
      <c r="J177" s="7" t="s">
        <v>124</v>
      </c>
      <c r="K177" s="7" t="s">
        <v>137</v>
      </c>
      <c r="L177" s="7">
        <v>-8</v>
      </c>
      <c r="M177" s="7" t="s">
        <v>124</v>
      </c>
      <c r="N177" s="7">
        <v>83</v>
      </c>
      <c r="O177" s="7">
        <v>95</v>
      </c>
      <c r="P177" s="7" t="str">
        <f t="shared" si="17"/>
        <v>UTAH</v>
      </c>
      <c r="Q177" s="7">
        <f t="shared" si="15"/>
        <v>-4</v>
      </c>
      <c r="R177" s="7">
        <f t="shared" si="16"/>
        <v>0</v>
      </c>
    </row>
    <row r="178" spans="1:18" ht="15" customHeight="1" x14ac:dyDescent="0.25">
      <c r="A178" s="7">
        <v>177</v>
      </c>
      <c r="B178" s="8" t="s">
        <v>151</v>
      </c>
      <c r="C178" s="7">
        <v>2012</v>
      </c>
      <c r="D178" s="7">
        <v>2013</v>
      </c>
      <c r="E178" s="3">
        <v>41370</v>
      </c>
      <c r="F178" s="4">
        <f t="shared" si="12"/>
        <v>4</v>
      </c>
      <c r="G178" s="4">
        <f t="shared" si="13"/>
        <v>6</v>
      </c>
      <c r="H178" s="4">
        <f t="shared" si="14"/>
        <v>2013</v>
      </c>
      <c r="I178" s="10" t="s">
        <v>157</v>
      </c>
      <c r="J178" s="2" t="s">
        <v>7</v>
      </c>
      <c r="K178" s="2" t="s">
        <v>3</v>
      </c>
      <c r="L178" s="2">
        <v>-6</v>
      </c>
      <c r="M178" s="2" t="s">
        <v>7</v>
      </c>
      <c r="N178" s="2">
        <v>101</v>
      </c>
      <c r="O178" s="2">
        <v>107</v>
      </c>
      <c r="P178" s="2" t="str">
        <f t="shared" si="17"/>
        <v>N/A</v>
      </c>
      <c r="Q178" s="2">
        <f t="shared" si="15"/>
        <v>0</v>
      </c>
      <c r="R178" s="7" t="str">
        <f t="shared" si="16"/>
        <v>na</v>
      </c>
    </row>
    <row r="179" spans="1:18" ht="15" customHeight="1" x14ac:dyDescent="0.25">
      <c r="A179" s="7">
        <v>178</v>
      </c>
      <c r="B179" s="8" t="s">
        <v>151</v>
      </c>
      <c r="C179" s="7">
        <v>2012</v>
      </c>
      <c r="D179" s="7">
        <v>2013</v>
      </c>
      <c r="E179" s="3">
        <v>41371</v>
      </c>
      <c r="F179" s="4">
        <f t="shared" si="12"/>
        <v>4</v>
      </c>
      <c r="G179" s="4">
        <f t="shared" si="13"/>
        <v>7</v>
      </c>
      <c r="H179" s="4">
        <f t="shared" si="14"/>
        <v>2013</v>
      </c>
      <c r="I179" s="10" t="s">
        <v>157</v>
      </c>
      <c r="J179" s="2" t="s">
        <v>9</v>
      </c>
      <c r="K179" s="2" t="s">
        <v>21</v>
      </c>
      <c r="L179" s="2">
        <v>5.5</v>
      </c>
      <c r="M179" s="2" t="s">
        <v>9</v>
      </c>
      <c r="N179" s="2">
        <v>89</v>
      </c>
      <c r="O179" s="2">
        <v>87</v>
      </c>
      <c r="P179" s="2" t="str">
        <f t="shared" si="17"/>
        <v>SAC</v>
      </c>
      <c r="Q179" s="2">
        <f t="shared" si="15"/>
        <v>-3.5</v>
      </c>
      <c r="R179" s="7">
        <f t="shared" si="16"/>
        <v>0</v>
      </c>
    </row>
    <row r="180" spans="1:18" ht="15" customHeight="1" x14ac:dyDescent="0.25">
      <c r="A180" s="7">
        <v>179</v>
      </c>
      <c r="B180" s="8" t="s">
        <v>151</v>
      </c>
      <c r="C180" s="7">
        <v>2012</v>
      </c>
      <c r="D180" s="7">
        <v>2013</v>
      </c>
      <c r="E180" s="3">
        <v>41372</v>
      </c>
      <c r="F180" s="4">
        <f t="shared" si="12"/>
        <v>4</v>
      </c>
      <c r="G180" s="4">
        <f t="shared" si="13"/>
        <v>8</v>
      </c>
      <c r="H180" s="4">
        <f t="shared" si="14"/>
        <v>2013</v>
      </c>
      <c r="I180" s="10" t="s">
        <v>157</v>
      </c>
      <c r="J180" s="2" t="s">
        <v>12</v>
      </c>
      <c r="K180" s="2" t="s">
        <v>137</v>
      </c>
      <c r="L180" s="2">
        <v>3</v>
      </c>
      <c r="M180" s="2" t="s">
        <v>12</v>
      </c>
      <c r="N180" s="2">
        <v>90</v>
      </c>
      <c r="O180" s="2">
        <v>80</v>
      </c>
      <c r="P180" s="2" t="str">
        <f t="shared" si="17"/>
        <v>OKC</v>
      </c>
      <c r="Q180" s="2">
        <f t="shared" si="15"/>
        <v>7</v>
      </c>
      <c r="R180" s="7">
        <f t="shared" si="16"/>
        <v>1</v>
      </c>
    </row>
    <row r="181" spans="1:18" ht="15" customHeight="1" x14ac:dyDescent="0.25">
      <c r="A181" s="7">
        <v>180</v>
      </c>
      <c r="B181" s="8" t="s">
        <v>151</v>
      </c>
      <c r="C181" s="7">
        <v>2012</v>
      </c>
      <c r="D181" s="7">
        <v>2013</v>
      </c>
      <c r="E181" s="3">
        <v>41373</v>
      </c>
      <c r="F181" s="4">
        <f t="shared" si="12"/>
        <v>4</v>
      </c>
      <c r="G181" s="4">
        <f t="shared" si="13"/>
        <v>9</v>
      </c>
      <c r="H181" s="4">
        <f t="shared" si="14"/>
        <v>2013</v>
      </c>
      <c r="I181" s="10" t="s">
        <v>157</v>
      </c>
      <c r="J181" s="2" t="s">
        <v>22</v>
      </c>
      <c r="K181" s="2" t="s">
        <v>17</v>
      </c>
      <c r="L181" s="2">
        <v>-3.5</v>
      </c>
      <c r="M181" s="2" t="s">
        <v>22</v>
      </c>
      <c r="N181" s="2">
        <v>101</v>
      </c>
      <c r="O181" s="2">
        <v>93</v>
      </c>
      <c r="P181" s="2" t="str">
        <f t="shared" si="17"/>
        <v>BKN</v>
      </c>
      <c r="Q181" s="2">
        <f t="shared" si="15"/>
        <v>11.5</v>
      </c>
      <c r="R181" s="7">
        <f t="shared" si="16"/>
        <v>1</v>
      </c>
    </row>
    <row r="182" spans="1:18" ht="15" customHeight="1" x14ac:dyDescent="0.25">
      <c r="A182" s="7">
        <v>181</v>
      </c>
      <c r="B182" s="8" t="s">
        <v>151</v>
      </c>
      <c r="C182" s="7">
        <v>2012</v>
      </c>
      <c r="D182" s="7">
        <v>2013</v>
      </c>
      <c r="E182" s="3">
        <v>41374</v>
      </c>
      <c r="F182" s="4">
        <f t="shared" si="12"/>
        <v>4</v>
      </c>
      <c r="G182" s="4">
        <f t="shared" si="13"/>
        <v>10</v>
      </c>
      <c r="H182" s="4">
        <f t="shared" si="14"/>
        <v>2013</v>
      </c>
      <c r="I182" s="10" t="s">
        <v>157</v>
      </c>
      <c r="J182" s="7" t="s">
        <v>12</v>
      </c>
      <c r="K182" s="7" t="s">
        <v>114</v>
      </c>
      <c r="L182" s="7">
        <v>4</v>
      </c>
      <c r="M182" s="7" t="s">
        <v>12</v>
      </c>
      <c r="N182" s="7">
        <v>116</v>
      </c>
      <c r="O182" s="7">
        <v>97</v>
      </c>
      <c r="P182" s="2" t="str">
        <f t="shared" si="17"/>
        <v>OKC</v>
      </c>
      <c r="Q182" s="2">
        <f t="shared" si="15"/>
        <v>15</v>
      </c>
      <c r="R182" s="7">
        <f t="shared" si="16"/>
        <v>1</v>
      </c>
    </row>
    <row r="183" spans="1:18" ht="15" customHeight="1" x14ac:dyDescent="0.25">
      <c r="A183" s="7">
        <v>182</v>
      </c>
      <c r="B183" s="8" t="s">
        <v>151</v>
      </c>
      <c r="C183" s="7">
        <v>2012</v>
      </c>
      <c r="D183" s="7">
        <v>2013</v>
      </c>
      <c r="E183" s="3">
        <v>41375</v>
      </c>
      <c r="F183" s="4">
        <f t="shared" si="12"/>
        <v>4</v>
      </c>
      <c r="G183" s="4">
        <f t="shared" si="13"/>
        <v>11</v>
      </c>
      <c r="H183" s="4">
        <f t="shared" si="14"/>
        <v>2013</v>
      </c>
      <c r="I183" s="10" t="s">
        <v>157</v>
      </c>
      <c r="J183" s="7" t="s">
        <v>17</v>
      </c>
      <c r="K183" s="7" t="s">
        <v>15</v>
      </c>
      <c r="L183" s="7">
        <v>-12</v>
      </c>
      <c r="M183" s="7" t="s">
        <v>15</v>
      </c>
      <c r="N183" s="7">
        <v>101</v>
      </c>
      <c r="O183" s="7">
        <v>109</v>
      </c>
      <c r="P183" s="2" t="str">
        <f t="shared" si="17"/>
        <v>BOS</v>
      </c>
      <c r="Q183" s="2">
        <f t="shared" si="15"/>
        <v>-4</v>
      </c>
      <c r="R183" s="7">
        <f t="shared" si="16"/>
        <v>0</v>
      </c>
    </row>
    <row r="184" spans="1:18" ht="15" customHeight="1" x14ac:dyDescent="0.25">
      <c r="A184" s="7">
        <v>183</v>
      </c>
      <c r="B184" s="8" t="s">
        <v>151</v>
      </c>
      <c r="C184" s="7">
        <v>2012</v>
      </c>
      <c r="D184" s="7">
        <v>2013</v>
      </c>
      <c r="E184" s="3">
        <v>41376</v>
      </c>
      <c r="F184" s="4">
        <f t="shared" si="12"/>
        <v>4</v>
      </c>
      <c r="G184" s="4">
        <f t="shared" si="13"/>
        <v>12</v>
      </c>
      <c r="H184" s="4">
        <f t="shared" si="14"/>
        <v>2013</v>
      </c>
      <c r="I184" s="10" t="s">
        <v>157</v>
      </c>
      <c r="J184" s="7" t="s">
        <v>17</v>
      </c>
      <c r="K184" s="7" t="s">
        <v>11</v>
      </c>
      <c r="L184" s="7">
        <v>3.5</v>
      </c>
      <c r="M184" s="7" t="s">
        <v>11</v>
      </c>
      <c r="N184" s="7">
        <v>120</v>
      </c>
      <c r="O184" s="7">
        <v>88</v>
      </c>
      <c r="P184" s="2" t="str">
        <f t="shared" si="17"/>
        <v>BOS</v>
      </c>
      <c r="Q184" s="2">
        <f t="shared" si="15"/>
        <v>-28.5</v>
      </c>
      <c r="R184" s="7">
        <f t="shared" si="16"/>
        <v>0</v>
      </c>
    </row>
    <row r="185" spans="1:18" ht="15" customHeight="1" x14ac:dyDescent="0.25">
      <c r="A185" s="7">
        <v>184</v>
      </c>
      <c r="B185" s="8" t="s">
        <v>151</v>
      </c>
      <c r="C185" s="7">
        <v>2012</v>
      </c>
      <c r="D185" s="7">
        <v>2013</v>
      </c>
      <c r="E185" s="3">
        <v>41377</v>
      </c>
      <c r="F185" s="4">
        <f t="shared" si="12"/>
        <v>4</v>
      </c>
      <c r="G185" s="4">
        <f t="shared" si="13"/>
        <v>13</v>
      </c>
      <c r="H185" s="4">
        <f t="shared" si="14"/>
        <v>2013</v>
      </c>
      <c r="I185" s="10" t="s">
        <v>157</v>
      </c>
      <c r="J185" s="7" t="s">
        <v>16</v>
      </c>
      <c r="K185" s="7" t="s">
        <v>124</v>
      </c>
      <c r="L185" s="7">
        <v>3.5</v>
      </c>
      <c r="M185" s="7" t="s">
        <v>124</v>
      </c>
      <c r="N185" s="7">
        <v>107</v>
      </c>
      <c r="O185" s="7">
        <v>89</v>
      </c>
      <c r="P185" s="2" t="str">
        <f t="shared" si="17"/>
        <v>DAL</v>
      </c>
      <c r="Q185" s="2">
        <f t="shared" si="15"/>
        <v>-14.5</v>
      </c>
      <c r="R185" s="7">
        <f t="shared" si="16"/>
        <v>0</v>
      </c>
    </row>
    <row r="186" spans="1:18" ht="15" customHeight="1" x14ac:dyDescent="0.25">
      <c r="A186" s="7">
        <v>185</v>
      </c>
      <c r="B186" s="8" t="s">
        <v>151</v>
      </c>
      <c r="C186" s="7">
        <v>2012</v>
      </c>
      <c r="D186" s="7">
        <v>2013</v>
      </c>
      <c r="E186" s="3">
        <v>41378</v>
      </c>
      <c r="F186" s="4">
        <f t="shared" si="12"/>
        <v>4</v>
      </c>
      <c r="G186" s="4">
        <f t="shared" si="13"/>
        <v>14</v>
      </c>
      <c r="H186" s="4">
        <f t="shared" si="14"/>
        <v>2013</v>
      </c>
      <c r="I186" s="10" t="s">
        <v>157</v>
      </c>
      <c r="J186" s="7" t="s">
        <v>4</v>
      </c>
      <c r="K186" s="7" t="s">
        <v>19</v>
      </c>
      <c r="L186" s="7">
        <v>7</v>
      </c>
      <c r="M186" s="7" t="s">
        <v>4</v>
      </c>
      <c r="N186" s="7">
        <v>112</v>
      </c>
      <c r="O186" s="7">
        <v>119</v>
      </c>
      <c r="P186" s="2" t="str">
        <f t="shared" si="17"/>
        <v>PHX</v>
      </c>
      <c r="Q186" s="2">
        <f t="shared" si="15"/>
        <v>-14</v>
      </c>
      <c r="R186" s="7">
        <f t="shared" si="16"/>
        <v>0</v>
      </c>
    </row>
    <row r="187" spans="1:18" ht="15" customHeight="1" x14ac:dyDescent="0.25">
      <c r="A187" s="7">
        <v>186</v>
      </c>
      <c r="B187" s="8" t="s">
        <v>151</v>
      </c>
      <c r="C187" s="7">
        <v>2012</v>
      </c>
      <c r="D187" s="7">
        <v>2013</v>
      </c>
      <c r="E187" s="3">
        <v>41379</v>
      </c>
      <c r="F187" s="4">
        <f t="shared" si="12"/>
        <v>4</v>
      </c>
      <c r="G187" s="4">
        <f t="shared" si="13"/>
        <v>15</v>
      </c>
      <c r="H187" s="4">
        <f t="shared" si="14"/>
        <v>2013</v>
      </c>
      <c r="I187" s="10" t="s">
        <v>157</v>
      </c>
      <c r="J187" s="7" t="s">
        <v>2</v>
      </c>
      <c r="K187" s="7" t="s">
        <v>5</v>
      </c>
      <c r="L187" s="7">
        <v>-6</v>
      </c>
      <c r="M187" s="7" t="s">
        <v>5</v>
      </c>
      <c r="N187" s="7">
        <v>113</v>
      </c>
      <c r="O187" s="7">
        <v>96</v>
      </c>
      <c r="P187" s="7" t="str">
        <f t="shared" si="17"/>
        <v>TOR</v>
      </c>
      <c r="Q187" s="7">
        <f t="shared" si="15"/>
        <v>-23</v>
      </c>
      <c r="R187" s="7">
        <f t="shared" si="16"/>
        <v>0</v>
      </c>
    </row>
    <row r="188" spans="1:18" ht="15" customHeight="1" x14ac:dyDescent="0.25">
      <c r="A188" s="7">
        <v>187</v>
      </c>
      <c r="B188" s="8" t="s">
        <v>151</v>
      </c>
      <c r="C188" s="7">
        <v>2012</v>
      </c>
      <c r="D188" s="7">
        <v>2013</v>
      </c>
      <c r="E188" s="3">
        <v>41380</v>
      </c>
      <c r="F188" s="4">
        <f t="shared" si="12"/>
        <v>4</v>
      </c>
      <c r="G188" s="4">
        <f t="shared" si="13"/>
        <v>16</v>
      </c>
      <c r="H188" s="4">
        <f t="shared" si="14"/>
        <v>2013</v>
      </c>
      <c r="I188" s="10" t="s">
        <v>157</v>
      </c>
      <c r="J188" s="7" t="s">
        <v>114</v>
      </c>
      <c r="K188" s="7" t="s">
        <v>1</v>
      </c>
      <c r="L188" s="7">
        <v>9</v>
      </c>
      <c r="M188" s="7" t="s">
        <v>114</v>
      </c>
      <c r="N188" s="7">
        <v>99</v>
      </c>
      <c r="O188" s="7">
        <v>88</v>
      </c>
      <c r="P188" s="7" t="str">
        <f t="shared" si="17"/>
        <v>GS</v>
      </c>
      <c r="Q188" s="7">
        <f t="shared" si="15"/>
        <v>2</v>
      </c>
      <c r="R188" s="7">
        <f t="shared" si="16"/>
        <v>1</v>
      </c>
    </row>
    <row r="189" spans="1:18" ht="15" customHeight="1" x14ac:dyDescent="0.25">
      <c r="A189" s="7">
        <v>188</v>
      </c>
      <c r="B189" s="8" t="s">
        <v>185</v>
      </c>
      <c r="C189" s="7">
        <v>2012</v>
      </c>
      <c r="D189" s="7">
        <v>2013</v>
      </c>
      <c r="E189" s="3">
        <v>41384</v>
      </c>
      <c r="F189" s="4">
        <f t="shared" si="12"/>
        <v>4</v>
      </c>
      <c r="G189" s="4">
        <f t="shared" si="13"/>
        <v>20</v>
      </c>
      <c r="H189" s="4">
        <f t="shared" si="14"/>
        <v>2013</v>
      </c>
      <c r="I189" s="10" t="s">
        <v>157</v>
      </c>
      <c r="J189" s="7" t="s">
        <v>17</v>
      </c>
      <c r="K189" s="7" t="s">
        <v>126</v>
      </c>
      <c r="L189" s="7">
        <v>-7</v>
      </c>
      <c r="M189" s="7" t="s">
        <v>17</v>
      </c>
      <c r="N189" s="7">
        <v>78</v>
      </c>
      <c r="O189" s="7">
        <v>85</v>
      </c>
      <c r="P189" s="7" t="str">
        <f t="shared" si="17"/>
        <v>N/A</v>
      </c>
      <c r="Q189" s="7">
        <f t="shared" si="15"/>
        <v>0</v>
      </c>
      <c r="R189" s="7" t="str">
        <f t="shared" si="16"/>
        <v>na</v>
      </c>
    </row>
    <row r="190" spans="1:18" ht="15" customHeight="1" x14ac:dyDescent="0.25">
      <c r="A190" s="7">
        <v>189</v>
      </c>
      <c r="B190" s="8" t="s">
        <v>185</v>
      </c>
      <c r="C190" s="7">
        <v>2012</v>
      </c>
      <c r="D190" s="7">
        <v>2013</v>
      </c>
      <c r="E190" s="3">
        <v>41385</v>
      </c>
      <c r="F190" s="4">
        <f t="shared" si="12"/>
        <v>4</v>
      </c>
      <c r="G190" s="4">
        <f t="shared" si="13"/>
        <v>21</v>
      </c>
      <c r="H190" s="4">
        <f t="shared" si="14"/>
        <v>2013</v>
      </c>
      <c r="I190" s="10" t="s">
        <v>157</v>
      </c>
      <c r="J190" s="7" t="s">
        <v>18</v>
      </c>
      <c r="K190" s="7" t="s">
        <v>134</v>
      </c>
      <c r="L190" s="7">
        <v>-8.5</v>
      </c>
      <c r="M190" s="7" t="s">
        <v>134</v>
      </c>
      <c r="N190" s="7">
        <v>79</v>
      </c>
      <c r="O190" s="7">
        <v>91</v>
      </c>
      <c r="P190" s="7" t="str">
        <f t="shared" si="17"/>
        <v>SA</v>
      </c>
      <c r="Q190" s="7">
        <f t="shared" si="15"/>
        <v>3.5</v>
      </c>
      <c r="R190" s="7">
        <f t="shared" si="16"/>
        <v>1</v>
      </c>
    </row>
    <row r="191" spans="1:18" ht="15" customHeight="1" x14ac:dyDescent="0.25">
      <c r="A191" s="7">
        <v>190</v>
      </c>
      <c r="B191" s="8" t="s">
        <v>185</v>
      </c>
      <c r="C191" s="7">
        <v>2012</v>
      </c>
      <c r="D191" s="7">
        <v>2013</v>
      </c>
      <c r="E191" s="3">
        <v>41386</v>
      </c>
      <c r="F191" s="4">
        <f t="shared" si="12"/>
        <v>4</v>
      </c>
      <c r="G191" s="4">
        <f t="shared" si="13"/>
        <v>22</v>
      </c>
      <c r="H191" s="4">
        <f t="shared" si="14"/>
        <v>2013</v>
      </c>
      <c r="I191" s="10" t="s">
        <v>157</v>
      </c>
      <c r="J191" s="7" t="s">
        <v>9</v>
      </c>
      <c r="K191" s="7" t="s">
        <v>14</v>
      </c>
      <c r="L191" s="7">
        <v>-6</v>
      </c>
      <c r="M191" s="7" t="s">
        <v>9</v>
      </c>
      <c r="N191" s="7">
        <v>91</v>
      </c>
      <c r="O191" s="7">
        <v>93</v>
      </c>
      <c r="P191" s="7" t="str">
        <f t="shared" si="17"/>
        <v>MEM</v>
      </c>
      <c r="Q191" s="7">
        <f t="shared" si="15"/>
        <v>4</v>
      </c>
      <c r="R191" s="7">
        <f t="shared" si="16"/>
        <v>1</v>
      </c>
    </row>
    <row r="192" spans="1:18" ht="15" customHeight="1" x14ac:dyDescent="0.25">
      <c r="A192" s="7">
        <v>191</v>
      </c>
      <c r="B192" s="8" t="s">
        <v>185</v>
      </c>
      <c r="C192" s="7">
        <v>2012</v>
      </c>
      <c r="D192" s="7">
        <v>2013</v>
      </c>
      <c r="E192" s="3">
        <v>41387</v>
      </c>
      <c r="F192" s="4">
        <f t="shared" si="12"/>
        <v>4</v>
      </c>
      <c r="G192" s="4">
        <f t="shared" si="13"/>
        <v>23</v>
      </c>
      <c r="H192" s="4">
        <f t="shared" si="14"/>
        <v>2013</v>
      </c>
      <c r="I192" s="10" t="s">
        <v>157</v>
      </c>
      <c r="J192" s="7" t="s">
        <v>114</v>
      </c>
      <c r="K192" s="7" t="s">
        <v>23</v>
      </c>
      <c r="L192" s="7">
        <v>-8.5</v>
      </c>
      <c r="M192" s="7" t="s">
        <v>114</v>
      </c>
      <c r="N192" s="7">
        <v>131</v>
      </c>
      <c r="O192" s="7">
        <v>117</v>
      </c>
      <c r="P192" s="7" t="str">
        <f t="shared" si="17"/>
        <v>GS</v>
      </c>
      <c r="Q192" s="7">
        <f t="shared" si="15"/>
        <v>22.5</v>
      </c>
      <c r="R192" s="7">
        <f t="shared" si="16"/>
        <v>1</v>
      </c>
    </row>
    <row r="193" spans="1:18" ht="15" customHeight="1" x14ac:dyDescent="0.25">
      <c r="A193" s="7">
        <v>192</v>
      </c>
      <c r="B193" s="8" t="s">
        <v>185</v>
      </c>
      <c r="C193" s="7">
        <v>2012</v>
      </c>
      <c r="D193" s="7">
        <v>2013</v>
      </c>
      <c r="E193" s="3">
        <v>41388</v>
      </c>
      <c r="F193" s="4">
        <f t="shared" si="12"/>
        <v>4</v>
      </c>
      <c r="G193" s="4">
        <f t="shared" si="13"/>
        <v>24</v>
      </c>
      <c r="H193" s="4">
        <f t="shared" si="14"/>
        <v>2013</v>
      </c>
      <c r="I193" s="10" t="s">
        <v>157</v>
      </c>
      <c r="J193" s="7" t="s">
        <v>5</v>
      </c>
      <c r="K193" s="7" t="s">
        <v>13</v>
      </c>
      <c r="L193" s="7">
        <v>-7.5</v>
      </c>
      <c r="M193" s="7" t="s">
        <v>5</v>
      </c>
      <c r="N193" s="7">
        <v>98</v>
      </c>
      <c r="O193" s="7">
        <v>113</v>
      </c>
      <c r="P193" s="7" t="str">
        <f t="shared" si="17"/>
        <v>IND</v>
      </c>
      <c r="Q193" s="7">
        <f t="shared" si="15"/>
        <v>-7.5</v>
      </c>
      <c r="R193" s="7">
        <f t="shared" si="16"/>
        <v>0</v>
      </c>
    </row>
    <row r="194" spans="1:18" ht="15" customHeight="1" x14ac:dyDescent="0.25">
      <c r="A194" s="7">
        <v>193</v>
      </c>
      <c r="B194" s="8" t="s">
        <v>185</v>
      </c>
      <c r="C194" s="7">
        <v>2012</v>
      </c>
      <c r="D194" s="7">
        <v>2013</v>
      </c>
      <c r="E194" s="3">
        <v>41389</v>
      </c>
      <c r="F194" s="4">
        <f t="shared" ref="F194:F257" si="18">MONTH(E194)</f>
        <v>4</v>
      </c>
      <c r="G194" s="4">
        <f t="shared" ref="G194:G257" si="19">DAY(E194)</f>
        <v>25</v>
      </c>
      <c r="H194" s="4">
        <f t="shared" ref="H194:H257" si="20">YEAR(E194)</f>
        <v>2013</v>
      </c>
      <c r="I194" s="10" t="s">
        <v>157</v>
      </c>
      <c r="J194" s="7" t="s">
        <v>15</v>
      </c>
      <c r="K194" s="7" t="s">
        <v>10</v>
      </c>
      <c r="L194" s="7">
        <v>7.5</v>
      </c>
      <c r="M194" s="7" t="s">
        <v>15</v>
      </c>
      <c r="N194" s="7">
        <v>104</v>
      </c>
      <c r="O194" s="7">
        <v>91</v>
      </c>
      <c r="P194" s="7" t="str">
        <f t="shared" si="17"/>
        <v>MIA</v>
      </c>
      <c r="Q194" s="7">
        <f t="shared" ref="Q194:Q257" si="21">IF(AND(N194&gt;0,O194&gt;0,(O194+L194)=N194),0,IF(P194="","",IF(P194=M194,ABS((O194+L194)-N194),-ABS((O194+L194)-N194))))</f>
        <v>5.5</v>
      </c>
      <c r="R194" s="7">
        <f t="shared" si="16"/>
        <v>1</v>
      </c>
    </row>
    <row r="195" spans="1:18" ht="15" customHeight="1" x14ac:dyDescent="0.25">
      <c r="A195" s="7">
        <v>194</v>
      </c>
      <c r="B195" s="8" t="s">
        <v>185</v>
      </c>
      <c r="C195" s="7">
        <v>2012</v>
      </c>
      <c r="D195" s="7">
        <v>2013</v>
      </c>
      <c r="E195" s="3">
        <v>41390</v>
      </c>
      <c r="F195" s="4">
        <f t="shared" si="18"/>
        <v>4</v>
      </c>
      <c r="G195" s="4">
        <f t="shared" si="19"/>
        <v>26</v>
      </c>
      <c r="H195" s="4">
        <f t="shared" si="20"/>
        <v>2013</v>
      </c>
      <c r="I195" s="10" t="s">
        <v>157</v>
      </c>
      <c r="J195" s="2" t="s">
        <v>134</v>
      </c>
      <c r="K195" s="2" t="s">
        <v>18</v>
      </c>
      <c r="L195" s="2">
        <v>5.5</v>
      </c>
      <c r="M195" s="2" t="s">
        <v>134</v>
      </c>
      <c r="N195" s="2">
        <v>120</v>
      </c>
      <c r="O195" s="2">
        <v>89</v>
      </c>
      <c r="P195" s="2" t="str">
        <f t="shared" si="17"/>
        <v>SA</v>
      </c>
      <c r="Q195" s="2">
        <f t="shared" si="21"/>
        <v>25.5</v>
      </c>
      <c r="R195" s="7">
        <f t="shared" ref="R195:R258" si="22">IF(Q195="","",IF(P195=M195,1,IF(Q195=0,"na",0)))</f>
        <v>1</v>
      </c>
    </row>
    <row r="196" spans="1:18" ht="15" customHeight="1" x14ac:dyDescent="0.25">
      <c r="A196" s="7">
        <v>195</v>
      </c>
      <c r="B196" s="8" t="s">
        <v>185</v>
      </c>
      <c r="C196" s="7">
        <v>2012</v>
      </c>
      <c r="D196" s="7">
        <v>2013</v>
      </c>
      <c r="E196" s="3">
        <v>41391</v>
      </c>
      <c r="F196" s="4">
        <f t="shared" si="18"/>
        <v>4</v>
      </c>
      <c r="G196" s="4">
        <f t="shared" si="19"/>
        <v>27</v>
      </c>
      <c r="H196" s="4">
        <f t="shared" si="20"/>
        <v>2013</v>
      </c>
      <c r="I196" s="10" t="s">
        <v>157</v>
      </c>
      <c r="J196" s="2" t="s">
        <v>12</v>
      </c>
      <c r="K196" s="2" t="s">
        <v>4</v>
      </c>
      <c r="L196" s="2">
        <v>1.5</v>
      </c>
      <c r="M196" s="2" t="s">
        <v>4</v>
      </c>
      <c r="N196" s="2">
        <v>104</v>
      </c>
      <c r="O196" s="2">
        <v>101</v>
      </c>
      <c r="P196" s="2" t="str">
        <f t="shared" si="17"/>
        <v>OKC</v>
      </c>
      <c r="Q196" s="2">
        <f t="shared" si="21"/>
        <v>-1.5</v>
      </c>
      <c r="R196" s="7">
        <f t="shared" si="22"/>
        <v>0</v>
      </c>
    </row>
    <row r="197" spans="1:18" ht="15" customHeight="1" x14ac:dyDescent="0.25">
      <c r="A197" s="7">
        <v>196</v>
      </c>
      <c r="B197" s="8" t="s">
        <v>185</v>
      </c>
      <c r="C197" s="7">
        <v>2012</v>
      </c>
      <c r="D197" s="7">
        <v>2013</v>
      </c>
      <c r="E197" s="3">
        <v>41392</v>
      </c>
      <c r="F197" s="4">
        <f t="shared" si="18"/>
        <v>4</v>
      </c>
      <c r="G197" s="4">
        <f t="shared" si="19"/>
        <v>28</v>
      </c>
      <c r="H197" s="4">
        <f t="shared" si="20"/>
        <v>2013</v>
      </c>
      <c r="I197" s="10" t="s">
        <v>157</v>
      </c>
      <c r="J197" s="7" t="s">
        <v>126</v>
      </c>
      <c r="K197" s="7" t="s">
        <v>17</v>
      </c>
      <c r="L197" s="7">
        <v>2</v>
      </c>
      <c r="M197" s="7" t="s">
        <v>17</v>
      </c>
      <c r="N197" s="7">
        <v>90</v>
      </c>
      <c r="O197" s="7">
        <v>97</v>
      </c>
      <c r="P197" s="2" t="str">
        <f t="shared" si="17"/>
        <v>BOS</v>
      </c>
      <c r="Q197" s="2">
        <f t="shared" si="21"/>
        <v>9</v>
      </c>
      <c r="R197" s="7">
        <f t="shared" si="22"/>
        <v>1</v>
      </c>
    </row>
    <row r="198" spans="1:18" ht="15" customHeight="1" x14ac:dyDescent="0.25">
      <c r="A198" s="7">
        <v>197</v>
      </c>
      <c r="B198" s="8" t="s">
        <v>185</v>
      </c>
      <c r="C198" s="7">
        <v>2012</v>
      </c>
      <c r="D198" s="7">
        <v>2013</v>
      </c>
      <c r="E198" s="3">
        <v>41393</v>
      </c>
      <c r="F198" s="4">
        <f t="shared" si="18"/>
        <v>4</v>
      </c>
      <c r="G198" s="4">
        <f t="shared" si="19"/>
        <v>29</v>
      </c>
      <c r="H198" s="4">
        <f t="shared" si="20"/>
        <v>2013</v>
      </c>
      <c r="I198" s="10" t="s">
        <v>157</v>
      </c>
      <c r="J198" s="7" t="s">
        <v>13</v>
      </c>
      <c r="K198" s="7" t="s">
        <v>5</v>
      </c>
      <c r="L198" s="7">
        <v>-1.5</v>
      </c>
      <c r="M198" s="7" t="s">
        <v>13</v>
      </c>
      <c r="N198" s="7">
        <v>91</v>
      </c>
      <c r="O198" s="7">
        <v>102</v>
      </c>
      <c r="P198" s="2" t="str">
        <f t="shared" ref="P198:P261" si="23">IF(OR(N198="",O198=""),"",IF((O198+L198)&gt;N198,K198,IF((O198+L198)=N198,"N/A",J198)))</f>
        <v>ATL</v>
      </c>
      <c r="Q198" s="2">
        <f t="shared" si="21"/>
        <v>-9.5</v>
      </c>
      <c r="R198" s="7">
        <f t="shared" si="22"/>
        <v>0</v>
      </c>
    </row>
    <row r="199" spans="1:18" ht="15" customHeight="1" x14ac:dyDescent="0.25">
      <c r="A199" s="7">
        <v>198</v>
      </c>
      <c r="B199" s="8" t="s">
        <v>185</v>
      </c>
      <c r="C199" s="7">
        <v>2012</v>
      </c>
      <c r="D199" s="7">
        <v>2013</v>
      </c>
      <c r="E199" s="3">
        <v>41394</v>
      </c>
      <c r="F199" s="4">
        <f t="shared" si="18"/>
        <v>4</v>
      </c>
      <c r="G199" s="4">
        <f t="shared" si="19"/>
        <v>30</v>
      </c>
      <c r="H199" s="4">
        <f t="shared" si="20"/>
        <v>2013</v>
      </c>
      <c r="I199" s="10" t="s">
        <v>157</v>
      </c>
      <c r="J199" s="7" t="s">
        <v>114</v>
      </c>
      <c r="K199" s="7" t="s">
        <v>23</v>
      </c>
      <c r="L199" s="7">
        <v>-7.5</v>
      </c>
      <c r="M199" s="7" t="s">
        <v>114</v>
      </c>
      <c r="N199" s="7">
        <v>100</v>
      </c>
      <c r="O199" s="7">
        <v>107</v>
      </c>
      <c r="P199" s="2" t="str">
        <f t="shared" si="23"/>
        <v>GS</v>
      </c>
      <c r="Q199" s="2">
        <f t="shared" si="21"/>
        <v>0.5</v>
      </c>
      <c r="R199" s="7">
        <f t="shared" si="22"/>
        <v>1</v>
      </c>
    </row>
    <row r="200" spans="1:18" ht="15" customHeight="1" x14ac:dyDescent="0.25">
      <c r="A200" s="7">
        <v>199</v>
      </c>
      <c r="B200" s="8" t="s">
        <v>185</v>
      </c>
      <c r="C200" s="7">
        <v>2012</v>
      </c>
      <c r="D200" s="7">
        <v>2013</v>
      </c>
      <c r="E200" s="3">
        <v>41395</v>
      </c>
      <c r="F200" s="4">
        <f t="shared" si="18"/>
        <v>5</v>
      </c>
      <c r="G200" s="4">
        <f t="shared" si="19"/>
        <v>1</v>
      </c>
      <c r="H200" s="4">
        <f t="shared" si="20"/>
        <v>2013</v>
      </c>
      <c r="I200" s="10" t="s">
        <v>157</v>
      </c>
      <c r="J200" s="7" t="s">
        <v>17</v>
      </c>
      <c r="K200" s="7" t="s">
        <v>126</v>
      </c>
      <c r="L200" s="7">
        <v>-9.5</v>
      </c>
      <c r="M200" s="7" t="s">
        <v>126</v>
      </c>
      <c r="N200" s="7">
        <v>92</v>
      </c>
      <c r="O200" s="7">
        <v>86</v>
      </c>
      <c r="P200" s="7" t="str">
        <f t="shared" si="23"/>
        <v>BOS</v>
      </c>
      <c r="Q200" s="7">
        <f t="shared" si="21"/>
        <v>-15.5</v>
      </c>
      <c r="R200" s="7">
        <f t="shared" si="22"/>
        <v>0</v>
      </c>
    </row>
    <row r="201" spans="1:18" ht="15" customHeight="1" x14ac:dyDescent="0.25">
      <c r="A201" s="7">
        <v>200</v>
      </c>
      <c r="B201" s="8" t="s">
        <v>185</v>
      </c>
      <c r="C201" s="7">
        <v>2012</v>
      </c>
      <c r="D201" s="7">
        <v>2013</v>
      </c>
      <c r="E201" s="3">
        <v>41396</v>
      </c>
      <c r="F201" s="4">
        <f t="shared" si="18"/>
        <v>5</v>
      </c>
      <c r="G201" s="4">
        <f t="shared" si="19"/>
        <v>2</v>
      </c>
      <c r="H201" s="4">
        <f t="shared" si="20"/>
        <v>2013</v>
      </c>
      <c r="I201" s="10" t="s">
        <v>157</v>
      </c>
      <c r="J201" s="2" t="s">
        <v>22</v>
      </c>
      <c r="K201" s="2" t="s">
        <v>0</v>
      </c>
      <c r="L201" s="2">
        <v>-1</v>
      </c>
      <c r="M201" s="2" t="s">
        <v>0</v>
      </c>
      <c r="N201" s="2">
        <v>95</v>
      </c>
      <c r="O201" s="2">
        <v>92</v>
      </c>
      <c r="P201" s="2" t="str">
        <f t="shared" si="23"/>
        <v>BKN</v>
      </c>
      <c r="Q201" s="2">
        <f t="shared" si="21"/>
        <v>-4</v>
      </c>
      <c r="R201" s="7">
        <f t="shared" si="22"/>
        <v>0</v>
      </c>
    </row>
    <row r="202" spans="1:18" ht="15" customHeight="1" x14ac:dyDescent="0.25">
      <c r="A202" s="7">
        <v>201</v>
      </c>
      <c r="B202" s="8" t="s">
        <v>185</v>
      </c>
      <c r="C202" s="7">
        <v>2012</v>
      </c>
      <c r="D202" s="7">
        <v>2013</v>
      </c>
      <c r="E202" s="3">
        <v>41397</v>
      </c>
      <c r="F202" s="4">
        <f t="shared" si="18"/>
        <v>5</v>
      </c>
      <c r="G202" s="4">
        <f t="shared" si="19"/>
        <v>3</v>
      </c>
      <c r="H202" s="4">
        <f t="shared" si="20"/>
        <v>2013</v>
      </c>
      <c r="I202" s="10" t="s">
        <v>157</v>
      </c>
      <c r="J202" s="2" t="s">
        <v>13</v>
      </c>
      <c r="K202" s="2" t="s">
        <v>5</v>
      </c>
      <c r="L202" s="2">
        <v>-1.5</v>
      </c>
      <c r="M202" s="2" t="s">
        <v>5</v>
      </c>
      <c r="N202" s="2">
        <v>81</v>
      </c>
      <c r="O202" s="2">
        <v>73</v>
      </c>
      <c r="P202" s="2" t="str">
        <f t="shared" si="23"/>
        <v>IND</v>
      </c>
      <c r="Q202" s="2">
        <f t="shared" si="21"/>
        <v>-9.5</v>
      </c>
      <c r="R202" s="7">
        <f t="shared" si="22"/>
        <v>0</v>
      </c>
    </row>
    <row r="203" spans="1:18" ht="15" customHeight="1" x14ac:dyDescent="0.25">
      <c r="A203" s="7">
        <v>202</v>
      </c>
      <c r="B203" s="8" t="s">
        <v>185</v>
      </c>
      <c r="C203" s="7">
        <v>2012</v>
      </c>
      <c r="D203" s="7">
        <v>2013</v>
      </c>
      <c r="E203" s="3">
        <v>41398</v>
      </c>
      <c r="F203" s="4">
        <f t="shared" si="18"/>
        <v>5</v>
      </c>
      <c r="G203" s="4">
        <f t="shared" si="19"/>
        <v>4</v>
      </c>
      <c r="H203" s="4">
        <f t="shared" si="20"/>
        <v>2013</v>
      </c>
      <c r="I203" s="10" t="s">
        <v>157</v>
      </c>
      <c r="J203" s="2" t="s">
        <v>0</v>
      </c>
      <c r="K203" s="2" t="s">
        <v>22</v>
      </c>
      <c r="L203" s="2">
        <v>-6</v>
      </c>
      <c r="M203" s="2" t="s">
        <v>0</v>
      </c>
      <c r="N203" s="2">
        <v>99</v>
      </c>
      <c r="O203" s="2">
        <v>93</v>
      </c>
      <c r="P203" s="2" t="str">
        <f t="shared" si="23"/>
        <v>CHI</v>
      </c>
      <c r="Q203" s="2">
        <f t="shared" si="21"/>
        <v>12</v>
      </c>
      <c r="R203" s="7">
        <f t="shared" si="22"/>
        <v>1</v>
      </c>
    </row>
    <row r="204" spans="1:18" ht="15" customHeight="1" x14ac:dyDescent="0.25">
      <c r="A204" s="7">
        <v>203</v>
      </c>
      <c r="B204" s="8" t="s">
        <v>185</v>
      </c>
      <c r="C204" s="7">
        <v>2012</v>
      </c>
      <c r="D204" s="7">
        <v>2013</v>
      </c>
      <c r="E204" s="3">
        <v>41399</v>
      </c>
      <c r="F204" s="4">
        <f t="shared" si="18"/>
        <v>5</v>
      </c>
      <c r="G204" s="4">
        <f t="shared" si="19"/>
        <v>5</v>
      </c>
      <c r="H204" s="4">
        <f t="shared" si="20"/>
        <v>2013</v>
      </c>
      <c r="I204" s="10" t="s">
        <v>157</v>
      </c>
      <c r="J204" s="2" t="s">
        <v>13</v>
      </c>
      <c r="K204" s="2" t="s">
        <v>126</v>
      </c>
      <c r="L204" s="2">
        <v>-5</v>
      </c>
      <c r="M204" s="2" t="s">
        <v>126</v>
      </c>
      <c r="N204" s="2">
        <v>102</v>
      </c>
      <c r="O204" s="2">
        <v>95</v>
      </c>
      <c r="P204" s="2" t="str">
        <f t="shared" si="23"/>
        <v>IND</v>
      </c>
      <c r="Q204" s="2">
        <f t="shared" si="21"/>
        <v>-12</v>
      </c>
      <c r="R204" s="7">
        <f t="shared" si="22"/>
        <v>0</v>
      </c>
    </row>
    <row r="205" spans="1:18" ht="15" customHeight="1" x14ac:dyDescent="0.25">
      <c r="A205" s="7">
        <v>204</v>
      </c>
      <c r="B205" s="8" t="s">
        <v>185</v>
      </c>
      <c r="C205" s="7">
        <v>2012</v>
      </c>
      <c r="D205" s="7">
        <v>2013</v>
      </c>
      <c r="E205" s="3">
        <v>41400</v>
      </c>
      <c r="F205" s="4">
        <f t="shared" si="18"/>
        <v>5</v>
      </c>
      <c r="G205" s="4">
        <f t="shared" si="19"/>
        <v>6</v>
      </c>
      <c r="H205" s="4">
        <f t="shared" si="20"/>
        <v>2013</v>
      </c>
      <c r="I205" s="10" t="s">
        <v>157</v>
      </c>
      <c r="J205" s="2" t="s">
        <v>114</v>
      </c>
      <c r="K205" s="2" t="s">
        <v>134</v>
      </c>
      <c r="L205" s="2">
        <v>-9</v>
      </c>
      <c r="M205" s="2" t="s">
        <v>114</v>
      </c>
      <c r="N205" s="2">
        <v>127</v>
      </c>
      <c r="O205" s="2">
        <v>129</v>
      </c>
      <c r="P205" s="2" t="str">
        <f t="shared" si="23"/>
        <v>GS</v>
      </c>
      <c r="Q205" s="2">
        <f t="shared" si="21"/>
        <v>7</v>
      </c>
      <c r="R205" s="7">
        <f t="shared" si="22"/>
        <v>1</v>
      </c>
    </row>
    <row r="206" spans="1:18" ht="15" customHeight="1" x14ac:dyDescent="0.25">
      <c r="A206" s="7">
        <v>205</v>
      </c>
      <c r="B206" s="8" t="s">
        <v>185</v>
      </c>
      <c r="C206" s="7">
        <v>2012</v>
      </c>
      <c r="D206" s="7">
        <v>2013</v>
      </c>
      <c r="E206" s="3">
        <v>41401</v>
      </c>
      <c r="F206" s="4">
        <f t="shared" si="18"/>
        <v>5</v>
      </c>
      <c r="G206" s="4">
        <f t="shared" si="19"/>
        <v>7</v>
      </c>
      <c r="H206" s="4">
        <f t="shared" si="20"/>
        <v>2013</v>
      </c>
      <c r="I206" s="10" t="s">
        <v>157</v>
      </c>
      <c r="J206" s="2" t="s">
        <v>9</v>
      </c>
      <c r="K206" s="2" t="s">
        <v>12</v>
      </c>
      <c r="L206" s="2">
        <v>-2.5</v>
      </c>
      <c r="M206" s="2" t="s">
        <v>9</v>
      </c>
      <c r="N206" s="2">
        <v>99</v>
      </c>
      <c r="O206" s="2">
        <v>93</v>
      </c>
      <c r="P206" s="2" t="str">
        <f t="shared" si="23"/>
        <v>MEM</v>
      </c>
      <c r="Q206" s="2">
        <f t="shared" si="21"/>
        <v>8.5</v>
      </c>
      <c r="R206" s="7">
        <f t="shared" si="22"/>
        <v>1</v>
      </c>
    </row>
    <row r="207" spans="1:18" ht="15" customHeight="1" x14ac:dyDescent="0.25">
      <c r="A207" s="7">
        <v>206</v>
      </c>
      <c r="B207" s="8" t="s">
        <v>185</v>
      </c>
      <c r="C207" s="7">
        <v>2012</v>
      </c>
      <c r="D207" s="7">
        <v>2013</v>
      </c>
      <c r="E207" s="3">
        <v>41402</v>
      </c>
      <c r="F207" s="4">
        <f t="shared" si="18"/>
        <v>5</v>
      </c>
      <c r="G207" s="4">
        <f t="shared" si="19"/>
        <v>8</v>
      </c>
      <c r="H207" s="4">
        <f t="shared" si="20"/>
        <v>2013</v>
      </c>
      <c r="I207" s="10" t="s">
        <v>157</v>
      </c>
      <c r="J207" s="2" t="s">
        <v>0</v>
      </c>
      <c r="K207" s="2" t="s">
        <v>15</v>
      </c>
      <c r="L207" s="2">
        <v>-12.5</v>
      </c>
      <c r="M207" s="2" t="s">
        <v>0</v>
      </c>
      <c r="N207" s="2">
        <v>78</v>
      </c>
      <c r="O207" s="2">
        <v>115</v>
      </c>
      <c r="P207" s="2" t="str">
        <f t="shared" si="23"/>
        <v>MIA</v>
      </c>
      <c r="Q207" s="2">
        <f t="shared" si="21"/>
        <v>-24.5</v>
      </c>
      <c r="R207" s="7">
        <f t="shared" si="22"/>
        <v>0</v>
      </c>
    </row>
    <row r="208" spans="1:18" ht="15" customHeight="1" x14ac:dyDescent="0.25">
      <c r="A208" s="7">
        <v>207</v>
      </c>
      <c r="B208" s="8" t="s">
        <v>185</v>
      </c>
      <c r="C208" s="7">
        <v>2012</v>
      </c>
      <c r="D208" s="7">
        <v>2013</v>
      </c>
      <c r="E208" s="3">
        <v>41404</v>
      </c>
      <c r="F208" s="4">
        <f t="shared" si="18"/>
        <v>5</v>
      </c>
      <c r="G208" s="4">
        <f t="shared" si="19"/>
        <v>10</v>
      </c>
      <c r="H208" s="4">
        <f t="shared" si="20"/>
        <v>2013</v>
      </c>
      <c r="I208" s="10" t="s">
        <v>157</v>
      </c>
      <c r="J208" s="7" t="s">
        <v>15</v>
      </c>
      <c r="K208" s="7" t="s">
        <v>0</v>
      </c>
      <c r="L208" s="7">
        <v>5.5</v>
      </c>
      <c r="M208" s="7" t="s">
        <v>15</v>
      </c>
      <c r="N208" s="7">
        <v>104</v>
      </c>
      <c r="O208" s="7">
        <v>94</v>
      </c>
      <c r="P208" s="2" t="str">
        <f t="shared" si="23"/>
        <v>MIA</v>
      </c>
      <c r="Q208" s="2">
        <f t="shared" si="21"/>
        <v>4.5</v>
      </c>
      <c r="R208" s="7">
        <f t="shared" si="22"/>
        <v>1</v>
      </c>
    </row>
    <row r="209" spans="1:18" ht="15" customHeight="1" x14ac:dyDescent="0.25">
      <c r="A209" s="7">
        <v>208</v>
      </c>
      <c r="B209" s="8" t="s">
        <v>185</v>
      </c>
      <c r="C209" s="7">
        <v>2012</v>
      </c>
      <c r="D209" s="7">
        <v>2013</v>
      </c>
      <c r="E209" s="3">
        <v>41405</v>
      </c>
      <c r="F209" s="4">
        <f t="shared" si="18"/>
        <v>5</v>
      </c>
      <c r="G209" s="4">
        <f t="shared" si="19"/>
        <v>11</v>
      </c>
      <c r="H209" s="4">
        <f t="shared" si="20"/>
        <v>2013</v>
      </c>
      <c r="I209" s="10" t="s">
        <v>157</v>
      </c>
      <c r="J209" s="7" t="s">
        <v>126</v>
      </c>
      <c r="K209" s="7" t="s">
        <v>13</v>
      </c>
      <c r="L209" s="7">
        <v>-4</v>
      </c>
      <c r="M209" s="7" t="s">
        <v>13</v>
      </c>
      <c r="N209" s="7">
        <v>71</v>
      </c>
      <c r="O209" s="7">
        <v>82</v>
      </c>
      <c r="P209" s="2" t="str">
        <f t="shared" si="23"/>
        <v>IND</v>
      </c>
      <c r="Q209" s="2">
        <f t="shared" si="21"/>
        <v>7</v>
      </c>
      <c r="R209" s="7">
        <f t="shared" si="22"/>
        <v>1</v>
      </c>
    </row>
    <row r="210" spans="1:18" ht="15" customHeight="1" x14ac:dyDescent="0.25">
      <c r="A210" s="7">
        <v>209</v>
      </c>
      <c r="B210" s="8" t="s">
        <v>185</v>
      </c>
      <c r="C210" s="7">
        <v>2012</v>
      </c>
      <c r="D210" s="7">
        <v>2013</v>
      </c>
      <c r="E210" s="3">
        <v>41406</v>
      </c>
      <c r="F210" s="4">
        <f t="shared" si="18"/>
        <v>5</v>
      </c>
      <c r="G210" s="4">
        <f t="shared" si="19"/>
        <v>12</v>
      </c>
      <c r="H210" s="4">
        <f t="shared" si="20"/>
        <v>2013</v>
      </c>
      <c r="I210" s="10" t="s">
        <v>157</v>
      </c>
      <c r="J210" s="7" t="s">
        <v>134</v>
      </c>
      <c r="K210" s="7" t="s">
        <v>114</v>
      </c>
      <c r="L210" s="7">
        <v>-2</v>
      </c>
      <c r="M210" s="7" t="s">
        <v>134</v>
      </c>
      <c r="N210" s="7">
        <v>87</v>
      </c>
      <c r="O210" s="7">
        <v>97</v>
      </c>
      <c r="P210" s="2" t="str">
        <f t="shared" si="23"/>
        <v>GS</v>
      </c>
      <c r="Q210" s="2">
        <f t="shared" si="21"/>
        <v>-8</v>
      </c>
      <c r="R210" s="7">
        <f t="shared" si="22"/>
        <v>0</v>
      </c>
    </row>
    <row r="211" spans="1:18" ht="15" customHeight="1" x14ac:dyDescent="0.25">
      <c r="A211" s="7">
        <v>210</v>
      </c>
      <c r="B211" s="8" t="s">
        <v>185</v>
      </c>
      <c r="C211" s="7">
        <v>2012</v>
      </c>
      <c r="D211" s="7">
        <v>2013</v>
      </c>
      <c r="E211" s="3">
        <v>41407</v>
      </c>
      <c r="F211" s="4">
        <f t="shared" si="18"/>
        <v>5</v>
      </c>
      <c r="G211" s="4">
        <f t="shared" si="19"/>
        <v>13</v>
      </c>
      <c r="H211" s="4">
        <f t="shared" si="20"/>
        <v>2013</v>
      </c>
      <c r="I211" s="10" t="s">
        <v>157</v>
      </c>
      <c r="J211" s="7" t="s">
        <v>12</v>
      </c>
      <c r="K211" s="7" t="s">
        <v>9</v>
      </c>
      <c r="L211" s="7">
        <v>-5</v>
      </c>
      <c r="M211" s="7" t="s">
        <v>12</v>
      </c>
      <c r="N211" s="7">
        <v>97</v>
      </c>
      <c r="O211" s="7">
        <v>103</v>
      </c>
      <c r="P211" s="2" t="str">
        <f t="shared" si="23"/>
        <v>MEM</v>
      </c>
      <c r="Q211" s="2">
        <f t="shared" si="21"/>
        <v>-1</v>
      </c>
      <c r="R211" s="7">
        <f t="shared" si="22"/>
        <v>0</v>
      </c>
    </row>
    <row r="212" spans="1:18" ht="15" customHeight="1" x14ac:dyDescent="0.25">
      <c r="A212" s="7">
        <v>211</v>
      </c>
      <c r="B212" s="8" t="s">
        <v>185</v>
      </c>
      <c r="C212" s="7">
        <v>2012</v>
      </c>
      <c r="D212" s="7">
        <v>2013</v>
      </c>
      <c r="E212" s="3">
        <v>41408</v>
      </c>
      <c r="F212" s="4">
        <f t="shared" si="18"/>
        <v>5</v>
      </c>
      <c r="G212" s="4">
        <f t="shared" si="19"/>
        <v>14</v>
      </c>
      <c r="H212" s="4">
        <f t="shared" si="20"/>
        <v>2013</v>
      </c>
      <c r="I212" s="10" t="s">
        <v>157</v>
      </c>
      <c r="J212" s="7" t="s">
        <v>126</v>
      </c>
      <c r="K212" s="7" t="s">
        <v>13</v>
      </c>
      <c r="L212" s="7">
        <v>-5.5</v>
      </c>
      <c r="M212" s="7" t="s">
        <v>126</v>
      </c>
      <c r="N212" s="7">
        <v>82</v>
      </c>
      <c r="O212" s="7">
        <v>93</v>
      </c>
      <c r="P212" s="2" t="str">
        <f t="shared" si="23"/>
        <v>IND</v>
      </c>
      <c r="Q212" s="2">
        <f t="shared" si="21"/>
        <v>-5.5</v>
      </c>
      <c r="R212" s="7">
        <f t="shared" si="22"/>
        <v>0</v>
      </c>
    </row>
    <row r="213" spans="1:18" ht="15" customHeight="1" x14ac:dyDescent="0.25">
      <c r="A213" s="7">
        <v>212</v>
      </c>
      <c r="B213" s="8" t="s">
        <v>185</v>
      </c>
      <c r="C213" s="7">
        <v>2012</v>
      </c>
      <c r="D213" s="7">
        <v>2013</v>
      </c>
      <c r="E213" s="3">
        <v>41409</v>
      </c>
      <c r="F213" s="4">
        <f t="shared" si="18"/>
        <v>5</v>
      </c>
      <c r="G213" s="4">
        <f t="shared" si="19"/>
        <v>15</v>
      </c>
      <c r="H213" s="4">
        <f t="shared" si="20"/>
        <v>2013</v>
      </c>
      <c r="I213" s="10" t="s">
        <v>157</v>
      </c>
      <c r="J213" s="7" t="s">
        <v>9</v>
      </c>
      <c r="K213" s="7" t="s">
        <v>12</v>
      </c>
      <c r="L213" s="7">
        <v>-4.5</v>
      </c>
      <c r="M213" s="7" t="s">
        <v>9</v>
      </c>
      <c r="N213" s="7">
        <v>88</v>
      </c>
      <c r="O213" s="7">
        <v>84</v>
      </c>
      <c r="P213" s="7" t="str">
        <f t="shared" si="23"/>
        <v>MEM</v>
      </c>
      <c r="Q213" s="7">
        <f t="shared" si="21"/>
        <v>8.5</v>
      </c>
      <c r="R213" s="7">
        <f t="shared" si="22"/>
        <v>1</v>
      </c>
    </row>
    <row r="214" spans="1:18" ht="15" customHeight="1" x14ac:dyDescent="0.25">
      <c r="A214" s="7">
        <v>213</v>
      </c>
      <c r="B214" s="8" t="s">
        <v>185</v>
      </c>
      <c r="C214" s="7">
        <v>2012</v>
      </c>
      <c r="D214" s="7">
        <v>2013</v>
      </c>
      <c r="E214" s="3">
        <v>41410</v>
      </c>
      <c r="F214" s="4">
        <f t="shared" si="18"/>
        <v>5</v>
      </c>
      <c r="G214" s="4">
        <f t="shared" si="19"/>
        <v>16</v>
      </c>
      <c r="H214" s="4">
        <f t="shared" si="20"/>
        <v>2013</v>
      </c>
      <c r="I214" s="10" t="s">
        <v>157</v>
      </c>
      <c r="J214" s="7" t="s">
        <v>134</v>
      </c>
      <c r="K214" s="7" t="s">
        <v>114</v>
      </c>
      <c r="L214" s="7">
        <v>1.5</v>
      </c>
      <c r="M214" s="7" t="s">
        <v>134</v>
      </c>
      <c r="N214" s="7">
        <v>94</v>
      </c>
      <c r="O214" s="7">
        <v>82</v>
      </c>
      <c r="P214" s="7" t="str">
        <f t="shared" si="23"/>
        <v>SA</v>
      </c>
      <c r="Q214" s="7">
        <f t="shared" si="21"/>
        <v>10.5</v>
      </c>
      <c r="R214" s="7">
        <f t="shared" si="22"/>
        <v>1</v>
      </c>
    </row>
    <row r="215" spans="1:18" ht="15" customHeight="1" x14ac:dyDescent="0.25">
      <c r="A215" s="7">
        <v>214</v>
      </c>
      <c r="B215" s="8" t="s">
        <v>185</v>
      </c>
      <c r="C215" s="7">
        <v>2012</v>
      </c>
      <c r="D215" s="7">
        <v>2013</v>
      </c>
      <c r="E215" s="3">
        <v>41412</v>
      </c>
      <c r="F215" s="4">
        <f t="shared" si="18"/>
        <v>5</v>
      </c>
      <c r="G215" s="4">
        <f t="shared" si="19"/>
        <v>18</v>
      </c>
      <c r="H215" s="4">
        <f t="shared" si="20"/>
        <v>2013</v>
      </c>
      <c r="I215" s="10" t="s">
        <v>157</v>
      </c>
      <c r="J215" s="7" t="s">
        <v>126</v>
      </c>
      <c r="K215" s="7" t="s">
        <v>13</v>
      </c>
      <c r="L215" s="7">
        <v>-5.5</v>
      </c>
      <c r="M215" s="7" t="s">
        <v>126</v>
      </c>
      <c r="N215" s="7">
        <v>99</v>
      </c>
      <c r="O215" s="7">
        <v>106</v>
      </c>
      <c r="P215" s="7" t="str">
        <f t="shared" si="23"/>
        <v>IND</v>
      </c>
      <c r="Q215" s="7">
        <f t="shared" si="21"/>
        <v>-1.5</v>
      </c>
      <c r="R215" s="7">
        <f t="shared" si="22"/>
        <v>0</v>
      </c>
    </row>
    <row r="216" spans="1:18" ht="15" customHeight="1" x14ac:dyDescent="0.25">
      <c r="A216" s="7">
        <v>215</v>
      </c>
      <c r="B216" s="8" t="s">
        <v>185</v>
      </c>
      <c r="C216" s="7">
        <v>2012</v>
      </c>
      <c r="D216" s="7">
        <v>2013</v>
      </c>
      <c r="E216" s="3">
        <v>41413</v>
      </c>
      <c r="F216" s="4">
        <f t="shared" si="18"/>
        <v>5</v>
      </c>
      <c r="G216" s="4">
        <f t="shared" si="19"/>
        <v>19</v>
      </c>
      <c r="H216" s="4">
        <f t="shared" si="20"/>
        <v>2013</v>
      </c>
      <c r="I216" s="10" t="s">
        <v>157</v>
      </c>
      <c r="J216" s="7" t="s">
        <v>9</v>
      </c>
      <c r="K216" s="7" t="s">
        <v>134</v>
      </c>
      <c r="L216" s="7">
        <v>-4.5</v>
      </c>
      <c r="M216" s="7" t="s">
        <v>134</v>
      </c>
      <c r="N216" s="7">
        <v>83</v>
      </c>
      <c r="O216" s="7">
        <v>105</v>
      </c>
      <c r="P216" s="7" t="str">
        <f t="shared" si="23"/>
        <v>SA</v>
      </c>
      <c r="Q216" s="7">
        <f t="shared" si="21"/>
        <v>17.5</v>
      </c>
      <c r="R216" s="7">
        <f t="shared" si="22"/>
        <v>1</v>
      </c>
    </row>
    <row r="217" spans="1:18" ht="15" customHeight="1" x14ac:dyDescent="0.25">
      <c r="A217" s="7">
        <v>216</v>
      </c>
      <c r="B217" s="8" t="s">
        <v>185</v>
      </c>
      <c r="C217" s="7">
        <v>2012</v>
      </c>
      <c r="D217" s="7">
        <v>2013</v>
      </c>
      <c r="E217" s="3">
        <v>41415</v>
      </c>
      <c r="F217" s="4">
        <f t="shared" si="18"/>
        <v>5</v>
      </c>
      <c r="G217" s="4">
        <f t="shared" si="19"/>
        <v>21</v>
      </c>
      <c r="H217" s="4">
        <f t="shared" si="20"/>
        <v>2013</v>
      </c>
      <c r="I217" s="10" t="s">
        <v>157</v>
      </c>
      <c r="J217" s="2" t="s">
        <v>9</v>
      </c>
      <c r="K217" s="2" t="s">
        <v>134</v>
      </c>
      <c r="L217" s="2">
        <v>-5</v>
      </c>
      <c r="M217" s="2" t="s">
        <v>134</v>
      </c>
      <c r="N217" s="2">
        <v>89</v>
      </c>
      <c r="O217" s="2">
        <v>93</v>
      </c>
      <c r="P217" s="2" t="str">
        <f t="shared" si="23"/>
        <v>MEM</v>
      </c>
      <c r="Q217" s="2">
        <f t="shared" si="21"/>
        <v>-1</v>
      </c>
      <c r="R217" s="7">
        <f t="shared" si="22"/>
        <v>0</v>
      </c>
    </row>
    <row r="218" spans="1:18" ht="15" customHeight="1" x14ac:dyDescent="0.25">
      <c r="A218" s="7">
        <v>217</v>
      </c>
      <c r="B218" s="8" t="s">
        <v>185</v>
      </c>
      <c r="C218" s="7">
        <v>2012</v>
      </c>
      <c r="D218" s="7">
        <v>2013</v>
      </c>
      <c r="E218" s="3">
        <v>41416</v>
      </c>
      <c r="F218" s="4">
        <f t="shared" si="18"/>
        <v>5</v>
      </c>
      <c r="G218" s="4">
        <f t="shared" si="19"/>
        <v>22</v>
      </c>
      <c r="H218" s="4">
        <f t="shared" si="20"/>
        <v>2013</v>
      </c>
      <c r="I218" s="10" t="s">
        <v>157</v>
      </c>
      <c r="J218" s="2" t="s">
        <v>13</v>
      </c>
      <c r="K218" s="2" t="s">
        <v>15</v>
      </c>
      <c r="L218" s="2">
        <v>-8</v>
      </c>
      <c r="M218" s="2" t="s">
        <v>13</v>
      </c>
      <c r="N218" s="2">
        <v>102</v>
      </c>
      <c r="O218" s="2">
        <v>103</v>
      </c>
      <c r="P218" s="2" t="str">
        <f t="shared" si="23"/>
        <v>IND</v>
      </c>
      <c r="Q218" s="2">
        <f t="shared" si="21"/>
        <v>7</v>
      </c>
      <c r="R218" s="7">
        <f t="shared" si="22"/>
        <v>1</v>
      </c>
    </row>
    <row r="219" spans="1:18" ht="15" customHeight="1" x14ac:dyDescent="0.25">
      <c r="A219" s="7">
        <v>218</v>
      </c>
      <c r="B219" s="8" t="s">
        <v>185</v>
      </c>
      <c r="C219" s="7">
        <v>2012</v>
      </c>
      <c r="D219" s="7">
        <v>2013</v>
      </c>
      <c r="E219" s="3">
        <v>41418</v>
      </c>
      <c r="F219" s="4">
        <f t="shared" si="18"/>
        <v>5</v>
      </c>
      <c r="G219" s="4">
        <f t="shared" si="19"/>
        <v>24</v>
      </c>
      <c r="H219" s="4">
        <f t="shared" si="20"/>
        <v>2013</v>
      </c>
      <c r="I219" s="10" t="s">
        <v>157</v>
      </c>
      <c r="J219" s="2" t="s">
        <v>13</v>
      </c>
      <c r="K219" s="2" t="s">
        <v>15</v>
      </c>
      <c r="L219" s="2">
        <v>-7.5</v>
      </c>
      <c r="M219" s="2" t="s">
        <v>13</v>
      </c>
      <c r="N219" s="2">
        <v>97</v>
      </c>
      <c r="O219" s="2">
        <v>93</v>
      </c>
      <c r="P219" s="2" t="str">
        <f t="shared" si="23"/>
        <v>IND</v>
      </c>
      <c r="Q219" s="2">
        <f t="shared" si="21"/>
        <v>11.5</v>
      </c>
      <c r="R219" s="7">
        <f t="shared" si="22"/>
        <v>1</v>
      </c>
    </row>
    <row r="220" spans="1:18" ht="15" customHeight="1" x14ac:dyDescent="0.25">
      <c r="A220" s="7">
        <v>219</v>
      </c>
      <c r="B220" s="8" t="s">
        <v>185</v>
      </c>
      <c r="C220" s="7">
        <v>2012</v>
      </c>
      <c r="D220" s="7">
        <v>2013</v>
      </c>
      <c r="E220" s="3">
        <v>41419</v>
      </c>
      <c r="F220" s="4">
        <f t="shared" si="18"/>
        <v>5</v>
      </c>
      <c r="G220" s="4">
        <f t="shared" si="19"/>
        <v>25</v>
      </c>
      <c r="H220" s="4">
        <f t="shared" si="20"/>
        <v>2013</v>
      </c>
      <c r="I220" s="10" t="s">
        <v>157</v>
      </c>
      <c r="J220" s="2" t="s">
        <v>134</v>
      </c>
      <c r="K220" s="2" t="s">
        <v>9</v>
      </c>
      <c r="L220" s="2">
        <v>-5.5</v>
      </c>
      <c r="M220" s="2" t="s">
        <v>9</v>
      </c>
      <c r="N220" s="2">
        <v>104</v>
      </c>
      <c r="O220" s="2">
        <v>93</v>
      </c>
      <c r="P220" s="2" t="str">
        <f t="shared" si="23"/>
        <v>SA</v>
      </c>
      <c r="Q220" s="2">
        <f t="shared" si="21"/>
        <v>-16.5</v>
      </c>
      <c r="R220" s="7">
        <f t="shared" si="22"/>
        <v>0</v>
      </c>
    </row>
    <row r="221" spans="1:18" ht="15" customHeight="1" x14ac:dyDescent="0.25">
      <c r="A221" s="7">
        <v>220</v>
      </c>
      <c r="B221" s="8" t="s">
        <v>185</v>
      </c>
      <c r="C221" s="7">
        <v>2012</v>
      </c>
      <c r="D221" s="7">
        <v>2013</v>
      </c>
      <c r="E221" s="3">
        <v>41420</v>
      </c>
      <c r="F221" s="4">
        <f t="shared" si="18"/>
        <v>5</v>
      </c>
      <c r="G221" s="4">
        <f t="shared" si="19"/>
        <v>26</v>
      </c>
      <c r="H221" s="4">
        <f t="shared" si="20"/>
        <v>2013</v>
      </c>
      <c r="I221" s="10" t="s">
        <v>157</v>
      </c>
      <c r="J221" s="2" t="s">
        <v>15</v>
      </c>
      <c r="K221" s="2" t="s">
        <v>13</v>
      </c>
      <c r="L221" s="2">
        <v>1.5</v>
      </c>
      <c r="M221" s="2" t="s">
        <v>13</v>
      </c>
      <c r="N221" s="2">
        <v>114</v>
      </c>
      <c r="O221" s="2">
        <v>96</v>
      </c>
      <c r="P221" s="2" t="str">
        <f t="shared" si="23"/>
        <v>MIA</v>
      </c>
      <c r="Q221" s="2">
        <f t="shared" si="21"/>
        <v>-16.5</v>
      </c>
      <c r="R221" s="7">
        <f t="shared" si="22"/>
        <v>0</v>
      </c>
    </row>
    <row r="222" spans="1:18" ht="15" customHeight="1" x14ac:dyDescent="0.25">
      <c r="A222" s="7">
        <v>221</v>
      </c>
      <c r="B222" s="8" t="s">
        <v>185</v>
      </c>
      <c r="C222" s="7">
        <v>2012</v>
      </c>
      <c r="D222" s="7">
        <v>2013</v>
      </c>
      <c r="E222" s="3">
        <v>41421</v>
      </c>
      <c r="F222" s="4">
        <f t="shared" si="18"/>
        <v>5</v>
      </c>
      <c r="G222" s="4">
        <f t="shared" si="19"/>
        <v>27</v>
      </c>
      <c r="H222" s="4">
        <f t="shared" si="20"/>
        <v>2013</v>
      </c>
      <c r="I222" s="10" t="s">
        <v>157</v>
      </c>
      <c r="J222" s="2" t="s">
        <v>134</v>
      </c>
      <c r="K222" s="2" t="s">
        <v>9</v>
      </c>
      <c r="L222" s="2">
        <v>-2.5</v>
      </c>
      <c r="M222" s="2" t="s">
        <v>9</v>
      </c>
      <c r="N222" s="2">
        <v>93</v>
      </c>
      <c r="O222" s="2">
        <v>86</v>
      </c>
      <c r="P222" s="2" t="str">
        <f t="shared" si="23"/>
        <v>SA</v>
      </c>
      <c r="Q222" s="2">
        <f t="shared" si="21"/>
        <v>-9.5</v>
      </c>
      <c r="R222" s="7">
        <f t="shared" si="22"/>
        <v>0</v>
      </c>
    </row>
    <row r="223" spans="1:18" ht="15" customHeight="1" x14ac:dyDescent="0.25">
      <c r="A223" s="7">
        <v>222</v>
      </c>
      <c r="B223" s="8" t="s">
        <v>185</v>
      </c>
      <c r="C223" s="7">
        <v>2012</v>
      </c>
      <c r="D223" s="7">
        <v>2013</v>
      </c>
      <c r="E223" s="3">
        <v>41422</v>
      </c>
      <c r="F223" s="4">
        <f t="shared" si="18"/>
        <v>5</v>
      </c>
      <c r="G223" s="4">
        <f t="shared" si="19"/>
        <v>28</v>
      </c>
      <c r="H223" s="4">
        <f t="shared" si="20"/>
        <v>2013</v>
      </c>
      <c r="I223" s="10" t="s">
        <v>157</v>
      </c>
      <c r="J223" s="2" t="s">
        <v>15</v>
      </c>
      <c r="K223" s="2" t="s">
        <v>13</v>
      </c>
      <c r="L223" s="2">
        <v>2.5</v>
      </c>
      <c r="M223" s="2" t="s">
        <v>15</v>
      </c>
      <c r="N223" s="2">
        <v>92</v>
      </c>
      <c r="O223" s="2">
        <v>99</v>
      </c>
      <c r="P223" s="2" t="str">
        <f t="shared" si="23"/>
        <v>IND</v>
      </c>
      <c r="Q223" s="2">
        <f t="shared" si="21"/>
        <v>-9.5</v>
      </c>
      <c r="R223" s="7">
        <f t="shared" si="22"/>
        <v>0</v>
      </c>
    </row>
    <row r="224" spans="1:18" ht="15" customHeight="1" x14ac:dyDescent="0.25">
      <c r="A224" s="7">
        <v>223</v>
      </c>
      <c r="B224" s="8" t="s">
        <v>185</v>
      </c>
      <c r="C224" s="7">
        <v>2012</v>
      </c>
      <c r="D224" s="7">
        <v>2013</v>
      </c>
      <c r="E224" s="3">
        <v>41424</v>
      </c>
      <c r="F224" s="4">
        <f t="shared" si="18"/>
        <v>5</v>
      </c>
      <c r="G224" s="4">
        <f t="shared" si="19"/>
        <v>30</v>
      </c>
      <c r="H224" s="4">
        <f t="shared" si="20"/>
        <v>2013</v>
      </c>
      <c r="I224" s="10" t="s">
        <v>157</v>
      </c>
      <c r="J224" s="2" t="s">
        <v>13</v>
      </c>
      <c r="K224" s="2" t="s">
        <v>15</v>
      </c>
      <c r="L224" s="2">
        <v>-7.5</v>
      </c>
      <c r="M224" s="2" t="s">
        <v>15</v>
      </c>
      <c r="N224" s="2">
        <v>79</v>
      </c>
      <c r="O224" s="2">
        <v>90</v>
      </c>
      <c r="P224" s="2" t="str">
        <f t="shared" si="23"/>
        <v>MIA</v>
      </c>
      <c r="Q224" s="2">
        <f t="shared" si="21"/>
        <v>3.5</v>
      </c>
      <c r="R224" s="7">
        <f t="shared" si="22"/>
        <v>1</v>
      </c>
    </row>
    <row r="225" spans="1:18" ht="15" customHeight="1" x14ac:dyDescent="0.25">
      <c r="A225" s="7">
        <v>224</v>
      </c>
      <c r="B225" s="8" t="s">
        <v>185</v>
      </c>
      <c r="C225" s="7">
        <v>2012</v>
      </c>
      <c r="D225" s="7">
        <v>2013</v>
      </c>
      <c r="E225" s="3">
        <v>41426</v>
      </c>
      <c r="F225" s="4">
        <f t="shared" si="18"/>
        <v>6</v>
      </c>
      <c r="G225" s="4">
        <f t="shared" si="19"/>
        <v>1</v>
      </c>
      <c r="H225" s="4">
        <f t="shared" si="20"/>
        <v>2013</v>
      </c>
      <c r="I225" s="10" t="s">
        <v>157</v>
      </c>
      <c r="J225" s="2" t="s">
        <v>15</v>
      </c>
      <c r="K225" s="2" t="s">
        <v>13</v>
      </c>
      <c r="L225" s="2">
        <v>3</v>
      </c>
      <c r="M225" s="2" t="s">
        <v>13</v>
      </c>
      <c r="N225" s="2">
        <v>77</v>
      </c>
      <c r="O225" s="2">
        <v>91</v>
      </c>
      <c r="P225" s="2" t="str">
        <f t="shared" si="23"/>
        <v>IND</v>
      </c>
      <c r="Q225" s="2">
        <f t="shared" si="21"/>
        <v>17</v>
      </c>
      <c r="R225" s="7">
        <f t="shared" si="22"/>
        <v>1</v>
      </c>
    </row>
    <row r="226" spans="1:18" ht="15" customHeight="1" x14ac:dyDescent="0.25">
      <c r="A226" s="7">
        <v>225</v>
      </c>
      <c r="B226" s="8" t="s">
        <v>185</v>
      </c>
      <c r="C226" s="7">
        <v>2012</v>
      </c>
      <c r="D226" s="7">
        <v>2013</v>
      </c>
      <c r="E226" s="3">
        <v>41428</v>
      </c>
      <c r="F226" s="4">
        <f t="shared" si="18"/>
        <v>6</v>
      </c>
      <c r="G226" s="4">
        <f t="shared" si="19"/>
        <v>3</v>
      </c>
      <c r="H226" s="4">
        <f t="shared" si="20"/>
        <v>2013</v>
      </c>
      <c r="I226" s="10" t="s">
        <v>157</v>
      </c>
      <c r="J226" s="2" t="s">
        <v>13</v>
      </c>
      <c r="K226" s="2" t="s">
        <v>15</v>
      </c>
      <c r="L226" s="2">
        <v>-7</v>
      </c>
      <c r="M226" s="2" t="s">
        <v>13</v>
      </c>
      <c r="N226" s="2">
        <v>76</v>
      </c>
      <c r="O226" s="2">
        <v>99</v>
      </c>
      <c r="P226" s="2" t="str">
        <f t="shared" si="23"/>
        <v>MIA</v>
      </c>
      <c r="Q226" s="2">
        <f t="shared" si="21"/>
        <v>-16</v>
      </c>
      <c r="R226" s="7">
        <f t="shared" si="22"/>
        <v>0</v>
      </c>
    </row>
    <row r="227" spans="1:18" ht="15" customHeight="1" x14ac:dyDescent="0.25">
      <c r="A227" s="7">
        <v>226</v>
      </c>
      <c r="B227" s="8" t="s">
        <v>185</v>
      </c>
      <c r="C227" s="7">
        <v>2012</v>
      </c>
      <c r="D227" s="7">
        <v>2013</v>
      </c>
      <c r="E227" s="3">
        <v>41431</v>
      </c>
      <c r="F227" s="4">
        <f t="shared" si="18"/>
        <v>6</v>
      </c>
      <c r="G227" s="4">
        <f t="shared" si="19"/>
        <v>6</v>
      </c>
      <c r="H227" s="4">
        <f t="shared" si="20"/>
        <v>2013</v>
      </c>
      <c r="I227" s="10" t="s">
        <v>157</v>
      </c>
      <c r="J227" s="2" t="s">
        <v>134</v>
      </c>
      <c r="K227" s="2" t="s">
        <v>15</v>
      </c>
      <c r="L227" s="2">
        <v>-5</v>
      </c>
      <c r="M227" s="2" t="s">
        <v>15</v>
      </c>
      <c r="N227" s="2">
        <v>92</v>
      </c>
      <c r="O227" s="2">
        <v>88</v>
      </c>
      <c r="P227" s="2" t="str">
        <f t="shared" si="23"/>
        <v>SA</v>
      </c>
      <c r="Q227" s="2">
        <f t="shared" si="21"/>
        <v>-9</v>
      </c>
      <c r="R227" s="7">
        <f t="shared" si="22"/>
        <v>0</v>
      </c>
    </row>
    <row r="228" spans="1:18" ht="15" customHeight="1" x14ac:dyDescent="0.25">
      <c r="A228" s="7">
        <v>227</v>
      </c>
      <c r="B228" s="8" t="s">
        <v>185</v>
      </c>
      <c r="C228" s="7">
        <v>2012</v>
      </c>
      <c r="D228" s="7">
        <v>2013</v>
      </c>
      <c r="E228" s="3">
        <v>41434</v>
      </c>
      <c r="F228" s="4">
        <f t="shared" si="18"/>
        <v>6</v>
      </c>
      <c r="G228" s="4">
        <f t="shared" si="19"/>
        <v>9</v>
      </c>
      <c r="H228" s="4">
        <f t="shared" si="20"/>
        <v>2013</v>
      </c>
      <c r="I228" s="10" t="s">
        <v>157</v>
      </c>
      <c r="J228" s="2" t="s">
        <v>134</v>
      </c>
      <c r="K228" s="2" t="s">
        <v>15</v>
      </c>
      <c r="L228" s="2">
        <v>-6</v>
      </c>
      <c r="M228" s="2" t="s">
        <v>134</v>
      </c>
      <c r="N228" s="2">
        <v>84</v>
      </c>
      <c r="O228" s="2">
        <v>103</v>
      </c>
      <c r="P228" s="2" t="str">
        <f t="shared" si="23"/>
        <v>MIA</v>
      </c>
      <c r="Q228" s="2">
        <f t="shared" si="21"/>
        <v>-13</v>
      </c>
      <c r="R228" s="7">
        <f t="shared" si="22"/>
        <v>0</v>
      </c>
    </row>
    <row r="229" spans="1:18" ht="15" customHeight="1" x14ac:dyDescent="0.25">
      <c r="A229" s="7">
        <v>228</v>
      </c>
      <c r="B229" s="8" t="s">
        <v>185</v>
      </c>
      <c r="C229" s="7">
        <v>2012</v>
      </c>
      <c r="D229" s="7">
        <v>2013</v>
      </c>
      <c r="E229" s="3">
        <v>41436</v>
      </c>
      <c r="F229" s="4">
        <f t="shared" si="18"/>
        <v>6</v>
      </c>
      <c r="G229" s="4">
        <f t="shared" si="19"/>
        <v>11</v>
      </c>
      <c r="H229" s="4">
        <f t="shared" si="20"/>
        <v>2013</v>
      </c>
      <c r="I229" s="10" t="s">
        <v>157</v>
      </c>
      <c r="J229" s="2" t="s">
        <v>15</v>
      </c>
      <c r="K229" s="2" t="s">
        <v>134</v>
      </c>
      <c r="L229" s="2">
        <v>-2</v>
      </c>
      <c r="M229" s="2" t="s">
        <v>134</v>
      </c>
      <c r="N229" s="2">
        <v>77</v>
      </c>
      <c r="O229" s="2">
        <v>113</v>
      </c>
      <c r="P229" s="2" t="str">
        <f t="shared" si="23"/>
        <v>SA</v>
      </c>
      <c r="Q229" s="2">
        <f t="shared" si="21"/>
        <v>34</v>
      </c>
      <c r="R229" s="7">
        <f t="shared" si="22"/>
        <v>1</v>
      </c>
    </row>
    <row r="230" spans="1:18" ht="15" customHeight="1" x14ac:dyDescent="0.25">
      <c r="A230" s="7">
        <v>229</v>
      </c>
      <c r="B230" s="8" t="s">
        <v>185</v>
      </c>
      <c r="C230" s="7">
        <v>2012</v>
      </c>
      <c r="D230" s="7">
        <v>2013</v>
      </c>
      <c r="E230" s="3">
        <v>41438</v>
      </c>
      <c r="F230" s="4">
        <f t="shared" si="18"/>
        <v>6</v>
      </c>
      <c r="G230" s="4">
        <f t="shared" si="19"/>
        <v>13</v>
      </c>
      <c r="H230" s="4">
        <f t="shared" si="20"/>
        <v>2013</v>
      </c>
      <c r="I230" s="10" t="s">
        <v>157</v>
      </c>
      <c r="J230" s="2" t="s">
        <v>15</v>
      </c>
      <c r="K230" s="2" t="s">
        <v>134</v>
      </c>
      <c r="L230" s="2">
        <v>-2</v>
      </c>
      <c r="M230" s="2" t="s">
        <v>134</v>
      </c>
      <c r="N230" s="2">
        <v>109</v>
      </c>
      <c r="O230" s="2">
        <v>93</v>
      </c>
      <c r="P230" s="2" t="str">
        <f t="shared" si="23"/>
        <v>MIA</v>
      </c>
      <c r="Q230" s="2">
        <f t="shared" si="21"/>
        <v>-18</v>
      </c>
      <c r="R230" s="7">
        <f t="shared" si="22"/>
        <v>0</v>
      </c>
    </row>
    <row r="231" spans="1:18" ht="15" customHeight="1" x14ac:dyDescent="0.25">
      <c r="A231" s="7">
        <v>230</v>
      </c>
      <c r="B231" s="8" t="s">
        <v>185</v>
      </c>
      <c r="C231" s="7">
        <v>2012</v>
      </c>
      <c r="D231" s="7">
        <v>2013</v>
      </c>
      <c r="E231" s="3">
        <v>41441</v>
      </c>
      <c r="F231" s="4">
        <f t="shared" si="18"/>
        <v>6</v>
      </c>
      <c r="G231" s="4">
        <f t="shared" si="19"/>
        <v>16</v>
      </c>
      <c r="H231" s="4">
        <f t="shared" si="20"/>
        <v>2013</v>
      </c>
      <c r="I231" s="10" t="s">
        <v>157</v>
      </c>
      <c r="J231" s="2" t="s">
        <v>15</v>
      </c>
      <c r="K231" s="2" t="s">
        <v>134</v>
      </c>
      <c r="L231" s="2">
        <v>1.5</v>
      </c>
      <c r="M231" s="2" t="s">
        <v>134</v>
      </c>
      <c r="N231" s="2">
        <v>104</v>
      </c>
      <c r="O231" s="2">
        <v>114</v>
      </c>
      <c r="P231" s="2" t="str">
        <f t="shared" si="23"/>
        <v>SA</v>
      </c>
      <c r="Q231" s="2">
        <f t="shared" si="21"/>
        <v>11.5</v>
      </c>
      <c r="R231" s="7">
        <f t="shared" si="22"/>
        <v>1</v>
      </c>
    </row>
    <row r="232" spans="1:18" ht="15" customHeight="1" x14ac:dyDescent="0.25">
      <c r="A232" s="7">
        <v>231</v>
      </c>
      <c r="B232" s="8" t="s">
        <v>185</v>
      </c>
      <c r="C232" s="7">
        <v>2012</v>
      </c>
      <c r="D232" s="7">
        <v>2013</v>
      </c>
      <c r="E232" s="3">
        <v>41443</v>
      </c>
      <c r="F232" s="4">
        <f t="shared" si="18"/>
        <v>6</v>
      </c>
      <c r="G232" s="4">
        <f t="shared" si="19"/>
        <v>18</v>
      </c>
      <c r="H232" s="4">
        <f t="shared" si="20"/>
        <v>2013</v>
      </c>
      <c r="I232" s="10" t="s">
        <v>157</v>
      </c>
      <c r="J232" s="2" t="s">
        <v>134</v>
      </c>
      <c r="K232" s="2" t="s">
        <v>15</v>
      </c>
      <c r="L232" s="2">
        <v>-7</v>
      </c>
      <c r="M232" s="2" t="s">
        <v>15</v>
      </c>
      <c r="N232" s="2">
        <v>100</v>
      </c>
      <c r="O232" s="2">
        <v>103</v>
      </c>
      <c r="P232" s="2" t="str">
        <f t="shared" si="23"/>
        <v>SA</v>
      </c>
      <c r="Q232" s="2">
        <f t="shared" si="21"/>
        <v>-4</v>
      </c>
      <c r="R232" s="7">
        <f t="shared" si="22"/>
        <v>0</v>
      </c>
    </row>
    <row r="233" spans="1:18" ht="15" customHeight="1" x14ac:dyDescent="0.25">
      <c r="A233" s="7">
        <v>232</v>
      </c>
      <c r="B233" s="8" t="s">
        <v>185</v>
      </c>
      <c r="C233" s="7">
        <v>2012</v>
      </c>
      <c r="D233" s="7">
        <v>2013</v>
      </c>
      <c r="E233" s="3">
        <v>41445</v>
      </c>
      <c r="F233" s="4">
        <f t="shared" si="18"/>
        <v>6</v>
      </c>
      <c r="G233" s="4">
        <f t="shared" si="19"/>
        <v>20</v>
      </c>
      <c r="H233" s="4">
        <f t="shared" si="20"/>
        <v>2013</v>
      </c>
      <c r="I233" s="10" t="s">
        <v>157</v>
      </c>
      <c r="J233" s="2" t="s">
        <v>134</v>
      </c>
      <c r="K233" s="2" t="s">
        <v>15</v>
      </c>
      <c r="L233" s="2">
        <v>-6</v>
      </c>
      <c r="M233" s="2" t="s">
        <v>15</v>
      </c>
      <c r="N233" s="2">
        <v>88</v>
      </c>
      <c r="O233" s="2">
        <v>95</v>
      </c>
      <c r="P233" s="2" t="str">
        <f t="shared" si="23"/>
        <v>MIA</v>
      </c>
      <c r="Q233" s="2">
        <f t="shared" si="21"/>
        <v>1</v>
      </c>
      <c r="R233" s="7">
        <f t="shared" si="22"/>
        <v>1</v>
      </c>
    </row>
    <row r="234" spans="1:18" ht="15" customHeight="1" x14ac:dyDescent="0.25">
      <c r="A234" s="7">
        <v>233</v>
      </c>
      <c r="B234" s="8" t="s">
        <v>151</v>
      </c>
      <c r="C234" s="7">
        <v>2013</v>
      </c>
      <c r="D234" s="7">
        <v>2014</v>
      </c>
      <c r="E234" s="3">
        <v>41576</v>
      </c>
      <c r="F234" s="4">
        <f t="shared" si="18"/>
        <v>10</v>
      </c>
      <c r="G234" s="4">
        <f t="shared" si="19"/>
        <v>29</v>
      </c>
      <c r="H234" s="4">
        <f t="shared" si="20"/>
        <v>2013</v>
      </c>
      <c r="I234" s="10" t="s">
        <v>157</v>
      </c>
      <c r="J234" s="2" t="s">
        <v>0</v>
      </c>
      <c r="K234" s="2" t="s">
        <v>15</v>
      </c>
      <c r="L234" s="2">
        <v>-4.5</v>
      </c>
      <c r="M234" s="2" t="s">
        <v>15</v>
      </c>
      <c r="N234" s="2">
        <v>95</v>
      </c>
      <c r="O234" s="2">
        <v>107</v>
      </c>
      <c r="P234" s="2" t="str">
        <f t="shared" si="23"/>
        <v>MIA</v>
      </c>
      <c r="Q234" s="2">
        <f t="shared" si="21"/>
        <v>7.5</v>
      </c>
      <c r="R234" s="7">
        <f t="shared" si="22"/>
        <v>1</v>
      </c>
    </row>
    <row r="235" spans="1:18" ht="15" customHeight="1" x14ac:dyDescent="0.25">
      <c r="A235" s="7">
        <v>234</v>
      </c>
      <c r="B235" s="8" t="s">
        <v>151</v>
      </c>
      <c r="C235" s="7">
        <v>2013</v>
      </c>
      <c r="D235" s="7">
        <v>2014</v>
      </c>
      <c r="E235" s="3">
        <v>41577</v>
      </c>
      <c r="F235" s="4">
        <f t="shared" si="18"/>
        <v>10</v>
      </c>
      <c r="G235" s="4">
        <f t="shared" si="19"/>
        <v>30</v>
      </c>
      <c r="H235" s="4">
        <f t="shared" si="20"/>
        <v>2013</v>
      </c>
      <c r="I235" s="10" t="s">
        <v>157</v>
      </c>
      <c r="J235" s="2" t="s">
        <v>1</v>
      </c>
      <c r="K235" s="2" t="s">
        <v>19</v>
      </c>
      <c r="L235" s="2">
        <v>6</v>
      </c>
      <c r="M235" s="2" t="s">
        <v>1</v>
      </c>
      <c r="N235" s="2">
        <v>91</v>
      </c>
      <c r="O235" s="2">
        <v>104</v>
      </c>
      <c r="P235" s="2" t="str">
        <f t="shared" si="23"/>
        <v>PHX</v>
      </c>
      <c r="Q235" s="2">
        <f t="shared" si="21"/>
        <v>-19</v>
      </c>
      <c r="R235" s="7">
        <f t="shared" si="22"/>
        <v>0</v>
      </c>
    </row>
    <row r="236" spans="1:18" ht="15" customHeight="1" x14ac:dyDescent="0.25">
      <c r="A236" s="7">
        <v>235</v>
      </c>
      <c r="B236" s="8" t="s">
        <v>151</v>
      </c>
      <c r="C236" s="7">
        <v>2013</v>
      </c>
      <c r="D236" s="7">
        <v>2014</v>
      </c>
      <c r="E236" s="3">
        <v>41578</v>
      </c>
      <c r="F236" s="4">
        <f t="shared" si="18"/>
        <v>10</v>
      </c>
      <c r="G236" s="4">
        <f t="shared" si="19"/>
        <v>31</v>
      </c>
      <c r="H236" s="4">
        <f t="shared" si="20"/>
        <v>2013</v>
      </c>
      <c r="I236" s="10" t="s">
        <v>157</v>
      </c>
      <c r="J236" s="2" t="s">
        <v>114</v>
      </c>
      <c r="K236" s="2" t="s">
        <v>14</v>
      </c>
      <c r="L236" s="2">
        <v>-6.5</v>
      </c>
      <c r="M236" s="2" t="s">
        <v>14</v>
      </c>
      <c r="N236" s="2">
        <v>115</v>
      </c>
      <c r="O236" s="2">
        <v>126</v>
      </c>
      <c r="P236" s="2" t="str">
        <f t="shared" si="23"/>
        <v>LAC</v>
      </c>
      <c r="Q236" s="2">
        <f t="shared" si="21"/>
        <v>4.5</v>
      </c>
      <c r="R236" s="7">
        <f t="shared" si="22"/>
        <v>1</v>
      </c>
    </row>
    <row r="237" spans="1:18" ht="15" customHeight="1" x14ac:dyDescent="0.25">
      <c r="A237" s="7">
        <v>236</v>
      </c>
      <c r="B237" s="8" t="s">
        <v>151</v>
      </c>
      <c r="C237" s="7">
        <v>2013</v>
      </c>
      <c r="D237" s="7">
        <v>2014</v>
      </c>
      <c r="E237" s="3">
        <v>41579</v>
      </c>
      <c r="F237" s="4">
        <f t="shared" si="18"/>
        <v>11</v>
      </c>
      <c r="G237" s="4">
        <f t="shared" si="19"/>
        <v>1</v>
      </c>
      <c r="H237" s="4">
        <f t="shared" si="20"/>
        <v>2013</v>
      </c>
      <c r="I237" s="10" t="s">
        <v>157</v>
      </c>
      <c r="J237" s="2" t="s">
        <v>124</v>
      </c>
      <c r="K237" s="2" t="s">
        <v>11</v>
      </c>
      <c r="L237" s="2">
        <v>3</v>
      </c>
      <c r="M237" s="2" t="s">
        <v>124</v>
      </c>
      <c r="N237" s="2">
        <v>90</v>
      </c>
      <c r="O237" s="2">
        <v>110</v>
      </c>
      <c r="P237" s="2" t="str">
        <f t="shared" si="23"/>
        <v>ORL</v>
      </c>
      <c r="Q237" s="2">
        <f t="shared" si="21"/>
        <v>-23</v>
      </c>
      <c r="R237" s="7">
        <f t="shared" si="22"/>
        <v>0</v>
      </c>
    </row>
    <row r="238" spans="1:18" ht="15" customHeight="1" x14ac:dyDescent="0.25">
      <c r="A238" s="7">
        <v>237</v>
      </c>
      <c r="B238" s="8" t="s">
        <v>151</v>
      </c>
      <c r="C238" s="7">
        <v>2013</v>
      </c>
      <c r="D238" s="7">
        <v>2014</v>
      </c>
      <c r="E238" s="3">
        <v>41580</v>
      </c>
      <c r="F238" s="4">
        <f t="shared" si="18"/>
        <v>11</v>
      </c>
      <c r="G238" s="4">
        <f t="shared" si="19"/>
        <v>2</v>
      </c>
      <c r="H238" s="4">
        <f t="shared" si="20"/>
        <v>2013</v>
      </c>
      <c r="I238" s="10" t="s">
        <v>157</v>
      </c>
      <c r="J238" s="2" t="s">
        <v>2</v>
      </c>
      <c r="K238" s="2" t="s">
        <v>10</v>
      </c>
      <c r="L238" s="2">
        <v>-1</v>
      </c>
      <c r="M238" s="2" t="s">
        <v>2</v>
      </c>
      <c r="N238" s="2">
        <v>97</v>
      </c>
      <c r="O238" s="2">
        <v>90</v>
      </c>
      <c r="P238" s="2" t="str">
        <f t="shared" si="23"/>
        <v>TOR</v>
      </c>
      <c r="Q238" s="2">
        <f t="shared" si="21"/>
        <v>8</v>
      </c>
      <c r="R238" s="7">
        <f t="shared" si="22"/>
        <v>1</v>
      </c>
    </row>
    <row r="239" spans="1:18" ht="15" customHeight="1" x14ac:dyDescent="0.25">
      <c r="A239" s="7">
        <v>238</v>
      </c>
      <c r="B239" s="8" t="s">
        <v>151</v>
      </c>
      <c r="C239" s="7">
        <v>2013</v>
      </c>
      <c r="D239" s="7">
        <v>2014</v>
      </c>
      <c r="E239" s="3">
        <v>41581</v>
      </c>
      <c r="F239" s="4">
        <f t="shared" si="18"/>
        <v>11</v>
      </c>
      <c r="G239" s="4">
        <f t="shared" si="19"/>
        <v>3</v>
      </c>
      <c r="H239" s="4">
        <f t="shared" si="20"/>
        <v>2013</v>
      </c>
      <c r="I239" s="10" t="s">
        <v>157</v>
      </c>
      <c r="J239" s="2" t="s">
        <v>3</v>
      </c>
      <c r="K239" s="2" t="s">
        <v>126</v>
      </c>
      <c r="L239" s="2">
        <v>-3.5</v>
      </c>
      <c r="M239" s="2" t="s">
        <v>3</v>
      </c>
      <c r="N239" s="2">
        <v>109</v>
      </c>
      <c r="O239" s="2">
        <v>100</v>
      </c>
      <c r="P239" s="2" t="str">
        <f t="shared" si="23"/>
        <v>MIN</v>
      </c>
      <c r="Q239" s="2">
        <f t="shared" si="21"/>
        <v>12.5</v>
      </c>
      <c r="R239" s="7">
        <f t="shared" si="22"/>
        <v>1</v>
      </c>
    </row>
    <row r="240" spans="1:18" ht="15" customHeight="1" x14ac:dyDescent="0.25">
      <c r="A240" s="7">
        <v>239</v>
      </c>
      <c r="B240" s="8" t="s">
        <v>151</v>
      </c>
      <c r="C240" s="7">
        <v>2013</v>
      </c>
      <c r="D240" s="7">
        <v>2014</v>
      </c>
      <c r="E240" s="3">
        <v>41582</v>
      </c>
      <c r="F240" s="4">
        <f t="shared" si="18"/>
        <v>11</v>
      </c>
      <c r="G240" s="4">
        <f t="shared" si="19"/>
        <v>4</v>
      </c>
      <c r="H240" s="4">
        <f t="shared" si="20"/>
        <v>2013</v>
      </c>
      <c r="I240" s="10" t="s">
        <v>157</v>
      </c>
      <c r="J240" s="2" t="s">
        <v>4</v>
      </c>
      <c r="K240" s="2" t="s">
        <v>14</v>
      </c>
      <c r="L240" s="2">
        <v>-5</v>
      </c>
      <c r="M240" s="2" t="s">
        <v>4</v>
      </c>
      <c r="N240" s="2">
        <v>118</v>
      </c>
      <c r="O240" s="2">
        <v>137</v>
      </c>
      <c r="P240" s="2" t="str">
        <f t="shared" si="23"/>
        <v>LAC</v>
      </c>
      <c r="Q240" s="2">
        <f t="shared" si="21"/>
        <v>-14</v>
      </c>
      <c r="R240" s="7">
        <f t="shared" si="22"/>
        <v>0</v>
      </c>
    </row>
    <row r="241" spans="1:18" ht="15" customHeight="1" x14ac:dyDescent="0.25">
      <c r="A241" s="7">
        <v>240</v>
      </c>
      <c r="B241" s="8" t="s">
        <v>151</v>
      </c>
      <c r="C241" s="7">
        <v>2013</v>
      </c>
      <c r="D241" s="7">
        <v>2014</v>
      </c>
      <c r="E241" s="3">
        <v>41583</v>
      </c>
      <c r="F241" s="4">
        <f t="shared" si="18"/>
        <v>11</v>
      </c>
      <c r="G241" s="4">
        <f t="shared" si="19"/>
        <v>5</v>
      </c>
      <c r="H241" s="4">
        <f t="shared" si="20"/>
        <v>2013</v>
      </c>
      <c r="I241" s="10" t="s">
        <v>157</v>
      </c>
      <c r="J241" s="2" t="s">
        <v>5</v>
      </c>
      <c r="K241" s="2" t="s">
        <v>21</v>
      </c>
      <c r="L241" s="2">
        <v>-2.5</v>
      </c>
      <c r="M241" s="2" t="s">
        <v>21</v>
      </c>
      <c r="N241" s="2">
        <v>105</v>
      </c>
      <c r="O241" s="2">
        <v>100</v>
      </c>
      <c r="P241" s="2" t="str">
        <f t="shared" si="23"/>
        <v>ATL</v>
      </c>
      <c r="Q241" s="2">
        <f t="shared" si="21"/>
        <v>-7.5</v>
      </c>
      <c r="R241" s="7">
        <f t="shared" si="22"/>
        <v>0</v>
      </c>
    </row>
    <row r="242" spans="1:18" ht="15" customHeight="1" x14ac:dyDescent="0.25">
      <c r="A242" s="7">
        <v>241</v>
      </c>
      <c r="B242" s="8" t="s">
        <v>151</v>
      </c>
      <c r="C242" s="7">
        <v>2013</v>
      </c>
      <c r="D242" s="7">
        <v>2014</v>
      </c>
      <c r="E242" s="3">
        <v>41584</v>
      </c>
      <c r="F242" s="4">
        <f t="shared" si="18"/>
        <v>11</v>
      </c>
      <c r="G242" s="4">
        <f t="shared" si="19"/>
        <v>6</v>
      </c>
      <c r="H242" s="4">
        <f t="shared" si="20"/>
        <v>2013</v>
      </c>
      <c r="I242" s="10" t="s">
        <v>157</v>
      </c>
      <c r="J242" s="7" t="s">
        <v>2</v>
      </c>
      <c r="K242" s="7" t="s">
        <v>8</v>
      </c>
      <c r="L242" s="7">
        <v>2</v>
      </c>
      <c r="M242" s="7" t="s">
        <v>2</v>
      </c>
      <c r="N242" s="7">
        <v>90</v>
      </c>
      <c r="O242" s="7">
        <v>92</v>
      </c>
      <c r="P242" s="2" t="str">
        <f t="shared" si="23"/>
        <v>CHA</v>
      </c>
      <c r="Q242" s="2">
        <f t="shared" si="21"/>
        <v>-4</v>
      </c>
      <c r="R242" s="7">
        <f t="shared" si="22"/>
        <v>0</v>
      </c>
    </row>
    <row r="243" spans="1:18" ht="15" customHeight="1" x14ac:dyDescent="0.25">
      <c r="A243" s="7">
        <v>242</v>
      </c>
      <c r="B243" s="8" t="s">
        <v>151</v>
      </c>
      <c r="C243" s="7">
        <v>2013</v>
      </c>
      <c r="D243" s="7">
        <v>2014</v>
      </c>
      <c r="E243" s="3">
        <v>41585</v>
      </c>
      <c r="F243" s="4">
        <f t="shared" si="18"/>
        <v>11</v>
      </c>
      <c r="G243" s="4">
        <f t="shared" si="19"/>
        <v>7</v>
      </c>
      <c r="H243" s="4">
        <f t="shared" si="20"/>
        <v>2013</v>
      </c>
      <c r="I243" s="10" t="s">
        <v>157</v>
      </c>
      <c r="J243" s="7" t="s">
        <v>5</v>
      </c>
      <c r="K243" s="7" t="s">
        <v>23</v>
      </c>
      <c r="L243" s="7">
        <v>-3.5</v>
      </c>
      <c r="M243" s="7" t="s">
        <v>5</v>
      </c>
      <c r="N243" s="7">
        <v>107</v>
      </c>
      <c r="O243" s="7">
        <v>109</v>
      </c>
      <c r="P243" s="2" t="str">
        <f t="shared" si="23"/>
        <v>ATL</v>
      </c>
      <c r="Q243" s="2">
        <f t="shared" si="21"/>
        <v>1.5</v>
      </c>
      <c r="R243" s="7">
        <f t="shared" si="22"/>
        <v>1</v>
      </c>
    </row>
    <row r="244" spans="1:18" ht="15" customHeight="1" x14ac:dyDescent="0.25">
      <c r="A244" s="7">
        <v>243</v>
      </c>
      <c r="B244" s="8" t="s">
        <v>151</v>
      </c>
      <c r="C244" s="7">
        <v>2013</v>
      </c>
      <c r="D244" s="7">
        <v>2014</v>
      </c>
      <c r="E244" s="3">
        <v>41586</v>
      </c>
      <c r="F244" s="4">
        <f t="shared" si="18"/>
        <v>11</v>
      </c>
      <c r="G244" s="4">
        <f t="shared" si="19"/>
        <v>8</v>
      </c>
      <c r="H244" s="4">
        <f t="shared" si="20"/>
        <v>2013</v>
      </c>
      <c r="I244" s="10" t="s">
        <v>157</v>
      </c>
      <c r="J244" s="7" t="s">
        <v>6</v>
      </c>
      <c r="K244" s="7" t="s">
        <v>20</v>
      </c>
      <c r="L244" s="7">
        <v>-3.5</v>
      </c>
      <c r="M244" s="7" t="s">
        <v>20</v>
      </c>
      <c r="N244" s="7">
        <v>79</v>
      </c>
      <c r="O244" s="7">
        <v>94</v>
      </c>
      <c r="P244" s="2" t="str">
        <f t="shared" si="23"/>
        <v>PHI</v>
      </c>
      <c r="Q244" s="2">
        <f t="shared" si="21"/>
        <v>11.5</v>
      </c>
      <c r="R244" s="7">
        <f t="shared" si="22"/>
        <v>1</v>
      </c>
    </row>
    <row r="245" spans="1:18" ht="15" customHeight="1" x14ac:dyDescent="0.25">
      <c r="A245" s="7">
        <v>244</v>
      </c>
      <c r="B245" s="8" t="s">
        <v>151</v>
      </c>
      <c r="C245" s="7">
        <v>2013</v>
      </c>
      <c r="D245" s="7">
        <v>2014</v>
      </c>
      <c r="E245" s="3">
        <v>41587</v>
      </c>
      <c r="F245" s="4">
        <f t="shared" si="18"/>
        <v>11</v>
      </c>
      <c r="G245" s="4">
        <f t="shared" si="19"/>
        <v>9</v>
      </c>
      <c r="H245" s="4">
        <f t="shared" si="20"/>
        <v>2013</v>
      </c>
      <c r="I245" s="10" t="s">
        <v>157</v>
      </c>
      <c r="J245" s="7" t="s">
        <v>1</v>
      </c>
      <c r="K245" s="7" t="s">
        <v>21</v>
      </c>
      <c r="L245" s="7">
        <v>-2</v>
      </c>
      <c r="M245" s="7" t="s">
        <v>21</v>
      </c>
      <c r="N245" s="7">
        <v>96</v>
      </c>
      <c r="O245" s="7">
        <v>85</v>
      </c>
      <c r="P245" s="2" t="str">
        <f t="shared" si="23"/>
        <v>POR</v>
      </c>
      <c r="Q245" s="2">
        <f t="shared" si="21"/>
        <v>-13</v>
      </c>
      <c r="R245" s="7">
        <f t="shared" si="22"/>
        <v>0</v>
      </c>
    </row>
    <row r="246" spans="1:18" ht="15" customHeight="1" x14ac:dyDescent="0.25">
      <c r="A246" s="7">
        <v>245</v>
      </c>
      <c r="B246" s="8" t="s">
        <v>151</v>
      </c>
      <c r="C246" s="7">
        <v>2013</v>
      </c>
      <c r="D246" s="7">
        <v>2014</v>
      </c>
      <c r="E246" s="3">
        <v>41588</v>
      </c>
      <c r="F246" s="4">
        <f t="shared" si="18"/>
        <v>11</v>
      </c>
      <c r="G246" s="4">
        <f t="shared" si="19"/>
        <v>10</v>
      </c>
      <c r="H246" s="4">
        <f t="shared" si="20"/>
        <v>2013</v>
      </c>
      <c r="I246" s="10" t="s">
        <v>157</v>
      </c>
      <c r="J246" s="7" t="s">
        <v>124</v>
      </c>
      <c r="K246" s="7" t="s">
        <v>19</v>
      </c>
      <c r="L246" s="7">
        <v>1.5</v>
      </c>
      <c r="M246" s="7" t="s">
        <v>19</v>
      </c>
      <c r="N246" s="7">
        <v>94</v>
      </c>
      <c r="O246" s="7">
        <v>101</v>
      </c>
      <c r="P246" s="2" t="str">
        <f t="shared" si="23"/>
        <v>PHX</v>
      </c>
      <c r="Q246" s="2">
        <f t="shared" si="21"/>
        <v>8.5</v>
      </c>
      <c r="R246" s="7">
        <f t="shared" si="22"/>
        <v>1</v>
      </c>
    </row>
    <row r="247" spans="1:18" ht="15" customHeight="1" x14ac:dyDescent="0.25">
      <c r="A247" s="7">
        <v>246</v>
      </c>
      <c r="B247" s="8" t="s">
        <v>151</v>
      </c>
      <c r="C247" s="7">
        <v>2013</v>
      </c>
      <c r="D247" s="7">
        <v>2014</v>
      </c>
      <c r="E247" s="3">
        <v>41589</v>
      </c>
      <c r="F247" s="4">
        <f t="shared" si="18"/>
        <v>11</v>
      </c>
      <c r="G247" s="4">
        <f t="shared" si="19"/>
        <v>11</v>
      </c>
      <c r="H247" s="4">
        <f t="shared" si="20"/>
        <v>2013</v>
      </c>
      <c r="I247" s="10" t="s">
        <v>157</v>
      </c>
      <c r="J247" s="7" t="s">
        <v>2</v>
      </c>
      <c r="K247" s="7" t="s">
        <v>4</v>
      </c>
      <c r="L247" s="7">
        <v>-8</v>
      </c>
      <c r="M247" s="7" t="s">
        <v>2</v>
      </c>
      <c r="N247" s="7">
        <v>104</v>
      </c>
      <c r="O247" s="7">
        <v>110</v>
      </c>
      <c r="P247" s="7" t="str">
        <f t="shared" si="23"/>
        <v>TOR</v>
      </c>
      <c r="Q247" s="7">
        <f t="shared" si="21"/>
        <v>2</v>
      </c>
      <c r="R247" s="7">
        <f t="shared" si="22"/>
        <v>1</v>
      </c>
    </row>
    <row r="248" spans="1:18" ht="15" customHeight="1" x14ac:dyDescent="0.25">
      <c r="A248" s="7">
        <v>247</v>
      </c>
      <c r="B248" s="8" t="s">
        <v>151</v>
      </c>
      <c r="C248" s="7">
        <v>2013</v>
      </c>
      <c r="D248" s="7">
        <v>2014</v>
      </c>
      <c r="E248" s="3">
        <v>41590</v>
      </c>
      <c r="F248" s="4">
        <f t="shared" si="18"/>
        <v>11</v>
      </c>
      <c r="G248" s="4">
        <f t="shared" si="19"/>
        <v>12</v>
      </c>
      <c r="H248" s="4">
        <f t="shared" si="20"/>
        <v>2013</v>
      </c>
      <c r="I248" s="10" t="s">
        <v>157</v>
      </c>
      <c r="J248" s="7" t="s">
        <v>7</v>
      </c>
      <c r="K248" s="7" t="s">
        <v>114</v>
      </c>
      <c r="L248" s="7">
        <v>-9</v>
      </c>
      <c r="M248" s="7" t="s">
        <v>114</v>
      </c>
      <c r="N248" s="7">
        <v>95</v>
      </c>
      <c r="O248" s="7">
        <v>113</v>
      </c>
      <c r="P248" s="7" t="str">
        <f t="shared" si="23"/>
        <v>GS</v>
      </c>
      <c r="Q248" s="7">
        <f t="shared" si="21"/>
        <v>9</v>
      </c>
      <c r="R248" s="7">
        <f t="shared" si="22"/>
        <v>1</v>
      </c>
    </row>
    <row r="249" spans="1:18" ht="15" customHeight="1" x14ac:dyDescent="0.25">
      <c r="A249" s="7">
        <v>248</v>
      </c>
      <c r="B249" s="8" t="s">
        <v>151</v>
      </c>
      <c r="C249" s="7">
        <v>2013</v>
      </c>
      <c r="D249" s="7">
        <v>2014</v>
      </c>
      <c r="E249" s="3">
        <v>41591</v>
      </c>
      <c r="F249" s="4">
        <f t="shared" si="18"/>
        <v>11</v>
      </c>
      <c r="G249" s="4">
        <f t="shared" si="19"/>
        <v>13</v>
      </c>
      <c r="H249" s="4">
        <f t="shared" si="20"/>
        <v>2013</v>
      </c>
      <c r="I249" s="10" t="s">
        <v>157</v>
      </c>
      <c r="J249" s="7" t="s">
        <v>8</v>
      </c>
      <c r="K249" s="7" t="s">
        <v>17</v>
      </c>
      <c r="L249" s="7">
        <v>-5.5</v>
      </c>
      <c r="M249" s="7" t="s">
        <v>8</v>
      </c>
      <c r="N249" s="7">
        <v>89</v>
      </c>
      <c r="O249" s="7">
        <v>83</v>
      </c>
      <c r="P249" s="7" t="str">
        <f t="shared" si="23"/>
        <v>CHA</v>
      </c>
      <c r="Q249" s="7">
        <f t="shared" si="21"/>
        <v>11.5</v>
      </c>
      <c r="R249" s="7">
        <f t="shared" si="22"/>
        <v>1</v>
      </c>
    </row>
    <row r="250" spans="1:18" ht="15" customHeight="1" x14ac:dyDescent="0.25">
      <c r="A250" s="7">
        <v>249</v>
      </c>
      <c r="B250" s="8" t="s">
        <v>151</v>
      </c>
      <c r="C250" s="7">
        <v>2013</v>
      </c>
      <c r="D250" s="7">
        <v>2014</v>
      </c>
      <c r="E250" s="3">
        <v>41592</v>
      </c>
      <c r="F250" s="4">
        <f t="shared" si="18"/>
        <v>11</v>
      </c>
      <c r="G250" s="4">
        <f t="shared" si="19"/>
        <v>14</v>
      </c>
      <c r="H250" s="4">
        <f t="shared" si="20"/>
        <v>2013</v>
      </c>
      <c r="I250" s="10" t="s">
        <v>157</v>
      </c>
      <c r="J250" s="7" t="s">
        <v>4</v>
      </c>
      <c r="K250" s="7" t="s">
        <v>126</v>
      </c>
      <c r="L250" s="7">
        <v>1.5</v>
      </c>
      <c r="M250" s="7" t="s">
        <v>4</v>
      </c>
      <c r="N250" s="7">
        <v>109</v>
      </c>
      <c r="O250" s="7">
        <v>106</v>
      </c>
      <c r="P250" s="7" t="str">
        <f t="shared" si="23"/>
        <v>HOU</v>
      </c>
      <c r="Q250" s="7">
        <f t="shared" si="21"/>
        <v>1.5</v>
      </c>
      <c r="R250" s="7">
        <f t="shared" si="22"/>
        <v>1</v>
      </c>
    </row>
    <row r="251" spans="1:18" ht="15" customHeight="1" x14ac:dyDescent="0.25">
      <c r="A251" s="7">
        <v>250</v>
      </c>
      <c r="B251" s="8" t="s">
        <v>151</v>
      </c>
      <c r="C251" s="7">
        <v>2013</v>
      </c>
      <c r="D251" s="7">
        <v>2014</v>
      </c>
      <c r="E251" s="3">
        <v>41593</v>
      </c>
      <c r="F251" s="4">
        <f t="shared" si="18"/>
        <v>11</v>
      </c>
      <c r="G251" s="4">
        <f t="shared" si="19"/>
        <v>15</v>
      </c>
      <c r="H251" s="4">
        <f t="shared" si="20"/>
        <v>2013</v>
      </c>
      <c r="I251" s="10" t="s">
        <v>157</v>
      </c>
      <c r="J251" s="7" t="s">
        <v>3</v>
      </c>
      <c r="K251" s="7" t="s">
        <v>23</v>
      </c>
      <c r="L251" s="7">
        <v>2</v>
      </c>
      <c r="M251" s="7" t="s">
        <v>3</v>
      </c>
      <c r="N251" s="7">
        <v>113</v>
      </c>
      <c r="O251" s="7">
        <v>117</v>
      </c>
      <c r="P251" s="7" t="str">
        <f t="shared" si="23"/>
        <v>DEN</v>
      </c>
      <c r="Q251" s="7">
        <f t="shared" si="21"/>
        <v>-6</v>
      </c>
      <c r="R251" s="7">
        <f t="shared" si="22"/>
        <v>0</v>
      </c>
    </row>
    <row r="252" spans="1:18" ht="15" customHeight="1" x14ac:dyDescent="0.25">
      <c r="A252" s="7">
        <v>251</v>
      </c>
      <c r="B252" s="8" t="s">
        <v>151</v>
      </c>
      <c r="C252" s="7">
        <v>2013</v>
      </c>
      <c r="D252" s="7">
        <v>2014</v>
      </c>
      <c r="E252" s="3">
        <v>41594</v>
      </c>
      <c r="F252" s="4">
        <f t="shared" si="18"/>
        <v>11</v>
      </c>
      <c r="G252" s="4">
        <f t="shared" si="19"/>
        <v>16</v>
      </c>
      <c r="H252" s="4">
        <f t="shared" si="20"/>
        <v>2013</v>
      </c>
      <c r="I252" s="10" t="s">
        <v>157</v>
      </c>
      <c r="J252" s="7" t="s">
        <v>6</v>
      </c>
      <c r="K252" s="7" t="s">
        <v>139</v>
      </c>
      <c r="L252" s="7">
        <v>-7.5</v>
      </c>
      <c r="M252" s="7" t="s">
        <v>6</v>
      </c>
      <c r="N252" s="7">
        <v>103</v>
      </c>
      <c r="O252" s="7">
        <v>96</v>
      </c>
      <c r="P252" s="7" t="str">
        <f t="shared" si="23"/>
        <v>CLE</v>
      </c>
      <c r="Q252" s="7">
        <f t="shared" si="21"/>
        <v>14.5</v>
      </c>
      <c r="R252" s="7">
        <f t="shared" si="22"/>
        <v>1</v>
      </c>
    </row>
    <row r="253" spans="1:18" ht="15" customHeight="1" x14ac:dyDescent="0.25">
      <c r="A253" s="7">
        <v>252</v>
      </c>
      <c r="B253" s="8" t="s">
        <v>151</v>
      </c>
      <c r="C253" s="7">
        <v>2013</v>
      </c>
      <c r="D253" s="7">
        <v>2014</v>
      </c>
      <c r="E253" s="3">
        <v>41595</v>
      </c>
      <c r="F253" s="4">
        <f t="shared" si="18"/>
        <v>11</v>
      </c>
      <c r="G253" s="4">
        <f t="shared" si="19"/>
        <v>17</v>
      </c>
      <c r="H253" s="4">
        <f t="shared" si="20"/>
        <v>2013</v>
      </c>
      <c r="I253" s="10" t="s">
        <v>157</v>
      </c>
      <c r="J253" s="7" t="s">
        <v>7</v>
      </c>
      <c r="K253" s="7" t="s">
        <v>18</v>
      </c>
      <c r="L253" s="7">
        <v>2</v>
      </c>
      <c r="M253" s="7" t="s">
        <v>18</v>
      </c>
      <c r="N253" s="7">
        <v>99</v>
      </c>
      <c r="O253" s="7">
        <v>114</v>
      </c>
      <c r="P253" s="7" t="str">
        <f t="shared" si="23"/>
        <v>LAL</v>
      </c>
      <c r="Q253" s="7">
        <f t="shared" si="21"/>
        <v>17</v>
      </c>
      <c r="R253" s="7">
        <f t="shared" si="22"/>
        <v>1</v>
      </c>
    </row>
    <row r="254" spans="1:18" ht="15" customHeight="1" x14ac:dyDescent="0.25">
      <c r="A254" s="7">
        <v>253</v>
      </c>
      <c r="B254" s="8" t="s">
        <v>151</v>
      </c>
      <c r="C254" s="7">
        <v>2013</v>
      </c>
      <c r="D254" s="7">
        <v>2014</v>
      </c>
      <c r="E254" s="3">
        <v>41596</v>
      </c>
      <c r="F254" s="4">
        <f t="shared" si="18"/>
        <v>11</v>
      </c>
      <c r="G254" s="4">
        <f t="shared" si="19"/>
        <v>18</v>
      </c>
      <c r="H254" s="4">
        <f t="shared" si="20"/>
        <v>2013</v>
      </c>
      <c r="I254" s="10" t="s">
        <v>157</v>
      </c>
      <c r="J254" s="7" t="s">
        <v>9</v>
      </c>
      <c r="K254" s="7" t="s">
        <v>14</v>
      </c>
      <c r="L254" s="7">
        <v>-9</v>
      </c>
      <c r="M254" s="7" t="s">
        <v>9</v>
      </c>
      <c r="N254" s="7">
        <v>106</v>
      </c>
      <c r="O254" s="7">
        <v>102</v>
      </c>
      <c r="P254" s="7" t="str">
        <f t="shared" si="23"/>
        <v>MEM</v>
      </c>
      <c r="Q254" s="7">
        <f t="shared" si="21"/>
        <v>13</v>
      </c>
      <c r="R254" s="7">
        <f t="shared" si="22"/>
        <v>1</v>
      </c>
    </row>
    <row r="255" spans="1:18" ht="15" customHeight="1" x14ac:dyDescent="0.25">
      <c r="A255" s="7">
        <v>254</v>
      </c>
      <c r="B255" s="8" t="s">
        <v>151</v>
      </c>
      <c r="C255" s="7">
        <v>2013</v>
      </c>
      <c r="D255" s="7">
        <v>2014</v>
      </c>
      <c r="E255" s="3">
        <v>41597</v>
      </c>
      <c r="F255" s="4">
        <f t="shared" si="18"/>
        <v>11</v>
      </c>
      <c r="G255" s="4">
        <f t="shared" si="19"/>
        <v>19</v>
      </c>
      <c r="H255" s="4">
        <f t="shared" si="20"/>
        <v>2013</v>
      </c>
      <c r="I255" s="10" t="s">
        <v>157</v>
      </c>
      <c r="J255" s="2" t="s">
        <v>3</v>
      </c>
      <c r="K255" s="2" t="s">
        <v>139</v>
      </c>
      <c r="L255" s="2">
        <v>3.5</v>
      </c>
      <c r="M255" s="2" t="s">
        <v>3</v>
      </c>
      <c r="N255" s="2">
        <v>100</v>
      </c>
      <c r="O255" s="2">
        <v>104</v>
      </c>
      <c r="P255" s="2" t="str">
        <f t="shared" si="23"/>
        <v>WSH</v>
      </c>
      <c r="Q255" s="2">
        <f t="shared" si="21"/>
        <v>-7.5</v>
      </c>
      <c r="R255" s="7">
        <f t="shared" si="22"/>
        <v>0</v>
      </c>
    </row>
    <row r="256" spans="1:18" ht="15" customHeight="1" x14ac:dyDescent="0.25">
      <c r="A256" s="7">
        <v>255</v>
      </c>
      <c r="B256" s="8" t="s">
        <v>151</v>
      </c>
      <c r="C256" s="7">
        <v>2013</v>
      </c>
      <c r="D256" s="7">
        <v>2014</v>
      </c>
      <c r="E256" s="3">
        <v>41598</v>
      </c>
      <c r="F256" s="4">
        <f t="shared" si="18"/>
        <v>11</v>
      </c>
      <c r="G256" s="4">
        <f t="shared" si="19"/>
        <v>20</v>
      </c>
      <c r="H256" s="4">
        <f t="shared" si="20"/>
        <v>2013</v>
      </c>
      <c r="I256" s="10" t="s">
        <v>157</v>
      </c>
      <c r="J256" s="2" t="s">
        <v>1</v>
      </c>
      <c r="K256" s="2" t="s">
        <v>10</v>
      </c>
      <c r="L256" s="2">
        <v>4</v>
      </c>
      <c r="M256" s="2" t="s">
        <v>1</v>
      </c>
      <c r="N256" s="2">
        <v>91</v>
      </c>
      <c r="O256" s="2">
        <v>82</v>
      </c>
      <c r="P256" s="2" t="str">
        <f t="shared" si="23"/>
        <v>POR</v>
      </c>
      <c r="Q256" s="2">
        <f t="shared" si="21"/>
        <v>5</v>
      </c>
      <c r="R256" s="7">
        <f t="shared" si="22"/>
        <v>1</v>
      </c>
    </row>
    <row r="257" spans="1:18" ht="15" customHeight="1" x14ac:dyDescent="0.25">
      <c r="A257" s="7">
        <v>256</v>
      </c>
      <c r="B257" s="8" t="s">
        <v>151</v>
      </c>
      <c r="C257" s="7">
        <v>2013</v>
      </c>
      <c r="D257" s="7">
        <v>2014</v>
      </c>
      <c r="E257" s="3">
        <v>41599</v>
      </c>
      <c r="F257" s="4">
        <f t="shared" si="18"/>
        <v>11</v>
      </c>
      <c r="G257" s="4">
        <f t="shared" si="19"/>
        <v>21</v>
      </c>
      <c r="H257" s="4">
        <f t="shared" si="20"/>
        <v>2013</v>
      </c>
      <c r="I257" s="10" t="s">
        <v>157</v>
      </c>
      <c r="J257" s="2" t="s">
        <v>0</v>
      </c>
      <c r="K257" s="2" t="s">
        <v>23</v>
      </c>
      <c r="L257" s="2">
        <v>1</v>
      </c>
      <c r="M257" s="2" t="s">
        <v>0</v>
      </c>
      <c r="N257" s="2">
        <v>87</v>
      </c>
      <c r="O257" s="2">
        <v>97</v>
      </c>
      <c r="P257" s="2" t="str">
        <f t="shared" si="23"/>
        <v>DEN</v>
      </c>
      <c r="Q257" s="2">
        <f t="shared" si="21"/>
        <v>-11</v>
      </c>
      <c r="R257" s="7">
        <f t="shared" si="22"/>
        <v>0</v>
      </c>
    </row>
    <row r="258" spans="1:18" ht="15" customHeight="1" x14ac:dyDescent="0.25">
      <c r="A258" s="7">
        <v>257</v>
      </c>
      <c r="B258" s="8" t="s">
        <v>151</v>
      </c>
      <c r="C258" s="7">
        <v>2013</v>
      </c>
      <c r="D258" s="7">
        <v>2014</v>
      </c>
      <c r="E258" s="3">
        <v>41600</v>
      </c>
      <c r="F258" s="4">
        <f t="shared" ref="F258:F321" si="24">MONTH(E258)</f>
        <v>11</v>
      </c>
      <c r="G258" s="4">
        <f t="shared" ref="G258:G321" si="25">DAY(E258)</f>
        <v>22</v>
      </c>
      <c r="H258" s="4">
        <f t="shared" ref="H258:H321" si="26">YEAR(E258)</f>
        <v>2013</v>
      </c>
      <c r="I258" s="10" t="s">
        <v>157</v>
      </c>
      <c r="J258" s="2" t="s">
        <v>10</v>
      </c>
      <c r="K258" s="2" t="s">
        <v>20</v>
      </c>
      <c r="L258" s="2">
        <v>-3</v>
      </c>
      <c r="M258" s="2" t="s">
        <v>10</v>
      </c>
      <c r="N258" s="2">
        <v>107</v>
      </c>
      <c r="O258" s="2">
        <v>115</v>
      </c>
      <c r="P258" s="2" t="str">
        <f t="shared" si="23"/>
        <v>PHI</v>
      </c>
      <c r="Q258" s="2">
        <f t="shared" ref="Q258:Q321" si="27">IF(AND(N258&gt;0,O258&gt;0,(O258+L258)=N258),0,IF(P258="","",IF(P258=M258,ABS((O258+L258)-N258),-ABS((O258+L258)-N258))))</f>
        <v>-5</v>
      </c>
      <c r="R258" s="7">
        <f t="shared" si="22"/>
        <v>0</v>
      </c>
    </row>
    <row r="259" spans="1:18" ht="15" customHeight="1" x14ac:dyDescent="0.25">
      <c r="A259" s="7">
        <v>258</v>
      </c>
      <c r="B259" s="8" t="s">
        <v>151</v>
      </c>
      <c r="C259" s="7">
        <v>2013</v>
      </c>
      <c r="D259" s="7">
        <v>2014</v>
      </c>
      <c r="E259" s="3">
        <v>41601</v>
      </c>
      <c r="F259" s="4">
        <f t="shared" si="24"/>
        <v>11</v>
      </c>
      <c r="G259" s="4">
        <f t="shared" si="25"/>
        <v>23</v>
      </c>
      <c r="H259" s="4">
        <f t="shared" si="26"/>
        <v>2013</v>
      </c>
      <c r="I259" s="10" t="s">
        <v>157</v>
      </c>
      <c r="J259" s="2" t="s">
        <v>8</v>
      </c>
      <c r="K259" s="2" t="s">
        <v>10</v>
      </c>
      <c r="L259" s="2">
        <v>-2</v>
      </c>
      <c r="M259" s="2" t="s">
        <v>8</v>
      </c>
      <c r="N259" s="2">
        <v>96</v>
      </c>
      <c r="O259" s="2">
        <v>72</v>
      </c>
      <c r="P259" s="2" t="str">
        <f t="shared" si="23"/>
        <v>CHA</v>
      </c>
      <c r="Q259" s="2">
        <f t="shared" si="27"/>
        <v>26</v>
      </c>
      <c r="R259" s="7">
        <f t="shared" ref="R259:R322" si="28">IF(Q259="","",IF(P259=M259,1,IF(Q259=0,"na",0)))</f>
        <v>1</v>
      </c>
    </row>
    <row r="260" spans="1:18" ht="15" customHeight="1" x14ac:dyDescent="0.25">
      <c r="A260" s="7">
        <v>259</v>
      </c>
      <c r="B260" s="8" t="s">
        <v>151</v>
      </c>
      <c r="C260" s="7">
        <v>2013</v>
      </c>
      <c r="D260" s="7">
        <v>2014</v>
      </c>
      <c r="E260" s="3">
        <v>41602</v>
      </c>
      <c r="F260" s="4">
        <f t="shared" si="24"/>
        <v>11</v>
      </c>
      <c r="G260" s="4">
        <f t="shared" si="25"/>
        <v>24</v>
      </c>
      <c r="H260" s="4">
        <f t="shared" si="26"/>
        <v>2013</v>
      </c>
      <c r="I260" s="10" t="s">
        <v>157</v>
      </c>
      <c r="J260" s="2" t="s">
        <v>7</v>
      </c>
      <c r="K260" s="2" t="s">
        <v>22</v>
      </c>
      <c r="L260" s="2">
        <v>-2</v>
      </c>
      <c r="M260" s="2" t="s">
        <v>22</v>
      </c>
      <c r="N260" s="2">
        <v>109</v>
      </c>
      <c r="O260" s="2">
        <v>97</v>
      </c>
      <c r="P260" s="2" t="str">
        <f t="shared" si="23"/>
        <v>DET</v>
      </c>
      <c r="Q260" s="2">
        <f t="shared" si="27"/>
        <v>-14</v>
      </c>
      <c r="R260" s="7">
        <f t="shared" si="28"/>
        <v>0</v>
      </c>
    </row>
    <row r="261" spans="1:18" ht="15" customHeight="1" x14ac:dyDescent="0.25">
      <c r="A261" s="7">
        <v>260</v>
      </c>
      <c r="B261" s="8" t="s">
        <v>151</v>
      </c>
      <c r="C261" s="7">
        <v>2013</v>
      </c>
      <c r="D261" s="7">
        <v>2014</v>
      </c>
      <c r="E261" s="3">
        <v>41603</v>
      </c>
      <c r="F261" s="4">
        <f t="shared" si="24"/>
        <v>11</v>
      </c>
      <c r="G261" s="4">
        <f t="shared" si="25"/>
        <v>25</v>
      </c>
      <c r="H261" s="4">
        <f t="shared" si="26"/>
        <v>2013</v>
      </c>
      <c r="I261" s="10" t="s">
        <v>157</v>
      </c>
      <c r="J261" s="2" t="s">
        <v>10</v>
      </c>
      <c r="K261" s="2" t="s">
        <v>7</v>
      </c>
      <c r="L261" s="2">
        <v>-7</v>
      </c>
      <c r="M261" s="2" t="s">
        <v>10</v>
      </c>
      <c r="N261" s="2">
        <v>94</v>
      </c>
      <c r="O261" s="2">
        <v>113</v>
      </c>
      <c r="P261" s="2" t="str">
        <f t="shared" si="23"/>
        <v>DET</v>
      </c>
      <c r="Q261" s="2">
        <f t="shared" si="27"/>
        <v>-12</v>
      </c>
      <c r="R261" s="7">
        <f t="shared" si="28"/>
        <v>0</v>
      </c>
    </row>
    <row r="262" spans="1:18" ht="15" customHeight="1" x14ac:dyDescent="0.25">
      <c r="A262" s="7">
        <v>261</v>
      </c>
      <c r="B262" s="8" t="s">
        <v>151</v>
      </c>
      <c r="C262" s="7">
        <v>2013</v>
      </c>
      <c r="D262" s="7">
        <v>2014</v>
      </c>
      <c r="E262" s="3">
        <v>41604</v>
      </c>
      <c r="F262" s="4">
        <f t="shared" si="24"/>
        <v>11</v>
      </c>
      <c r="G262" s="4">
        <f t="shared" si="25"/>
        <v>26</v>
      </c>
      <c r="H262" s="4">
        <f t="shared" si="26"/>
        <v>2013</v>
      </c>
      <c r="I262" s="10" t="s">
        <v>157</v>
      </c>
      <c r="J262" s="2" t="s">
        <v>114</v>
      </c>
      <c r="K262" s="2" t="s">
        <v>124</v>
      </c>
      <c r="L262" s="2">
        <v>2</v>
      </c>
      <c r="M262" s="2" t="s">
        <v>124</v>
      </c>
      <c r="N262" s="2">
        <v>102</v>
      </c>
      <c r="O262" s="2">
        <v>101</v>
      </c>
      <c r="P262" s="2" t="str">
        <f t="shared" ref="P262:P325" si="29">IF(OR(N262="",O262=""),"",IF((O262+L262)&gt;N262,K262,IF((O262+L262)=N262,"N/A",J262)))</f>
        <v>NO</v>
      </c>
      <c r="Q262" s="2">
        <f t="shared" si="27"/>
        <v>1</v>
      </c>
      <c r="R262" s="7">
        <f t="shared" si="28"/>
        <v>1</v>
      </c>
    </row>
    <row r="263" spans="1:18" ht="15" customHeight="1" x14ac:dyDescent="0.25">
      <c r="A263" s="7">
        <v>262</v>
      </c>
      <c r="B263" s="8" t="s">
        <v>151</v>
      </c>
      <c r="C263" s="7">
        <v>2013</v>
      </c>
      <c r="D263" s="7">
        <v>2014</v>
      </c>
      <c r="E263" s="3">
        <v>41605</v>
      </c>
      <c r="F263" s="4">
        <f t="shared" si="24"/>
        <v>11</v>
      </c>
      <c r="G263" s="4">
        <f t="shared" si="25"/>
        <v>27</v>
      </c>
      <c r="H263" s="4">
        <f t="shared" si="26"/>
        <v>2013</v>
      </c>
      <c r="I263" s="10" t="s">
        <v>157</v>
      </c>
      <c r="J263" s="2" t="s">
        <v>134</v>
      </c>
      <c r="K263" s="2" t="s">
        <v>12</v>
      </c>
      <c r="L263" s="2">
        <v>2.5</v>
      </c>
      <c r="M263" s="2" t="s">
        <v>134</v>
      </c>
      <c r="N263" s="2">
        <v>88</v>
      </c>
      <c r="O263" s="2">
        <v>94</v>
      </c>
      <c r="P263" s="2" t="str">
        <f t="shared" si="29"/>
        <v>OKC</v>
      </c>
      <c r="Q263" s="2">
        <f t="shared" si="27"/>
        <v>-8.5</v>
      </c>
      <c r="R263" s="7">
        <f t="shared" si="28"/>
        <v>0</v>
      </c>
    </row>
    <row r="264" spans="1:18" ht="15" customHeight="1" x14ac:dyDescent="0.25">
      <c r="A264" s="7">
        <v>263</v>
      </c>
      <c r="B264" s="8" t="s">
        <v>151</v>
      </c>
      <c r="C264" s="7">
        <v>2013</v>
      </c>
      <c r="D264" s="7">
        <v>2014</v>
      </c>
      <c r="E264" s="3">
        <v>41607</v>
      </c>
      <c r="F264" s="4">
        <f t="shared" si="24"/>
        <v>11</v>
      </c>
      <c r="G264" s="4">
        <f t="shared" si="25"/>
        <v>29</v>
      </c>
      <c r="H264" s="4">
        <f t="shared" si="26"/>
        <v>2013</v>
      </c>
      <c r="I264" s="10" t="s">
        <v>157</v>
      </c>
      <c r="J264" s="2" t="s">
        <v>134</v>
      </c>
      <c r="K264" s="2" t="s">
        <v>11</v>
      </c>
      <c r="L264" s="2">
        <v>9</v>
      </c>
      <c r="M264" s="2" t="s">
        <v>11</v>
      </c>
      <c r="N264" s="2">
        <v>109</v>
      </c>
      <c r="O264" s="2">
        <v>91</v>
      </c>
      <c r="P264" s="2" t="str">
        <f t="shared" si="29"/>
        <v>SA</v>
      </c>
      <c r="Q264" s="2">
        <f t="shared" si="27"/>
        <v>-9</v>
      </c>
      <c r="R264" s="7">
        <f t="shared" si="28"/>
        <v>0</v>
      </c>
    </row>
    <row r="265" spans="1:18" ht="15" customHeight="1" x14ac:dyDescent="0.25">
      <c r="A265" s="7">
        <v>264</v>
      </c>
      <c r="B265" s="8" t="s">
        <v>151</v>
      </c>
      <c r="C265" s="7">
        <v>2013</v>
      </c>
      <c r="D265" s="7">
        <v>2014</v>
      </c>
      <c r="E265" s="3">
        <v>41608</v>
      </c>
      <c r="F265" s="4">
        <f t="shared" si="24"/>
        <v>11</v>
      </c>
      <c r="G265" s="4">
        <f t="shared" si="25"/>
        <v>30</v>
      </c>
      <c r="H265" s="4">
        <f t="shared" si="26"/>
        <v>2013</v>
      </c>
      <c r="I265" s="10" t="s">
        <v>157</v>
      </c>
      <c r="J265" s="2" t="s">
        <v>5</v>
      </c>
      <c r="K265" s="2" t="s">
        <v>139</v>
      </c>
      <c r="L265" s="2">
        <v>-3.5</v>
      </c>
      <c r="M265" s="2" t="s">
        <v>139</v>
      </c>
      <c r="N265" s="2">
        <v>101</v>
      </c>
      <c r="O265" s="2">
        <v>108</v>
      </c>
      <c r="P265" s="2" t="str">
        <f t="shared" si="29"/>
        <v>WSH</v>
      </c>
      <c r="Q265" s="2">
        <f t="shared" si="27"/>
        <v>3.5</v>
      </c>
      <c r="R265" s="7">
        <f t="shared" si="28"/>
        <v>1</v>
      </c>
    </row>
    <row r="266" spans="1:18" ht="15" customHeight="1" x14ac:dyDescent="0.25">
      <c r="A266" s="7">
        <v>265</v>
      </c>
      <c r="B266" s="8" t="s">
        <v>151</v>
      </c>
      <c r="C266" s="7">
        <v>2013</v>
      </c>
      <c r="D266" s="7">
        <v>2014</v>
      </c>
      <c r="E266" s="3">
        <v>41609</v>
      </c>
      <c r="F266" s="4">
        <f t="shared" si="24"/>
        <v>12</v>
      </c>
      <c r="G266" s="4">
        <f t="shared" si="25"/>
        <v>1</v>
      </c>
      <c r="H266" s="4">
        <f t="shared" si="26"/>
        <v>2013</v>
      </c>
      <c r="I266" s="10" t="s">
        <v>157</v>
      </c>
      <c r="J266" s="2" t="s">
        <v>1</v>
      </c>
      <c r="K266" s="2" t="s">
        <v>18</v>
      </c>
      <c r="L266" s="2">
        <v>3.5</v>
      </c>
      <c r="M266" s="2" t="s">
        <v>1</v>
      </c>
      <c r="N266" s="2">
        <v>114</v>
      </c>
      <c r="O266" s="2">
        <v>108</v>
      </c>
      <c r="P266" s="2" t="str">
        <f t="shared" si="29"/>
        <v>POR</v>
      </c>
      <c r="Q266" s="2">
        <f t="shared" si="27"/>
        <v>2.5</v>
      </c>
      <c r="R266" s="7">
        <f t="shared" si="28"/>
        <v>1</v>
      </c>
    </row>
    <row r="267" spans="1:18" ht="15" customHeight="1" x14ac:dyDescent="0.25">
      <c r="A267" s="7">
        <v>266</v>
      </c>
      <c r="B267" s="8" t="s">
        <v>151</v>
      </c>
      <c r="C267" s="7">
        <v>2013</v>
      </c>
      <c r="D267" s="7">
        <v>2014</v>
      </c>
      <c r="E267" s="3">
        <v>41610</v>
      </c>
      <c r="F267" s="4">
        <f t="shared" si="24"/>
        <v>12</v>
      </c>
      <c r="G267" s="4">
        <f t="shared" si="25"/>
        <v>2</v>
      </c>
      <c r="H267" s="4">
        <f t="shared" si="26"/>
        <v>2013</v>
      </c>
      <c r="I267" s="10" t="s">
        <v>157</v>
      </c>
      <c r="J267" s="2" t="s">
        <v>11</v>
      </c>
      <c r="K267" s="2" t="s">
        <v>139</v>
      </c>
      <c r="L267" s="2">
        <v>-7</v>
      </c>
      <c r="M267" s="2" t="s">
        <v>11</v>
      </c>
      <c r="N267" s="2">
        <v>80</v>
      </c>
      <c r="O267" s="2">
        <v>98</v>
      </c>
      <c r="P267" s="2" t="str">
        <f t="shared" si="29"/>
        <v>WSH</v>
      </c>
      <c r="Q267" s="2">
        <f t="shared" si="27"/>
        <v>-11</v>
      </c>
      <c r="R267" s="7">
        <f t="shared" si="28"/>
        <v>0</v>
      </c>
    </row>
    <row r="268" spans="1:18" ht="15" customHeight="1" x14ac:dyDescent="0.25">
      <c r="A268" s="7">
        <v>267</v>
      </c>
      <c r="B268" s="8" t="s">
        <v>151</v>
      </c>
      <c r="C268" s="7">
        <v>2013</v>
      </c>
      <c r="D268" s="7">
        <v>2014</v>
      </c>
      <c r="E268" s="3">
        <v>41611</v>
      </c>
      <c r="F268" s="4">
        <f t="shared" si="24"/>
        <v>12</v>
      </c>
      <c r="G268" s="4">
        <f t="shared" si="25"/>
        <v>3</v>
      </c>
      <c r="H268" s="4">
        <f t="shared" si="26"/>
        <v>2013</v>
      </c>
      <c r="I268" s="10" t="s">
        <v>157</v>
      </c>
      <c r="J268" s="2" t="s">
        <v>12</v>
      </c>
      <c r="K268" s="2" t="s">
        <v>21</v>
      </c>
      <c r="L268" s="2">
        <v>7</v>
      </c>
      <c r="M268" s="2" t="s">
        <v>12</v>
      </c>
      <c r="N268" s="2">
        <v>97</v>
      </c>
      <c r="O268" s="2">
        <v>95</v>
      </c>
      <c r="P268" s="2" t="str">
        <f t="shared" si="29"/>
        <v>SAC</v>
      </c>
      <c r="Q268" s="2">
        <f t="shared" si="27"/>
        <v>-5</v>
      </c>
      <c r="R268" s="7">
        <f t="shared" si="28"/>
        <v>0</v>
      </c>
    </row>
    <row r="269" spans="1:18" ht="15" customHeight="1" x14ac:dyDescent="0.25">
      <c r="A269" s="7">
        <v>268</v>
      </c>
      <c r="B269" s="8" t="s">
        <v>151</v>
      </c>
      <c r="C269" s="7">
        <v>2013</v>
      </c>
      <c r="D269" s="7">
        <v>2014</v>
      </c>
      <c r="E269" s="3">
        <v>41612</v>
      </c>
      <c r="F269" s="4">
        <f t="shared" si="24"/>
        <v>12</v>
      </c>
      <c r="G269" s="4">
        <f t="shared" si="25"/>
        <v>4</v>
      </c>
      <c r="H269" s="4">
        <f t="shared" si="26"/>
        <v>2013</v>
      </c>
      <c r="I269" s="10" t="s">
        <v>157</v>
      </c>
      <c r="J269" s="2" t="s">
        <v>13</v>
      </c>
      <c r="K269" s="2" t="s">
        <v>137</v>
      </c>
      <c r="L269" s="2">
        <v>8.5</v>
      </c>
      <c r="M269" s="2" t="s">
        <v>13</v>
      </c>
      <c r="N269" s="2">
        <v>95</v>
      </c>
      <c r="O269" s="2">
        <v>86</v>
      </c>
      <c r="P269" s="2" t="str">
        <f t="shared" si="29"/>
        <v>IND</v>
      </c>
      <c r="Q269" s="2">
        <f t="shared" si="27"/>
        <v>0.5</v>
      </c>
      <c r="R269" s="7">
        <f t="shared" si="28"/>
        <v>1</v>
      </c>
    </row>
    <row r="270" spans="1:18" ht="15" customHeight="1" x14ac:dyDescent="0.25">
      <c r="A270" s="7">
        <v>269</v>
      </c>
      <c r="B270" s="8" t="s">
        <v>151</v>
      </c>
      <c r="C270" s="7">
        <v>2013</v>
      </c>
      <c r="D270" s="7">
        <v>2014</v>
      </c>
      <c r="E270" s="3">
        <v>41613</v>
      </c>
      <c r="F270" s="4">
        <f t="shared" si="24"/>
        <v>12</v>
      </c>
      <c r="G270" s="4">
        <f t="shared" si="25"/>
        <v>5</v>
      </c>
      <c r="H270" s="4">
        <f t="shared" si="26"/>
        <v>2013</v>
      </c>
      <c r="I270" s="10" t="s">
        <v>157</v>
      </c>
      <c r="J270" s="2" t="s">
        <v>14</v>
      </c>
      <c r="K270" s="2" t="s">
        <v>9</v>
      </c>
      <c r="L270" s="2">
        <v>-1</v>
      </c>
      <c r="M270" s="2" t="s">
        <v>14</v>
      </c>
      <c r="N270" s="2">
        <v>101</v>
      </c>
      <c r="O270" s="2">
        <v>81</v>
      </c>
      <c r="P270" s="2" t="str">
        <f t="shared" si="29"/>
        <v>LAC</v>
      </c>
      <c r="Q270" s="2">
        <f t="shared" si="27"/>
        <v>21</v>
      </c>
      <c r="R270" s="7">
        <f t="shared" si="28"/>
        <v>1</v>
      </c>
    </row>
    <row r="271" spans="1:18" ht="15" customHeight="1" x14ac:dyDescent="0.25">
      <c r="A271" s="7">
        <v>270</v>
      </c>
      <c r="B271" s="8" t="s">
        <v>151</v>
      </c>
      <c r="C271" s="7">
        <v>2013</v>
      </c>
      <c r="D271" s="7">
        <v>2014</v>
      </c>
      <c r="E271" s="3">
        <v>41614</v>
      </c>
      <c r="F271" s="4">
        <f t="shared" si="24"/>
        <v>12</v>
      </c>
      <c r="G271" s="4">
        <f t="shared" si="25"/>
        <v>6</v>
      </c>
      <c r="H271" s="4">
        <f t="shared" si="26"/>
        <v>2013</v>
      </c>
      <c r="I271" s="10" t="s">
        <v>157</v>
      </c>
      <c r="J271" s="2" t="s">
        <v>6</v>
      </c>
      <c r="K271" s="2" t="s">
        <v>5</v>
      </c>
      <c r="L271" s="2">
        <v>-6</v>
      </c>
      <c r="M271" s="2" t="s">
        <v>6</v>
      </c>
      <c r="N271" s="2">
        <v>89</v>
      </c>
      <c r="O271" s="2">
        <v>108</v>
      </c>
      <c r="P271" s="2" t="str">
        <f t="shared" si="29"/>
        <v>ATL</v>
      </c>
      <c r="Q271" s="2">
        <f t="shared" si="27"/>
        <v>-13</v>
      </c>
      <c r="R271" s="7">
        <f t="shared" si="28"/>
        <v>0</v>
      </c>
    </row>
    <row r="272" spans="1:18" ht="15" customHeight="1" x14ac:dyDescent="0.25">
      <c r="A272" s="7">
        <v>271</v>
      </c>
      <c r="B272" s="8" t="s">
        <v>151</v>
      </c>
      <c r="C272" s="7">
        <v>2013</v>
      </c>
      <c r="D272" s="7">
        <v>2014</v>
      </c>
      <c r="E272" s="3">
        <v>41615</v>
      </c>
      <c r="F272" s="4">
        <f t="shared" si="24"/>
        <v>12</v>
      </c>
      <c r="G272" s="4">
        <f t="shared" si="25"/>
        <v>7</v>
      </c>
      <c r="H272" s="4">
        <f t="shared" si="26"/>
        <v>2013</v>
      </c>
      <c r="I272" s="10" t="s">
        <v>157</v>
      </c>
      <c r="J272" s="2" t="s">
        <v>13</v>
      </c>
      <c r="K272" s="2" t="s">
        <v>134</v>
      </c>
      <c r="L272" s="2">
        <v>-3.5</v>
      </c>
      <c r="M272" s="2" t="s">
        <v>13</v>
      </c>
      <c r="N272" s="2">
        <v>111</v>
      </c>
      <c r="O272" s="2">
        <v>100</v>
      </c>
      <c r="P272" s="2" t="str">
        <f t="shared" si="29"/>
        <v>IND</v>
      </c>
      <c r="Q272" s="2">
        <f t="shared" si="27"/>
        <v>14.5</v>
      </c>
      <c r="R272" s="7">
        <f t="shared" si="28"/>
        <v>1</v>
      </c>
    </row>
    <row r="273" spans="1:18" ht="15" customHeight="1" x14ac:dyDescent="0.25">
      <c r="A273" s="7">
        <v>272</v>
      </c>
      <c r="B273" s="8" t="s">
        <v>151</v>
      </c>
      <c r="C273" s="7">
        <v>2013</v>
      </c>
      <c r="D273" s="7">
        <v>2014</v>
      </c>
      <c r="E273" s="3">
        <v>41616</v>
      </c>
      <c r="F273" s="4">
        <f t="shared" si="24"/>
        <v>12</v>
      </c>
      <c r="G273" s="4">
        <f t="shared" si="25"/>
        <v>8</v>
      </c>
      <c r="H273" s="4">
        <f t="shared" si="26"/>
        <v>2013</v>
      </c>
      <c r="I273" s="10" t="s">
        <v>157</v>
      </c>
      <c r="J273" s="2" t="s">
        <v>15</v>
      </c>
      <c r="K273" s="2" t="s">
        <v>7</v>
      </c>
      <c r="L273" s="2">
        <v>3.5</v>
      </c>
      <c r="M273" s="2" t="s">
        <v>15</v>
      </c>
      <c r="N273" s="2">
        <v>110</v>
      </c>
      <c r="O273" s="2">
        <v>95</v>
      </c>
      <c r="P273" s="2" t="str">
        <f t="shared" si="29"/>
        <v>MIA</v>
      </c>
      <c r="Q273" s="2">
        <f t="shared" si="27"/>
        <v>11.5</v>
      </c>
      <c r="R273" s="7">
        <f t="shared" si="28"/>
        <v>1</v>
      </c>
    </row>
    <row r="274" spans="1:18" ht="15" customHeight="1" x14ac:dyDescent="0.25">
      <c r="A274" s="7">
        <v>273</v>
      </c>
      <c r="B274" s="8" t="s">
        <v>151</v>
      </c>
      <c r="C274" s="7">
        <v>2013</v>
      </c>
      <c r="D274" s="7">
        <v>2014</v>
      </c>
      <c r="E274" s="3">
        <v>41617</v>
      </c>
      <c r="F274" s="4">
        <f t="shared" si="24"/>
        <v>12</v>
      </c>
      <c r="G274" s="4">
        <f t="shared" si="25"/>
        <v>9</v>
      </c>
      <c r="H274" s="4">
        <f t="shared" si="26"/>
        <v>2013</v>
      </c>
      <c r="I274" s="10" t="s">
        <v>157</v>
      </c>
      <c r="J274" s="7" t="s">
        <v>16</v>
      </c>
      <c r="K274" s="7" t="s">
        <v>21</v>
      </c>
      <c r="L274" s="7">
        <v>3.5</v>
      </c>
      <c r="M274" s="7" t="s">
        <v>16</v>
      </c>
      <c r="N274" s="7">
        <v>97</v>
      </c>
      <c r="O274" s="7">
        <v>112</v>
      </c>
      <c r="P274" s="2" t="str">
        <f t="shared" si="29"/>
        <v>SAC</v>
      </c>
      <c r="Q274" s="2">
        <f t="shared" si="27"/>
        <v>-18.5</v>
      </c>
      <c r="R274" s="7">
        <f t="shared" si="28"/>
        <v>0</v>
      </c>
    </row>
    <row r="275" spans="1:18" ht="15" customHeight="1" x14ac:dyDescent="0.25">
      <c r="A275" s="7">
        <v>274</v>
      </c>
      <c r="B275" s="8" t="s">
        <v>151</v>
      </c>
      <c r="C275" s="7">
        <v>2013</v>
      </c>
      <c r="D275" s="7">
        <v>2014</v>
      </c>
      <c r="E275" s="3">
        <v>41618</v>
      </c>
      <c r="F275" s="4">
        <f t="shared" si="24"/>
        <v>12</v>
      </c>
      <c r="G275" s="4">
        <f t="shared" si="25"/>
        <v>10</v>
      </c>
      <c r="H275" s="4">
        <f t="shared" si="26"/>
        <v>2013</v>
      </c>
      <c r="I275" s="10" t="s">
        <v>157</v>
      </c>
      <c r="J275" s="7" t="s">
        <v>17</v>
      </c>
      <c r="K275" s="7" t="s">
        <v>22</v>
      </c>
      <c r="L275" s="7">
        <v>-2</v>
      </c>
      <c r="M275" s="7" t="s">
        <v>17</v>
      </c>
      <c r="N275" s="7">
        <v>96</v>
      </c>
      <c r="O275" s="7">
        <v>104</v>
      </c>
      <c r="P275" s="2" t="str">
        <f t="shared" si="29"/>
        <v>BKN</v>
      </c>
      <c r="Q275" s="2">
        <f t="shared" si="27"/>
        <v>-6</v>
      </c>
      <c r="R275" s="7">
        <f t="shared" si="28"/>
        <v>0</v>
      </c>
    </row>
    <row r="276" spans="1:18" ht="15" customHeight="1" x14ac:dyDescent="0.25">
      <c r="A276" s="7">
        <v>275</v>
      </c>
      <c r="B276" s="8" t="s">
        <v>151</v>
      </c>
      <c r="C276" s="7">
        <v>2013</v>
      </c>
      <c r="D276" s="7">
        <v>2014</v>
      </c>
      <c r="E276" s="3">
        <v>41619</v>
      </c>
      <c r="F276" s="4">
        <f t="shared" si="24"/>
        <v>12</v>
      </c>
      <c r="G276" s="4">
        <f t="shared" si="25"/>
        <v>11</v>
      </c>
      <c r="H276" s="4">
        <f t="shared" si="26"/>
        <v>2013</v>
      </c>
      <c r="I276" s="10" t="s">
        <v>157</v>
      </c>
      <c r="J276" s="7" t="s">
        <v>7</v>
      </c>
      <c r="K276" s="7" t="s">
        <v>124</v>
      </c>
      <c r="L276" s="7">
        <v>-2.5</v>
      </c>
      <c r="M276" s="7" t="s">
        <v>124</v>
      </c>
      <c r="N276" s="7">
        <v>106</v>
      </c>
      <c r="O276" s="7">
        <v>111</v>
      </c>
      <c r="P276" s="2" t="str">
        <f t="shared" si="29"/>
        <v>NO</v>
      </c>
      <c r="Q276" s="2">
        <f t="shared" si="27"/>
        <v>2.5</v>
      </c>
      <c r="R276" s="7">
        <f t="shared" si="28"/>
        <v>1</v>
      </c>
    </row>
    <row r="277" spans="1:18" ht="15" customHeight="1" x14ac:dyDescent="0.25">
      <c r="A277" s="7">
        <v>276</v>
      </c>
      <c r="B277" s="8" t="s">
        <v>151</v>
      </c>
      <c r="C277" s="7">
        <v>2013</v>
      </c>
      <c r="D277" s="7">
        <v>2014</v>
      </c>
      <c r="E277" s="3">
        <v>41620</v>
      </c>
      <c r="F277" s="4">
        <f t="shared" si="24"/>
        <v>12</v>
      </c>
      <c r="G277" s="4">
        <f t="shared" si="25"/>
        <v>12</v>
      </c>
      <c r="H277" s="4">
        <f t="shared" si="26"/>
        <v>2013</v>
      </c>
      <c r="I277" s="10" t="s">
        <v>157</v>
      </c>
      <c r="J277" s="7" t="s">
        <v>14</v>
      </c>
      <c r="K277" s="7" t="s">
        <v>22</v>
      </c>
      <c r="L277" s="7">
        <v>2.5</v>
      </c>
      <c r="M277" s="7" t="s">
        <v>22</v>
      </c>
      <c r="N277" s="7">
        <v>93</v>
      </c>
      <c r="O277" s="7">
        <v>102</v>
      </c>
      <c r="P277" s="2" t="str">
        <f t="shared" si="29"/>
        <v>BKN</v>
      </c>
      <c r="Q277" s="2">
        <f t="shared" si="27"/>
        <v>11.5</v>
      </c>
      <c r="R277" s="7">
        <f t="shared" si="28"/>
        <v>1</v>
      </c>
    </row>
    <row r="278" spans="1:18" ht="15" customHeight="1" x14ac:dyDescent="0.25">
      <c r="A278" s="7">
        <v>277</v>
      </c>
      <c r="B278" s="8" t="s">
        <v>151</v>
      </c>
      <c r="C278" s="7">
        <v>2013</v>
      </c>
      <c r="D278" s="7">
        <v>2014</v>
      </c>
      <c r="E278" s="3">
        <v>41621</v>
      </c>
      <c r="F278" s="4">
        <f t="shared" si="24"/>
        <v>12</v>
      </c>
      <c r="G278" s="4">
        <f t="shared" si="25"/>
        <v>13</v>
      </c>
      <c r="H278" s="4">
        <f t="shared" si="26"/>
        <v>2013</v>
      </c>
      <c r="I278" s="10" t="s">
        <v>157</v>
      </c>
      <c r="J278" s="7" t="s">
        <v>9</v>
      </c>
      <c r="K278" s="7" t="s">
        <v>124</v>
      </c>
      <c r="L278" s="7">
        <v>-3.5</v>
      </c>
      <c r="M278" s="7" t="s">
        <v>9</v>
      </c>
      <c r="N278" s="7">
        <v>98</v>
      </c>
      <c r="O278" s="7">
        <v>104</v>
      </c>
      <c r="P278" s="2" t="str">
        <f t="shared" si="29"/>
        <v>NO</v>
      </c>
      <c r="Q278" s="2">
        <f t="shared" si="27"/>
        <v>-2.5</v>
      </c>
      <c r="R278" s="7">
        <f t="shared" si="28"/>
        <v>0</v>
      </c>
    </row>
    <row r="279" spans="1:18" ht="15" customHeight="1" x14ac:dyDescent="0.25">
      <c r="A279" s="7">
        <v>278</v>
      </c>
      <c r="B279" s="8" t="s">
        <v>151</v>
      </c>
      <c r="C279" s="7">
        <v>2013</v>
      </c>
      <c r="D279" s="7">
        <v>2014</v>
      </c>
      <c r="E279" s="3">
        <v>41622</v>
      </c>
      <c r="F279" s="4">
        <f t="shared" si="24"/>
        <v>12</v>
      </c>
      <c r="G279" s="4">
        <f t="shared" si="25"/>
        <v>14</v>
      </c>
      <c r="H279" s="4">
        <f t="shared" si="26"/>
        <v>2013</v>
      </c>
      <c r="I279" s="10" t="s">
        <v>157</v>
      </c>
      <c r="J279" s="7" t="s">
        <v>14</v>
      </c>
      <c r="K279" s="7" t="s">
        <v>139</v>
      </c>
      <c r="L279" s="7">
        <v>4</v>
      </c>
      <c r="M279" s="7" t="s">
        <v>14</v>
      </c>
      <c r="N279" s="7">
        <v>113</v>
      </c>
      <c r="O279" s="7">
        <v>97</v>
      </c>
      <c r="P279" s="2" t="str">
        <f t="shared" si="29"/>
        <v>LAC</v>
      </c>
      <c r="Q279" s="2">
        <f t="shared" si="27"/>
        <v>12</v>
      </c>
      <c r="R279" s="7">
        <f t="shared" si="28"/>
        <v>1</v>
      </c>
    </row>
    <row r="280" spans="1:18" ht="15" customHeight="1" x14ac:dyDescent="0.25">
      <c r="A280" s="7">
        <v>279</v>
      </c>
      <c r="B280" s="8" t="s">
        <v>151</v>
      </c>
      <c r="C280" s="7">
        <v>2013</v>
      </c>
      <c r="D280" s="7">
        <v>2014</v>
      </c>
      <c r="E280" s="3">
        <v>41623</v>
      </c>
      <c r="F280" s="4">
        <f t="shared" si="24"/>
        <v>12</v>
      </c>
      <c r="G280" s="4">
        <f t="shared" si="25"/>
        <v>15</v>
      </c>
      <c r="H280" s="4">
        <f t="shared" si="26"/>
        <v>2013</v>
      </c>
      <c r="I280" s="10" t="s">
        <v>157</v>
      </c>
      <c r="J280" s="7" t="s">
        <v>3</v>
      </c>
      <c r="K280" s="7" t="s">
        <v>9</v>
      </c>
      <c r="L280" s="7">
        <v>3</v>
      </c>
      <c r="M280" s="7" t="s">
        <v>3</v>
      </c>
      <c r="N280" s="7">
        <v>101</v>
      </c>
      <c r="O280" s="7">
        <v>93</v>
      </c>
      <c r="P280" s="7" t="str">
        <f t="shared" si="29"/>
        <v>MIN</v>
      </c>
      <c r="Q280" s="7">
        <f t="shared" si="27"/>
        <v>5</v>
      </c>
      <c r="R280" s="7">
        <f t="shared" si="28"/>
        <v>1</v>
      </c>
    </row>
    <row r="281" spans="1:18" ht="15" customHeight="1" x14ac:dyDescent="0.25">
      <c r="A281" s="7">
        <v>280</v>
      </c>
      <c r="B281" s="8" t="s">
        <v>151</v>
      </c>
      <c r="C281" s="7">
        <v>2013</v>
      </c>
      <c r="D281" s="7">
        <v>2014</v>
      </c>
      <c r="E281" s="3">
        <v>41624</v>
      </c>
      <c r="F281" s="4">
        <f t="shared" si="24"/>
        <v>12</v>
      </c>
      <c r="G281" s="4">
        <f t="shared" si="25"/>
        <v>16</v>
      </c>
      <c r="H281" s="4">
        <f t="shared" si="26"/>
        <v>2013</v>
      </c>
      <c r="I281" s="10" t="s">
        <v>157</v>
      </c>
      <c r="J281" s="2" t="s">
        <v>18</v>
      </c>
      <c r="K281" s="2" t="s">
        <v>5</v>
      </c>
      <c r="L281" s="2">
        <v>-5</v>
      </c>
      <c r="M281" s="2" t="s">
        <v>5</v>
      </c>
      <c r="N281" s="2">
        <v>100</v>
      </c>
      <c r="O281" s="2">
        <v>114</v>
      </c>
      <c r="P281" s="2" t="str">
        <f t="shared" si="29"/>
        <v>ATL</v>
      </c>
      <c r="Q281" s="2">
        <f t="shared" si="27"/>
        <v>9</v>
      </c>
      <c r="R281" s="7">
        <f t="shared" si="28"/>
        <v>1</v>
      </c>
    </row>
    <row r="282" spans="1:18" ht="15" customHeight="1" x14ac:dyDescent="0.25">
      <c r="A282" s="7">
        <v>281</v>
      </c>
      <c r="B282" s="8" t="s">
        <v>151</v>
      </c>
      <c r="C282" s="7">
        <v>2013</v>
      </c>
      <c r="D282" s="7">
        <v>2014</v>
      </c>
      <c r="E282" s="3">
        <v>41625</v>
      </c>
      <c r="F282" s="4">
        <f t="shared" si="24"/>
        <v>12</v>
      </c>
      <c r="G282" s="4">
        <f t="shared" si="25"/>
        <v>17</v>
      </c>
      <c r="H282" s="4">
        <f t="shared" si="26"/>
        <v>2013</v>
      </c>
      <c r="I282" s="10" t="s">
        <v>157</v>
      </c>
      <c r="J282" s="2" t="s">
        <v>1</v>
      </c>
      <c r="K282" s="2" t="s">
        <v>6</v>
      </c>
      <c r="L282" s="2">
        <v>4.5</v>
      </c>
      <c r="M282" s="2" t="s">
        <v>1</v>
      </c>
      <c r="N282" s="2">
        <v>119</v>
      </c>
      <c r="O282" s="2">
        <v>116</v>
      </c>
      <c r="P282" s="2" t="str">
        <f t="shared" si="29"/>
        <v>CLE</v>
      </c>
      <c r="Q282" s="2">
        <f t="shared" si="27"/>
        <v>-1.5</v>
      </c>
      <c r="R282" s="7">
        <f t="shared" si="28"/>
        <v>0</v>
      </c>
    </row>
    <row r="283" spans="1:18" ht="15" customHeight="1" x14ac:dyDescent="0.25">
      <c r="A283" s="7">
        <v>282</v>
      </c>
      <c r="B283" s="8" t="s">
        <v>151</v>
      </c>
      <c r="C283" s="7">
        <v>2013</v>
      </c>
      <c r="D283" s="7">
        <v>2014</v>
      </c>
      <c r="E283" s="3">
        <v>41626</v>
      </c>
      <c r="F283" s="4">
        <f t="shared" si="24"/>
        <v>12</v>
      </c>
      <c r="G283" s="4">
        <f t="shared" si="25"/>
        <v>18</v>
      </c>
      <c r="H283" s="4">
        <f t="shared" si="26"/>
        <v>2013</v>
      </c>
      <c r="I283" s="10" t="s">
        <v>157</v>
      </c>
      <c r="J283" s="2" t="s">
        <v>126</v>
      </c>
      <c r="K283" s="2" t="s">
        <v>10</v>
      </c>
      <c r="L283" s="2">
        <v>3</v>
      </c>
      <c r="M283" s="2" t="s">
        <v>10</v>
      </c>
      <c r="N283" s="2">
        <v>107</v>
      </c>
      <c r="O283" s="2">
        <v>101</v>
      </c>
      <c r="P283" s="2" t="str">
        <f t="shared" si="29"/>
        <v>NY</v>
      </c>
      <c r="Q283" s="2">
        <f t="shared" si="27"/>
        <v>-3</v>
      </c>
      <c r="R283" s="7">
        <f t="shared" si="28"/>
        <v>0</v>
      </c>
    </row>
    <row r="284" spans="1:18" ht="15" customHeight="1" x14ac:dyDescent="0.25">
      <c r="A284" s="7">
        <v>283</v>
      </c>
      <c r="B284" s="8" t="s">
        <v>151</v>
      </c>
      <c r="C284" s="7">
        <v>2013</v>
      </c>
      <c r="D284" s="7">
        <v>2014</v>
      </c>
      <c r="E284" s="3">
        <v>41627</v>
      </c>
      <c r="F284" s="4">
        <f t="shared" si="24"/>
        <v>12</v>
      </c>
      <c r="G284" s="4">
        <f t="shared" si="25"/>
        <v>19</v>
      </c>
      <c r="H284" s="4">
        <f t="shared" si="26"/>
        <v>2013</v>
      </c>
      <c r="I284" s="10" t="s">
        <v>157</v>
      </c>
      <c r="J284" s="2" t="s">
        <v>0</v>
      </c>
      <c r="K284" s="2" t="s">
        <v>12</v>
      </c>
      <c r="L284" s="2">
        <v>-13</v>
      </c>
      <c r="M284" s="2" t="s">
        <v>12</v>
      </c>
      <c r="N284" s="2">
        <v>95</v>
      </c>
      <c r="O284" s="2">
        <v>107</v>
      </c>
      <c r="P284" s="2" t="str">
        <f t="shared" si="29"/>
        <v>CHI</v>
      </c>
      <c r="Q284" s="2">
        <f t="shared" si="27"/>
        <v>-1</v>
      </c>
      <c r="R284" s="7">
        <f t="shared" si="28"/>
        <v>0</v>
      </c>
    </row>
    <row r="285" spans="1:18" ht="15" customHeight="1" x14ac:dyDescent="0.25">
      <c r="A285" s="7">
        <v>284</v>
      </c>
      <c r="B285" s="8" t="s">
        <v>151</v>
      </c>
      <c r="C285" s="7">
        <v>2013</v>
      </c>
      <c r="D285" s="7">
        <v>2014</v>
      </c>
      <c r="E285" s="3">
        <v>41628</v>
      </c>
      <c r="F285" s="4">
        <f t="shared" si="24"/>
        <v>12</v>
      </c>
      <c r="G285" s="4">
        <f t="shared" si="25"/>
        <v>20</v>
      </c>
      <c r="H285" s="4">
        <f t="shared" si="26"/>
        <v>2013</v>
      </c>
      <c r="I285" s="10" t="s">
        <v>157</v>
      </c>
      <c r="J285" s="2" t="s">
        <v>19</v>
      </c>
      <c r="K285" s="2" t="s">
        <v>23</v>
      </c>
      <c r="L285" s="2">
        <v>-4.5</v>
      </c>
      <c r="M285" s="2" t="s">
        <v>19</v>
      </c>
      <c r="N285" s="2">
        <v>103</v>
      </c>
      <c r="O285" s="2">
        <v>99</v>
      </c>
      <c r="P285" s="2" t="str">
        <f t="shared" si="29"/>
        <v>PHX</v>
      </c>
      <c r="Q285" s="2">
        <f t="shared" si="27"/>
        <v>8.5</v>
      </c>
      <c r="R285" s="7">
        <f t="shared" si="28"/>
        <v>1</v>
      </c>
    </row>
    <row r="286" spans="1:18" ht="15" customHeight="1" x14ac:dyDescent="0.25">
      <c r="A286" s="7">
        <v>285</v>
      </c>
      <c r="B286" s="8" t="s">
        <v>151</v>
      </c>
      <c r="C286" s="7">
        <v>2013</v>
      </c>
      <c r="D286" s="7">
        <v>2014</v>
      </c>
      <c r="E286" s="3">
        <v>41629</v>
      </c>
      <c r="F286" s="4">
        <f t="shared" si="24"/>
        <v>12</v>
      </c>
      <c r="G286" s="4">
        <f t="shared" si="25"/>
        <v>21</v>
      </c>
      <c r="H286" s="4">
        <f t="shared" si="26"/>
        <v>2013</v>
      </c>
      <c r="I286" s="10" t="s">
        <v>157</v>
      </c>
      <c r="J286" s="2" t="s">
        <v>139</v>
      </c>
      <c r="K286" s="2" t="s">
        <v>17</v>
      </c>
      <c r="L286" s="2">
        <v>-1.5</v>
      </c>
      <c r="M286" s="2" t="s">
        <v>17</v>
      </c>
      <c r="N286" s="2">
        <v>106</v>
      </c>
      <c r="O286" s="2">
        <v>99</v>
      </c>
      <c r="P286" s="2" t="str">
        <f t="shared" si="29"/>
        <v>WSH</v>
      </c>
      <c r="Q286" s="2">
        <f t="shared" si="27"/>
        <v>-8.5</v>
      </c>
      <c r="R286" s="7">
        <f t="shared" si="28"/>
        <v>0</v>
      </c>
    </row>
    <row r="287" spans="1:18" ht="15" customHeight="1" x14ac:dyDescent="0.25">
      <c r="A287" s="7">
        <v>286</v>
      </c>
      <c r="B287" s="8" t="s">
        <v>151</v>
      </c>
      <c r="C287" s="7">
        <v>2013</v>
      </c>
      <c r="D287" s="7">
        <v>2014</v>
      </c>
      <c r="E287" s="3">
        <v>41630</v>
      </c>
      <c r="F287" s="4">
        <f t="shared" si="24"/>
        <v>12</v>
      </c>
      <c r="G287" s="4">
        <f t="shared" si="25"/>
        <v>22</v>
      </c>
      <c r="H287" s="4">
        <f t="shared" si="26"/>
        <v>2013</v>
      </c>
      <c r="I287" s="10" t="s">
        <v>157</v>
      </c>
      <c r="J287" s="2" t="s">
        <v>2</v>
      </c>
      <c r="K287" s="2" t="s">
        <v>12</v>
      </c>
      <c r="L287" s="2">
        <v>-10</v>
      </c>
      <c r="M287" s="2" t="s">
        <v>12</v>
      </c>
      <c r="N287" s="2">
        <v>104</v>
      </c>
      <c r="O287" s="2">
        <v>98</v>
      </c>
      <c r="P287" s="2" t="str">
        <f t="shared" si="29"/>
        <v>TOR</v>
      </c>
      <c r="Q287" s="2">
        <f t="shared" si="27"/>
        <v>-16</v>
      </c>
      <c r="R287" s="7">
        <f t="shared" si="28"/>
        <v>0</v>
      </c>
    </row>
    <row r="288" spans="1:18" ht="15" customHeight="1" x14ac:dyDescent="0.25">
      <c r="A288" s="7">
        <v>287</v>
      </c>
      <c r="B288" s="8" t="s">
        <v>151</v>
      </c>
      <c r="C288" s="7">
        <v>2013</v>
      </c>
      <c r="D288" s="7">
        <v>2014</v>
      </c>
      <c r="E288" s="3">
        <v>41631</v>
      </c>
      <c r="F288" s="4">
        <f t="shared" si="24"/>
        <v>12</v>
      </c>
      <c r="G288" s="4">
        <f t="shared" si="25"/>
        <v>23</v>
      </c>
      <c r="H288" s="4">
        <f t="shared" si="26"/>
        <v>2013</v>
      </c>
      <c r="I288" s="10" t="s">
        <v>157</v>
      </c>
      <c r="J288" s="7" t="s">
        <v>10</v>
      </c>
      <c r="K288" s="7" t="s">
        <v>8</v>
      </c>
      <c r="L288" s="7">
        <v>-6.5</v>
      </c>
      <c r="M288" s="7" t="s">
        <v>8</v>
      </c>
      <c r="N288" s="7">
        <v>110</v>
      </c>
      <c r="O288" s="7">
        <v>111</v>
      </c>
      <c r="P288" s="2" t="str">
        <f t="shared" si="29"/>
        <v>MIL</v>
      </c>
      <c r="Q288" s="2">
        <f t="shared" si="27"/>
        <v>-5.5</v>
      </c>
      <c r="R288" s="7">
        <f t="shared" si="28"/>
        <v>0</v>
      </c>
    </row>
    <row r="289" spans="1:18" ht="15" customHeight="1" x14ac:dyDescent="0.25">
      <c r="A289" s="7">
        <v>288</v>
      </c>
      <c r="B289" s="8" t="s">
        <v>151</v>
      </c>
      <c r="C289" s="7">
        <v>2013</v>
      </c>
      <c r="D289" s="7">
        <v>2014</v>
      </c>
      <c r="E289" s="3">
        <v>41633</v>
      </c>
      <c r="F289" s="4">
        <f t="shared" si="24"/>
        <v>12</v>
      </c>
      <c r="G289" s="4">
        <f t="shared" si="25"/>
        <v>25</v>
      </c>
      <c r="H289" s="4">
        <f t="shared" si="26"/>
        <v>2013</v>
      </c>
      <c r="I289" s="10" t="s">
        <v>157</v>
      </c>
      <c r="J289" s="7" t="s">
        <v>12</v>
      </c>
      <c r="K289" s="7" t="s">
        <v>126</v>
      </c>
      <c r="L289" s="7">
        <v>8.5</v>
      </c>
      <c r="M289" s="7" t="s">
        <v>12</v>
      </c>
      <c r="N289" s="7">
        <v>123</v>
      </c>
      <c r="O289" s="7">
        <v>94</v>
      </c>
      <c r="P289" s="2" t="str">
        <f t="shared" si="29"/>
        <v>OKC</v>
      </c>
      <c r="Q289" s="2">
        <f t="shared" si="27"/>
        <v>20.5</v>
      </c>
      <c r="R289" s="7">
        <f t="shared" si="28"/>
        <v>1</v>
      </c>
    </row>
    <row r="290" spans="1:18" ht="15" customHeight="1" x14ac:dyDescent="0.25">
      <c r="A290" s="7">
        <v>289</v>
      </c>
      <c r="B290" s="8" t="s">
        <v>151</v>
      </c>
      <c r="C290" s="7">
        <v>2013</v>
      </c>
      <c r="D290" s="7">
        <v>2014</v>
      </c>
      <c r="E290" s="3">
        <v>41634</v>
      </c>
      <c r="F290" s="4">
        <f t="shared" si="24"/>
        <v>12</v>
      </c>
      <c r="G290" s="4">
        <f t="shared" si="25"/>
        <v>26</v>
      </c>
      <c r="H290" s="4">
        <f t="shared" si="26"/>
        <v>2013</v>
      </c>
      <c r="I290" s="10" t="s">
        <v>157</v>
      </c>
      <c r="J290" s="7" t="s">
        <v>5</v>
      </c>
      <c r="K290" s="7" t="s">
        <v>6</v>
      </c>
      <c r="L290" s="7">
        <v>2.5</v>
      </c>
      <c r="M290" s="7" t="s">
        <v>5</v>
      </c>
      <c r="N290" s="7">
        <v>127</v>
      </c>
      <c r="O290" s="7">
        <v>125</v>
      </c>
      <c r="P290" s="2" t="str">
        <f t="shared" si="29"/>
        <v>CLE</v>
      </c>
      <c r="Q290" s="2">
        <f t="shared" si="27"/>
        <v>-0.5</v>
      </c>
      <c r="R290" s="7">
        <f t="shared" si="28"/>
        <v>0</v>
      </c>
    </row>
    <row r="291" spans="1:18" ht="15" customHeight="1" x14ac:dyDescent="0.25">
      <c r="A291" s="7">
        <v>290</v>
      </c>
      <c r="B291" s="8" t="s">
        <v>151</v>
      </c>
      <c r="C291" s="7">
        <v>2013</v>
      </c>
      <c r="D291" s="7">
        <v>2014</v>
      </c>
      <c r="E291" s="3">
        <v>41635</v>
      </c>
      <c r="F291" s="4">
        <f t="shared" si="24"/>
        <v>12</v>
      </c>
      <c r="G291" s="4">
        <f t="shared" si="25"/>
        <v>27</v>
      </c>
      <c r="H291" s="4">
        <f t="shared" si="26"/>
        <v>2013</v>
      </c>
      <c r="I291" s="10" t="s">
        <v>157</v>
      </c>
      <c r="J291" s="7" t="s">
        <v>139</v>
      </c>
      <c r="K291" s="7" t="s">
        <v>3</v>
      </c>
      <c r="L291" s="7">
        <v>-6</v>
      </c>
      <c r="M291" s="7" t="s">
        <v>3</v>
      </c>
      <c r="N291" s="7">
        <v>98</v>
      </c>
      <c r="O291" s="7">
        <v>120</v>
      </c>
      <c r="P291" s="2" t="str">
        <f t="shared" si="29"/>
        <v>MIN</v>
      </c>
      <c r="Q291" s="2">
        <f t="shared" si="27"/>
        <v>16</v>
      </c>
      <c r="R291" s="7">
        <f t="shared" si="28"/>
        <v>1</v>
      </c>
    </row>
    <row r="292" spans="1:18" ht="15" customHeight="1" x14ac:dyDescent="0.25">
      <c r="A292" s="7">
        <v>291</v>
      </c>
      <c r="B292" s="8" t="s">
        <v>151</v>
      </c>
      <c r="C292" s="7">
        <v>2013</v>
      </c>
      <c r="D292" s="7">
        <v>2014</v>
      </c>
      <c r="E292" s="3">
        <v>41636</v>
      </c>
      <c r="F292" s="4">
        <f t="shared" si="24"/>
        <v>12</v>
      </c>
      <c r="G292" s="4">
        <f t="shared" si="25"/>
        <v>28</v>
      </c>
      <c r="H292" s="4">
        <f t="shared" si="26"/>
        <v>2013</v>
      </c>
      <c r="I292" s="10" t="s">
        <v>157</v>
      </c>
      <c r="J292" s="7" t="s">
        <v>126</v>
      </c>
      <c r="K292" s="7" t="s">
        <v>2</v>
      </c>
      <c r="L292" s="7">
        <v>-7</v>
      </c>
      <c r="M292" s="7" t="s">
        <v>2</v>
      </c>
      <c r="N292" s="7">
        <v>100</v>
      </c>
      <c r="O292" s="7">
        <v>115</v>
      </c>
      <c r="P292" s="2" t="str">
        <f t="shared" si="29"/>
        <v>TOR</v>
      </c>
      <c r="Q292" s="2">
        <f t="shared" si="27"/>
        <v>8</v>
      </c>
      <c r="R292" s="7">
        <f t="shared" si="28"/>
        <v>1</v>
      </c>
    </row>
    <row r="293" spans="1:18" ht="15" customHeight="1" x14ac:dyDescent="0.25">
      <c r="A293" s="7">
        <v>292</v>
      </c>
      <c r="B293" s="8" t="s">
        <v>151</v>
      </c>
      <c r="C293" s="7">
        <v>2013</v>
      </c>
      <c r="D293" s="7">
        <v>2014</v>
      </c>
      <c r="E293" s="3">
        <v>41637</v>
      </c>
      <c r="F293" s="4">
        <f t="shared" si="24"/>
        <v>12</v>
      </c>
      <c r="G293" s="4">
        <f t="shared" si="25"/>
        <v>29</v>
      </c>
      <c r="H293" s="4">
        <f t="shared" si="26"/>
        <v>2013</v>
      </c>
      <c r="I293" s="10" t="s">
        <v>157</v>
      </c>
      <c r="J293" s="7" t="s">
        <v>114</v>
      </c>
      <c r="K293" s="7" t="s">
        <v>6</v>
      </c>
      <c r="L293" s="7">
        <v>7</v>
      </c>
      <c r="M293" s="7" t="s">
        <v>114</v>
      </c>
      <c r="N293" s="7">
        <v>108</v>
      </c>
      <c r="O293" s="7">
        <v>104</v>
      </c>
      <c r="P293" s="2" t="str">
        <f t="shared" si="29"/>
        <v>CLE</v>
      </c>
      <c r="Q293" s="2">
        <f t="shared" si="27"/>
        <v>-3</v>
      </c>
      <c r="R293" s="7">
        <f t="shared" si="28"/>
        <v>0</v>
      </c>
    </row>
    <row r="294" spans="1:18" ht="15" customHeight="1" x14ac:dyDescent="0.25">
      <c r="A294" s="7">
        <v>293</v>
      </c>
      <c r="B294" s="8" t="s">
        <v>151</v>
      </c>
      <c r="C294" s="7">
        <v>2013</v>
      </c>
      <c r="D294" s="7">
        <v>2014</v>
      </c>
      <c r="E294" s="3">
        <v>41638</v>
      </c>
      <c r="F294" s="4">
        <f t="shared" si="24"/>
        <v>12</v>
      </c>
      <c r="G294" s="4">
        <f t="shared" si="25"/>
        <v>30</v>
      </c>
      <c r="H294" s="4">
        <f t="shared" si="26"/>
        <v>2013</v>
      </c>
      <c r="I294" s="10" t="s">
        <v>157</v>
      </c>
      <c r="J294" s="7" t="s">
        <v>16</v>
      </c>
      <c r="K294" s="7" t="s">
        <v>3</v>
      </c>
      <c r="L294" s="7">
        <v>-5</v>
      </c>
      <c r="M294" s="7" t="s">
        <v>16</v>
      </c>
      <c r="N294" s="7">
        <v>100</v>
      </c>
      <c r="O294" s="7">
        <v>98</v>
      </c>
      <c r="P294" s="7" t="str">
        <f t="shared" si="29"/>
        <v>DAL</v>
      </c>
      <c r="Q294" s="7">
        <f t="shared" si="27"/>
        <v>7</v>
      </c>
      <c r="R294" s="7">
        <f t="shared" si="28"/>
        <v>1</v>
      </c>
    </row>
    <row r="295" spans="1:18" ht="15" customHeight="1" x14ac:dyDescent="0.25">
      <c r="A295" s="7">
        <v>294</v>
      </c>
      <c r="B295" s="8" t="s">
        <v>151</v>
      </c>
      <c r="C295" s="7">
        <v>2013</v>
      </c>
      <c r="D295" s="7">
        <v>2014</v>
      </c>
      <c r="E295" s="3">
        <v>41639</v>
      </c>
      <c r="F295" s="4">
        <f t="shared" si="24"/>
        <v>12</v>
      </c>
      <c r="G295" s="4">
        <f t="shared" si="25"/>
        <v>31</v>
      </c>
      <c r="H295" s="4">
        <f t="shared" si="26"/>
        <v>2013</v>
      </c>
      <c r="I295" s="10" t="s">
        <v>157</v>
      </c>
      <c r="J295" s="7" t="s">
        <v>2</v>
      </c>
      <c r="K295" s="7" t="s">
        <v>0</v>
      </c>
      <c r="L295" s="7">
        <v>1.5</v>
      </c>
      <c r="M295" s="7" t="s">
        <v>2</v>
      </c>
      <c r="N295" s="7">
        <v>85</v>
      </c>
      <c r="O295" s="7">
        <v>79</v>
      </c>
      <c r="P295" s="7" t="str">
        <f t="shared" si="29"/>
        <v>TOR</v>
      </c>
      <c r="Q295" s="7">
        <f t="shared" si="27"/>
        <v>4.5</v>
      </c>
      <c r="R295" s="7">
        <f t="shared" si="28"/>
        <v>1</v>
      </c>
    </row>
    <row r="296" spans="1:18" ht="15" customHeight="1" x14ac:dyDescent="0.25">
      <c r="A296" s="7">
        <v>295</v>
      </c>
      <c r="B296" s="8" t="s">
        <v>151</v>
      </c>
      <c r="C296" s="7">
        <v>2013</v>
      </c>
      <c r="D296" s="7">
        <v>2014</v>
      </c>
      <c r="E296" s="3">
        <v>41640</v>
      </c>
      <c r="F296" s="4">
        <f t="shared" si="24"/>
        <v>1</v>
      </c>
      <c r="G296" s="4">
        <f t="shared" si="25"/>
        <v>1</v>
      </c>
      <c r="H296" s="4">
        <f t="shared" si="26"/>
        <v>2014</v>
      </c>
      <c r="I296" s="10" t="s">
        <v>157</v>
      </c>
      <c r="J296" s="7" t="s">
        <v>20</v>
      </c>
      <c r="K296" s="7" t="s">
        <v>23</v>
      </c>
      <c r="L296" s="7">
        <v>-9.5</v>
      </c>
      <c r="M296" s="7" t="s">
        <v>23</v>
      </c>
      <c r="N296" s="7">
        <v>114</v>
      </c>
      <c r="O296" s="7">
        <v>102</v>
      </c>
      <c r="P296" s="7" t="str">
        <f t="shared" si="29"/>
        <v>PHI</v>
      </c>
      <c r="Q296" s="7">
        <f t="shared" si="27"/>
        <v>-21.5</v>
      </c>
      <c r="R296" s="7">
        <f t="shared" si="28"/>
        <v>0</v>
      </c>
    </row>
    <row r="297" spans="1:18" ht="15" customHeight="1" x14ac:dyDescent="0.25">
      <c r="A297" s="7">
        <v>296</v>
      </c>
      <c r="B297" s="8" t="s">
        <v>151</v>
      </c>
      <c r="C297" s="7">
        <v>2013</v>
      </c>
      <c r="D297" s="7">
        <v>2014</v>
      </c>
      <c r="E297" s="3">
        <v>41641</v>
      </c>
      <c r="F297" s="4">
        <f t="shared" si="24"/>
        <v>1</v>
      </c>
      <c r="G297" s="4">
        <f t="shared" si="25"/>
        <v>2</v>
      </c>
      <c r="H297" s="4">
        <f t="shared" si="26"/>
        <v>2014</v>
      </c>
      <c r="I297" s="10" t="s">
        <v>157</v>
      </c>
      <c r="J297" s="7" t="s">
        <v>17</v>
      </c>
      <c r="K297" s="7" t="s">
        <v>0</v>
      </c>
      <c r="L297" s="7">
        <v>-4</v>
      </c>
      <c r="M297" s="7" t="s">
        <v>17</v>
      </c>
      <c r="N297" s="7">
        <v>82</v>
      </c>
      <c r="O297" s="7">
        <v>94</v>
      </c>
      <c r="P297" s="7" t="str">
        <f t="shared" si="29"/>
        <v>CHI</v>
      </c>
      <c r="Q297" s="7">
        <f t="shared" si="27"/>
        <v>-8</v>
      </c>
      <c r="R297" s="7">
        <f t="shared" si="28"/>
        <v>0</v>
      </c>
    </row>
    <row r="298" spans="1:18" ht="15" customHeight="1" x14ac:dyDescent="0.25">
      <c r="A298" s="7">
        <v>297</v>
      </c>
      <c r="B298" s="8" t="s">
        <v>151</v>
      </c>
      <c r="C298" s="7">
        <v>2013</v>
      </c>
      <c r="D298" s="7">
        <v>2014</v>
      </c>
      <c r="E298" s="3">
        <v>41642</v>
      </c>
      <c r="F298" s="4">
        <f t="shared" si="24"/>
        <v>1</v>
      </c>
      <c r="G298" s="4">
        <f t="shared" si="25"/>
        <v>3</v>
      </c>
      <c r="H298" s="4">
        <f t="shared" si="26"/>
        <v>2014</v>
      </c>
      <c r="I298" s="10" t="s">
        <v>157</v>
      </c>
      <c r="J298" s="7" t="s">
        <v>137</v>
      </c>
      <c r="K298" s="7" t="s">
        <v>18</v>
      </c>
      <c r="L298" s="7">
        <v>-3.5</v>
      </c>
      <c r="M298" s="7" t="s">
        <v>137</v>
      </c>
      <c r="N298" s="7">
        <v>99</v>
      </c>
      <c r="O298" s="7">
        <v>110</v>
      </c>
      <c r="P298" s="7" t="str">
        <f t="shared" si="29"/>
        <v>LAL</v>
      </c>
      <c r="Q298" s="7">
        <f t="shared" si="27"/>
        <v>-7.5</v>
      </c>
      <c r="R298" s="7">
        <f t="shared" si="28"/>
        <v>0</v>
      </c>
    </row>
    <row r="299" spans="1:18" ht="15" customHeight="1" x14ac:dyDescent="0.25">
      <c r="A299" s="7">
        <v>298</v>
      </c>
      <c r="B299" s="8" t="s">
        <v>151</v>
      </c>
      <c r="C299" s="7">
        <v>2013</v>
      </c>
      <c r="D299" s="7">
        <v>2014</v>
      </c>
      <c r="E299" s="3">
        <v>41643</v>
      </c>
      <c r="F299" s="4">
        <f t="shared" si="24"/>
        <v>1</v>
      </c>
      <c r="G299" s="4">
        <f t="shared" si="25"/>
        <v>4</v>
      </c>
      <c r="H299" s="4">
        <f t="shared" si="26"/>
        <v>2014</v>
      </c>
      <c r="I299" s="10" t="s">
        <v>157</v>
      </c>
      <c r="J299" s="2" t="s">
        <v>10</v>
      </c>
      <c r="K299" s="2" t="s">
        <v>19</v>
      </c>
      <c r="L299" s="2">
        <v>-8</v>
      </c>
      <c r="M299" s="2" t="s">
        <v>19</v>
      </c>
      <c r="N299" s="2">
        <v>100</v>
      </c>
      <c r="O299" s="2">
        <v>116</v>
      </c>
      <c r="P299" s="2" t="str">
        <f t="shared" si="29"/>
        <v>PHX</v>
      </c>
      <c r="Q299" s="2">
        <f t="shared" si="27"/>
        <v>8</v>
      </c>
      <c r="R299" s="7">
        <f t="shared" si="28"/>
        <v>1</v>
      </c>
    </row>
    <row r="300" spans="1:18" ht="15" customHeight="1" x14ac:dyDescent="0.25">
      <c r="A300" s="7">
        <v>299</v>
      </c>
      <c r="B300" s="8" t="s">
        <v>151</v>
      </c>
      <c r="C300" s="7">
        <v>2013</v>
      </c>
      <c r="D300" s="7">
        <v>2014</v>
      </c>
      <c r="E300" s="3">
        <v>41644</v>
      </c>
      <c r="F300" s="4">
        <f t="shared" si="24"/>
        <v>1</v>
      </c>
      <c r="G300" s="4">
        <f t="shared" si="25"/>
        <v>5</v>
      </c>
      <c r="H300" s="4">
        <f t="shared" si="26"/>
        <v>2014</v>
      </c>
      <c r="I300" s="10" t="s">
        <v>157</v>
      </c>
      <c r="J300" s="2" t="s">
        <v>114</v>
      </c>
      <c r="K300" s="2" t="s">
        <v>139</v>
      </c>
      <c r="L300" s="2">
        <v>3.5</v>
      </c>
      <c r="M300" s="2" t="s">
        <v>139</v>
      </c>
      <c r="N300" s="2">
        <v>112</v>
      </c>
      <c r="O300" s="2">
        <v>96</v>
      </c>
      <c r="P300" s="2" t="str">
        <f t="shared" si="29"/>
        <v>GS</v>
      </c>
      <c r="Q300" s="2">
        <f t="shared" si="27"/>
        <v>-12.5</v>
      </c>
      <c r="R300" s="7">
        <f t="shared" si="28"/>
        <v>0</v>
      </c>
    </row>
    <row r="301" spans="1:18" ht="15" customHeight="1" x14ac:dyDescent="0.25">
      <c r="A301" s="7">
        <v>300</v>
      </c>
      <c r="B301" s="8" t="s">
        <v>151</v>
      </c>
      <c r="C301" s="7">
        <v>2013</v>
      </c>
      <c r="D301" s="7">
        <v>2014</v>
      </c>
      <c r="E301" s="3">
        <v>41645</v>
      </c>
      <c r="F301" s="4">
        <f t="shared" si="24"/>
        <v>1</v>
      </c>
      <c r="G301" s="4">
        <f t="shared" si="25"/>
        <v>6</v>
      </c>
      <c r="H301" s="4">
        <f t="shared" si="26"/>
        <v>2014</v>
      </c>
      <c r="I301" s="10" t="s">
        <v>157</v>
      </c>
      <c r="J301" s="2" t="s">
        <v>5</v>
      </c>
      <c r="K301" s="2" t="s">
        <v>22</v>
      </c>
      <c r="L301" s="2">
        <v>-1.5</v>
      </c>
      <c r="M301" s="2" t="s">
        <v>5</v>
      </c>
      <c r="N301" s="2">
        <v>86</v>
      </c>
      <c r="O301" s="2">
        <v>91</v>
      </c>
      <c r="P301" s="2" t="str">
        <f t="shared" si="29"/>
        <v>BKN</v>
      </c>
      <c r="Q301" s="2">
        <f t="shared" si="27"/>
        <v>-3.5</v>
      </c>
      <c r="R301" s="7">
        <f t="shared" si="28"/>
        <v>0</v>
      </c>
    </row>
    <row r="302" spans="1:18" ht="15" customHeight="1" x14ac:dyDescent="0.25">
      <c r="A302" s="7">
        <v>301</v>
      </c>
      <c r="B302" s="8" t="s">
        <v>151</v>
      </c>
      <c r="C302" s="7">
        <v>2013</v>
      </c>
      <c r="D302" s="7">
        <v>2014</v>
      </c>
      <c r="E302" s="3">
        <v>41646</v>
      </c>
      <c r="F302" s="4">
        <f t="shared" si="24"/>
        <v>1</v>
      </c>
      <c r="G302" s="4">
        <f t="shared" si="25"/>
        <v>7</v>
      </c>
      <c r="H302" s="4">
        <f t="shared" si="26"/>
        <v>2014</v>
      </c>
      <c r="I302" s="10" t="s">
        <v>157</v>
      </c>
      <c r="J302" s="2" t="s">
        <v>134</v>
      </c>
      <c r="K302" s="2" t="s">
        <v>9</v>
      </c>
      <c r="L302" s="2">
        <v>5.5</v>
      </c>
      <c r="M302" s="2" t="s">
        <v>134</v>
      </c>
      <c r="N302" s="2">
        <v>110</v>
      </c>
      <c r="O302" s="2">
        <v>108</v>
      </c>
      <c r="P302" s="2" t="str">
        <f t="shared" si="29"/>
        <v>MEM</v>
      </c>
      <c r="Q302" s="2">
        <f t="shared" si="27"/>
        <v>-3.5</v>
      </c>
      <c r="R302" s="7">
        <f t="shared" si="28"/>
        <v>0</v>
      </c>
    </row>
    <row r="303" spans="1:18" ht="15" customHeight="1" x14ac:dyDescent="0.25">
      <c r="A303" s="7">
        <v>302</v>
      </c>
      <c r="B303" s="8" t="s">
        <v>151</v>
      </c>
      <c r="C303" s="7">
        <v>2013</v>
      </c>
      <c r="D303" s="7">
        <v>2014</v>
      </c>
      <c r="E303" s="3">
        <v>41647</v>
      </c>
      <c r="F303" s="4">
        <f t="shared" si="24"/>
        <v>1</v>
      </c>
      <c r="G303" s="4">
        <f t="shared" si="25"/>
        <v>8</v>
      </c>
      <c r="H303" s="4">
        <f t="shared" si="26"/>
        <v>2014</v>
      </c>
      <c r="I303" s="10" t="s">
        <v>157</v>
      </c>
      <c r="J303" s="2" t="s">
        <v>16</v>
      </c>
      <c r="K303" s="2" t="s">
        <v>134</v>
      </c>
      <c r="L303" s="2">
        <v>-7</v>
      </c>
      <c r="M303" s="2" t="s">
        <v>16</v>
      </c>
      <c r="N303" s="2">
        <v>90</v>
      </c>
      <c r="O303" s="2">
        <v>112</v>
      </c>
      <c r="P303" s="2" t="str">
        <f t="shared" si="29"/>
        <v>SA</v>
      </c>
      <c r="Q303" s="2">
        <f t="shared" si="27"/>
        <v>-15</v>
      </c>
      <c r="R303" s="7">
        <f t="shared" si="28"/>
        <v>0</v>
      </c>
    </row>
    <row r="304" spans="1:18" ht="15" customHeight="1" x14ac:dyDescent="0.25">
      <c r="A304" s="7">
        <v>303</v>
      </c>
      <c r="B304" s="8" t="s">
        <v>151</v>
      </c>
      <c r="C304" s="7">
        <v>2013</v>
      </c>
      <c r="D304" s="7">
        <v>2014</v>
      </c>
      <c r="E304" s="3">
        <v>41648</v>
      </c>
      <c r="F304" s="4">
        <f t="shared" si="24"/>
        <v>1</v>
      </c>
      <c r="G304" s="4">
        <f t="shared" si="25"/>
        <v>9</v>
      </c>
      <c r="H304" s="4">
        <f t="shared" si="26"/>
        <v>2014</v>
      </c>
      <c r="I304" s="10" t="s">
        <v>157</v>
      </c>
      <c r="J304" s="2" t="s">
        <v>12</v>
      </c>
      <c r="K304" s="2" t="s">
        <v>23</v>
      </c>
      <c r="L304" s="2">
        <v>3</v>
      </c>
      <c r="M304" s="2" t="s">
        <v>12</v>
      </c>
      <c r="N304" s="2">
        <v>101</v>
      </c>
      <c r="O304" s="2">
        <v>88</v>
      </c>
      <c r="P304" s="2" t="str">
        <f t="shared" si="29"/>
        <v>OKC</v>
      </c>
      <c r="Q304" s="2">
        <f t="shared" si="27"/>
        <v>10</v>
      </c>
      <c r="R304" s="7">
        <f t="shared" si="28"/>
        <v>1</v>
      </c>
    </row>
    <row r="305" spans="1:18" ht="15" customHeight="1" x14ac:dyDescent="0.25">
      <c r="A305" s="7">
        <v>304</v>
      </c>
      <c r="B305" s="8" t="s">
        <v>151</v>
      </c>
      <c r="C305" s="7">
        <v>2013</v>
      </c>
      <c r="D305" s="7">
        <v>2014</v>
      </c>
      <c r="E305" s="3">
        <v>41649</v>
      </c>
      <c r="F305" s="4">
        <f t="shared" si="24"/>
        <v>1</v>
      </c>
      <c r="G305" s="4">
        <f t="shared" si="25"/>
        <v>10</v>
      </c>
      <c r="H305" s="4">
        <f t="shared" si="26"/>
        <v>2014</v>
      </c>
      <c r="I305" s="10" t="s">
        <v>157</v>
      </c>
      <c r="J305" s="2" t="s">
        <v>7</v>
      </c>
      <c r="K305" s="2" t="s">
        <v>20</v>
      </c>
      <c r="L305" s="2">
        <v>2.5</v>
      </c>
      <c r="M305" s="2" t="s">
        <v>7</v>
      </c>
      <c r="N305" s="2">
        <v>114</v>
      </c>
      <c r="O305" s="2">
        <v>104</v>
      </c>
      <c r="P305" s="2" t="str">
        <f t="shared" si="29"/>
        <v>DET</v>
      </c>
      <c r="Q305" s="2">
        <f t="shared" si="27"/>
        <v>7.5</v>
      </c>
      <c r="R305" s="7">
        <f t="shared" si="28"/>
        <v>1</v>
      </c>
    </row>
    <row r="306" spans="1:18" ht="15" customHeight="1" x14ac:dyDescent="0.25">
      <c r="A306" s="7">
        <v>305</v>
      </c>
      <c r="B306" s="8" t="s">
        <v>151</v>
      </c>
      <c r="C306" s="7">
        <v>2013</v>
      </c>
      <c r="D306" s="7">
        <v>2014</v>
      </c>
      <c r="E306" s="3">
        <v>41650</v>
      </c>
      <c r="F306" s="4">
        <f t="shared" si="24"/>
        <v>1</v>
      </c>
      <c r="G306" s="4">
        <f t="shared" si="25"/>
        <v>11</v>
      </c>
      <c r="H306" s="4">
        <f t="shared" si="26"/>
        <v>2014</v>
      </c>
      <c r="I306" s="10" t="s">
        <v>157</v>
      </c>
      <c r="J306" s="2" t="s">
        <v>19</v>
      </c>
      <c r="K306" s="2" t="s">
        <v>7</v>
      </c>
      <c r="L306" s="2">
        <v>-1.5</v>
      </c>
      <c r="M306" s="2" t="s">
        <v>19</v>
      </c>
      <c r="N306" s="2">
        <v>108</v>
      </c>
      <c r="O306" s="2">
        <v>110</v>
      </c>
      <c r="P306" s="2" t="str">
        <f t="shared" si="29"/>
        <v>DET</v>
      </c>
      <c r="Q306" s="2">
        <f t="shared" si="27"/>
        <v>-0.5</v>
      </c>
      <c r="R306" s="7">
        <f t="shared" si="28"/>
        <v>0</v>
      </c>
    </row>
    <row r="307" spans="1:18" ht="15" customHeight="1" x14ac:dyDescent="0.25">
      <c r="A307" s="7">
        <v>306</v>
      </c>
      <c r="B307" s="8" t="s">
        <v>151</v>
      </c>
      <c r="C307" s="7">
        <v>2013</v>
      </c>
      <c r="D307" s="7">
        <v>2014</v>
      </c>
      <c r="E307" s="3">
        <v>41651</v>
      </c>
      <c r="F307" s="4">
        <f t="shared" si="24"/>
        <v>1</v>
      </c>
      <c r="G307" s="4">
        <f t="shared" si="25"/>
        <v>12</v>
      </c>
      <c r="H307" s="4">
        <f t="shared" si="26"/>
        <v>2014</v>
      </c>
      <c r="I307" s="10" t="s">
        <v>157</v>
      </c>
      <c r="J307" s="2" t="s">
        <v>6</v>
      </c>
      <c r="K307" s="2" t="s">
        <v>21</v>
      </c>
      <c r="L307" s="2">
        <v>-3.5</v>
      </c>
      <c r="M307" s="2" t="s">
        <v>21</v>
      </c>
      <c r="N307" s="2">
        <v>80</v>
      </c>
      <c r="O307" s="2">
        <v>124</v>
      </c>
      <c r="P307" s="2" t="str">
        <f t="shared" si="29"/>
        <v>SAC</v>
      </c>
      <c r="Q307" s="2">
        <f t="shared" si="27"/>
        <v>40.5</v>
      </c>
      <c r="R307" s="7">
        <f t="shared" si="28"/>
        <v>1</v>
      </c>
    </row>
    <row r="308" spans="1:18" ht="15" customHeight="1" x14ac:dyDescent="0.25">
      <c r="A308" s="7">
        <v>307</v>
      </c>
      <c r="B308" s="8" t="s">
        <v>151</v>
      </c>
      <c r="C308" s="7">
        <v>2013</v>
      </c>
      <c r="D308" s="7">
        <v>2014</v>
      </c>
      <c r="E308" s="3">
        <v>41652</v>
      </c>
      <c r="F308" s="4">
        <f t="shared" si="24"/>
        <v>1</v>
      </c>
      <c r="G308" s="4">
        <f t="shared" si="25"/>
        <v>13</v>
      </c>
      <c r="H308" s="4">
        <f t="shared" si="26"/>
        <v>2014</v>
      </c>
      <c r="I308" s="10" t="s">
        <v>157</v>
      </c>
      <c r="J308" s="2" t="s">
        <v>4</v>
      </c>
      <c r="K308" s="2" t="s">
        <v>17</v>
      </c>
      <c r="L308" s="2">
        <v>6</v>
      </c>
      <c r="M308" s="2" t="s">
        <v>4</v>
      </c>
      <c r="N308" s="2">
        <v>104</v>
      </c>
      <c r="O308" s="2">
        <v>92</v>
      </c>
      <c r="P308" s="2" t="str">
        <f t="shared" si="29"/>
        <v>HOU</v>
      </c>
      <c r="Q308" s="2">
        <f t="shared" si="27"/>
        <v>6</v>
      </c>
      <c r="R308" s="7">
        <f t="shared" si="28"/>
        <v>1</v>
      </c>
    </row>
    <row r="309" spans="1:18" ht="15" customHeight="1" x14ac:dyDescent="0.25">
      <c r="A309" s="7">
        <v>308</v>
      </c>
      <c r="B309" s="8" t="s">
        <v>151</v>
      </c>
      <c r="C309" s="7">
        <v>2013</v>
      </c>
      <c r="D309" s="7">
        <v>2014</v>
      </c>
      <c r="E309" s="3">
        <v>41653</v>
      </c>
      <c r="F309" s="4">
        <f t="shared" si="24"/>
        <v>1</v>
      </c>
      <c r="G309" s="4">
        <f t="shared" si="25"/>
        <v>14</v>
      </c>
      <c r="H309" s="4">
        <f t="shared" si="26"/>
        <v>2014</v>
      </c>
      <c r="I309" s="10" t="s">
        <v>157</v>
      </c>
      <c r="J309" s="2" t="s">
        <v>21</v>
      </c>
      <c r="K309" s="2" t="s">
        <v>13</v>
      </c>
      <c r="L309" s="2">
        <v>-10.5</v>
      </c>
      <c r="M309" s="2" t="s">
        <v>13</v>
      </c>
      <c r="N309" s="2">
        <v>92</v>
      </c>
      <c r="O309" s="2">
        <v>116</v>
      </c>
      <c r="P309" s="2" t="str">
        <f t="shared" si="29"/>
        <v>IND</v>
      </c>
      <c r="Q309" s="2">
        <f t="shared" si="27"/>
        <v>13.5</v>
      </c>
      <c r="R309" s="7">
        <f t="shared" si="28"/>
        <v>1</v>
      </c>
    </row>
    <row r="310" spans="1:18" ht="15" customHeight="1" x14ac:dyDescent="0.25">
      <c r="A310" s="7">
        <v>309</v>
      </c>
      <c r="B310" s="8" t="s">
        <v>151</v>
      </c>
      <c r="C310" s="7">
        <v>2013</v>
      </c>
      <c r="D310" s="7">
        <v>2014</v>
      </c>
      <c r="E310" s="3">
        <v>41654</v>
      </c>
      <c r="F310" s="4">
        <f t="shared" si="24"/>
        <v>1</v>
      </c>
      <c r="G310" s="4">
        <f t="shared" si="25"/>
        <v>15</v>
      </c>
      <c r="H310" s="4">
        <f t="shared" si="26"/>
        <v>2014</v>
      </c>
      <c r="I310" s="10" t="s">
        <v>157</v>
      </c>
      <c r="J310" s="2" t="s">
        <v>6</v>
      </c>
      <c r="K310" s="2" t="s">
        <v>1</v>
      </c>
      <c r="L310" s="2">
        <v>-10.5</v>
      </c>
      <c r="M310" s="2" t="s">
        <v>1</v>
      </c>
      <c r="N310" s="2">
        <v>96</v>
      </c>
      <c r="O310" s="2">
        <v>108</v>
      </c>
      <c r="P310" s="2" t="str">
        <f t="shared" si="29"/>
        <v>POR</v>
      </c>
      <c r="Q310" s="2">
        <f t="shared" si="27"/>
        <v>1.5</v>
      </c>
      <c r="R310" s="7">
        <f t="shared" si="28"/>
        <v>1</v>
      </c>
    </row>
    <row r="311" spans="1:18" ht="15" customHeight="1" x14ac:dyDescent="0.25">
      <c r="A311" s="7">
        <v>310</v>
      </c>
      <c r="B311" s="8" t="s">
        <v>151</v>
      </c>
      <c r="C311" s="7">
        <v>2013</v>
      </c>
      <c r="D311" s="7">
        <v>2014</v>
      </c>
      <c r="E311" s="3">
        <v>41655</v>
      </c>
      <c r="F311" s="4">
        <f t="shared" si="24"/>
        <v>1</v>
      </c>
      <c r="G311" s="4">
        <f t="shared" si="25"/>
        <v>16</v>
      </c>
      <c r="H311" s="4">
        <f t="shared" si="26"/>
        <v>2014</v>
      </c>
      <c r="I311" s="10" t="s">
        <v>157</v>
      </c>
      <c r="J311" s="2" t="s">
        <v>12</v>
      </c>
      <c r="K311" s="2" t="s">
        <v>4</v>
      </c>
      <c r="L311" s="2">
        <v>-2.5</v>
      </c>
      <c r="M311" s="2" t="s">
        <v>12</v>
      </c>
      <c r="N311" s="2">
        <v>104</v>
      </c>
      <c r="O311" s="2">
        <v>92</v>
      </c>
      <c r="P311" s="2" t="str">
        <f t="shared" si="29"/>
        <v>OKC</v>
      </c>
      <c r="Q311" s="2">
        <f t="shared" si="27"/>
        <v>14.5</v>
      </c>
      <c r="R311" s="7">
        <f t="shared" si="28"/>
        <v>1</v>
      </c>
    </row>
    <row r="312" spans="1:18" ht="15" customHeight="1" x14ac:dyDescent="0.25">
      <c r="A312" s="7">
        <v>311</v>
      </c>
      <c r="B312" s="8" t="s">
        <v>151</v>
      </c>
      <c r="C312" s="7">
        <v>2013</v>
      </c>
      <c r="D312" s="7">
        <v>2014</v>
      </c>
      <c r="E312" s="3">
        <v>41656</v>
      </c>
      <c r="F312" s="4">
        <f t="shared" si="24"/>
        <v>1</v>
      </c>
      <c r="G312" s="4">
        <f t="shared" si="25"/>
        <v>17</v>
      </c>
      <c r="H312" s="4">
        <f t="shared" si="26"/>
        <v>2014</v>
      </c>
      <c r="I312" s="10" t="s">
        <v>157</v>
      </c>
      <c r="J312" s="2" t="s">
        <v>21</v>
      </c>
      <c r="K312" s="2" t="s">
        <v>9</v>
      </c>
      <c r="L312" s="2">
        <v>-5.5</v>
      </c>
      <c r="M312" s="2" t="s">
        <v>21</v>
      </c>
      <c r="N312" s="2">
        <v>90</v>
      </c>
      <c r="O312" s="2">
        <v>91</v>
      </c>
      <c r="P312" s="2" t="str">
        <f t="shared" si="29"/>
        <v>SAC</v>
      </c>
      <c r="Q312" s="2">
        <f t="shared" si="27"/>
        <v>4.5</v>
      </c>
      <c r="R312" s="7">
        <f t="shared" si="28"/>
        <v>1</v>
      </c>
    </row>
    <row r="313" spans="1:18" ht="15" customHeight="1" x14ac:dyDescent="0.25">
      <c r="A313" s="7">
        <v>312</v>
      </c>
      <c r="B313" s="8" t="s">
        <v>151</v>
      </c>
      <c r="C313" s="7">
        <v>2013</v>
      </c>
      <c r="D313" s="7">
        <v>2014</v>
      </c>
      <c r="E313" s="3">
        <v>41657</v>
      </c>
      <c r="F313" s="4">
        <f t="shared" si="24"/>
        <v>1</v>
      </c>
      <c r="G313" s="4">
        <f t="shared" si="25"/>
        <v>18</v>
      </c>
      <c r="H313" s="4">
        <f t="shared" si="26"/>
        <v>2014</v>
      </c>
      <c r="I313" s="10" t="s">
        <v>157</v>
      </c>
      <c r="J313" s="7" t="s">
        <v>114</v>
      </c>
      <c r="K313" s="7" t="s">
        <v>124</v>
      </c>
      <c r="L313" s="7">
        <v>4</v>
      </c>
      <c r="M313" s="7" t="s">
        <v>114</v>
      </c>
      <c r="N313" s="7">
        <v>97</v>
      </c>
      <c r="O313" s="7">
        <v>87</v>
      </c>
      <c r="P313" s="2" t="str">
        <f t="shared" si="29"/>
        <v>GS</v>
      </c>
      <c r="Q313" s="2">
        <f t="shared" si="27"/>
        <v>6</v>
      </c>
      <c r="R313" s="7">
        <f t="shared" si="28"/>
        <v>1</v>
      </c>
    </row>
    <row r="314" spans="1:18" ht="15" customHeight="1" x14ac:dyDescent="0.25">
      <c r="A314" s="7">
        <v>313</v>
      </c>
      <c r="B314" s="8" t="s">
        <v>151</v>
      </c>
      <c r="C314" s="7">
        <v>2013</v>
      </c>
      <c r="D314" s="7">
        <v>2014</v>
      </c>
      <c r="E314" s="3">
        <v>41658</v>
      </c>
      <c r="F314" s="4">
        <f t="shared" si="24"/>
        <v>1</v>
      </c>
      <c r="G314" s="4">
        <f t="shared" si="25"/>
        <v>19</v>
      </c>
      <c r="H314" s="4">
        <f t="shared" si="26"/>
        <v>2014</v>
      </c>
      <c r="I314" s="10" t="s">
        <v>157</v>
      </c>
      <c r="J314" s="7" t="s">
        <v>17</v>
      </c>
      <c r="K314" s="7" t="s">
        <v>11</v>
      </c>
      <c r="L314" s="7">
        <v>2</v>
      </c>
      <c r="M314" s="7" t="s">
        <v>11</v>
      </c>
      <c r="N314" s="7">
        <v>91</v>
      </c>
      <c r="O314" s="7">
        <v>93</v>
      </c>
      <c r="P314" s="2" t="str">
        <f t="shared" si="29"/>
        <v>ORL</v>
      </c>
      <c r="Q314" s="2">
        <f t="shared" si="27"/>
        <v>4</v>
      </c>
      <c r="R314" s="7">
        <f t="shared" si="28"/>
        <v>1</v>
      </c>
    </row>
    <row r="315" spans="1:18" ht="15" customHeight="1" x14ac:dyDescent="0.25">
      <c r="A315" s="7">
        <v>314</v>
      </c>
      <c r="B315" s="8" t="s">
        <v>151</v>
      </c>
      <c r="C315" s="7">
        <v>2013</v>
      </c>
      <c r="D315" s="7">
        <v>2014</v>
      </c>
      <c r="E315" s="3">
        <v>41659</v>
      </c>
      <c r="F315" s="4">
        <f t="shared" si="24"/>
        <v>1</v>
      </c>
      <c r="G315" s="4">
        <f t="shared" si="25"/>
        <v>20</v>
      </c>
      <c r="H315" s="4">
        <f t="shared" si="26"/>
        <v>2014</v>
      </c>
      <c r="I315" s="10" t="s">
        <v>157</v>
      </c>
      <c r="J315" s="7" t="s">
        <v>22</v>
      </c>
      <c r="K315" s="7" t="s">
        <v>126</v>
      </c>
      <c r="L315" s="7">
        <v>2</v>
      </c>
      <c r="M315" s="7" t="s">
        <v>126</v>
      </c>
      <c r="N315" s="7">
        <v>103</v>
      </c>
      <c r="O315" s="7">
        <v>80</v>
      </c>
      <c r="P315" s="7" t="str">
        <f t="shared" si="29"/>
        <v>BKN</v>
      </c>
      <c r="Q315" s="7">
        <f t="shared" si="27"/>
        <v>-21</v>
      </c>
      <c r="R315" s="7">
        <f t="shared" si="28"/>
        <v>0</v>
      </c>
    </row>
    <row r="316" spans="1:18" ht="15" customHeight="1" x14ac:dyDescent="0.25">
      <c r="A316" s="7">
        <v>315</v>
      </c>
      <c r="B316" s="8" t="s">
        <v>151</v>
      </c>
      <c r="C316" s="7">
        <v>2013</v>
      </c>
      <c r="D316" s="7">
        <v>2014</v>
      </c>
      <c r="E316" s="3">
        <v>41660</v>
      </c>
      <c r="F316" s="4">
        <f t="shared" si="24"/>
        <v>1</v>
      </c>
      <c r="G316" s="4">
        <f t="shared" si="25"/>
        <v>21</v>
      </c>
      <c r="H316" s="4">
        <f t="shared" si="26"/>
        <v>2014</v>
      </c>
      <c r="I316" s="10" t="s">
        <v>157</v>
      </c>
      <c r="J316" s="7" t="s">
        <v>3</v>
      </c>
      <c r="K316" s="7" t="s">
        <v>137</v>
      </c>
      <c r="L316" s="7">
        <v>4</v>
      </c>
      <c r="M316" s="7" t="s">
        <v>3</v>
      </c>
      <c r="N316" s="7">
        <v>112</v>
      </c>
      <c r="O316" s="7">
        <v>97</v>
      </c>
      <c r="P316" s="7" t="str">
        <f t="shared" si="29"/>
        <v>MIN</v>
      </c>
      <c r="Q316" s="7">
        <f t="shared" si="27"/>
        <v>11</v>
      </c>
      <c r="R316" s="7">
        <f t="shared" si="28"/>
        <v>1</v>
      </c>
    </row>
    <row r="317" spans="1:18" ht="15" customHeight="1" x14ac:dyDescent="0.25">
      <c r="A317" s="7">
        <v>316</v>
      </c>
      <c r="B317" s="8" t="s">
        <v>151</v>
      </c>
      <c r="C317" s="7">
        <v>2013</v>
      </c>
      <c r="D317" s="7">
        <v>2014</v>
      </c>
      <c r="E317" s="3">
        <v>41661</v>
      </c>
      <c r="F317" s="4">
        <f t="shared" si="24"/>
        <v>1</v>
      </c>
      <c r="G317" s="4">
        <f t="shared" si="25"/>
        <v>22</v>
      </c>
      <c r="H317" s="4">
        <f t="shared" si="26"/>
        <v>2014</v>
      </c>
      <c r="I317" s="10" t="s">
        <v>157</v>
      </c>
      <c r="J317" s="2" t="s">
        <v>13</v>
      </c>
      <c r="K317" s="2" t="s">
        <v>19</v>
      </c>
      <c r="L317" s="2">
        <v>5</v>
      </c>
      <c r="M317" s="2" t="s">
        <v>13</v>
      </c>
      <c r="N317" s="2">
        <v>100</v>
      </c>
      <c r="O317" s="2">
        <v>124</v>
      </c>
      <c r="P317" s="2" t="str">
        <f t="shared" si="29"/>
        <v>PHX</v>
      </c>
      <c r="Q317" s="2">
        <f t="shared" si="27"/>
        <v>-29</v>
      </c>
      <c r="R317" s="7">
        <f t="shared" si="28"/>
        <v>0</v>
      </c>
    </row>
    <row r="318" spans="1:18" ht="15" customHeight="1" x14ac:dyDescent="0.25">
      <c r="A318" s="7">
        <v>317</v>
      </c>
      <c r="B318" s="8" t="s">
        <v>151</v>
      </c>
      <c r="C318" s="7">
        <v>2013</v>
      </c>
      <c r="D318" s="7">
        <v>2014</v>
      </c>
      <c r="E318" s="3">
        <v>41662</v>
      </c>
      <c r="F318" s="4">
        <f t="shared" si="24"/>
        <v>1</v>
      </c>
      <c r="G318" s="4">
        <f t="shared" si="25"/>
        <v>23</v>
      </c>
      <c r="H318" s="4">
        <f t="shared" si="26"/>
        <v>2014</v>
      </c>
      <c r="I318" s="10" t="s">
        <v>157</v>
      </c>
      <c r="J318" s="2" t="s">
        <v>23</v>
      </c>
      <c r="K318" s="2" t="s">
        <v>1</v>
      </c>
      <c r="L318" s="2">
        <v>-7</v>
      </c>
      <c r="M318" s="2" t="s">
        <v>1</v>
      </c>
      <c r="N318" s="2">
        <v>105</v>
      </c>
      <c r="O318" s="2">
        <v>110</v>
      </c>
      <c r="P318" s="2" t="str">
        <f t="shared" si="29"/>
        <v>DEN</v>
      </c>
      <c r="Q318" s="2">
        <f t="shared" si="27"/>
        <v>-2</v>
      </c>
      <c r="R318" s="7">
        <f t="shared" si="28"/>
        <v>0</v>
      </c>
    </row>
    <row r="319" spans="1:18" ht="15" customHeight="1" x14ac:dyDescent="0.25">
      <c r="A319" s="7">
        <v>318</v>
      </c>
      <c r="B319" s="8" t="s">
        <v>151</v>
      </c>
      <c r="C319" s="7">
        <v>2013</v>
      </c>
      <c r="D319" s="7">
        <v>2014</v>
      </c>
      <c r="E319" s="3">
        <v>41663</v>
      </c>
      <c r="F319" s="4">
        <f t="shared" si="24"/>
        <v>1</v>
      </c>
      <c r="G319" s="4">
        <f t="shared" si="25"/>
        <v>24</v>
      </c>
      <c r="H319" s="4">
        <f t="shared" si="26"/>
        <v>2014</v>
      </c>
      <c r="I319" s="10" t="s">
        <v>157</v>
      </c>
      <c r="J319" s="2" t="s">
        <v>134</v>
      </c>
      <c r="K319" s="2" t="s">
        <v>5</v>
      </c>
      <c r="L319" s="2">
        <v>5</v>
      </c>
      <c r="M319" s="2" t="s">
        <v>5</v>
      </c>
      <c r="N319" s="2">
        <v>105</v>
      </c>
      <c r="O319" s="2">
        <v>79</v>
      </c>
      <c r="P319" s="2" t="str">
        <f t="shared" si="29"/>
        <v>SA</v>
      </c>
      <c r="Q319" s="2">
        <f t="shared" si="27"/>
        <v>-21</v>
      </c>
      <c r="R319" s="7">
        <f t="shared" si="28"/>
        <v>0</v>
      </c>
    </row>
    <row r="320" spans="1:18" ht="15" customHeight="1" x14ac:dyDescent="0.25">
      <c r="A320" s="7">
        <v>319</v>
      </c>
      <c r="B320" s="8" t="s">
        <v>151</v>
      </c>
      <c r="C320" s="7">
        <v>2013</v>
      </c>
      <c r="D320" s="7">
        <v>2014</v>
      </c>
      <c r="E320" s="3">
        <v>41664</v>
      </c>
      <c r="F320" s="4">
        <f t="shared" si="24"/>
        <v>1</v>
      </c>
      <c r="G320" s="4">
        <f t="shared" si="25"/>
        <v>25</v>
      </c>
      <c r="H320" s="4">
        <f t="shared" si="26"/>
        <v>2014</v>
      </c>
      <c r="I320" s="10" t="s">
        <v>157</v>
      </c>
      <c r="J320" s="2" t="s">
        <v>4</v>
      </c>
      <c r="K320" s="2" t="s">
        <v>9</v>
      </c>
      <c r="L320" s="2">
        <v>1.5</v>
      </c>
      <c r="M320" s="2" t="s">
        <v>4</v>
      </c>
      <c r="N320" s="2">
        <v>81</v>
      </c>
      <c r="O320" s="2">
        <v>99</v>
      </c>
      <c r="P320" s="2" t="str">
        <f t="shared" si="29"/>
        <v>MEM</v>
      </c>
      <c r="Q320" s="2">
        <f t="shared" si="27"/>
        <v>-19.5</v>
      </c>
      <c r="R320" s="7">
        <f t="shared" si="28"/>
        <v>0</v>
      </c>
    </row>
    <row r="321" spans="1:18" ht="15" customHeight="1" x14ac:dyDescent="0.25">
      <c r="A321" s="7">
        <v>320</v>
      </c>
      <c r="B321" s="8" t="s">
        <v>151</v>
      </c>
      <c r="C321" s="7">
        <v>2013</v>
      </c>
      <c r="D321" s="7">
        <v>2014</v>
      </c>
      <c r="E321" s="3">
        <v>41665</v>
      </c>
      <c r="F321" s="4">
        <f t="shared" si="24"/>
        <v>1</v>
      </c>
      <c r="G321" s="4">
        <f t="shared" si="25"/>
        <v>26</v>
      </c>
      <c r="H321" s="4">
        <f t="shared" si="26"/>
        <v>2014</v>
      </c>
      <c r="I321" s="10" t="s">
        <v>157</v>
      </c>
      <c r="J321" s="2" t="s">
        <v>7</v>
      </c>
      <c r="K321" s="2" t="s">
        <v>16</v>
      </c>
      <c r="L321" s="2">
        <v>-6.5</v>
      </c>
      <c r="M321" s="2" t="s">
        <v>7</v>
      </c>
      <c r="N321" s="2">
        <v>106</v>
      </c>
      <c r="O321" s="2">
        <v>116</v>
      </c>
      <c r="P321" s="2" t="str">
        <f t="shared" si="29"/>
        <v>DAL</v>
      </c>
      <c r="Q321" s="2">
        <f t="shared" si="27"/>
        <v>-3.5</v>
      </c>
      <c r="R321" s="7">
        <f t="shared" si="28"/>
        <v>0</v>
      </c>
    </row>
    <row r="322" spans="1:18" ht="15" customHeight="1" x14ac:dyDescent="0.25">
      <c r="A322" s="7">
        <v>321</v>
      </c>
      <c r="B322" s="8" t="s">
        <v>151</v>
      </c>
      <c r="C322" s="7">
        <v>2013</v>
      </c>
      <c r="D322" s="7">
        <v>2014</v>
      </c>
      <c r="E322" s="3">
        <v>41666</v>
      </c>
      <c r="F322" s="4">
        <f t="shared" ref="F322:F385" si="30">MONTH(E322)</f>
        <v>1</v>
      </c>
      <c r="G322" s="4">
        <f t="shared" ref="G322:G385" si="31">DAY(E322)</f>
        <v>27</v>
      </c>
      <c r="H322" s="4">
        <f t="shared" ref="H322:H385" si="32">YEAR(E322)</f>
        <v>2014</v>
      </c>
      <c r="I322" s="10" t="s">
        <v>157</v>
      </c>
      <c r="J322" s="2" t="s">
        <v>3</v>
      </c>
      <c r="K322" s="2" t="s">
        <v>0</v>
      </c>
      <c r="L322" s="2">
        <v>4</v>
      </c>
      <c r="M322" s="2" t="s">
        <v>3</v>
      </c>
      <c r="N322" s="2">
        <v>95</v>
      </c>
      <c r="O322" s="2">
        <v>86</v>
      </c>
      <c r="P322" s="2" t="str">
        <f t="shared" si="29"/>
        <v>MIN</v>
      </c>
      <c r="Q322" s="2">
        <f t="shared" ref="Q322:Q385" si="33">IF(AND(N322&gt;0,O322&gt;0,(O322+L322)=N322),0,IF(P322="","",IF(P322=M322,ABS((O322+L322)-N322),-ABS((O322+L322)-N322))))</f>
        <v>5</v>
      </c>
      <c r="R322" s="7">
        <f t="shared" si="28"/>
        <v>1</v>
      </c>
    </row>
    <row r="323" spans="1:18" ht="15" customHeight="1" x14ac:dyDescent="0.25">
      <c r="A323" s="7">
        <v>322</v>
      </c>
      <c r="B323" s="8" t="s">
        <v>151</v>
      </c>
      <c r="C323" s="7">
        <v>2013</v>
      </c>
      <c r="D323" s="7">
        <v>2014</v>
      </c>
      <c r="E323" s="3">
        <v>41667</v>
      </c>
      <c r="F323" s="4">
        <f t="shared" si="30"/>
        <v>1</v>
      </c>
      <c r="G323" s="4">
        <f t="shared" si="31"/>
        <v>28</v>
      </c>
      <c r="H323" s="4">
        <f t="shared" si="32"/>
        <v>2014</v>
      </c>
      <c r="I323" s="10" t="s">
        <v>157</v>
      </c>
      <c r="J323" s="2" t="s">
        <v>11</v>
      </c>
      <c r="K323" s="2" t="s">
        <v>7</v>
      </c>
      <c r="L323" s="2">
        <v>-7</v>
      </c>
      <c r="M323" s="2" t="s">
        <v>11</v>
      </c>
      <c r="N323" s="2">
        <v>87</v>
      </c>
      <c r="O323" s="2">
        <v>103</v>
      </c>
      <c r="P323" s="2" t="str">
        <f t="shared" si="29"/>
        <v>DET</v>
      </c>
      <c r="Q323" s="2">
        <f t="shared" si="33"/>
        <v>-9</v>
      </c>
      <c r="R323" s="7">
        <f t="shared" ref="R323:R386" si="34">IF(Q323="","",IF(P323=M323,1,IF(Q323=0,"na",0)))</f>
        <v>0</v>
      </c>
    </row>
    <row r="324" spans="1:18" ht="15" customHeight="1" x14ac:dyDescent="0.25">
      <c r="A324" s="7">
        <v>323</v>
      </c>
      <c r="B324" s="8" t="s">
        <v>151</v>
      </c>
      <c r="C324" s="7">
        <v>2013</v>
      </c>
      <c r="D324" s="7">
        <v>2014</v>
      </c>
      <c r="E324" s="3">
        <v>41668</v>
      </c>
      <c r="F324" s="4">
        <f t="shared" si="30"/>
        <v>1</v>
      </c>
      <c r="G324" s="4">
        <f t="shared" si="31"/>
        <v>29</v>
      </c>
      <c r="H324" s="4">
        <f t="shared" si="32"/>
        <v>2014</v>
      </c>
      <c r="I324" s="10" t="s">
        <v>157</v>
      </c>
      <c r="J324" s="2" t="s">
        <v>8</v>
      </c>
      <c r="K324" s="2" t="s">
        <v>23</v>
      </c>
      <c r="L324" s="2">
        <v>-8</v>
      </c>
      <c r="M324" s="2" t="s">
        <v>8</v>
      </c>
      <c r="N324" s="2">
        <v>101</v>
      </c>
      <c r="O324" s="2">
        <v>98</v>
      </c>
      <c r="P324" s="2" t="str">
        <f t="shared" si="29"/>
        <v>CHA</v>
      </c>
      <c r="Q324" s="2">
        <f t="shared" si="33"/>
        <v>11</v>
      </c>
      <c r="R324" s="7">
        <f t="shared" si="34"/>
        <v>1</v>
      </c>
    </row>
    <row r="325" spans="1:18" ht="15" customHeight="1" x14ac:dyDescent="0.25">
      <c r="A325" s="7">
        <v>324</v>
      </c>
      <c r="B325" s="8" t="s">
        <v>151</v>
      </c>
      <c r="C325" s="7">
        <v>2013</v>
      </c>
      <c r="D325" s="7">
        <v>2014</v>
      </c>
      <c r="E325" s="3">
        <v>41669</v>
      </c>
      <c r="F325" s="4">
        <f t="shared" si="30"/>
        <v>1</v>
      </c>
      <c r="G325" s="4">
        <f t="shared" si="31"/>
        <v>30</v>
      </c>
      <c r="H325" s="4">
        <f t="shared" si="32"/>
        <v>2014</v>
      </c>
      <c r="I325" s="10" t="s">
        <v>157</v>
      </c>
      <c r="J325" s="2" t="s">
        <v>14</v>
      </c>
      <c r="K325" s="2" t="s">
        <v>114</v>
      </c>
      <c r="L325" s="2">
        <v>-6</v>
      </c>
      <c r="M325" s="2" t="s">
        <v>114</v>
      </c>
      <c r="N325" s="2">
        <v>92</v>
      </c>
      <c r="O325" s="2">
        <v>111</v>
      </c>
      <c r="P325" s="2" t="str">
        <f t="shared" si="29"/>
        <v>GS</v>
      </c>
      <c r="Q325" s="2">
        <f t="shared" si="33"/>
        <v>13</v>
      </c>
      <c r="R325" s="7">
        <f t="shared" si="34"/>
        <v>1</v>
      </c>
    </row>
    <row r="326" spans="1:18" ht="15" customHeight="1" x14ac:dyDescent="0.25">
      <c r="A326" s="7">
        <v>325</v>
      </c>
      <c r="B326" s="8" t="s">
        <v>151</v>
      </c>
      <c r="C326" s="7">
        <v>2013</v>
      </c>
      <c r="D326" s="7">
        <v>2014</v>
      </c>
      <c r="E326" s="3">
        <v>41670</v>
      </c>
      <c r="F326" s="4">
        <f t="shared" si="30"/>
        <v>1</v>
      </c>
      <c r="G326" s="4">
        <f t="shared" si="31"/>
        <v>31</v>
      </c>
      <c r="H326" s="4">
        <f t="shared" si="32"/>
        <v>2014</v>
      </c>
      <c r="I326" s="10" t="s">
        <v>157</v>
      </c>
      <c r="J326" s="2" t="s">
        <v>5</v>
      </c>
      <c r="K326" s="2" t="s">
        <v>20</v>
      </c>
      <c r="L326" s="2">
        <v>4</v>
      </c>
      <c r="M326" s="2" t="s">
        <v>20</v>
      </c>
      <c r="N326" s="2">
        <v>125</v>
      </c>
      <c r="O326" s="2">
        <v>99</v>
      </c>
      <c r="P326" s="2" t="str">
        <f t="shared" ref="P326:P389" si="35">IF(OR(N326="",O326=""),"",IF((O326+L326)&gt;N326,K326,IF((O326+L326)=N326,"N/A",J326)))</f>
        <v>ATL</v>
      </c>
      <c r="Q326" s="2">
        <f t="shared" si="33"/>
        <v>-22</v>
      </c>
      <c r="R326" s="7">
        <f t="shared" si="34"/>
        <v>0</v>
      </c>
    </row>
    <row r="327" spans="1:18" ht="15" customHeight="1" x14ac:dyDescent="0.25">
      <c r="A327" s="7">
        <v>326</v>
      </c>
      <c r="B327" s="8" t="s">
        <v>151</v>
      </c>
      <c r="C327" s="7">
        <v>2013</v>
      </c>
      <c r="D327" s="7">
        <v>2014</v>
      </c>
      <c r="E327" s="3">
        <v>41671</v>
      </c>
      <c r="F327" s="4">
        <f t="shared" si="30"/>
        <v>2</v>
      </c>
      <c r="G327" s="4">
        <f t="shared" si="31"/>
        <v>1</v>
      </c>
      <c r="H327" s="4">
        <f t="shared" si="32"/>
        <v>2014</v>
      </c>
      <c r="I327" s="10" t="s">
        <v>157</v>
      </c>
      <c r="J327" s="7" t="s">
        <v>12</v>
      </c>
      <c r="K327" s="7" t="s">
        <v>139</v>
      </c>
      <c r="L327" s="7">
        <v>4.5</v>
      </c>
      <c r="M327" s="7" t="s">
        <v>12</v>
      </c>
      <c r="N327" s="7">
        <v>81</v>
      </c>
      <c r="O327" s="7">
        <v>96</v>
      </c>
      <c r="P327" s="2" t="str">
        <f t="shared" si="35"/>
        <v>WSH</v>
      </c>
      <c r="Q327" s="2">
        <f t="shared" si="33"/>
        <v>-19.5</v>
      </c>
      <c r="R327" s="7">
        <f t="shared" si="34"/>
        <v>0</v>
      </c>
    </row>
    <row r="328" spans="1:18" ht="15" customHeight="1" x14ac:dyDescent="0.25">
      <c r="A328" s="7">
        <v>327</v>
      </c>
      <c r="B328" s="8" t="s">
        <v>151</v>
      </c>
      <c r="C328" s="7">
        <v>2013</v>
      </c>
      <c r="D328" s="7">
        <v>2014</v>
      </c>
      <c r="E328" s="3">
        <v>41672</v>
      </c>
      <c r="F328" s="4">
        <f t="shared" si="30"/>
        <v>2</v>
      </c>
      <c r="G328" s="4">
        <f t="shared" si="31"/>
        <v>2</v>
      </c>
      <c r="H328" s="4">
        <f t="shared" si="32"/>
        <v>2014</v>
      </c>
      <c r="I328" s="10" t="s">
        <v>157</v>
      </c>
      <c r="J328" s="7" t="s">
        <v>11</v>
      </c>
      <c r="K328" s="7" t="s">
        <v>17</v>
      </c>
      <c r="L328" s="7">
        <v>-6</v>
      </c>
      <c r="M328" s="7" t="s">
        <v>17</v>
      </c>
      <c r="N328" s="7">
        <v>89</v>
      </c>
      <c r="O328" s="7">
        <v>96</v>
      </c>
      <c r="P328" s="2" t="str">
        <f t="shared" si="35"/>
        <v>BOS</v>
      </c>
      <c r="Q328" s="2">
        <f t="shared" si="33"/>
        <v>1</v>
      </c>
      <c r="R328" s="7">
        <f t="shared" si="34"/>
        <v>1</v>
      </c>
    </row>
    <row r="329" spans="1:18" ht="15" customHeight="1" x14ac:dyDescent="0.25">
      <c r="A329" s="7">
        <v>328</v>
      </c>
      <c r="B329" s="8" t="s">
        <v>151</v>
      </c>
      <c r="C329" s="7">
        <v>2013</v>
      </c>
      <c r="D329" s="7">
        <v>2014</v>
      </c>
      <c r="E329" s="3">
        <v>41673</v>
      </c>
      <c r="F329" s="4">
        <f t="shared" si="30"/>
        <v>2</v>
      </c>
      <c r="G329" s="4">
        <f t="shared" si="31"/>
        <v>3</v>
      </c>
      <c r="H329" s="4">
        <f t="shared" si="32"/>
        <v>2014</v>
      </c>
      <c r="I329" s="10" t="s">
        <v>157</v>
      </c>
      <c r="J329" s="7" t="s">
        <v>2</v>
      </c>
      <c r="K329" s="7" t="s">
        <v>137</v>
      </c>
      <c r="L329" s="7">
        <v>4.5</v>
      </c>
      <c r="M329" s="7" t="s">
        <v>137</v>
      </c>
      <c r="N329" s="7">
        <v>94</v>
      </c>
      <c r="O329" s="7">
        <v>79</v>
      </c>
      <c r="P329" s="2" t="str">
        <f t="shared" si="35"/>
        <v>TOR</v>
      </c>
      <c r="Q329" s="2">
        <f t="shared" si="33"/>
        <v>-10.5</v>
      </c>
      <c r="R329" s="7">
        <f t="shared" si="34"/>
        <v>0</v>
      </c>
    </row>
    <row r="330" spans="1:18" ht="15" customHeight="1" x14ac:dyDescent="0.25">
      <c r="A330" s="7">
        <v>329</v>
      </c>
      <c r="B330" s="8" t="s">
        <v>151</v>
      </c>
      <c r="C330" s="7">
        <v>2013</v>
      </c>
      <c r="D330" s="7">
        <v>2014</v>
      </c>
      <c r="E330" s="3">
        <v>41674</v>
      </c>
      <c r="F330" s="4">
        <f t="shared" si="30"/>
        <v>2</v>
      </c>
      <c r="G330" s="4">
        <f t="shared" si="31"/>
        <v>4</v>
      </c>
      <c r="H330" s="4">
        <f t="shared" si="32"/>
        <v>2014</v>
      </c>
      <c r="I330" s="10" t="s">
        <v>157</v>
      </c>
      <c r="J330" s="7" t="s">
        <v>13</v>
      </c>
      <c r="K330" s="7" t="s">
        <v>5</v>
      </c>
      <c r="L330" s="7">
        <v>3.5</v>
      </c>
      <c r="M330" s="7" t="s">
        <v>13</v>
      </c>
      <c r="N330" s="7">
        <v>89</v>
      </c>
      <c r="O330" s="7">
        <v>85</v>
      </c>
      <c r="P330" s="2" t="str">
        <f t="shared" si="35"/>
        <v>IND</v>
      </c>
      <c r="Q330" s="2">
        <f t="shared" si="33"/>
        <v>0.5</v>
      </c>
      <c r="R330" s="7">
        <f t="shared" si="34"/>
        <v>1</v>
      </c>
    </row>
    <row r="331" spans="1:18" ht="15" customHeight="1" x14ac:dyDescent="0.25">
      <c r="A331" s="7">
        <v>330</v>
      </c>
      <c r="B331" s="8" t="s">
        <v>151</v>
      </c>
      <c r="C331" s="7">
        <v>2013</v>
      </c>
      <c r="D331" s="7">
        <v>2014</v>
      </c>
      <c r="E331" s="3">
        <v>41675</v>
      </c>
      <c r="F331" s="4">
        <f t="shared" si="30"/>
        <v>2</v>
      </c>
      <c r="G331" s="4">
        <f t="shared" si="31"/>
        <v>5</v>
      </c>
      <c r="H331" s="4">
        <f t="shared" si="32"/>
        <v>2014</v>
      </c>
      <c r="I331" s="10" t="s">
        <v>157</v>
      </c>
      <c r="J331" s="7" t="s">
        <v>134</v>
      </c>
      <c r="K331" s="7" t="s">
        <v>139</v>
      </c>
      <c r="L331" s="7">
        <v>2</v>
      </c>
      <c r="M331" s="7" t="s">
        <v>134</v>
      </c>
      <c r="N331" s="7">
        <v>125</v>
      </c>
      <c r="O331" s="7">
        <v>118</v>
      </c>
      <c r="P331" s="2" t="str">
        <f t="shared" si="35"/>
        <v>SA</v>
      </c>
      <c r="Q331" s="2">
        <f t="shared" si="33"/>
        <v>5</v>
      </c>
      <c r="R331" s="7">
        <f t="shared" si="34"/>
        <v>1</v>
      </c>
    </row>
    <row r="332" spans="1:18" ht="15" customHeight="1" x14ac:dyDescent="0.25">
      <c r="A332" s="7">
        <v>331</v>
      </c>
      <c r="B332" s="8" t="s">
        <v>151</v>
      </c>
      <c r="C332" s="7">
        <v>2013</v>
      </c>
      <c r="D332" s="7">
        <v>2014</v>
      </c>
      <c r="E332" s="3">
        <v>41676</v>
      </c>
      <c r="F332" s="4">
        <f t="shared" si="30"/>
        <v>2</v>
      </c>
      <c r="G332" s="4">
        <f t="shared" si="31"/>
        <v>6</v>
      </c>
      <c r="H332" s="4">
        <f t="shared" si="32"/>
        <v>2014</v>
      </c>
      <c r="I332" s="10" t="s">
        <v>157</v>
      </c>
      <c r="J332" s="7" t="s">
        <v>134</v>
      </c>
      <c r="K332" s="7" t="s">
        <v>22</v>
      </c>
      <c r="L332" s="7">
        <v>6</v>
      </c>
      <c r="M332" s="7" t="s">
        <v>22</v>
      </c>
      <c r="N332" s="7">
        <v>89</v>
      </c>
      <c r="O332" s="7">
        <v>103</v>
      </c>
      <c r="P332" s="2" t="str">
        <f t="shared" si="35"/>
        <v>BKN</v>
      </c>
      <c r="Q332" s="2">
        <f t="shared" si="33"/>
        <v>20</v>
      </c>
      <c r="R332" s="7">
        <f t="shared" si="34"/>
        <v>1</v>
      </c>
    </row>
    <row r="333" spans="1:18" ht="15" customHeight="1" x14ac:dyDescent="0.25">
      <c r="A333" s="7">
        <v>332</v>
      </c>
      <c r="B333" s="8" t="s">
        <v>151</v>
      </c>
      <c r="C333" s="7">
        <v>2013</v>
      </c>
      <c r="D333" s="7">
        <v>2014</v>
      </c>
      <c r="E333" s="3">
        <v>41677</v>
      </c>
      <c r="F333" s="4">
        <f t="shared" si="30"/>
        <v>2</v>
      </c>
      <c r="G333" s="4">
        <f t="shared" si="31"/>
        <v>7</v>
      </c>
      <c r="H333" s="4">
        <f t="shared" si="32"/>
        <v>2014</v>
      </c>
      <c r="I333" s="10" t="s">
        <v>157</v>
      </c>
      <c r="J333" s="7" t="s">
        <v>21</v>
      </c>
      <c r="K333" s="7" t="s">
        <v>17</v>
      </c>
      <c r="L333" s="7">
        <v>2</v>
      </c>
      <c r="M333" s="7" t="s">
        <v>21</v>
      </c>
      <c r="N333" s="7">
        <v>89</v>
      </c>
      <c r="O333" s="7">
        <v>99</v>
      </c>
      <c r="P333" s="2" t="str">
        <f t="shared" si="35"/>
        <v>BOS</v>
      </c>
      <c r="Q333" s="2">
        <f t="shared" si="33"/>
        <v>-12</v>
      </c>
      <c r="R333" s="7">
        <f t="shared" si="34"/>
        <v>0</v>
      </c>
    </row>
    <row r="334" spans="1:18" ht="15" customHeight="1" x14ac:dyDescent="0.25">
      <c r="A334" s="7">
        <v>333</v>
      </c>
      <c r="B334" s="8" t="s">
        <v>151</v>
      </c>
      <c r="C334" s="7">
        <v>2013</v>
      </c>
      <c r="D334" s="7">
        <v>2014</v>
      </c>
      <c r="E334" s="3">
        <v>41678</v>
      </c>
      <c r="F334" s="4">
        <f t="shared" si="30"/>
        <v>2</v>
      </c>
      <c r="G334" s="4">
        <f t="shared" si="31"/>
        <v>8</v>
      </c>
      <c r="H334" s="4">
        <f t="shared" si="32"/>
        <v>2014</v>
      </c>
      <c r="I334" s="10" t="s">
        <v>157</v>
      </c>
      <c r="J334" s="7" t="s">
        <v>23</v>
      </c>
      <c r="K334" s="7" t="s">
        <v>7</v>
      </c>
      <c r="L334" s="7">
        <v>-2</v>
      </c>
      <c r="M334" s="7" t="s">
        <v>23</v>
      </c>
      <c r="N334" s="7">
        <v>109</v>
      </c>
      <c r="O334" s="7">
        <v>126</v>
      </c>
      <c r="P334" s="2" t="str">
        <f t="shared" si="35"/>
        <v>DET</v>
      </c>
      <c r="Q334" s="2">
        <f t="shared" si="33"/>
        <v>-15</v>
      </c>
      <c r="R334" s="7">
        <f t="shared" si="34"/>
        <v>0</v>
      </c>
    </row>
    <row r="335" spans="1:18" ht="15" customHeight="1" x14ac:dyDescent="0.25">
      <c r="A335" s="7">
        <v>334</v>
      </c>
      <c r="B335" s="8" t="s">
        <v>151</v>
      </c>
      <c r="C335" s="7">
        <v>2013</v>
      </c>
      <c r="D335" s="7">
        <v>2014</v>
      </c>
      <c r="E335" s="3">
        <v>41679</v>
      </c>
      <c r="F335" s="4">
        <f t="shared" si="30"/>
        <v>2</v>
      </c>
      <c r="G335" s="4">
        <f t="shared" si="31"/>
        <v>9</v>
      </c>
      <c r="H335" s="4">
        <f t="shared" si="32"/>
        <v>2014</v>
      </c>
      <c r="I335" s="10" t="s">
        <v>157</v>
      </c>
      <c r="J335" s="7" t="s">
        <v>13</v>
      </c>
      <c r="K335" s="7" t="s">
        <v>11</v>
      </c>
      <c r="L335" s="7">
        <v>8</v>
      </c>
      <c r="M335" s="7" t="s">
        <v>13</v>
      </c>
      <c r="N335" s="7">
        <v>92</v>
      </c>
      <c r="O335" s="7">
        <v>93</v>
      </c>
      <c r="P335" s="7" t="str">
        <f t="shared" si="35"/>
        <v>ORL</v>
      </c>
      <c r="Q335" s="7">
        <f t="shared" si="33"/>
        <v>-9</v>
      </c>
      <c r="R335" s="7">
        <f t="shared" si="34"/>
        <v>0</v>
      </c>
    </row>
    <row r="336" spans="1:18" ht="15" customHeight="1" x14ac:dyDescent="0.25">
      <c r="A336" s="7">
        <v>335</v>
      </c>
      <c r="B336" s="8" t="s">
        <v>151</v>
      </c>
      <c r="C336" s="7">
        <v>2013</v>
      </c>
      <c r="D336" s="7">
        <v>2014</v>
      </c>
      <c r="E336" s="3">
        <v>41680</v>
      </c>
      <c r="F336" s="4">
        <f t="shared" si="30"/>
        <v>2</v>
      </c>
      <c r="G336" s="4">
        <f t="shared" si="31"/>
        <v>10</v>
      </c>
      <c r="H336" s="4">
        <f t="shared" si="32"/>
        <v>2014</v>
      </c>
      <c r="I336" s="10" t="s">
        <v>157</v>
      </c>
      <c r="J336" s="7" t="s">
        <v>4</v>
      </c>
      <c r="K336" s="7" t="s">
        <v>3</v>
      </c>
      <c r="L336" s="7">
        <v>4</v>
      </c>
      <c r="M336" s="7" t="s">
        <v>4</v>
      </c>
      <c r="N336" s="7">
        <v>107</v>
      </c>
      <c r="O336" s="7">
        <v>89</v>
      </c>
      <c r="P336" s="7" t="str">
        <f t="shared" si="35"/>
        <v>HOU</v>
      </c>
      <c r="Q336" s="7">
        <f t="shared" si="33"/>
        <v>14</v>
      </c>
      <c r="R336" s="7">
        <f t="shared" si="34"/>
        <v>1</v>
      </c>
    </row>
    <row r="337" spans="1:18" ht="15" customHeight="1" x14ac:dyDescent="0.25">
      <c r="A337" s="7">
        <v>336</v>
      </c>
      <c r="B337" s="8" t="s">
        <v>151</v>
      </c>
      <c r="C337" s="7">
        <v>2013</v>
      </c>
      <c r="D337" s="7">
        <v>2014</v>
      </c>
      <c r="E337" s="3">
        <v>41681</v>
      </c>
      <c r="F337" s="4">
        <f t="shared" si="30"/>
        <v>2</v>
      </c>
      <c r="G337" s="4">
        <f t="shared" si="31"/>
        <v>11</v>
      </c>
      <c r="H337" s="4">
        <f t="shared" si="32"/>
        <v>2014</v>
      </c>
      <c r="I337" s="10" t="s">
        <v>157</v>
      </c>
      <c r="J337" s="7" t="s">
        <v>15</v>
      </c>
      <c r="K337" s="7" t="s">
        <v>19</v>
      </c>
      <c r="L337" s="7">
        <v>3.5</v>
      </c>
      <c r="M337" s="7" t="s">
        <v>15</v>
      </c>
      <c r="N337" s="7">
        <v>103</v>
      </c>
      <c r="O337" s="7">
        <v>97</v>
      </c>
      <c r="P337" s="7" t="str">
        <f t="shared" si="35"/>
        <v>MIA</v>
      </c>
      <c r="Q337" s="7">
        <f t="shared" si="33"/>
        <v>2.5</v>
      </c>
      <c r="R337" s="7">
        <f t="shared" si="34"/>
        <v>1</v>
      </c>
    </row>
    <row r="338" spans="1:18" ht="15" customHeight="1" x14ac:dyDescent="0.25">
      <c r="A338" s="7">
        <v>337</v>
      </c>
      <c r="B338" s="8" t="s">
        <v>151</v>
      </c>
      <c r="C338" s="7">
        <v>2013</v>
      </c>
      <c r="D338" s="7">
        <v>2014</v>
      </c>
      <c r="E338" s="3">
        <v>41682</v>
      </c>
      <c r="F338" s="4">
        <f t="shared" si="30"/>
        <v>2</v>
      </c>
      <c r="G338" s="4">
        <f t="shared" si="31"/>
        <v>12</v>
      </c>
      <c r="H338" s="4">
        <f t="shared" si="32"/>
        <v>2014</v>
      </c>
      <c r="I338" s="10" t="s">
        <v>157</v>
      </c>
      <c r="J338" s="7" t="s">
        <v>8</v>
      </c>
      <c r="K338" s="7" t="s">
        <v>22</v>
      </c>
      <c r="L338" s="7">
        <v>-7</v>
      </c>
      <c r="M338" s="7" t="s">
        <v>22</v>
      </c>
      <c r="N338" s="7">
        <v>89</v>
      </c>
      <c r="O338" s="7">
        <v>105</v>
      </c>
      <c r="P338" s="7" t="str">
        <f t="shared" si="35"/>
        <v>BKN</v>
      </c>
      <c r="Q338" s="7">
        <f t="shared" si="33"/>
        <v>9</v>
      </c>
      <c r="R338" s="7">
        <f t="shared" si="34"/>
        <v>1</v>
      </c>
    </row>
    <row r="339" spans="1:18" ht="15" customHeight="1" x14ac:dyDescent="0.25">
      <c r="A339" s="7">
        <v>338</v>
      </c>
      <c r="B339" s="8" t="s">
        <v>151</v>
      </c>
      <c r="C339" s="7">
        <v>2013</v>
      </c>
      <c r="D339" s="7">
        <v>2014</v>
      </c>
      <c r="E339" s="3">
        <v>41683</v>
      </c>
      <c r="F339" s="4">
        <f t="shared" si="30"/>
        <v>2</v>
      </c>
      <c r="G339" s="4">
        <f t="shared" si="31"/>
        <v>13</v>
      </c>
      <c r="H339" s="4">
        <f t="shared" si="32"/>
        <v>2014</v>
      </c>
      <c r="I339" s="10" t="s">
        <v>157</v>
      </c>
      <c r="J339" s="7" t="s">
        <v>12</v>
      </c>
      <c r="K339" s="7" t="s">
        <v>18</v>
      </c>
      <c r="L339" s="2">
        <v>11</v>
      </c>
      <c r="M339" s="7" t="s">
        <v>12</v>
      </c>
      <c r="N339" s="2">
        <v>107</v>
      </c>
      <c r="O339" s="2">
        <v>103</v>
      </c>
      <c r="P339" s="7" t="str">
        <f t="shared" si="35"/>
        <v>LAL</v>
      </c>
      <c r="Q339" s="7">
        <f t="shared" si="33"/>
        <v>-7</v>
      </c>
      <c r="R339" s="7">
        <f t="shared" si="34"/>
        <v>0</v>
      </c>
    </row>
    <row r="340" spans="1:18" ht="15" customHeight="1" x14ac:dyDescent="0.25">
      <c r="A340" s="7">
        <v>339</v>
      </c>
      <c r="B340" s="8" t="s">
        <v>151</v>
      </c>
      <c r="C340" s="7">
        <v>2013</v>
      </c>
      <c r="D340" s="7">
        <v>2014</v>
      </c>
      <c r="E340" s="3">
        <v>41688</v>
      </c>
      <c r="F340" s="4">
        <f t="shared" si="30"/>
        <v>2</v>
      </c>
      <c r="G340" s="4">
        <f t="shared" si="31"/>
        <v>18</v>
      </c>
      <c r="H340" s="4">
        <f t="shared" si="32"/>
        <v>2014</v>
      </c>
      <c r="I340" s="10" t="s">
        <v>157</v>
      </c>
      <c r="J340" s="7" t="s">
        <v>126</v>
      </c>
      <c r="K340" s="7" t="s">
        <v>9</v>
      </c>
      <c r="L340" s="7">
        <v>-5.5</v>
      </c>
      <c r="M340" s="7" t="s">
        <v>9</v>
      </c>
      <c r="N340" s="7">
        <v>93</v>
      </c>
      <c r="O340" s="7">
        <v>98</v>
      </c>
      <c r="P340" s="7" t="str">
        <f t="shared" si="35"/>
        <v>NY</v>
      </c>
      <c r="Q340" s="7">
        <f t="shared" si="33"/>
        <v>-0.5</v>
      </c>
      <c r="R340" s="7">
        <f t="shared" si="34"/>
        <v>0</v>
      </c>
    </row>
    <row r="341" spans="1:18" ht="15" customHeight="1" x14ac:dyDescent="0.25">
      <c r="A341" s="7">
        <v>340</v>
      </c>
      <c r="B341" s="8" t="s">
        <v>151</v>
      </c>
      <c r="C341" s="7">
        <v>2013</v>
      </c>
      <c r="D341" s="7">
        <v>2014</v>
      </c>
      <c r="E341" s="3">
        <v>41689</v>
      </c>
      <c r="F341" s="4">
        <f t="shared" si="30"/>
        <v>2</v>
      </c>
      <c r="G341" s="4">
        <f t="shared" si="31"/>
        <v>19</v>
      </c>
      <c r="H341" s="4">
        <f t="shared" si="32"/>
        <v>2014</v>
      </c>
      <c r="I341" s="10" t="s">
        <v>157</v>
      </c>
      <c r="J341" s="2" t="s">
        <v>139</v>
      </c>
      <c r="K341" s="2" t="s">
        <v>5</v>
      </c>
      <c r="L341" s="2">
        <v>-1</v>
      </c>
      <c r="M341" s="2" t="s">
        <v>5</v>
      </c>
      <c r="N341" s="2">
        <v>114</v>
      </c>
      <c r="O341" s="2">
        <v>97</v>
      </c>
      <c r="P341" s="2" t="str">
        <f t="shared" si="35"/>
        <v>WSH</v>
      </c>
      <c r="Q341" s="2">
        <f t="shared" si="33"/>
        <v>-18</v>
      </c>
      <c r="R341" s="7">
        <f t="shared" si="34"/>
        <v>0</v>
      </c>
    </row>
    <row r="342" spans="1:18" ht="15" customHeight="1" x14ac:dyDescent="0.25">
      <c r="A342" s="7">
        <v>341</v>
      </c>
      <c r="B342" s="8" t="s">
        <v>151</v>
      </c>
      <c r="C342" s="7">
        <v>2013</v>
      </c>
      <c r="D342" s="7">
        <v>2014</v>
      </c>
      <c r="E342" s="3">
        <v>41690</v>
      </c>
      <c r="F342" s="4">
        <f t="shared" si="30"/>
        <v>2</v>
      </c>
      <c r="G342" s="4">
        <f t="shared" si="31"/>
        <v>20</v>
      </c>
      <c r="H342" s="4">
        <f t="shared" si="32"/>
        <v>2014</v>
      </c>
      <c r="I342" s="10" t="s">
        <v>157</v>
      </c>
      <c r="J342" s="2" t="s">
        <v>4</v>
      </c>
      <c r="K342" s="2" t="s">
        <v>114</v>
      </c>
      <c r="L342" s="2">
        <v>1.5</v>
      </c>
      <c r="M342" s="2" t="s">
        <v>114</v>
      </c>
      <c r="N342" s="2">
        <v>98</v>
      </c>
      <c r="O342" s="2">
        <v>101</v>
      </c>
      <c r="P342" s="2" t="str">
        <f t="shared" si="35"/>
        <v>GS</v>
      </c>
      <c r="Q342" s="2">
        <f t="shared" si="33"/>
        <v>4.5</v>
      </c>
      <c r="R342" s="7">
        <f t="shared" si="34"/>
        <v>1</v>
      </c>
    </row>
    <row r="343" spans="1:18" ht="15" customHeight="1" x14ac:dyDescent="0.25">
      <c r="A343" s="7">
        <v>342</v>
      </c>
      <c r="B343" s="8" t="s">
        <v>151</v>
      </c>
      <c r="C343" s="7">
        <v>2013</v>
      </c>
      <c r="D343" s="7">
        <v>2014</v>
      </c>
      <c r="E343" s="3">
        <v>41691</v>
      </c>
      <c r="F343" s="4">
        <f t="shared" si="30"/>
        <v>2</v>
      </c>
      <c r="G343" s="4">
        <f t="shared" si="31"/>
        <v>21</v>
      </c>
      <c r="H343" s="4">
        <f t="shared" si="32"/>
        <v>2014</v>
      </c>
      <c r="I343" s="10" t="s">
        <v>157</v>
      </c>
      <c r="J343" s="2" t="s">
        <v>124</v>
      </c>
      <c r="K343" s="2" t="s">
        <v>8</v>
      </c>
      <c r="L343" s="2">
        <v>-3</v>
      </c>
      <c r="M343" s="2" t="s">
        <v>124</v>
      </c>
      <c r="N343" s="2">
        <v>87</v>
      </c>
      <c r="O343" s="2">
        <v>90</v>
      </c>
      <c r="P343" s="2" t="str">
        <f t="shared" si="35"/>
        <v>N/A</v>
      </c>
      <c r="Q343" s="2">
        <f t="shared" si="33"/>
        <v>0</v>
      </c>
      <c r="R343" s="7" t="str">
        <f t="shared" si="34"/>
        <v>na</v>
      </c>
    </row>
    <row r="344" spans="1:18" ht="15" customHeight="1" x14ac:dyDescent="0.25">
      <c r="A344" s="7">
        <v>343</v>
      </c>
      <c r="B344" s="8" t="s">
        <v>151</v>
      </c>
      <c r="C344" s="7">
        <v>2013</v>
      </c>
      <c r="D344" s="7">
        <v>2014</v>
      </c>
      <c r="E344" s="3">
        <v>41692</v>
      </c>
      <c r="F344" s="4">
        <f t="shared" si="30"/>
        <v>2</v>
      </c>
      <c r="G344" s="4">
        <f t="shared" si="31"/>
        <v>22</v>
      </c>
      <c r="H344" s="4">
        <f t="shared" si="32"/>
        <v>2014</v>
      </c>
      <c r="I344" s="10" t="s">
        <v>157</v>
      </c>
      <c r="J344" s="2" t="s">
        <v>16</v>
      </c>
      <c r="K344" s="2" t="s">
        <v>7</v>
      </c>
      <c r="L344" s="2">
        <v>3.5</v>
      </c>
      <c r="M344" s="2" t="s">
        <v>16</v>
      </c>
      <c r="N344" s="2">
        <v>113</v>
      </c>
      <c r="O344" s="2">
        <v>102</v>
      </c>
      <c r="P344" s="2" t="str">
        <f t="shared" si="35"/>
        <v>DAL</v>
      </c>
      <c r="Q344" s="2">
        <f t="shared" si="33"/>
        <v>7.5</v>
      </c>
      <c r="R344" s="7">
        <f t="shared" si="34"/>
        <v>1</v>
      </c>
    </row>
    <row r="345" spans="1:18" ht="15" customHeight="1" x14ac:dyDescent="0.25">
      <c r="A345" s="7">
        <v>344</v>
      </c>
      <c r="B345" s="8" t="s">
        <v>151</v>
      </c>
      <c r="C345" s="7">
        <v>2013</v>
      </c>
      <c r="D345" s="7">
        <v>2014</v>
      </c>
      <c r="E345" s="3">
        <v>41693</v>
      </c>
      <c r="F345" s="4">
        <f t="shared" si="30"/>
        <v>2</v>
      </c>
      <c r="G345" s="4">
        <f t="shared" si="31"/>
        <v>23</v>
      </c>
      <c r="H345" s="4">
        <f t="shared" si="32"/>
        <v>2014</v>
      </c>
      <c r="I345" s="10" t="s">
        <v>157</v>
      </c>
      <c r="J345" s="2" t="s">
        <v>4</v>
      </c>
      <c r="K345" s="2" t="s">
        <v>19</v>
      </c>
      <c r="L345" s="2">
        <v>1</v>
      </c>
      <c r="M345" s="2" t="s">
        <v>19</v>
      </c>
      <c r="N345" s="2">
        <v>115</v>
      </c>
      <c r="O345" s="2">
        <v>112</v>
      </c>
      <c r="P345" s="2" t="str">
        <f t="shared" si="35"/>
        <v>HOU</v>
      </c>
      <c r="Q345" s="2">
        <f t="shared" si="33"/>
        <v>-2</v>
      </c>
      <c r="R345" s="7">
        <f t="shared" si="34"/>
        <v>0</v>
      </c>
    </row>
    <row r="346" spans="1:18" ht="15" customHeight="1" x14ac:dyDescent="0.25">
      <c r="A346" s="7">
        <v>345</v>
      </c>
      <c r="B346" s="8" t="s">
        <v>151</v>
      </c>
      <c r="C346" s="7">
        <v>2013</v>
      </c>
      <c r="D346" s="7">
        <v>2014</v>
      </c>
      <c r="E346" s="3">
        <v>41694</v>
      </c>
      <c r="F346" s="4">
        <f t="shared" si="30"/>
        <v>2</v>
      </c>
      <c r="G346" s="4">
        <f t="shared" si="31"/>
        <v>24</v>
      </c>
      <c r="H346" s="4">
        <f t="shared" si="32"/>
        <v>2014</v>
      </c>
      <c r="I346" s="10" t="s">
        <v>157</v>
      </c>
      <c r="J346" s="2" t="s">
        <v>17</v>
      </c>
      <c r="K346" s="2" t="s">
        <v>137</v>
      </c>
      <c r="L346" s="2">
        <v>-4</v>
      </c>
      <c r="M346" s="2" t="s">
        <v>17</v>
      </c>
      <c r="N346" s="2">
        <v>98</v>
      </c>
      <c r="O346" s="2">
        <v>110</v>
      </c>
      <c r="P346" s="2" t="str">
        <f t="shared" si="35"/>
        <v>UTAH</v>
      </c>
      <c r="Q346" s="2">
        <f t="shared" si="33"/>
        <v>-8</v>
      </c>
      <c r="R346" s="7">
        <f t="shared" si="34"/>
        <v>0</v>
      </c>
    </row>
    <row r="347" spans="1:18" ht="15" customHeight="1" x14ac:dyDescent="0.25">
      <c r="A347" s="7">
        <v>346</v>
      </c>
      <c r="B347" s="8" t="s">
        <v>151</v>
      </c>
      <c r="C347" s="7">
        <v>2013</v>
      </c>
      <c r="D347" s="7">
        <v>2014</v>
      </c>
      <c r="E347" s="3">
        <v>41695</v>
      </c>
      <c r="F347" s="4">
        <f t="shared" si="30"/>
        <v>2</v>
      </c>
      <c r="G347" s="4">
        <f t="shared" si="31"/>
        <v>25</v>
      </c>
      <c r="H347" s="4">
        <f t="shared" si="32"/>
        <v>2014</v>
      </c>
      <c r="I347" s="10" t="s">
        <v>157</v>
      </c>
      <c r="J347" s="2" t="s">
        <v>1</v>
      </c>
      <c r="K347" s="2" t="s">
        <v>23</v>
      </c>
      <c r="L347" s="2">
        <v>2.5</v>
      </c>
      <c r="M347" s="2" t="s">
        <v>1</v>
      </c>
      <c r="N347" s="2">
        <v>100</v>
      </c>
      <c r="O347" s="2">
        <v>95</v>
      </c>
      <c r="P347" s="2" t="str">
        <f t="shared" si="35"/>
        <v>POR</v>
      </c>
      <c r="Q347" s="2">
        <f t="shared" si="33"/>
        <v>2.5</v>
      </c>
      <c r="R347" s="7">
        <f t="shared" si="34"/>
        <v>1</v>
      </c>
    </row>
    <row r="348" spans="1:18" ht="15" customHeight="1" x14ac:dyDescent="0.25">
      <c r="A348" s="7">
        <v>347</v>
      </c>
      <c r="B348" s="8" t="s">
        <v>151</v>
      </c>
      <c r="C348" s="7">
        <v>2013</v>
      </c>
      <c r="D348" s="7">
        <v>2014</v>
      </c>
      <c r="E348" s="3">
        <v>41696</v>
      </c>
      <c r="F348" s="4">
        <f t="shared" si="30"/>
        <v>2</v>
      </c>
      <c r="G348" s="4">
        <f t="shared" si="31"/>
        <v>26</v>
      </c>
      <c r="H348" s="4">
        <f t="shared" si="32"/>
        <v>2014</v>
      </c>
      <c r="I348" s="10" t="s">
        <v>157</v>
      </c>
      <c r="J348" s="2" t="s">
        <v>114</v>
      </c>
      <c r="K348" s="2" t="s">
        <v>0</v>
      </c>
      <c r="L348" s="2">
        <v>3.5</v>
      </c>
      <c r="M348" s="2" t="s">
        <v>114</v>
      </c>
      <c r="N348" s="2">
        <v>83</v>
      </c>
      <c r="O348" s="2">
        <v>103</v>
      </c>
      <c r="P348" s="2" t="str">
        <f t="shared" si="35"/>
        <v>CHI</v>
      </c>
      <c r="Q348" s="2">
        <f t="shared" si="33"/>
        <v>-23.5</v>
      </c>
      <c r="R348" s="7">
        <f t="shared" si="34"/>
        <v>0</v>
      </c>
    </row>
    <row r="349" spans="1:18" ht="15" customHeight="1" x14ac:dyDescent="0.25">
      <c r="A349" s="7">
        <v>348</v>
      </c>
      <c r="B349" s="8" t="s">
        <v>151</v>
      </c>
      <c r="C349" s="7">
        <v>2013</v>
      </c>
      <c r="D349" s="7">
        <v>2014</v>
      </c>
      <c r="E349" s="3">
        <v>41697</v>
      </c>
      <c r="F349" s="4">
        <f t="shared" si="30"/>
        <v>2</v>
      </c>
      <c r="G349" s="4">
        <f t="shared" si="31"/>
        <v>27</v>
      </c>
      <c r="H349" s="4">
        <f t="shared" si="32"/>
        <v>2014</v>
      </c>
      <c r="I349" s="10" t="s">
        <v>157</v>
      </c>
      <c r="J349" s="2" t="s">
        <v>139</v>
      </c>
      <c r="K349" s="2" t="s">
        <v>2</v>
      </c>
      <c r="L349" s="2">
        <v>-5</v>
      </c>
      <c r="M349" s="2" t="s">
        <v>2</v>
      </c>
      <c r="N349" s="2">
        <v>134</v>
      </c>
      <c r="O349" s="2">
        <v>129</v>
      </c>
      <c r="P349" s="2" t="str">
        <f t="shared" si="35"/>
        <v>WSH</v>
      </c>
      <c r="Q349" s="2">
        <f t="shared" si="33"/>
        <v>-10</v>
      </c>
      <c r="R349" s="7">
        <f t="shared" si="34"/>
        <v>0</v>
      </c>
    </row>
    <row r="350" spans="1:18" ht="15" customHeight="1" x14ac:dyDescent="0.25">
      <c r="A350" s="7">
        <v>349</v>
      </c>
      <c r="B350" s="8" t="s">
        <v>151</v>
      </c>
      <c r="C350" s="7">
        <v>2013</v>
      </c>
      <c r="D350" s="7">
        <v>2014</v>
      </c>
      <c r="E350" s="3">
        <v>41698</v>
      </c>
      <c r="F350" s="4">
        <f t="shared" si="30"/>
        <v>2</v>
      </c>
      <c r="G350" s="4">
        <f t="shared" si="31"/>
        <v>28</v>
      </c>
      <c r="H350" s="4">
        <f t="shared" si="32"/>
        <v>2014</v>
      </c>
      <c r="I350" s="10" t="s">
        <v>157</v>
      </c>
      <c r="J350" s="2" t="s">
        <v>21</v>
      </c>
      <c r="K350" s="2" t="s">
        <v>18</v>
      </c>
      <c r="L350" s="2">
        <v>-2.5</v>
      </c>
      <c r="M350" s="2" t="s">
        <v>21</v>
      </c>
      <c r="N350" s="2">
        <v>122</v>
      </c>
      <c r="O350" s="2">
        <v>126</v>
      </c>
      <c r="P350" s="2" t="str">
        <f t="shared" si="35"/>
        <v>LAL</v>
      </c>
      <c r="Q350" s="2">
        <f t="shared" si="33"/>
        <v>-1.5</v>
      </c>
      <c r="R350" s="7">
        <f t="shared" si="34"/>
        <v>0</v>
      </c>
    </row>
    <row r="351" spans="1:18" ht="15" customHeight="1" x14ac:dyDescent="0.25">
      <c r="A351" s="7">
        <v>350</v>
      </c>
      <c r="B351" s="8" t="s">
        <v>151</v>
      </c>
      <c r="C351" s="7">
        <v>2013</v>
      </c>
      <c r="D351" s="7">
        <v>2014</v>
      </c>
      <c r="E351" s="3">
        <v>41699</v>
      </c>
      <c r="F351" s="4">
        <f t="shared" si="30"/>
        <v>3</v>
      </c>
      <c r="G351" s="4">
        <f t="shared" si="31"/>
        <v>1</v>
      </c>
      <c r="H351" s="4">
        <f t="shared" si="32"/>
        <v>2014</v>
      </c>
      <c r="I351" s="10" t="s">
        <v>157</v>
      </c>
      <c r="J351" s="2" t="s">
        <v>13</v>
      </c>
      <c r="K351" s="2" t="s">
        <v>17</v>
      </c>
      <c r="L351" s="2">
        <v>7.5</v>
      </c>
      <c r="M351" s="2" t="s">
        <v>13</v>
      </c>
      <c r="N351" s="2">
        <v>102</v>
      </c>
      <c r="O351" s="2">
        <v>97</v>
      </c>
      <c r="P351" s="2" t="str">
        <f t="shared" si="35"/>
        <v>BOS</v>
      </c>
      <c r="Q351" s="2">
        <f t="shared" si="33"/>
        <v>-2.5</v>
      </c>
      <c r="R351" s="7">
        <f t="shared" si="34"/>
        <v>0</v>
      </c>
    </row>
    <row r="352" spans="1:18" ht="15" customHeight="1" x14ac:dyDescent="0.25">
      <c r="A352" s="7">
        <v>351</v>
      </c>
      <c r="B352" s="8" t="s">
        <v>151</v>
      </c>
      <c r="C352" s="7">
        <v>2013</v>
      </c>
      <c r="D352" s="7">
        <v>2014</v>
      </c>
      <c r="E352" s="3">
        <v>41700</v>
      </c>
      <c r="F352" s="4">
        <f t="shared" si="30"/>
        <v>3</v>
      </c>
      <c r="G352" s="4">
        <f t="shared" si="31"/>
        <v>2</v>
      </c>
      <c r="H352" s="4">
        <f t="shared" si="32"/>
        <v>2014</v>
      </c>
      <c r="I352" s="10" t="s">
        <v>157</v>
      </c>
      <c r="J352" s="2" t="s">
        <v>16</v>
      </c>
      <c r="K352" s="2" t="s">
        <v>134</v>
      </c>
      <c r="L352" s="2">
        <v>-5.5</v>
      </c>
      <c r="M352" s="2" t="s">
        <v>134</v>
      </c>
      <c r="N352" s="2">
        <v>106</v>
      </c>
      <c r="O352" s="2">
        <v>112</v>
      </c>
      <c r="P352" s="2" t="str">
        <f t="shared" si="35"/>
        <v>SA</v>
      </c>
      <c r="Q352" s="2">
        <f t="shared" si="33"/>
        <v>0.5</v>
      </c>
      <c r="R352" s="7">
        <f t="shared" si="34"/>
        <v>1</v>
      </c>
    </row>
    <row r="353" spans="1:18" ht="15" customHeight="1" x14ac:dyDescent="0.25">
      <c r="A353" s="7">
        <v>352</v>
      </c>
      <c r="B353" s="8" t="s">
        <v>151</v>
      </c>
      <c r="C353" s="7">
        <v>2013</v>
      </c>
      <c r="D353" s="7">
        <v>2014</v>
      </c>
      <c r="E353" s="3">
        <v>41701</v>
      </c>
      <c r="F353" s="4">
        <f t="shared" si="30"/>
        <v>3</v>
      </c>
      <c r="G353" s="4">
        <f t="shared" si="31"/>
        <v>3</v>
      </c>
      <c r="H353" s="4">
        <f t="shared" si="32"/>
        <v>2014</v>
      </c>
      <c r="I353" s="10" t="s">
        <v>157</v>
      </c>
      <c r="J353" s="2" t="s">
        <v>8</v>
      </c>
      <c r="K353" s="2" t="s">
        <v>15</v>
      </c>
      <c r="L353" s="2">
        <v>-11.5</v>
      </c>
      <c r="M353" s="2" t="s">
        <v>8</v>
      </c>
      <c r="N353" s="2">
        <v>107</v>
      </c>
      <c r="O353" s="2">
        <v>124</v>
      </c>
      <c r="P353" s="2" t="str">
        <f t="shared" si="35"/>
        <v>MIA</v>
      </c>
      <c r="Q353" s="2">
        <f t="shared" si="33"/>
        <v>-5.5</v>
      </c>
      <c r="R353" s="7">
        <f t="shared" si="34"/>
        <v>0</v>
      </c>
    </row>
    <row r="354" spans="1:18" ht="15" customHeight="1" x14ac:dyDescent="0.25">
      <c r="A354" s="7">
        <v>353</v>
      </c>
      <c r="B354" s="8" t="s">
        <v>151</v>
      </c>
      <c r="C354" s="7">
        <v>2013</v>
      </c>
      <c r="D354" s="7">
        <v>2014</v>
      </c>
      <c r="E354" s="3">
        <v>41702</v>
      </c>
      <c r="F354" s="4">
        <f t="shared" si="30"/>
        <v>3</v>
      </c>
      <c r="G354" s="4">
        <f t="shared" si="31"/>
        <v>4</v>
      </c>
      <c r="H354" s="4">
        <f t="shared" si="32"/>
        <v>2014</v>
      </c>
      <c r="I354" s="10" t="s">
        <v>157</v>
      </c>
      <c r="J354" s="2" t="s">
        <v>134</v>
      </c>
      <c r="K354" s="2" t="s">
        <v>6</v>
      </c>
      <c r="L354" s="2">
        <v>7.5</v>
      </c>
      <c r="M354" s="2" t="s">
        <v>6</v>
      </c>
      <c r="N354" s="2">
        <v>122</v>
      </c>
      <c r="O354" s="2">
        <v>101</v>
      </c>
      <c r="P354" s="2" t="str">
        <f t="shared" si="35"/>
        <v>SA</v>
      </c>
      <c r="Q354" s="2">
        <f t="shared" si="33"/>
        <v>-13.5</v>
      </c>
      <c r="R354" s="7">
        <f t="shared" si="34"/>
        <v>0</v>
      </c>
    </row>
    <row r="355" spans="1:18" ht="15" customHeight="1" x14ac:dyDescent="0.25">
      <c r="A355" s="7">
        <v>354</v>
      </c>
      <c r="B355" s="8" t="s">
        <v>151</v>
      </c>
      <c r="C355" s="7">
        <v>2013</v>
      </c>
      <c r="D355" s="7">
        <v>2014</v>
      </c>
      <c r="E355" s="3">
        <v>41703</v>
      </c>
      <c r="F355" s="4">
        <f t="shared" si="30"/>
        <v>3</v>
      </c>
      <c r="G355" s="4">
        <f t="shared" si="31"/>
        <v>5</v>
      </c>
      <c r="H355" s="4">
        <f t="shared" si="32"/>
        <v>2014</v>
      </c>
      <c r="I355" s="10" t="s">
        <v>157</v>
      </c>
      <c r="J355" s="2" t="s">
        <v>126</v>
      </c>
      <c r="K355" s="2" t="s">
        <v>3</v>
      </c>
      <c r="L355" s="2">
        <v>-8.5</v>
      </c>
      <c r="M355" s="2" t="s">
        <v>3</v>
      </c>
      <c r="N355" s="2">
        <v>118</v>
      </c>
      <c r="O355" s="2">
        <v>106</v>
      </c>
      <c r="P355" s="2" t="str">
        <f t="shared" si="35"/>
        <v>NY</v>
      </c>
      <c r="Q355" s="2">
        <f t="shared" si="33"/>
        <v>-20.5</v>
      </c>
      <c r="R355" s="7">
        <f t="shared" si="34"/>
        <v>0</v>
      </c>
    </row>
    <row r="356" spans="1:18" ht="15" customHeight="1" x14ac:dyDescent="0.25">
      <c r="A356" s="7">
        <v>355</v>
      </c>
      <c r="B356" s="8" t="s">
        <v>151</v>
      </c>
      <c r="C356" s="7">
        <v>2013</v>
      </c>
      <c r="D356" s="7">
        <v>2014</v>
      </c>
      <c r="E356" s="3">
        <v>41704</v>
      </c>
      <c r="F356" s="4">
        <f t="shared" si="30"/>
        <v>3</v>
      </c>
      <c r="G356" s="4">
        <f t="shared" si="31"/>
        <v>6</v>
      </c>
      <c r="H356" s="4">
        <f t="shared" si="32"/>
        <v>2014</v>
      </c>
      <c r="I356" s="10" t="s">
        <v>157</v>
      </c>
      <c r="J356" s="2" t="s">
        <v>12</v>
      </c>
      <c r="K356" s="2" t="s">
        <v>19</v>
      </c>
      <c r="L356" s="2">
        <v>6</v>
      </c>
      <c r="M356" s="2" t="s">
        <v>19</v>
      </c>
      <c r="N356" s="2">
        <v>122</v>
      </c>
      <c r="O356" s="2">
        <v>128</v>
      </c>
      <c r="P356" s="2" t="str">
        <f t="shared" si="35"/>
        <v>PHX</v>
      </c>
      <c r="Q356" s="2">
        <f t="shared" si="33"/>
        <v>12</v>
      </c>
      <c r="R356" s="7">
        <f t="shared" si="34"/>
        <v>1</v>
      </c>
    </row>
    <row r="357" spans="1:18" ht="15" customHeight="1" x14ac:dyDescent="0.25">
      <c r="A357" s="7">
        <v>356</v>
      </c>
      <c r="B357" s="8" t="s">
        <v>151</v>
      </c>
      <c r="C357" s="7">
        <v>2013</v>
      </c>
      <c r="D357" s="7">
        <v>2014</v>
      </c>
      <c r="E357" s="3">
        <v>41705</v>
      </c>
      <c r="F357" s="4">
        <f t="shared" si="30"/>
        <v>3</v>
      </c>
      <c r="G357" s="4">
        <f t="shared" si="31"/>
        <v>7</v>
      </c>
      <c r="H357" s="4">
        <f t="shared" si="32"/>
        <v>2014</v>
      </c>
      <c r="I357" s="10" t="s">
        <v>157</v>
      </c>
      <c r="J357" s="2" t="s">
        <v>10</v>
      </c>
      <c r="K357" s="2" t="s">
        <v>124</v>
      </c>
      <c r="L357" s="2">
        <v>-8</v>
      </c>
      <c r="M357" s="2" t="s">
        <v>10</v>
      </c>
      <c r="N357" s="2">
        <v>104</v>
      </c>
      <c r="O357" s="2">
        <v>112</v>
      </c>
      <c r="P357" s="2" t="str">
        <f t="shared" si="35"/>
        <v>N/A</v>
      </c>
      <c r="Q357" s="2">
        <f t="shared" si="33"/>
        <v>0</v>
      </c>
      <c r="R357" s="7" t="str">
        <f t="shared" si="34"/>
        <v>na</v>
      </c>
    </row>
    <row r="358" spans="1:18" ht="15" customHeight="1" x14ac:dyDescent="0.25">
      <c r="A358" s="7">
        <v>357</v>
      </c>
      <c r="B358" s="8" t="s">
        <v>151</v>
      </c>
      <c r="C358" s="7">
        <v>2013</v>
      </c>
      <c r="D358" s="7">
        <v>2014</v>
      </c>
      <c r="E358" s="3">
        <v>41706</v>
      </c>
      <c r="F358" s="4">
        <f t="shared" si="30"/>
        <v>3</v>
      </c>
      <c r="G358" s="4">
        <f t="shared" si="31"/>
        <v>8</v>
      </c>
      <c r="H358" s="4">
        <f t="shared" si="32"/>
        <v>2014</v>
      </c>
      <c r="I358" s="10" t="s">
        <v>157</v>
      </c>
      <c r="J358" s="2" t="s">
        <v>139</v>
      </c>
      <c r="K358" s="2" t="s">
        <v>10</v>
      </c>
      <c r="L358" s="2">
        <v>7.5</v>
      </c>
      <c r="M358" s="2" t="s">
        <v>139</v>
      </c>
      <c r="N358" s="2">
        <v>114</v>
      </c>
      <c r="O358" s="2">
        <v>107</v>
      </c>
      <c r="P358" s="2" t="str">
        <f t="shared" si="35"/>
        <v>MIL</v>
      </c>
      <c r="Q358" s="2">
        <f t="shared" si="33"/>
        <v>-0.5</v>
      </c>
      <c r="R358" s="7">
        <f t="shared" si="34"/>
        <v>0</v>
      </c>
    </row>
    <row r="359" spans="1:18" ht="15" customHeight="1" x14ac:dyDescent="0.25">
      <c r="A359" s="7">
        <v>358</v>
      </c>
      <c r="B359" s="8" t="s">
        <v>151</v>
      </c>
      <c r="C359" s="7">
        <v>2013</v>
      </c>
      <c r="D359" s="7">
        <v>2014</v>
      </c>
      <c r="E359" s="3">
        <v>41707</v>
      </c>
      <c r="F359" s="4">
        <f t="shared" si="30"/>
        <v>3</v>
      </c>
      <c r="G359" s="4">
        <f t="shared" si="31"/>
        <v>9</v>
      </c>
      <c r="H359" s="4">
        <f t="shared" si="32"/>
        <v>2014</v>
      </c>
      <c r="I359" s="10" t="s">
        <v>157</v>
      </c>
      <c r="J359" s="2" t="s">
        <v>23</v>
      </c>
      <c r="K359" s="2" t="s">
        <v>124</v>
      </c>
      <c r="L359" s="2">
        <v>-1.5</v>
      </c>
      <c r="M359" s="2" t="s">
        <v>23</v>
      </c>
      <c r="N359" s="2">
        <v>107</v>
      </c>
      <c r="O359" s="2">
        <v>111</v>
      </c>
      <c r="P359" s="2" t="str">
        <f t="shared" si="35"/>
        <v>NO</v>
      </c>
      <c r="Q359" s="2">
        <f t="shared" si="33"/>
        <v>-2.5</v>
      </c>
      <c r="R359" s="7">
        <f t="shared" si="34"/>
        <v>0</v>
      </c>
    </row>
    <row r="360" spans="1:18" ht="15" customHeight="1" x14ac:dyDescent="0.25">
      <c r="A360" s="7">
        <v>359</v>
      </c>
      <c r="B360" s="8" t="s">
        <v>151</v>
      </c>
      <c r="C360" s="7">
        <v>2013</v>
      </c>
      <c r="D360" s="7">
        <v>2014</v>
      </c>
      <c r="E360" s="3">
        <v>41708</v>
      </c>
      <c r="F360" s="4">
        <f t="shared" si="30"/>
        <v>3</v>
      </c>
      <c r="G360" s="4">
        <f t="shared" si="31"/>
        <v>10</v>
      </c>
      <c r="H360" s="4">
        <f t="shared" si="32"/>
        <v>2014</v>
      </c>
      <c r="I360" s="10" t="s">
        <v>157</v>
      </c>
      <c r="J360" s="2" t="s">
        <v>2</v>
      </c>
      <c r="K360" s="2" t="s">
        <v>22</v>
      </c>
      <c r="L360" s="2">
        <v>-2.5</v>
      </c>
      <c r="M360" s="2" t="s">
        <v>2</v>
      </c>
      <c r="N360" s="2">
        <v>97</v>
      </c>
      <c r="O360" s="2">
        <v>101</v>
      </c>
      <c r="P360" s="2" t="str">
        <f t="shared" si="35"/>
        <v>BKN</v>
      </c>
      <c r="Q360" s="2">
        <f t="shared" si="33"/>
        <v>-1.5</v>
      </c>
      <c r="R360" s="7">
        <f t="shared" si="34"/>
        <v>0</v>
      </c>
    </row>
    <row r="361" spans="1:18" ht="15" customHeight="1" x14ac:dyDescent="0.25">
      <c r="A361" s="7">
        <v>360</v>
      </c>
      <c r="B361" s="8" t="s">
        <v>151</v>
      </c>
      <c r="C361" s="7">
        <v>2013</v>
      </c>
      <c r="D361" s="7">
        <v>2014</v>
      </c>
      <c r="E361" s="3">
        <v>41709</v>
      </c>
      <c r="F361" s="4">
        <f t="shared" si="30"/>
        <v>3</v>
      </c>
      <c r="G361" s="4">
        <f t="shared" si="31"/>
        <v>11</v>
      </c>
      <c r="H361" s="4">
        <f t="shared" si="32"/>
        <v>2014</v>
      </c>
      <c r="I361" s="10" t="s">
        <v>157</v>
      </c>
      <c r="J361" s="2" t="s">
        <v>21</v>
      </c>
      <c r="K361" s="2" t="s">
        <v>7</v>
      </c>
      <c r="L361" s="2">
        <v>-2.5</v>
      </c>
      <c r="M361" s="2" t="s">
        <v>7</v>
      </c>
      <c r="N361" s="2">
        <v>89</v>
      </c>
      <c r="O361" s="2">
        <v>99</v>
      </c>
      <c r="P361" s="2" t="str">
        <f t="shared" si="35"/>
        <v>DET</v>
      </c>
      <c r="Q361" s="2">
        <f t="shared" si="33"/>
        <v>7.5</v>
      </c>
      <c r="R361" s="7">
        <f t="shared" si="34"/>
        <v>1</v>
      </c>
    </row>
    <row r="362" spans="1:18" ht="15" customHeight="1" x14ac:dyDescent="0.25">
      <c r="A362" s="7">
        <v>361</v>
      </c>
      <c r="B362" s="8" t="s">
        <v>151</v>
      </c>
      <c r="C362" s="7">
        <v>2013</v>
      </c>
      <c r="D362" s="7">
        <v>2014</v>
      </c>
      <c r="E362" s="3">
        <v>41710</v>
      </c>
      <c r="F362" s="4">
        <f t="shared" si="30"/>
        <v>3</v>
      </c>
      <c r="G362" s="4">
        <f t="shared" si="31"/>
        <v>12</v>
      </c>
      <c r="H362" s="4">
        <f t="shared" si="32"/>
        <v>2014</v>
      </c>
      <c r="I362" s="10" t="s">
        <v>157</v>
      </c>
      <c r="J362" s="2" t="s">
        <v>23</v>
      </c>
      <c r="K362" s="2" t="s">
        <v>11</v>
      </c>
      <c r="L362" s="2">
        <v>2.5</v>
      </c>
      <c r="M362" s="2" t="s">
        <v>23</v>
      </c>
      <c r="N362" s="2">
        <v>120</v>
      </c>
      <c r="O362" s="2">
        <v>112</v>
      </c>
      <c r="P362" s="2" t="str">
        <f t="shared" si="35"/>
        <v>DEN</v>
      </c>
      <c r="Q362" s="2">
        <f t="shared" si="33"/>
        <v>5.5</v>
      </c>
      <c r="R362" s="7">
        <f t="shared" si="34"/>
        <v>1</v>
      </c>
    </row>
    <row r="363" spans="1:18" ht="15" customHeight="1" x14ac:dyDescent="0.25">
      <c r="A363" s="7">
        <v>362</v>
      </c>
      <c r="B363" s="8" t="s">
        <v>151</v>
      </c>
      <c r="C363" s="7">
        <v>2013</v>
      </c>
      <c r="D363" s="7">
        <v>2014</v>
      </c>
      <c r="E363" s="3">
        <v>41711</v>
      </c>
      <c r="F363" s="4">
        <f t="shared" si="30"/>
        <v>3</v>
      </c>
      <c r="G363" s="4">
        <f t="shared" si="31"/>
        <v>13</v>
      </c>
      <c r="H363" s="4">
        <f t="shared" si="32"/>
        <v>2014</v>
      </c>
      <c r="I363" s="10" t="s">
        <v>157</v>
      </c>
      <c r="J363" s="2" t="s">
        <v>18</v>
      </c>
      <c r="K363" s="2" t="s">
        <v>12</v>
      </c>
      <c r="L363" s="2">
        <v>-16.5</v>
      </c>
      <c r="M363" s="2" t="s">
        <v>12</v>
      </c>
      <c r="N363" s="2">
        <v>102</v>
      </c>
      <c r="O363" s="2">
        <v>131</v>
      </c>
      <c r="P363" s="2" t="str">
        <f t="shared" si="35"/>
        <v>OKC</v>
      </c>
      <c r="Q363" s="2">
        <f t="shared" si="33"/>
        <v>12.5</v>
      </c>
      <c r="R363" s="7">
        <f t="shared" si="34"/>
        <v>1</v>
      </c>
    </row>
    <row r="364" spans="1:18" ht="15" customHeight="1" x14ac:dyDescent="0.25">
      <c r="A364" s="7">
        <v>363</v>
      </c>
      <c r="B364" s="8" t="s">
        <v>151</v>
      </c>
      <c r="C364" s="7">
        <v>2013</v>
      </c>
      <c r="D364" s="7">
        <v>2014</v>
      </c>
      <c r="E364" s="3">
        <v>41712</v>
      </c>
      <c r="F364" s="4">
        <f t="shared" si="30"/>
        <v>3</v>
      </c>
      <c r="G364" s="4">
        <f t="shared" si="31"/>
        <v>14</v>
      </c>
      <c r="H364" s="4">
        <f t="shared" si="32"/>
        <v>2014</v>
      </c>
      <c r="I364" s="10" t="s">
        <v>157</v>
      </c>
      <c r="J364" s="2" t="s">
        <v>23</v>
      </c>
      <c r="K364" s="2" t="s">
        <v>15</v>
      </c>
      <c r="L364" s="2">
        <v>-10.5</v>
      </c>
      <c r="M364" s="2" t="s">
        <v>15</v>
      </c>
      <c r="N364" s="2">
        <v>111</v>
      </c>
      <c r="O364" s="2">
        <v>107</v>
      </c>
      <c r="P364" s="2" t="str">
        <f t="shared" si="35"/>
        <v>DEN</v>
      </c>
      <c r="Q364" s="2">
        <f t="shared" si="33"/>
        <v>-14.5</v>
      </c>
      <c r="R364" s="7">
        <f t="shared" si="34"/>
        <v>0</v>
      </c>
    </row>
    <row r="365" spans="1:18" ht="15" customHeight="1" x14ac:dyDescent="0.25">
      <c r="A365" s="7">
        <v>364</v>
      </c>
      <c r="B365" s="8" t="s">
        <v>151</v>
      </c>
      <c r="C365" s="7">
        <v>2013</v>
      </c>
      <c r="D365" s="7">
        <v>2014</v>
      </c>
      <c r="E365" s="3">
        <v>41713</v>
      </c>
      <c r="F365" s="4">
        <f t="shared" si="30"/>
        <v>3</v>
      </c>
      <c r="G365" s="4">
        <f t="shared" si="31"/>
        <v>15</v>
      </c>
      <c r="H365" s="4">
        <f t="shared" si="32"/>
        <v>2014</v>
      </c>
      <c r="I365" s="10" t="s">
        <v>157</v>
      </c>
      <c r="J365" s="2" t="s">
        <v>22</v>
      </c>
      <c r="K365" s="2" t="s">
        <v>139</v>
      </c>
      <c r="L365" s="2">
        <v>3</v>
      </c>
      <c r="M365" s="2" t="s">
        <v>139</v>
      </c>
      <c r="N365" s="2">
        <v>94</v>
      </c>
      <c r="O365" s="2">
        <v>101</v>
      </c>
      <c r="P365" s="2" t="str">
        <f t="shared" si="35"/>
        <v>WSH</v>
      </c>
      <c r="Q365" s="2">
        <f t="shared" si="33"/>
        <v>10</v>
      </c>
      <c r="R365" s="7">
        <f t="shared" si="34"/>
        <v>1</v>
      </c>
    </row>
    <row r="366" spans="1:18" ht="15" customHeight="1" x14ac:dyDescent="0.25">
      <c r="A366" s="7">
        <v>365</v>
      </c>
      <c r="B366" s="8" t="s">
        <v>151</v>
      </c>
      <c r="C366" s="7">
        <v>2013</v>
      </c>
      <c r="D366" s="7">
        <v>2014</v>
      </c>
      <c r="E366" s="3">
        <v>41714</v>
      </c>
      <c r="F366" s="4">
        <f t="shared" si="30"/>
        <v>3</v>
      </c>
      <c r="G366" s="4">
        <f t="shared" si="31"/>
        <v>16</v>
      </c>
      <c r="H366" s="4">
        <f t="shared" si="32"/>
        <v>2014</v>
      </c>
      <c r="I366" s="10" t="s">
        <v>157</v>
      </c>
      <c r="J366" s="2" t="s">
        <v>4</v>
      </c>
      <c r="K366" s="2" t="s">
        <v>15</v>
      </c>
      <c r="L366" s="2">
        <v>-5.5</v>
      </c>
      <c r="M366" s="2" t="s">
        <v>4</v>
      </c>
      <c r="N366" s="2">
        <v>104</v>
      </c>
      <c r="O366" s="2">
        <v>113</v>
      </c>
      <c r="P366" s="2" t="str">
        <f t="shared" si="35"/>
        <v>MIA</v>
      </c>
      <c r="Q366" s="2">
        <f t="shared" si="33"/>
        <v>-3.5</v>
      </c>
      <c r="R366" s="7">
        <f t="shared" si="34"/>
        <v>0</v>
      </c>
    </row>
    <row r="367" spans="1:18" ht="15" customHeight="1" x14ac:dyDescent="0.25">
      <c r="A367" s="7">
        <v>366</v>
      </c>
      <c r="B367" s="8" t="s">
        <v>151</v>
      </c>
      <c r="C367" s="7">
        <v>2013</v>
      </c>
      <c r="D367" s="7">
        <v>2014</v>
      </c>
      <c r="E367" s="3">
        <v>41715</v>
      </c>
      <c r="F367" s="4">
        <f t="shared" si="30"/>
        <v>3</v>
      </c>
      <c r="G367" s="4">
        <f t="shared" si="31"/>
        <v>17</v>
      </c>
      <c r="H367" s="4">
        <f t="shared" si="32"/>
        <v>2014</v>
      </c>
      <c r="I367" s="10" t="s">
        <v>157</v>
      </c>
      <c r="J367" s="2" t="s">
        <v>5</v>
      </c>
      <c r="K367" s="2" t="s">
        <v>8</v>
      </c>
      <c r="L367" s="2">
        <v>-3</v>
      </c>
      <c r="M367" s="2" t="s">
        <v>8</v>
      </c>
      <c r="N367" s="2">
        <v>97</v>
      </c>
      <c r="O367" s="2">
        <v>83</v>
      </c>
      <c r="P367" s="2" t="str">
        <f t="shared" si="35"/>
        <v>ATL</v>
      </c>
      <c r="Q367" s="2">
        <f t="shared" si="33"/>
        <v>-17</v>
      </c>
      <c r="R367" s="7">
        <f t="shared" si="34"/>
        <v>0</v>
      </c>
    </row>
    <row r="368" spans="1:18" ht="15" customHeight="1" x14ac:dyDescent="0.25">
      <c r="A368" s="7">
        <v>367</v>
      </c>
      <c r="B368" s="8" t="s">
        <v>151</v>
      </c>
      <c r="C368" s="7">
        <v>2013</v>
      </c>
      <c r="D368" s="7">
        <v>2014</v>
      </c>
      <c r="E368" s="3">
        <v>41716</v>
      </c>
      <c r="F368" s="4">
        <f t="shared" si="30"/>
        <v>3</v>
      </c>
      <c r="G368" s="4">
        <f t="shared" si="31"/>
        <v>18</v>
      </c>
      <c r="H368" s="4">
        <f t="shared" si="32"/>
        <v>2014</v>
      </c>
      <c r="I368" s="10" t="s">
        <v>157</v>
      </c>
      <c r="J368" s="2" t="s">
        <v>2</v>
      </c>
      <c r="K368" s="2" t="s">
        <v>5</v>
      </c>
      <c r="L368" s="2">
        <v>-2.5</v>
      </c>
      <c r="M368" s="2" t="s">
        <v>2</v>
      </c>
      <c r="N368" s="2">
        <v>113</v>
      </c>
      <c r="O368" s="2">
        <v>118</v>
      </c>
      <c r="P368" s="2" t="str">
        <f t="shared" si="35"/>
        <v>ATL</v>
      </c>
      <c r="Q368" s="2">
        <f t="shared" si="33"/>
        <v>-2.5</v>
      </c>
      <c r="R368" s="7">
        <f t="shared" si="34"/>
        <v>0</v>
      </c>
    </row>
    <row r="369" spans="1:18" ht="15" customHeight="1" x14ac:dyDescent="0.25">
      <c r="A369" s="7">
        <v>368</v>
      </c>
      <c r="B369" s="8" t="s">
        <v>151</v>
      </c>
      <c r="C369" s="7">
        <v>2013</v>
      </c>
      <c r="D369" s="7">
        <v>2014</v>
      </c>
      <c r="E369" s="3">
        <v>41717</v>
      </c>
      <c r="F369" s="4">
        <f t="shared" si="30"/>
        <v>3</v>
      </c>
      <c r="G369" s="4">
        <f t="shared" si="31"/>
        <v>19</v>
      </c>
      <c r="H369" s="4">
        <f t="shared" si="32"/>
        <v>2014</v>
      </c>
      <c r="I369" s="10" t="s">
        <v>157</v>
      </c>
      <c r="J369" s="2" t="s">
        <v>3</v>
      </c>
      <c r="K369" s="2" t="s">
        <v>16</v>
      </c>
      <c r="L369" s="2">
        <v>-5</v>
      </c>
      <c r="M369" s="2" t="s">
        <v>3</v>
      </c>
      <c r="N369" s="2">
        <v>123</v>
      </c>
      <c r="O369" s="2">
        <v>122</v>
      </c>
      <c r="P369" s="2" t="str">
        <f t="shared" si="35"/>
        <v>MIN</v>
      </c>
      <c r="Q369" s="2">
        <f t="shared" si="33"/>
        <v>6</v>
      </c>
      <c r="R369" s="7">
        <f t="shared" si="34"/>
        <v>1</v>
      </c>
    </row>
    <row r="370" spans="1:18" ht="15" customHeight="1" x14ac:dyDescent="0.25">
      <c r="A370" s="7">
        <v>369</v>
      </c>
      <c r="B370" s="8" t="s">
        <v>151</v>
      </c>
      <c r="C370" s="7">
        <v>2013</v>
      </c>
      <c r="D370" s="7">
        <v>2014</v>
      </c>
      <c r="E370" s="3">
        <v>41718</v>
      </c>
      <c r="F370" s="4">
        <f t="shared" si="30"/>
        <v>3</v>
      </c>
      <c r="G370" s="4">
        <f t="shared" si="31"/>
        <v>20</v>
      </c>
      <c r="H370" s="4">
        <f t="shared" si="32"/>
        <v>2014</v>
      </c>
      <c r="I370" s="10" t="s">
        <v>157</v>
      </c>
      <c r="J370" s="2" t="s">
        <v>3</v>
      </c>
      <c r="K370" s="2" t="s">
        <v>4</v>
      </c>
      <c r="L370" s="2">
        <v>-5</v>
      </c>
      <c r="M370" s="2" t="s">
        <v>4</v>
      </c>
      <c r="N370" s="2">
        <v>106</v>
      </c>
      <c r="O370" s="2">
        <v>129</v>
      </c>
      <c r="P370" s="2" t="str">
        <f t="shared" si="35"/>
        <v>HOU</v>
      </c>
      <c r="Q370" s="2">
        <f t="shared" si="33"/>
        <v>18</v>
      </c>
      <c r="R370" s="7">
        <f t="shared" si="34"/>
        <v>1</v>
      </c>
    </row>
    <row r="371" spans="1:18" ht="15" customHeight="1" x14ac:dyDescent="0.25">
      <c r="A371" s="7">
        <v>370</v>
      </c>
      <c r="B371" s="8" t="s">
        <v>151</v>
      </c>
      <c r="C371" s="7">
        <v>2013</v>
      </c>
      <c r="D371" s="7">
        <v>2014</v>
      </c>
      <c r="E371" s="3">
        <v>41719</v>
      </c>
      <c r="F371" s="4">
        <f t="shared" si="30"/>
        <v>3</v>
      </c>
      <c r="G371" s="4">
        <f t="shared" si="31"/>
        <v>21</v>
      </c>
      <c r="H371" s="4">
        <f t="shared" si="32"/>
        <v>2014</v>
      </c>
      <c r="I371" s="10" t="s">
        <v>157</v>
      </c>
      <c r="J371" s="7" t="s">
        <v>9</v>
      </c>
      <c r="K371" s="7" t="s">
        <v>15</v>
      </c>
      <c r="L371" s="7">
        <v>-5</v>
      </c>
      <c r="M371" s="7" t="s">
        <v>9</v>
      </c>
      <c r="N371" s="7">
        <v>86</v>
      </c>
      <c r="O371" s="7">
        <v>91</v>
      </c>
      <c r="P371" s="2" t="str">
        <f t="shared" si="35"/>
        <v>N/A</v>
      </c>
      <c r="Q371" s="2">
        <f t="shared" si="33"/>
        <v>0</v>
      </c>
      <c r="R371" s="7" t="str">
        <f t="shared" si="34"/>
        <v>na</v>
      </c>
    </row>
    <row r="372" spans="1:18" ht="15" customHeight="1" x14ac:dyDescent="0.25">
      <c r="A372" s="7">
        <v>371</v>
      </c>
      <c r="B372" s="8" t="s">
        <v>151</v>
      </c>
      <c r="C372" s="7">
        <v>2013</v>
      </c>
      <c r="D372" s="7">
        <v>2014</v>
      </c>
      <c r="E372" s="3">
        <v>41720</v>
      </c>
      <c r="F372" s="4">
        <f t="shared" si="30"/>
        <v>3</v>
      </c>
      <c r="G372" s="4">
        <f t="shared" si="31"/>
        <v>22</v>
      </c>
      <c r="H372" s="4">
        <f t="shared" si="32"/>
        <v>2014</v>
      </c>
      <c r="I372" s="10" t="s">
        <v>157</v>
      </c>
      <c r="J372" s="7" t="s">
        <v>7</v>
      </c>
      <c r="K372" s="7" t="s">
        <v>14</v>
      </c>
      <c r="L372" s="7">
        <v>-14</v>
      </c>
      <c r="M372" s="7" t="s">
        <v>14</v>
      </c>
      <c r="N372" s="7">
        <v>103</v>
      </c>
      <c r="O372" s="7">
        <v>112</v>
      </c>
      <c r="P372" s="2" t="str">
        <f t="shared" si="35"/>
        <v>DET</v>
      </c>
      <c r="Q372" s="2">
        <f t="shared" si="33"/>
        <v>-5</v>
      </c>
      <c r="R372" s="7">
        <f t="shared" si="34"/>
        <v>0</v>
      </c>
    </row>
    <row r="373" spans="1:18" ht="15" customHeight="1" x14ac:dyDescent="0.25">
      <c r="A373" s="7">
        <v>372</v>
      </c>
      <c r="B373" s="8" t="s">
        <v>151</v>
      </c>
      <c r="C373" s="7">
        <v>2013</v>
      </c>
      <c r="D373" s="7">
        <v>2014</v>
      </c>
      <c r="E373" s="3">
        <v>41721</v>
      </c>
      <c r="F373" s="4">
        <f t="shared" si="30"/>
        <v>3</v>
      </c>
      <c r="G373" s="4">
        <f t="shared" si="31"/>
        <v>23</v>
      </c>
      <c r="H373" s="4">
        <f t="shared" si="32"/>
        <v>2014</v>
      </c>
      <c r="I373" s="10" t="s">
        <v>157</v>
      </c>
      <c r="J373" s="7" t="s">
        <v>139</v>
      </c>
      <c r="K373" s="7" t="s">
        <v>23</v>
      </c>
      <c r="L373" s="7">
        <v>-1.5</v>
      </c>
      <c r="M373" s="7" t="s">
        <v>139</v>
      </c>
      <c r="N373" s="7">
        <v>102</v>
      </c>
      <c r="O373" s="7">
        <v>105</v>
      </c>
      <c r="P373" s="2" t="str">
        <f t="shared" si="35"/>
        <v>DEN</v>
      </c>
      <c r="Q373" s="2">
        <f t="shared" si="33"/>
        <v>-1.5</v>
      </c>
      <c r="R373" s="7">
        <f t="shared" si="34"/>
        <v>0</v>
      </c>
    </row>
    <row r="374" spans="1:18" ht="15" customHeight="1" x14ac:dyDescent="0.25">
      <c r="A374" s="7">
        <v>373</v>
      </c>
      <c r="B374" s="8" t="s">
        <v>151</v>
      </c>
      <c r="C374" s="7">
        <v>2013</v>
      </c>
      <c r="D374" s="7">
        <v>2014</v>
      </c>
      <c r="E374" s="3">
        <v>41722</v>
      </c>
      <c r="F374" s="4">
        <f t="shared" si="30"/>
        <v>3</v>
      </c>
      <c r="G374" s="4">
        <f t="shared" si="31"/>
        <v>24</v>
      </c>
      <c r="H374" s="4">
        <f t="shared" si="32"/>
        <v>2014</v>
      </c>
      <c r="I374" s="10" t="s">
        <v>157</v>
      </c>
      <c r="J374" s="7" t="s">
        <v>7</v>
      </c>
      <c r="K374" s="7" t="s">
        <v>137</v>
      </c>
      <c r="L374" s="7">
        <v>-1</v>
      </c>
      <c r="M374" s="7" t="s">
        <v>7</v>
      </c>
      <c r="N374" s="7">
        <v>114</v>
      </c>
      <c r="O374" s="7">
        <v>94</v>
      </c>
      <c r="P374" s="2" t="str">
        <f t="shared" si="35"/>
        <v>DET</v>
      </c>
      <c r="Q374" s="2">
        <f t="shared" si="33"/>
        <v>21</v>
      </c>
      <c r="R374" s="7">
        <f t="shared" si="34"/>
        <v>1</v>
      </c>
    </row>
    <row r="375" spans="1:18" ht="15" customHeight="1" x14ac:dyDescent="0.25">
      <c r="A375" s="7">
        <v>374</v>
      </c>
      <c r="B375" s="8" t="s">
        <v>151</v>
      </c>
      <c r="C375" s="7">
        <v>2013</v>
      </c>
      <c r="D375" s="7">
        <v>2014</v>
      </c>
      <c r="E375" s="3">
        <v>41723</v>
      </c>
      <c r="F375" s="4">
        <f t="shared" si="30"/>
        <v>3</v>
      </c>
      <c r="G375" s="4">
        <f t="shared" si="31"/>
        <v>25</v>
      </c>
      <c r="H375" s="4">
        <f t="shared" si="32"/>
        <v>2014</v>
      </c>
      <c r="I375" s="10" t="s">
        <v>157</v>
      </c>
      <c r="J375" s="7" t="s">
        <v>12</v>
      </c>
      <c r="K375" s="7" t="s">
        <v>16</v>
      </c>
      <c r="L375" s="7">
        <v>3</v>
      </c>
      <c r="M375" s="7" t="s">
        <v>12</v>
      </c>
      <c r="N375" s="7">
        <v>119</v>
      </c>
      <c r="O375" s="7">
        <v>128</v>
      </c>
      <c r="P375" s="2" t="str">
        <f t="shared" si="35"/>
        <v>DAL</v>
      </c>
      <c r="Q375" s="2">
        <f t="shared" si="33"/>
        <v>-12</v>
      </c>
      <c r="R375" s="7">
        <f t="shared" si="34"/>
        <v>0</v>
      </c>
    </row>
    <row r="376" spans="1:18" ht="15" customHeight="1" x14ac:dyDescent="0.25">
      <c r="A376" s="7">
        <v>375</v>
      </c>
      <c r="B376" s="8" t="s">
        <v>151</v>
      </c>
      <c r="C376" s="7">
        <v>2013</v>
      </c>
      <c r="D376" s="7">
        <v>2014</v>
      </c>
      <c r="E376" s="3">
        <v>41724</v>
      </c>
      <c r="F376" s="4">
        <f t="shared" si="30"/>
        <v>3</v>
      </c>
      <c r="G376" s="4">
        <f t="shared" si="31"/>
        <v>26</v>
      </c>
      <c r="H376" s="4">
        <f t="shared" si="32"/>
        <v>2014</v>
      </c>
      <c r="I376" s="10" t="s">
        <v>157</v>
      </c>
      <c r="J376" s="7" t="s">
        <v>2</v>
      </c>
      <c r="K376" s="7" t="s">
        <v>17</v>
      </c>
      <c r="L376" s="7">
        <v>3.5</v>
      </c>
      <c r="M376" s="7" t="s">
        <v>17</v>
      </c>
      <c r="N376" s="7">
        <v>99</v>
      </c>
      <c r="O376" s="7">
        <v>90</v>
      </c>
      <c r="P376" s="7" t="str">
        <f t="shared" si="35"/>
        <v>TOR</v>
      </c>
      <c r="Q376" s="7">
        <f t="shared" si="33"/>
        <v>-5.5</v>
      </c>
      <c r="R376" s="7">
        <f t="shared" si="34"/>
        <v>0</v>
      </c>
    </row>
    <row r="377" spans="1:18" ht="15" customHeight="1" x14ac:dyDescent="0.25">
      <c r="A377" s="7">
        <v>376</v>
      </c>
      <c r="B377" s="8" t="s">
        <v>151</v>
      </c>
      <c r="C377" s="7">
        <v>2013</v>
      </c>
      <c r="D377" s="7">
        <v>2014</v>
      </c>
      <c r="E377" s="3">
        <v>41725</v>
      </c>
      <c r="F377" s="4">
        <f t="shared" si="30"/>
        <v>3</v>
      </c>
      <c r="G377" s="4">
        <f t="shared" si="31"/>
        <v>27</v>
      </c>
      <c r="H377" s="4">
        <f t="shared" si="32"/>
        <v>2014</v>
      </c>
      <c r="I377" s="10" t="s">
        <v>157</v>
      </c>
      <c r="J377" s="7" t="s">
        <v>18</v>
      </c>
      <c r="K377" s="7" t="s">
        <v>10</v>
      </c>
      <c r="L377" s="7">
        <v>-1.5</v>
      </c>
      <c r="M377" s="7" t="s">
        <v>18</v>
      </c>
      <c r="N377" s="7">
        <v>105</v>
      </c>
      <c r="O377" s="7">
        <v>108</v>
      </c>
      <c r="P377" s="7" t="str">
        <f t="shared" si="35"/>
        <v>MIL</v>
      </c>
      <c r="Q377" s="7">
        <f t="shared" si="33"/>
        <v>-1.5</v>
      </c>
      <c r="R377" s="7">
        <f t="shared" si="34"/>
        <v>0</v>
      </c>
    </row>
    <row r="378" spans="1:18" ht="15" customHeight="1" x14ac:dyDescent="0.25">
      <c r="A378" s="7">
        <v>377</v>
      </c>
      <c r="B378" s="8" t="s">
        <v>151</v>
      </c>
      <c r="C378" s="7">
        <v>2013</v>
      </c>
      <c r="D378" s="7">
        <v>2014</v>
      </c>
      <c r="E378" s="3">
        <v>41726</v>
      </c>
      <c r="F378" s="4">
        <f t="shared" si="30"/>
        <v>3</v>
      </c>
      <c r="G378" s="4">
        <f t="shared" si="31"/>
        <v>28</v>
      </c>
      <c r="H378" s="4">
        <f t="shared" si="32"/>
        <v>2014</v>
      </c>
      <c r="I378" s="10" t="s">
        <v>157</v>
      </c>
      <c r="J378" s="7" t="s">
        <v>137</v>
      </c>
      <c r="K378" s="7" t="s">
        <v>124</v>
      </c>
      <c r="L378" s="7">
        <v>-6</v>
      </c>
      <c r="M378" s="7" t="s">
        <v>137</v>
      </c>
      <c r="N378" s="7">
        <v>95</v>
      </c>
      <c r="O378" s="7">
        <v>102</v>
      </c>
      <c r="P378" s="7" t="str">
        <f t="shared" si="35"/>
        <v>NO</v>
      </c>
      <c r="Q378" s="7">
        <f t="shared" si="33"/>
        <v>-1</v>
      </c>
      <c r="R378" s="7">
        <f t="shared" si="34"/>
        <v>0</v>
      </c>
    </row>
    <row r="379" spans="1:18" ht="15" customHeight="1" x14ac:dyDescent="0.25">
      <c r="A379" s="7">
        <v>378</v>
      </c>
      <c r="B379" s="8" t="s">
        <v>151</v>
      </c>
      <c r="C379" s="7">
        <v>2013</v>
      </c>
      <c r="D379" s="7">
        <v>2014</v>
      </c>
      <c r="E379" s="3">
        <v>41727</v>
      </c>
      <c r="F379" s="4">
        <f t="shared" si="30"/>
        <v>3</v>
      </c>
      <c r="G379" s="4">
        <f t="shared" si="31"/>
        <v>29</v>
      </c>
      <c r="H379" s="4">
        <f t="shared" si="32"/>
        <v>2014</v>
      </c>
      <c r="I379" s="10" t="s">
        <v>157</v>
      </c>
      <c r="J379" s="7" t="s">
        <v>14</v>
      </c>
      <c r="K379" s="7" t="s">
        <v>4</v>
      </c>
      <c r="L379" s="7">
        <v>-2</v>
      </c>
      <c r="M379" s="7" t="s">
        <v>14</v>
      </c>
      <c r="N379" s="7">
        <v>118</v>
      </c>
      <c r="O379" s="7">
        <v>107</v>
      </c>
      <c r="P379" s="7" t="str">
        <f t="shared" si="35"/>
        <v>LAC</v>
      </c>
      <c r="Q379" s="7">
        <f t="shared" si="33"/>
        <v>13</v>
      </c>
      <c r="R379" s="7">
        <f t="shared" si="34"/>
        <v>1</v>
      </c>
    </row>
    <row r="380" spans="1:18" ht="15" customHeight="1" x14ac:dyDescent="0.25">
      <c r="A380" s="7">
        <v>379</v>
      </c>
      <c r="B380" s="8" t="s">
        <v>151</v>
      </c>
      <c r="C380" s="7">
        <v>2013</v>
      </c>
      <c r="D380" s="7">
        <v>2014</v>
      </c>
      <c r="E380" s="3">
        <v>41728</v>
      </c>
      <c r="F380" s="4">
        <f t="shared" si="30"/>
        <v>3</v>
      </c>
      <c r="G380" s="4">
        <f t="shared" si="31"/>
        <v>30</v>
      </c>
      <c r="H380" s="4">
        <f t="shared" si="32"/>
        <v>2014</v>
      </c>
      <c r="I380" s="10" t="s">
        <v>157</v>
      </c>
      <c r="J380" s="7" t="s">
        <v>3</v>
      </c>
      <c r="K380" s="7" t="s">
        <v>22</v>
      </c>
      <c r="L380" s="7">
        <v>-4</v>
      </c>
      <c r="M380" s="7" t="s">
        <v>3</v>
      </c>
      <c r="N380" s="7">
        <v>99</v>
      </c>
      <c r="O380" s="7">
        <v>114</v>
      </c>
      <c r="P380" s="7" t="str">
        <f t="shared" si="35"/>
        <v>BKN</v>
      </c>
      <c r="Q380" s="7">
        <f t="shared" si="33"/>
        <v>-11</v>
      </c>
      <c r="R380" s="7">
        <f t="shared" si="34"/>
        <v>0</v>
      </c>
    </row>
    <row r="381" spans="1:18" ht="15" customHeight="1" x14ac:dyDescent="0.25">
      <c r="A381" s="7">
        <v>380</v>
      </c>
      <c r="B381" s="8" t="s">
        <v>151</v>
      </c>
      <c r="C381" s="7">
        <v>2013</v>
      </c>
      <c r="D381" s="7">
        <v>2014</v>
      </c>
      <c r="E381" s="3">
        <v>41729</v>
      </c>
      <c r="F381" s="4">
        <f t="shared" si="30"/>
        <v>3</v>
      </c>
      <c r="G381" s="4">
        <f t="shared" si="31"/>
        <v>31</v>
      </c>
      <c r="H381" s="4">
        <f t="shared" si="32"/>
        <v>2014</v>
      </c>
      <c r="I381" s="10" t="s">
        <v>157</v>
      </c>
      <c r="J381" s="7" t="s">
        <v>10</v>
      </c>
      <c r="K381" s="7" t="s">
        <v>7</v>
      </c>
      <c r="L381" s="7">
        <v>-6</v>
      </c>
      <c r="M381" s="7" t="s">
        <v>10</v>
      </c>
      <c r="N381" s="7">
        <v>111</v>
      </c>
      <c r="O381" s="7">
        <v>116</v>
      </c>
      <c r="P381" s="7" t="str">
        <f t="shared" si="35"/>
        <v>MIL</v>
      </c>
      <c r="Q381" s="7">
        <f t="shared" si="33"/>
        <v>1</v>
      </c>
      <c r="R381" s="7">
        <f t="shared" si="34"/>
        <v>1</v>
      </c>
    </row>
    <row r="382" spans="1:18" ht="15" customHeight="1" x14ac:dyDescent="0.25">
      <c r="A382" s="7">
        <v>381</v>
      </c>
      <c r="B382" s="8" t="s">
        <v>151</v>
      </c>
      <c r="C382" s="7">
        <v>2013</v>
      </c>
      <c r="D382" s="7">
        <v>2014</v>
      </c>
      <c r="E382" s="3">
        <v>41730</v>
      </c>
      <c r="F382" s="4">
        <f t="shared" si="30"/>
        <v>4</v>
      </c>
      <c r="G382" s="4">
        <f t="shared" si="31"/>
        <v>1</v>
      </c>
      <c r="H382" s="4">
        <f t="shared" si="32"/>
        <v>2014</v>
      </c>
      <c r="I382" s="10" t="s">
        <v>157</v>
      </c>
      <c r="J382" s="2" t="s">
        <v>4</v>
      </c>
      <c r="K382" s="2" t="s">
        <v>22</v>
      </c>
      <c r="L382" s="2">
        <v>-3</v>
      </c>
      <c r="M382" s="2" t="s">
        <v>22</v>
      </c>
      <c r="N382" s="2">
        <v>96</v>
      </c>
      <c r="O382" s="2">
        <v>105</v>
      </c>
      <c r="P382" s="2" t="str">
        <f t="shared" si="35"/>
        <v>BKN</v>
      </c>
      <c r="Q382" s="2">
        <f t="shared" si="33"/>
        <v>6</v>
      </c>
      <c r="R382" s="7">
        <f t="shared" si="34"/>
        <v>1</v>
      </c>
    </row>
    <row r="383" spans="1:18" ht="15" customHeight="1" x14ac:dyDescent="0.25">
      <c r="A383" s="7">
        <v>382</v>
      </c>
      <c r="B383" s="8" t="s">
        <v>151</v>
      </c>
      <c r="C383" s="7">
        <v>2013</v>
      </c>
      <c r="D383" s="7">
        <v>2014</v>
      </c>
      <c r="E383" s="3">
        <v>41731</v>
      </c>
      <c r="F383" s="4">
        <f t="shared" si="30"/>
        <v>4</v>
      </c>
      <c r="G383" s="4">
        <f t="shared" si="31"/>
        <v>2</v>
      </c>
      <c r="H383" s="4">
        <f t="shared" si="32"/>
        <v>2014</v>
      </c>
      <c r="I383" s="10" t="s">
        <v>157</v>
      </c>
      <c r="J383" s="2" t="s">
        <v>6</v>
      </c>
      <c r="K383" s="2" t="s">
        <v>11</v>
      </c>
      <c r="L383" s="2">
        <v>2</v>
      </c>
      <c r="M383" s="2" t="s">
        <v>6</v>
      </c>
      <c r="N383" s="2">
        <v>119</v>
      </c>
      <c r="O383" s="2">
        <v>98</v>
      </c>
      <c r="P383" s="2" t="str">
        <f t="shared" si="35"/>
        <v>CLE</v>
      </c>
      <c r="Q383" s="2">
        <f t="shared" si="33"/>
        <v>19</v>
      </c>
      <c r="R383" s="7">
        <f t="shared" si="34"/>
        <v>1</v>
      </c>
    </row>
    <row r="384" spans="1:18" ht="15" customHeight="1" x14ac:dyDescent="0.25">
      <c r="A384" s="7">
        <v>383</v>
      </c>
      <c r="B384" s="8" t="s">
        <v>151</v>
      </c>
      <c r="C384" s="7">
        <v>2013</v>
      </c>
      <c r="D384" s="7">
        <v>2014</v>
      </c>
      <c r="E384" s="3">
        <v>41732</v>
      </c>
      <c r="F384" s="4">
        <f t="shared" si="30"/>
        <v>4</v>
      </c>
      <c r="G384" s="4">
        <f t="shared" si="31"/>
        <v>3</v>
      </c>
      <c r="H384" s="4">
        <f t="shared" si="32"/>
        <v>2014</v>
      </c>
      <c r="I384" s="10" t="s">
        <v>157</v>
      </c>
      <c r="J384" s="2" t="s">
        <v>134</v>
      </c>
      <c r="K384" s="2" t="s">
        <v>12</v>
      </c>
      <c r="L384" s="2">
        <v>-4</v>
      </c>
      <c r="M384" s="2" t="s">
        <v>12</v>
      </c>
      <c r="N384" s="2">
        <v>94</v>
      </c>
      <c r="O384" s="2">
        <v>106</v>
      </c>
      <c r="P384" s="2" t="str">
        <f t="shared" si="35"/>
        <v>OKC</v>
      </c>
      <c r="Q384" s="2">
        <f t="shared" si="33"/>
        <v>8</v>
      </c>
      <c r="R384" s="7">
        <f t="shared" si="34"/>
        <v>1</v>
      </c>
    </row>
    <row r="385" spans="1:18" ht="15" customHeight="1" x14ac:dyDescent="0.25">
      <c r="A385" s="7">
        <v>384</v>
      </c>
      <c r="B385" s="8" t="s">
        <v>151</v>
      </c>
      <c r="C385" s="7">
        <v>2013</v>
      </c>
      <c r="D385" s="7">
        <v>2014</v>
      </c>
      <c r="E385" s="3">
        <v>41733</v>
      </c>
      <c r="F385" s="4">
        <f t="shared" si="30"/>
        <v>4</v>
      </c>
      <c r="G385" s="4">
        <f t="shared" si="31"/>
        <v>4</v>
      </c>
      <c r="H385" s="4">
        <f t="shared" si="32"/>
        <v>2014</v>
      </c>
      <c r="I385" s="10" t="s">
        <v>157</v>
      </c>
      <c r="J385" s="2" t="s">
        <v>23</v>
      </c>
      <c r="K385" s="2" t="s">
        <v>9</v>
      </c>
      <c r="L385" s="2">
        <v>-9</v>
      </c>
      <c r="M385" s="2" t="s">
        <v>23</v>
      </c>
      <c r="N385" s="2">
        <v>92</v>
      </c>
      <c r="O385" s="2">
        <v>100</v>
      </c>
      <c r="P385" s="2" t="str">
        <f t="shared" si="35"/>
        <v>DEN</v>
      </c>
      <c r="Q385" s="2">
        <f t="shared" si="33"/>
        <v>1</v>
      </c>
      <c r="R385" s="7">
        <f t="shared" si="34"/>
        <v>1</v>
      </c>
    </row>
    <row r="386" spans="1:18" ht="15" customHeight="1" x14ac:dyDescent="0.25">
      <c r="A386" s="7">
        <v>385</v>
      </c>
      <c r="B386" s="8" t="s">
        <v>151</v>
      </c>
      <c r="C386" s="7">
        <v>2013</v>
      </c>
      <c r="D386" s="7">
        <v>2014</v>
      </c>
      <c r="E386" s="3">
        <v>41734</v>
      </c>
      <c r="F386" s="4">
        <f t="shared" ref="F386:F449" si="36">MONTH(E386)</f>
        <v>4</v>
      </c>
      <c r="G386" s="4">
        <f t="shared" ref="G386:G449" si="37">DAY(E386)</f>
        <v>5</v>
      </c>
      <c r="H386" s="4">
        <f t="shared" ref="H386:H449" si="38">YEAR(E386)</f>
        <v>2014</v>
      </c>
      <c r="I386" s="10" t="s">
        <v>157</v>
      </c>
      <c r="J386" s="2" t="s">
        <v>2</v>
      </c>
      <c r="K386" s="2" t="s">
        <v>10</v>
      </c>
      <c r="L386" s="2">
        <v>7</v>
      </c>
      <c r="M386" s="2" t="s">
        <v>2</v>
      </c>
      <c r="N386" s="2">
        <v>102</v>
      </c>
      <c r="O386" s="2">
        <v>98</v>
      </c>
      <c r="P386" s="2" t="str">
        <f t="shared" si="35"/>
        <v>MIL</v>
      </c>
      <c r="Q386" s="2">
        <f t="shared" ref="Q386:Q449" si="39">IF(AND(N386&gt;0,O386&gt;0,(O386+L386)=N386),0,IF(P386="","",IF(P386=M386,ABS((O386+L386)-N386),-ABS((O386+L386)-N386))))</f>
        <v>-3</v>
      </c>
      <c r="R386" s="7">
        <f t="shared" si="34"/>
        <v>0</v>
      </c>
    </row>
    <row r="387" spans="1:18" ht="15" customHeight="1" x14ac:dyDescent="0.25">
      <c r="A387" s="7">
        <v>386</v>
      </c>
      <c r="B387" s="8" t="s">
        <v>151</v>
      </c>
      <c r="C387" s="7">
        <v>2013</v>
      </c>
      <c r="D387" s="7">
        <v>2014</v>
      </c>
      <c r="E387" s="3">
        <v>41735</v>
      </c>
      <c r="F387" s="4">
        <f t="shared" si="36"/>
        <v>4</v>
      </c>
      <c r="G387" s="4">
        <f t="shared" si="37"/>
        <v>6</v>
      </c>
      <c r="H387" s="4">
        <f t="shared" si="38"/>
        <v>2014</v>
      </c>
      <c r="I387" s="10" t="s">
        <v>157</v>
      </c>
      <c r="J387" s="2" t="s">
        <v>126</v>
      </c>
      <c r="K387" s="2" t="s">
        <v>15</v>
      </c>
      <c r="L387" s="2">
        <v>-7</v>
      </c>
      <c r="M387" s="2" t="s">
        <v>15</v>
      </c>
      <c r="N387" s="2">
        <v>91</v>
      </c>
      <c r="O387" s="2">
        <v>102</v>
      </c>
      <c r="P387" s="2" t="str">
        <f t="shared" si="35"/>
        <v>MIA</v>
      </c>
      <c r="Q387" s="2">
        <f t="shared" si="39"/>
        <v>4</v>
      </c>
      <c r="R387" s="7">
        <f t="shared" ref="R387:R450" si="40">IF(Q387="","",IF(P387=M387,1,IF(Q387=0,"na",0)))</f>
        <v>1</v>
      </c>
    </row>
    <row r="388" spans="1:18" ht="15" customHeight="1" x14ac:dyDescent="0.25">
      <c r="A388" s="7">
        <v>387</v>
      </c>
      <c r="B388" s="8" t="s">
        <v>151</v>
      </c>
      <c r="C388" s="7">
        <v>2013</v>
      </c>
      <c r="D388" s="7">
        <v>2014</v>
      </c>
      <c r="E388" s="3">
        <v>41737</v>
      </c>
      <c r="F388" s="4">
        <f t="shared" si="36"/>
        <v>4</v>
      </c>
      <c r="G388" s="4">
        <f t="shared" si="37"/>
        <v>8</v>
      </c>
      <c r="H388" s="4">
        <f t="shared" si="38"/>
        <v>2014</v>
      </c>
      <c r="I388" s="10" t="s">
        <v>157</v>
      </c>
      <c r="J388" s="2" t="s">
        <v>16</v>
      </c>
      <c r="K388" s="2" t="s">
        <v>137</v>
      </c>
      <c r="L388" s="2">
        <v>7.5</v>
      </c>
      <c r="M388" s="2" t="s">
        <v>16</v>
      </c>
      <c r="N388" s="2">
        <v>95</v>
      </c>
      <c r="O388" s="2">
        <v>83</v>
      </c>
      <c r="P388" s="2" t="str">
        <f t="shared" si="35"/>
        <v>DAL</v>
      </c>
      <c r="Q388" s="2">
        <f t="shared" si="39"/>
        <v>4.5</v>
      </c>
      <c r="R388" s="7">
        <f t="shared" si="40"/>
        <v>1</v>
      </c>
    </row>
    <row r="389" spans="1:18" ht="15" customHeight="1" x14ac:dyDescent="0.25">
      <c r="A389" s="7">
        <v>388</v>
      </c>
      <c r="B389" s="8" t="s">
        <v>151</v>
      </c>
      <c r="C389" s="7">
        <v>2013</v>
      </c>
      <c r="D389" s="7">
        <v>2014</v>
      </c>
      <c r="E389" s="3">
        <v>41738</v>
      </c>
      <c r="F389" s="4">
        <f t="shared" si="36"/>
        <v>4</v>
      </c>
      <c r="G389" s="4">
        <f t="shared" si="37"/>
        <v>9</v>
      </c>
      <c r="H389" s="4">
        <f t="shared" si="38"/>
        <v>2014</v>
      </c>
      <c r="I389" s="10" t="s">
        <v>157</v>
      </c>
      <c r="J389" s="2" t="s">
        <v>8</v>
      </c>
      <c r="K389" s="2" t="s">
        <v>139</v>
      </c>
      <c r="L389" s="2">
        <v>-5.5</v>
      </c>
      <c r="M389" s="2" t="s">
        <v>139</v>
      </c>
      <c r="N389" s="2">
        <v>94</v>
      </c>
      <c r="O389" s="2">
        <v>88</v>
      </c>
      <c r="P389" s="2" t="str">
        <f t="shared" si="35"/>
        <v>CHA</v>
      </c>
      <c r="Q389" s="2">
        <f t="shared" si="39"/>
        <v>-11.5</v>
      </c>
      <c r="R389" s="7">
        <f t="shared" si="40"/>
        <v>0</v>
      </c>
    </row>
    <row r="390" spans="1:18" ht="15" customHeight="1" x14ac:dyDescent="0.25">
      <c r="A390" s="7">
        <v>389</v>
      </c>
      <c r="B390" s="8" t="s">
        <v>151</v>
      </c>
      <c r="C390" s="7">
        <v>2013</v>
      </c>
      <c r="D390" s="7">
        <v>2014</v>
      </c>
      <c r="E390" s="3">
        <v>41739</v>
      </c>
      <c r="F390" s="4">
        <f t="shared" si="36"/>
        <v>4</v>
      </c>
      <c r="G390" s="4">
        <f t="shared" si="37"/>
        <v>10</v>
      </c>
      <c r="H390" s="4">
        <f t="shared" si="38"/>
        <v>2014</v>
      </c>
      <c r="I390" s="10" t="s">
        <v>157</v>
      </c>
      <c r="J390" s="2" t="s">
        <v>134</v>
      </c>
      <c r="K390" s="2" t="s">
        <v>16</v>
      </c>
      <c r="L390" s="2">
        <v>-1.5</v>
      </c>
      <c r="M390" s="2" t="s">
        <v>134</v>
      </c>
      <c r="N390" s="2">
        <v>109</v>
      </c>
      <c r="O390" s="2">
        <v>100</v>
      </c>
      <c r="P390" s="2" t="str">
        <f t="shared" ref="P390:P453" si="41">IF(OR(N390="",O390=""),"",IF((O390+L390)&gt;N390,K390,IF((O390+L390)=N390,"N/A",J390)))</f>
        <v>SA</v>
      </c>
      <c r="Q390" s="2">
        <f t="shared" si="39"/>
        <v>10.5</v>
      </c>
      <c r="R390" s="7">
        <f t="shared" si="40"/>
        <v>1</v>
      </c>
    </row>
    <row r="391" spans="1:18" ht="15" customHeight="1" x14ac:dyDescent="0.25">
      <c r="A391" s="7">
        <v>390</v>
      </c>
      <c r="B391" s="8" t="s">
        <v>151</v>
      </c>
      <c r="C391" s="7">
        <v>2013</v>
      </c>
      <c r="D391" s="7">
        <v>2014</v>
      </c>
      <c r="E391" s="3">
        <v>41740</v>
      </c>
      <c r="F391" s="4">
        <f t="shared" si="36"/>
        <v>4</v>
      </c>
      <c r="G391" s="4">
        <f t="shared" si="37"/>
        <v>11</v>
      </c>
      <c r="H391" s="4">
        <f t="shared" si="38"/>
        <v>2014</v>
      </c>
      <c r="I391" s="10" t="s">
        <v>157</v>
      </c>
      <c r="J391" s="2" t="s">
        <v>8</v>
      </c>
      <c r="K391" s="2" t="s">
        <v>17</v>
      </c>
      <c r="L391" s="2">
        <v>5</v>
      </c>
      <c r="M391" s="2" t="s">
        <v>8</v>
      </c>
      <c r="N391" s="2">
        <v>103</v>
      </c>
      <c r="O391" s="2">
        <v>106</v>
      </c>
      <c r="P391" s="2" t="str">
        <f t="shared" si="41"/>
        <v>BOS</v>
      </c>
      <c r="Q391" s="2">
        <f t="shared" si="39"/>
        <v>-8</v>
      </c>
      <c r="R391" s="7">
        <f t="shared" si="40"/>
        <v>0</v>
      </c>
    </row>
    <row r="392" spans="1:18" ht="15" customHeight="1" x14ac:dyDescent="0.25">
      <c r="A392" s="7">
        <v>391</v>
      </c>
      <c r="B392" s="8" t="s">
        <v>151</v>
      </c>
      <c r="C392" s="7">
        <v>2013</v>
      </c>
      <c r="D392" s="7">
        <v>2014</v>
      </c>
      <c r="E392" s="3">
        <v>41741</v>
      </c>
      <c r="F392" s="4">
        <f t="shared" si="36"/>
        <v>4</v>
      </c>
      <c r="G392" s="4">
        <f t="shared" si="37"/>
        <v>12</v>
      </c>
      <c r="H392" s="4">
        <f t="shared" si="38"/>
        <v>2014</v>
      </c>
      <c r="I392" s="10" t="s">
        <v>157</v>
      </c>
      <c r="J392" s="2" t="s">
        <v>137</v>
      </c>
      <c r="K392" s="2" t="s">
        <v>23</v>
      </c>
      <c r="L392" s="2">
        <v>-9.5</v>
      </c>
      <c r="M392" s="2" t="s">
        <v>137</v>
      </c>
      <c r="N392" s="2">
        <v>94</v>
      </c>
      <c r="O392" s="2">
        <v>101</v>
      </c>
      <c r="P392" s="2" t="str">
        <f t="shared" si="41"/>
        <v>UTAH</v>
      </c>
      <c r="Q392" s="2">
        <f t="shared" si="39"/>
        <v>2.5</v>
      </c>
      <c r="R392" s="7">
        <f t="shared" si="40"/>
        <v>1</v>
      </c>
    </row>
    <row r="393" spans="1:18" ht="15" customHeight="1" x14ac:dyDescent="0.25">
      <c r="A393" s="7">
        <v>392</v>
      </c>
      <c r="B393" s="8" t="s">
        <v>151</v>
      </c>
      <c r="C393" s="7">
        <v>2013</v>
      </c>
      <c r="D393" s="7">
        <v>2014</v>
      </c>
      <c r="E393" s="3">
        <v>41742</v>
      </c>
      <c r="F393" s="4">
        <f t="shared" si="36"/>
        <v>4</v>
      </c>
      <c r="G393" s="4">
        <f t="shared" si="37"/>
        <v>13</v>
      </c>
      <c r="H393" s="4">
        <f t="shared" si="38"/>
        <v>2014</v>
      </c>
      <c r="I393" s="10" t="s">
        <v>157</v>
      </c>
      <c r="J393" s="2" t="s">
        <v>114</v>
      </c>
      <c r="K393" s="2" t="s">
        <v>1</v>
      </c>
      <c r="L393" s="2">
        <v>-3</v>
      </c>
      <c r="M393" s="2" t="s">
        <v>114</v>
      </c>
      <c r="N393" s="2">
        <v>117</v>
      </c>
      <c r="O393" s="2">
        <v>119</v>
      </c>
      <c r="P393" s="2" t="str">
        <f t="shared" si="41"/>
        <v>GS</v>
      </c>
      <c r="Q393" s="2">
        <f t="shared" si="39"/>
        <v>1</v>
      </c>
      <c r="R393" s="7">
        <f t="shared" si="40"/>
        <v>1</v>
      </c>
    </row>
    <row r="394" spans="1:18" ht="15" customHeight="1" x14ac:dyDescent="0.25">
      <c r="A394" s="7">
        <v>393</v>
      </c>
      <c r="B394" s="8" t="s">
        <v>151</v>
      </c>
      <c r="C394" s="7">
        <v>2013</v>
      </c>
      <c r="D394" s="7">
        <v>2014</v>
      </c>
      <c r="E394" s="3">
        <v>41743</v>
      </c>
      <c r="F394" s="4">
        <f t="shared" si="36"/>
        <v>4</v>
      </c>
      <c r="G394" s="4">
        <f t="shared" si="37"/>
        <v>14</v>
      </c>
      <c r="H394" s="4">
        <f t="shared" si="38"/>
        <v>2014</v>
      </c>
      <c r="I394" s="10" t="s">
        <v>157</v>
      </c>
      <c r="J394" s="2" t="s">
        <v>9</v>
      </c>
      <c r="K394" s="2" t="s">
        <v>19</v>
      </c>
      <c r="L394" s="2">
        <v>-3.5</v>
      </c>
      <c r="M394" s="2" t="s">
        <v>19</v>
      </c>
      <c r="N394" s="2">
        <v>97</v>
      </c>
      <c r="O394" s="2">
        <v>91</v>
      </c>
      <c r="P394" s="2" t="str">
        <f t="shared" si="41"/>
        <v>MEM</v>
      </c>
      <c r="Q394" s="2">
        <f t="shared" si="39"/>
        <v>-9.5</v>
      </c>
      <c r="R394" s="7">
        <f t="shared" si="40"/>
        <v>0</v>
      </c>
    </row>
    <row r="395" spans="1:18" ht="15" customHeight="1" x14ac:dyDescent="0.25">
      <c r="A395" s="7">
        <v>394</v>
      </c>
      <c r="B395" s="8" t="s">
        <v>151</v>
      </c>
      <c r="C395" s="7">
        <v>2013</v>
      </c>
      <c r="D395" s="7">
        <v>2014</v>
      </c>
      <c r="E395" s="3">
        <v>41744</v>
      </c>
      <c r="F395" s="4">
        <f t="shared" si="36"/>
        <v>4</v>
      </c>
      <c r="G395" s="4">
        <f t="shared" si="37"/>
        <v>15</v>
      </c>
      <c r="H395" s="4">
        <f t="shared" si="38"/>
        <v>2014</v>
      </c>
      <c r="I395" s="10" t="s">
        <v>157</v>
      </c>
      <c r="J395" s="2" t="s">
        <v>23</v>
      </c>
      <c r="K395" s="2" t="s">
        <v>14</v>
      </c>
      <c r="L395" s="2">
        <v>-9.5</v>
      </c>
      <c r="M395" s="2" t="s">
        <v>14</v>
      </c>
      <c r="N395" s="2">
        <v>105</v>
      </c>
      <c r="O395" s="2">
        <v>117</v>
      </c>
      <c r="P395" s="2" t="str">
        <f t="shared" si="41"/>
        <v>LAC</v>
      </c>
      <c r="Q395" s="2">
        <f t="shared" si="39"/>
        <v>2.5</v>
      </c>
      <c r="R395" s="7">
        <f t="shared" si="40"/>
        <v>1</v>
      </c>
    </row>
    <row r="396" spans="1:18" ht="15" customHeight="1" x14ac:dyDescent="0.25">
      <c r="A396" s="7">
        <v>395</v>
      </c>
      <c r="B396" s="8" t="s">
        <v>151</v>
      </c>
      <c r="C396" s="7">
        <v>2013</v>
      </c>
      <c r="D396" s="7">
        <v>2014</v>
      </c>
      <c r="E396" s="3">
        <v>41745</v>
      </c>
      <c r="F396" s="4">
        <f t="shared" si="36"/>
        <v>4</v>
      </c>
      <c r="G396" s="4">
        <f t="shared" si="37"/>
        <v>16</v>
      </c>
      <c r="H396" s="4">
        <f t="shared" si="38"/>
        <v>2014</v>
      </c>
      <c r="I396" s="10" t="s">
        <v>157</v>
      </c>
      <c r="J396" s="2" t="s">
        <v>137</v>
      </c>
      <c r="K396" s="2" t="s">
        <v>3</v>
      </c>
      <c r="L396" s="2">
        <v>-10.5</v>
      </c>
      <c r="M396" s="2" t="s">
        <v>137</v>
      </c>
      <c r="N396" s="2">
        <v>136</v>
      </c>
      <c r="O396" s="2">
        <v>130</v>
      </c>
      <c r="P396" s="2" t="str">
        <f t="shared" si="41"/>
        <v>UTAH</v>
      </c>
      <c r="Q396" s="2">
        <f t="shared" si="39"/>
        <v>16.5</v>
      </c>
      <c r="R396" s="7">
        <f t="shared" si="40"/>
        <v>1</v>
      </c>
    </row>
    <row r="397" spans="1:18" ht="15" customHeight="1" x14ac:dyDescent="0.25">
      <c r="A397" s="7">
        <v>396</v>
      </c>
      <c r="B397" s="8" t="s">
        <v>185</v>
      </c>
      <c r="C397" s="7">
        <v>2013</v>
      </c>
      <c r="D397" s="7">
        <v>2014</v>
      </c>
      <c r="E397" s="3">
        <v>41748</v>
      </c>
      <c r="F397" s="4">
        <f t="shared" si="36"/>
        <v>4</v>
      </c>
      <c r="G397" s="4">
        <f t="shared" si="37"/>
        <v>19</v>
      </c>
      <c r="H397" s="4">
        <f t="shared" si="38"/>
        <v>2014</v>
      </c>
      <c r="I397" s="10" t="s">
        <v>157</v>
      </c>
      <c r="J397" s="2" t="s">
        <v>114</v>
      </c>
      <c r="K397" s="2" t="s">
        <v>14</v>
      </c>
      <c r="L397" s="2">
        <v>-7</v>
      </c>
      <c r="M397" s="2" t="s">
        <v>114</v>
      </c>
      <c r="N397" s="2">
        <v>109</v>
      </c>
      <c r="O397" s="2">
        <v>105</v>
      </c>
      <c r="P397" s="2" t="str">
        <f t="shared" si="41"/>
        <v>GS</v>
      </c>
      <c r="Q397" s="2">
        <f t="shared" si="39"/>
        <v>11</v>
      </c>
      <c r="R397" s="7">
        <f t="shared" si="40"/>
        <v>1</v>
      </c>
    </row>
    <row r="398" spans="1:18" ht="15" customHeight="1" x14ac:dyDescent="0.25">
      <c r="A398" s="7">
        <v>397</v>
      </c>
      <c r="B398" s="8" t="s">
        <v>185</v>
      </c>
      <c r="C398" s="7">
        <v>2013</v>
      </c>
      <c r="D398" s="7">
        <v>2014</v>
      </c>
      <c r="E398" s="3">
        <v>41749</v>
      </c>
      <c r="F398" s="4">
        <f t="shared" si="36"/>
        <v>4</v>
      </c>
      <c r="G398" s="4">
        <f t="shared" si="37"/>
        <v>20</v>
      </c>
      <c r="H398" s="4">
        <f t="shared" si="38"/>
        <v>2014</v>
      </c>
      <c r="I398" s="10" t="s">
        <v>157</v>
      </c>
      <c r="J398" s="2" t="s">
        <v>16</v>
      </c>
      <c r="K398" s="2" t="s">
        <v>134</v>
      </c>
      <c r="L398" s="2">
        <v>-9.5</v>
      </c>
      <c r="M398" s="2" t="s">
        <v>16</v>
      </c>
      <c r="N398" s="2">
        <v>85</v>
      </c>
      <c r="O398" s="2">
        <v>90</v>
      </c>
      <c r="P398" s="2" t="str">
        <f t="shared" si="41"/>
        <v>DAL</v>
      </c>
      <c r="Q398" s="2">
        <f t="shared" si="39"/>
        <v>4.5</v>
      </c>
      <c r="R398" s="7">
        <f t="shared" si="40"/>
        <v>1</v>
      </c>
    </row>
    <row r="399" spans="1:18" ht="15" customHeight="1" x14ac:dyDescent="0.25">
      <c r="A399" s="7">
        <v>398</v>
      </c>
      <c r="B399" s="8" t="s">
        <v>185</v>
      </c>
      <c r="C399" s="7">
        <v>2013</v>
      </c>
      <c r="D399" s="7">
        <v>2014</v>
      </c>
      <c r="E399" s="3">
        <v>41750</v>
      </c>
      <c r="F399" s="4">
        <f t="shared" si="36"/>
        <v>4</v>
      </c>
      <c r="G399" s="4">
        <f t="shared" si="37"/>
        <v>21</v>
      </c>
      <c r="H399" s="4">
        <f t="shared" si="38"/>
        <v>2014</v>
      </c>
      <c r="I399" s="10" t="s">
        <v>157</v>
      </c>
      <c r="J399" s="7" t="s">
        <v>9</v>
      </c>
      <c r="K399" s="7" t="s">
        <v>12</v>
      </c>
      <c r="L399" s="7">
        <v>-7</v>
      </c>
      <c r="M399" s="7" t="s">
        <v>12</v>
      </c>
      <c r="N399" s="7">
        <v>111</v>
      </c>
      <c r="O399" s="7">
        <v>105</v>
      </c>
      <c r="P399" s="2" t="str">
        <f t="shared" si="41"/>
        <v>MEM</v>
      </c>
      <c r="Q399" s="2">
        <f t="shared" si="39"/>
        <v>-13</v>
      </c>
      <c r="R399" s="7">
        <f t="shared" si="40"/>
        <v>0</v>
      </c>
    </row>
    <row r="400" spans="1:18" ht="15" customHeight="1" x14ac:dyDescent="0.25">
      <c r="A400" s="7">
        <v>399</v>
      </c>
      <c r="B400" s="8" t="s">
        <v>185</v>
      </c>
      <c r="C400" s="7">
        <v>2013</v>
      </c>
      <c r="D400" s="7">
        <v>2014</v>
      </c>
      <c r="E400" s="3">
        <v>41751</v>
      </c>
      <c r="F400" s="4">
        <f t="shared" si="36"/>
        <v>4</v>
      </c>
      <c r="G400" s="4">
        <f t="shared" si="37"/>
        <v>22</v>
      </c>
      <c r="H400" s="4">
        <f t="shared" si="38"/>
        <v>2014</v>
      </c>
      <c r="I400" s="10" t="s">
        <v>157</v>
      </c>
      <c r="J400" s="7" t="s">
        <v>5</v>
      </c>
      <c r="K400" s="7" t="s">
        <v>13</v>
      </c>
      <c r="L400" s="7">
        <v>-7</v>
      </c>
      <c r="M400" s="7" t="s">
        <v>5</v>
      </c>
      <c r="N400" s="7">
        <v>85</v>
      </c>
      <c r="O400" s="7">
        <v>101</v>
      </c>
      <c r="P400" s="2" t="str">
        <f t="shared" si="41"/>
        <v>IND</v>
      </c>
      <c r="Q400" s="2">
        <f t="shared" si="39"/>
        <v>-9</v>
      </c>
      <c r="R400" s="7">
        <f t="shared" si="40"/>
        <v>0</v>
      </c>
    </row>
    <row r="401" spans="1:18" ht="15" customHeight="1" x14ac:dyDescent="0.25">
      <c r="A401" s="7">
        <v>400</v>
      </c>
      <c r="B401" s="8" t="s">
        <v>185</v>
      </c>
      <c r="C401" s="7">
        <v>2013</v>
      </c>
      <c r="D401" s="7">
        <v>2014</v>
      </c>
      <c r="E401" s="3">
        <v>41752</v>
      </c>
      <c r="F401" s="4">
        <f t="shared" si="36"/>
        <v>4</v>
      </c>
      <c r="G401" s="4">
        <f t="shared" si="37"/>
        <v>23</v>
      </c>
      <c r="H401" s="4">
        <f t="shared" si="38"/>
        <v>2014</v>
      </c>
      <c r="I401" s="10" t="s">
        <v>157</v>
      </c>
      <c r="J401" s="7" t="s">
        <v>1</v>
      </c>
      <c r="K401" s="7" t="s">
        <v>4</v>
      </c>
      <c r="L401" s="7">
        <v>-6</v>
      </c>
      <c r="M401" s="7" t="s">
        <v>1</v>
      </c>
      <c r="N401" s="7">
        <v>112</v>
      </c>
      <c r="O401" s="7">
        <v>105</v>
      </c>
      <c r="P401" s="2" t="str">
        <f t="shared" si="41"/>
        <v>POR</v>
      </c>
      <c r="Q401" s="2">
        <f t="shared" si="39"/>
        <v>13</v>
      </c>
      <c r="R401" s="7">
        <f t="shared" si="40"/>
        <v>1</v>
      </c>
    </row>
    <row r="402" spans="1:18" ht="15" customHeight="1" x14ac:dyDescent="0.25">
      <c r="A402" s="7">
        <v>401</v>
      </c>
      <c r="B402" s="8" t="s">
        <v>185</v>
      </c>
      <c r="C402" s="7">
        <v>2013</v>
      </c>
      <c r="D402" s="7">
        <v>2014</v>
      </c>
      <c r="E402" s="3">
        <v>41753</v>
      </c>
      <c r="F402" s="4">
        <f t="shared" si="36"/>
        <v>4</v>
      </c>
      <c r="G402" s="4">
        <f t="shared" si="37"/>
        <v>24</v>
      </c>
      <c r="H402" s="4">
        <f t="shared" si="38"/>
        <v>2014</v>
      </c>
      <c r="I402" s="10" t="s">
        <v>157</v>
      </c>
      <c r="J402" s="7" t="s">
        <v>14</v>
      </c>
      <c r="K402" s="7" t="s">
        <v>114</v>
      </c>
      <c r="L402" s="7">
        <v>1.5</v>
      </c>
      <c r="M402" s="7" t="s">
        <v>114</v>
      </c>
      <c r="N402" s="7">
        <v>98</v>
      </c>
      <c r="O402" s="7">
        <v>96</v>
      </c>
      <c r="P402" s="2" t="str">
        <f t="shared" si="41"/>
        <v>LAC</v>
      </c>
      <c r="Q402" s="2">
        <f t="shared" si="39"/>
        <v>-0.5</v>
      </c>
      <c r="R402" s="7">
        <f t="shared" si="40"/>
        <v>0</v>
      </c>
    </row>
    <row r="403" spans="1:18" ht="15" customHeight="1" x14ac:dyDescent="0.25">
      <c r="A403" s="7">
        <v>402</v>
      </c>
      <c r="B403" s="8" t="s">
        <v>185</v>
      </c>
      <c r="C403" s="7">
        <v>2013</v>
      </c>
      <c r="D403" s="7">
        <v>2014</v>
      </c>
      <c r="E403" s="3">
        <v>41754</v>
      </c>
      <c r="F403" s="4">
        <f t="shared" si="36"/>
        <v>4</v>
      </c>
      <c r="G403" s="4">
        <f t="shared" si="37"/>
        <v>25</v>
      </c>
      <c r="H403" s="4">
        <f t="shared" si="38"/>
        <v>2014</v>
      </c>
      <c r="I403" s="10" t="s">
        <v>157</v>
      </c>
      <c r="J403" s="7" t="s">
        <v>2</v>
      </c>
      <c r="K403" s="7" t="s">
        <v>22</v>
      </c>
      <c r="L403" s="7">
        <v>-5</v>
      </c>
      <c r="M403" s="7" t="s">
        <v>22</v>
      </c>
      <c r="N403" s="7">
        <v>98</v>
      </c>
      <c r="O403" s="7">
        <v>102</v>
      </c>
      <c r="P403" s="2" t="str">
        <f t="shared" si="41"/>
        <v>TOR</v>
      </c>
      <c r="Q403" s="2">
        <f t="shared" si="39"/>
        <v>-1</v>
      </c>
      <c r="R403" s="7">
        <f t="shared" si="40"/>
        <v>0</v>
      </c>
    </row>
    <row r="404" spans="1:18" ht="15" customHeight="1" x14ac:dyDescent="0.25">
      <c r="A404" s="7">
        <v>403</v>
      </c>
      <c r="B404" s="8" t="s">
        <v>185</v>
      </c>
      <c r="C404" s="7">
        <v>2013</v>
      </c>
      <c r="D404" s="7">
        <v>2014</v>
      </c>
      <c r="E404" s="3">
        <v>41755</v>
      </c>
      <c r="F404" s="4">
        <f t="shared" si="36"/>
        <v>4</v>
      </c>
      <c r="G404" s="4">
        <f t="shared" si="37"/>
        <v>26</v>
      </c>
      <c r="H404" s="4">
        <f t="shared" si="38"/>
        <v>2014</v>
      </c>
      <c r="I404" s="10" t="s">
        <v>157</v>
      </c>
      <c r="J404" s="7" t="s">
        <v>15</v>
      </c>
      <c r="K404" s="7" t="s">
        <v>8</v>
      </c>
      <c r="L404" s="7">
        <v>4.5</v>
      </c>
      <c r="M404" s="7" t="s">
        <v>15</v>
      </c>
      <c r="N404" s="7">
        <v>98</v>
      </c>
      <c r="O404" s="7">
        <v>85</v>
      </c>
      <c r="P404" s="2" t="str">
        <f t="shared" si="41"/>
        <v>MIA</v>
      </c>
      <c r="Q404" s="2">
        <f t="shared" si="39"/>
        <v>8.5</v>
      </c>
      <c r="R404" s="7">
        <f t="shared" si="40"/>
        <v>1</v>
      </c>
    </row>
    <row r="405" spans="1:18" ht="15" customHeight="1" x14ac:dyDescent="0.25">
      <c r="A405" s="7">
        <v>404</v>
      </c>
      <c r="B405" s="8" t="s">
        <v>185</v>
      </c>
      <c r="C405" s="7">
        <v>2013</v>
      </c>
      <c r="D405" s="7">
        <v>2014</v>
      </c>
      <c r="E405" s="3">
        <v>41756</v>
      </c>
      <c r="F405" s="4">
        <f t="shared" si="36"/>
        <v>4</v>
      </c>
      <c r="G405" s="4">
        <f t="shared" si="37"/>
        <v>27</v>
      </c>
      <c r="H405" s="4">
        <f t="shared" si="38"/>
        <v>2014</v>
      </c>
      <c r="I405" s="10" t="s">
        <v>157</v>
      </c>
      <c r="J405" s="7" t="s">
        <v>0</v>
      </c>
      <c r="K405" s="7" t="s">
        <v>139</v>
      </c>
      <c r="L405" s="7">
        <v>-1.5</v>
      </c>
      <c r="M405" s="7" t="s">
        <v>139</v>
      </c>
      <c r="N405" s="7">
        <v>89</v>
      </c>
      <c r="O405" s="7">
        <v>98</v>
      </c>
      <c r="P405" s="2" t="str">
        <f t="shared" si="41"/>
        <v>WSH</v>
      </c>
      <c r="Q405" s="2">
        <f t="shared" si="39"/>
        <v>7.5</v>
      </c>
      <c r="R405" s="7">
        <f t="shared" si="40"/>
        <v>1</v>
      </c>
    </row>
    <row r="406" spans="1:18" ht="15" customHeight="1" x14ac:dyDescent="0.25">
      <c r="A406" s="7">
        <v>405</v>
      </c>
      <c r="B406" s="8" t="s">
        <v>185</v>
      </c>
      <c r="C406" s="7">
        <v>2013</v>
      </c>
      <c r="D406" s="7">
        <v>2014</v>
      </c>
      <c r="E406" s="3">
        <v>41757</v>
      </c>
      <c r="F406" s="4">
        <f t="shared" si="36"/>
        <v>4</v>
      </c>
      <c r="G406" s="4">
        <f t="shared" si="37"/>
        <v>28</v>
      </c>
      <c r="H406" s="4">
        <f t="shared" si="38"/>
        <v>2014</v>
      </c>
      <c r="I406" s="10" t="s">
        <v>157</v>
      </c>
      <c r="J406" s="7" t="s">
        <v>15</v>
      </c>
      <c r="K406" s="7" t="s">
        <v>8</v>
      </c>
      <c r="L406" s="7">
        <v>7.5</v>
      </c>
      <c r="M406" s="7" t="s">
        <v>8</v>
      </c>
      <c r="N406" s="7">
        <v>109</v>
      </c>
      <c r="O406" s="7">
        <v>98</v>
      </c>
      <c r="P406" s="2" t="str">
        <f t="shared" si="41"/>
        <v>MIA</v>
      </c>
      <c r="Q406" s="2">
        <f t="shared" si="39"/>
        <v>-3.5</v>
      </c>
      <c r="R406" s="7">
        <f t="shared" si="40"/>
        <v>0</v>
      </c>
    </row>
    <row r="407" spans="1:18" ht="15" customHeight="1" x14ac:dyDescent="0.25">
      <c r="A407" s="7">
        <v>406</v>
      </c>
      <c r="B407" s="8" t="s">
        <v>185</v>
      </c>
      <c r="C407" s="7">
        <v>2013</v>
      </c>
      <c r="D407" s="7">
        <v>2014</v>
      </c>
      <c r="E407" s="3">
        <v>41758</v>
      </c>
      <c r="F407" s="4">
        <f t="shared" si="36"/>
        <v>4</v>
      </c>
      <c r="G407" s="4">
        <f t="shared" si="37"/>
        <v>29</v>
      </c>
      <c r="H407" s="4">
        <f t="shared" si="38"/>
        <v>2014</v>
      </c>
      <c r="I407" s="10" t="s">
        <v>157</v>
      </c>
      <c r="J407" s="7" t="s">
        <v>9</v>
      </c>
      <c r="K407" s="7" t="s">
        <v>12</v>
      </c>
      <c r="L407" s="7">
        <v>-6.5</v>
      </c>
      <c r="M407" s="7" t="s">
        <v>9</v>
      </c>
      <c r="N407" s="7">
        <v>100</v>
      </c>
      <c r="O407" s="7">
        <v>99</v>
      </c>
      <c r="P407" s="7" t="str">
        <f t="shared" si="41"/>
        <v>MEM</v>
      </c>
      <c r="Q407" s="7">
        <f t="shared" si="39"/>
        <v>7.5</v>
      </c>
      <c r="R407" s="7">
        <f t="shared" si="40"/>
        <v>1</v>
      </c>
    </row>
    <row r="408" spans="1:18" ht="15" customHeight="1" x14ac:dyDescent="0.25">
      <c r="A408" s="7">
        <v>407</v>
      </c>
      <c r="B408" s="8" t="s">
        <v>185</v>
      </c>
      <c r="C408" s="7">
        <v>2013</v>
      </c>
      <c r="D408" s="7">
        <v>2014</v>
      </c>
      <c r="E408" s="3">
        <v>41759</v>
      </c>
      <c r="F408" s="4">
        <f t="shared" si="36"/>
        <v>4</v>
      </c>
      <c r="G408" s="4">
        <f t="shared" si="37"/>
        <v>30</v>
      </c>
      <c r="H408" s="4">
        <f t="shared" si="38"/>
        <v>2014</v>
      </c>
      <c r="I408" s="10" t="s">
        <v>157</v>
      </c>
      <c r="J408" s="7" t="s">
        <v>1</v>
      </c>
      <c r="K408" s="7" t="s">
        <v>4</v>
      </c>
      <c r="L408" s="7">
        <v>-5</v>
      </c>
      <c r="M408" s="7" t="s">
        <v>1</v>
      </c>
      <c r="N408" s="7">
        <v>98</v>
      </c>
      <c r="O408" s="7">
        <v>108</v>
      </c>
      <c r="P408" s="7" t="str">
        <f t="shared" si="41"/>
        <v>HOU</v>
      </c>
      <c r="Q408" s="7">
        <f t="shared" si="39"/>
        <v>-5</v>
      </c>
      <c r="R408" s="7">
        <f t="shared" si="40"/>
        <v>0</v>
      </c>
    </row>
    <row r="409" spans="1:18" ht="15" customHeight="1" x14ac:dyDescent="0.25">
      <c r="A409" s="7">
        <v>408</v>
      </c>
      <c r="B409" s="8" t="s">
        <v>185</v>
      </c>
      <c r="C409" s="7">
        <v>2013</v>
      </c>
      <c r="D409" s="7">
        <v>2014</v>
      </c>
      <c r="E409" s="3">
        <v>41760</v>
      </c>
      <c r="F409" s="4">
        <f t="shared" si="36"/>
        <v>5</v>
      </c>
      <c r="G409" s="4">
        <f t="shared" si="37"/>
        <v>1</v>
      </c>
      <c r="H409" s="4">
        <f t="shared" si="38"/>
        <v>2014</v>
      </c>
      <c r="I409" s="10" t="s">
        <v>157</v>
      </c>
      <c r="J409" s="7" t="s">
        <v>14</v>
      </c>
      <c r="K409" s="7" t="s">
        <v>114</v>
      </c>
      <c r="L409" s="7">
        <v>1.5</v>
      </c>
      <c r="M409" s="7" t="s">
        <v>14</v>
      </c>
      <c r="N409" s="7">
        <v>99</v>
      </c>
      <c r="O409" s="7">
        <v>100</v>
      </c>
      <c r="P409" s="7" t="str">
        <f t="shared" si="41"/>
        <v>GS</v>
      </c>
      <c r="Q409" s="7">
        <f t="shared" si="39"/>
        <v>-2.5</v>
      </c>
      <c r="R409" s="7">
        <f t="shared" si="40"/>
        <v>0</v>
      </c>
    </row>
    <row r="410" spans="1:18" ht="15" customHeight="1" x14ac:dyDescent="0.25">
      <c r="A410" s="7">
        <v>409</v>
      </c>
      <c r="B410" s="8" t="s">
        <v>185</v>
      </c>
      <c r="C410" s="7">
        <v>2013</v>
      </c>
      <c r="D410" s="7">
        <v>2014</v>
      </c>
      <c r="E410" s="3">
        <v>41761</v>
      </c>
      <c r="F410" s="4">
        <f t="shared" si="36"/>
        <v>5</v>
      </c>
      <c r="G410" s="4">
        <f t="shared" si="37"/>
        <v>2</v>
      </c>
      <c r="H410" s="4">
        <f t="shared" si="38"/>
        <v>2014</v>
      </c>
      <c r="I410" s="10" t="s">
        <v>157</v>
      </c>
      <c r="J410" s="7" t="s">
        <v>4</v>
      </c>
      <c r="K410" s="7" t="s">
        <v>1</v>
      </c>
      <c r="L410" s="7">
        <v>-3.5</v>
      </c>
      <c r="M410" s="7" t="s">
        <v>4</v>
      </c>
      <c r="N410" s="7">
        <v>98</v>
      </c>
      <c r="O410" s="7">
        <v>99</v>
      </c>
      <c r="P410" s="7" t="str">
        <f t="shared" si="41"/>
        <v>HOU</v>
      </c>
      <c r="Q410" s="7">
        <f t="shared" si="39"/>
        <v>2.5</v>
      </c>
      <c r="R410" s="7">
        <f t="shared" si="40"/>
        <v>1</v>
      </c>
    </row>
    <row r="411" spans="1:18" ht="15" customHeight="1" x14ac:dyDescent="0.25">
      <c r="A411" s="7">
        <v>410</v>
      </c>
      <c r="B411" s="8" t="s">
        <v>185</v>
      </c>
      <c r="C411" s="7">
        <v>2013</v>
      </c>
      <c r="D411" s="7">
        <v>2014</v>
      </c>
      <c r="E411" s="3">
        <v>41762</v>
      </c>
      <c r="F411" s="4">
        <f t="shared" si="36"/>
        <v>5</v>
      </c>
      <c r="G411" s="4">
        <f t="shared" si="37"/>
        <v>3</v>
      </c>
      <c r="H411" s="4">
        <f t="shared" si="38"/>
        <v>2014</v>
      </c>
      <c r="I411" s="10" t="s">
        <v>157</v>
      </c>
      <c r="J411" s="2" t="s">
        <v>114</v>
      </c>
      <c r="K411" s="2" t="s">
        <v>14</v>
      </c>
      <c r="L411" s="2">
        <v>-7.5</v>
      </c>
      <c r="M411" s="2" t="s">
        <v>114</v>
      </c>
      <c r="N411" s="2">
        <v>121</v>
      </c>
      <c r="O411" s="2">
        <v>126</v>
      </c>
      <c r="P411" s="2" t="str">
        <f t="shared" si="41"/>
        <v>GS</v>
      </c>
      <c r="Q411" s="2">
        <f t="shared" si="39"/>
        <v>2.5</v>
      </c>
      <c r="R411" s="7">
        <f t="shared" si="40"/>
        <v>1</v>
      </c>
    </row>
    <row r="412" spans="1:18" ht="15" customHeight="1" x14ac:dyDescent="0.25">
      <c r="A412" s="7">
        <v>411</v>
      </c>
      <c r="B412" s="8" t="s">
        <v>185</v>
      </c>
      <c r="C412" s="7">
        <v>2013</v>
      </c>
      <c r="D412" s="7">
        <v>2014</v>
      </c>
      <c r="E412" s="3">
        <v>41763</v>
      </c>
      <c r="F412" s="4">
        <f t="shared" si="36"/>
        <v>5</v>
      </c>
      <c r="G412" s="4">
        <f t="shared" si="37"/>
        <v>4</v>
      </c>
      <c r="H412" s="4">
        <f t="shared" si="38"/>
        <v>2014</v>
      </c>
      <c r="I412" s="10" t="s">
        <v>157</v>
      </c>
      <c r="J412" s="2" t="s">
        <v>16</v>
      </c>
      <c r="K412" s="2" t="s">
        <v>134</v>
      </c>
      <c r="L412" s="2">
        <v>-6.5</v>
      </c>
      <c r="M412" s="2" t="s">
        <v>134</v>
      </c>
      <c r="N412" s="2">
        <v>96</v>
      </c>
      <c r="O412" s="2">
        <v>119</v>
      </c>
      <c r="P412" s="2" t="str">
        <f t="shared" si="41"/>
        <v>SA</v>
      </c>
      <c r="Q412" s="2">
        <f t="shared" si="39"/>
        <v>16.5</v>
      </c>
      <c r="R412" s="7">
        <f t="shared" si="40"/>
        <v>1</v>
      </c>
    </row>
    <row r="413" spans="1:18" ht="15" customHeight="1" x14ac:dyDescent="0.25">
      <c r="A413" s="7">
        <v>412</v>
      </c>
      <c r="B413" s="8" t="s">
        <v>185</v>
      </c>
      <c r="C413" s="7">
        <v>2013</v>
      </c>
      <c r="D413" s="7">
        <v>2014</v>
      </c>
      <c r="E413" s="3">
        <v>41764</v>
      </c>
      <c r="F413" s="4">
        <f t="shared" si="36"/>
        <v>5</v>
      </c>
      <c r="G413" s="4">
        <f t="shared" si="37"/>
        <v>5</v>
      </c>
      <c r="H413" s="4">
        <f t="shared" si="38"/>
        <v>2014</v>
      </c>
      <c r="I413" s="10" t="s">
        <v>157</v>
      </c>
      <c r="J413" s="2" t="s">
        <v>14</v>
      </c>
      <c r="K413" s="2" t="s">
        <v>12</v>
      </c>
      <c r="L413" s="2">
        <v>-5.5</v>
      </c>
      <c r="M413" s="2" t="s">
        <v>14</v>
      </c>
      <c r="N413" s="2">
        <v>122</v>
      </c>
      <c r="O413" s="2">
        <v>105</v>
      </c>
      <c r="P413" s="2" t="str">
        <f t="shared" si="41"/>
        <v>LAC</v>
      </c>
      <c r="Q413" s="2">
        <f t="shared" si="39"/>
        <v>22.5</v>
      </c>
      <c r="R413" s="7">
        <f t="shared" si="40"/>
        <v>1</v>
      </c>
    </row>
    <row r="414" spans="1:18" ht="15" customHeight="1" x14ac:dyDescent="0.25">
      <c r="A414" s="7">
        <v>413</v>
      </c>
      <c r="B414" s="8" t="s">
        <v>185</v>
      </c>
      <c r="C414" s="7">
        <v>2013</v>
      </c>
      <c r="D414" s="7">
        <v>2014</v>
      </c>
      <c r="E414" s="3">
        <v>41765</v>
      </c>
      <c r="F414" s="4">
        <f t="shared" si="36"/>
        <v>5</v>
      </c>
      <c r="G414" s="4">
        <f t="shared" si="37"/>
        <v>6</v>
      </c>
      <c r="H414" s="4">
        <f t="shared" si="38"/>
        <v>2014</v>
      </c>
      <c r="I414" s="10" t="s">
        <v>157</v>
      </c>
      <c r="J414" s="2" t="s">
        <v>1</v>
      </c>
      <c r="K414" s="2" t="s">
        <v>134</v>
      </c>
      <c r="L414" s="2">
        <v>-6.5</v>
      </c>
      <c r="M414" s="2" t="s">
        <v>1</v>
      </c>
      <c r="N414" s="2">
        <v>92</v>
      </c>
      <c r="O414" s="2">
        <v>116</v>
      </c>
      <c r="P414" s="2" t="str">
        <f t="shared" si="41"/>
        <v>SA</v>
      </c>
      <c r="Q414" s="2">
        <f t="shared" si="39"/>
        <v>-17.5</v>
      </c>
      <c r="R414" s="7">
        <f t="shared" si="40"/>
        <v>0</v>
      </c>
    </row>
    <row r="415" spans="1:18" ht="15" customHeight="1" x14ac:dyDescent="0.25">
      <c r="A415" s="7">
        <v>414</v>
      </c>
      <c r="B415" s="8" t="s">
        <v>185</v>
      </c>
      <c r="C415" s="7">
        <v>2013</v>
      </c>
      <c r="D415" s="7">
        <v>2014</v>
      </c>
      <c r="E415" s="3">
        <v>41766</v>
      </c>
      <c r="F415" s="4">
        <f t="shared" si="36"/>
        <v>5</v>
      </c>
      <c r="G415" s="4">
        <f t="shared" si="37"/>
        <v>7</v>
      </c>
      <c r="H415" s="4">
        <f t="shared" si="38"/>
        <v>2014</v>
      </c>
      <c r="I415" s="10" t="s">
        <v>157</v>
      </c>
      <c r="J415" s="2" t="s">
        <v>139</v>
      </c>
      <c r="K415" s="2" t="s">
        <v>13</v>
      </c>
      <c r="L415" s="2">
        <v>-4</v>
      </c>
      <c r="M415" s="2" t="s">
        <v>139</v>
      </c>
      <c r="N415" s="2">
        <v>82</v>
      </c>
      <c r="O415" s="2">
        <v>86</v>
      </c>
      <c r="P415" s="2" t="str">
        <f t="shared" si="41"/>
        <v>N/A</v>
      </c>
      <c r="Q415" s="2">
        <f t="shared" si="39"/>
        <v>0</v>
      </c>
      <c r="R415" s="7" t="str">
        <f t="shared" si="40"/>
        <v>na</v>
      </c>
    </row>
    <row r="416" spans="1:18" ht="15" customHeight="1" x14ac:dyDescent="0.25">
      <c r="A416" s="7">
        <v>415</v>
      </c>
      <c r="B416" s="8" t="s">
        <v>185</v>
      </c>
      <c r="C416" s="7">
        <v>2013</v>
      </c>
      <c r="D416" s="7">
        <v>2014</v>
      </c>
      <c r="E416" s="3">
        <v>41767</v>
      </c>
      <c r="F416" s="4">
        <f t="shared" si="36"/>
        <v>5</v>
      </c>
      <c r="G416" s="4">
        <f t="shared" si="37"/>
        <v>8</v>
      </c>
      <c r="H416" s="4">
        <f t="shared" si="38"/>
        <v>2014</v>
      </c>
      <c r="I416" s="10" t="s">
        <v>157</v>
      </c>
      <c r="J416" s="2" t="s">
        <v>22</v>
      </c>
      <c r="K416" s="2" t="s">
        <v>15</v>
      </c>
      <c r="L416" s="2">
        <v>-7</v>
      </c>
      <c r="M416" s="2" t="s">
        <v>22</v>
      </c>
      <c r="N416" s="2">
        <v>82</v>
      </c>
      <c r="O416" s="2">
        <v>94</v>
      </c>
      <c r="P416" s="2" t="str">
        <f t="shared" si="41"/>
        <v>MIA</v>
      </c>
      <c r="Q416" s="2">
        <f t="shared" si="39"/>
        <v>-5</v>
      </c>
      <c r="R416" s="7">
        <f t="shared" si="40"/>
        <v>0</v>
      </c>
    </row>
    <row r="417" spans="1:18" ht="15" customHeight="1" x14ac:dyDescent="0.25">
      <c r="A417" s="7">
        <v>416</v>
      </c>
      <c r="B417" s="8" t="s">
        <v>185</v>
      </c>
      <c r="C417" s="7">
        <v>2013</v>
      </c>
      <c r="D417" s="7">
        <v>2014</v>
      </c>
      <c r="E417" s="3">
        <v>41768</v>
      </c>
      <c r="F417" s="4">
        <f t="shared" si="36"/>
        <v>5</v>
      </c>
      <c r="G417" s="4">
        <f t="shared" si="37"/>
        <v>9</v>
      </c>
      <c r="H417" s="4">
        <f t="shared" si="38"/>
        <v>2014</v>
      </c>
      <c r="I417" s="10" t="s">
        <v>157</v>
      </c>
      <c r="J417" s="2" t="s">
        <v>12</v>
      </c>
      <c r="K417" s="2" t="s">
        <v>14</v>
      </c>
      <c r="L417" s="2">
        <v>-4</v>
      </c>
      <c r="M417" s="2" t="s">
        <v>14</v>
      </c>
      <c r="N417" s="2">
        <v>118</v>
      </c>
      <c r="O417" s="2">
        <v>112</v>
      </c>
      <c r="P417" s="2" t="str">
        <f t="shared" si="41"/>
        <v>OKC</v>
      </c>
      <c r="Q417" s="2">
        <f t="shared" si="39"/>
        <v>-10</v>
      </c>
      <c r="R417" s="7">
        <f t="shared" si="40"/>
        <v>0</v>
      </c>
    </row>
    <row r="418" spans="1:18" ht="15" customHeight="1" x14ac:dyDescent="0.25">
      <c r="A418" s="7">
        <v>417</v>
      </c>
      <c r="B418" s="8" t="s">
        <v>185</v>
      </c>
      <c r="C418" s="7">
        <v>2013</v>
      </c>
      <c r="D418" s="7">
        <v>2014</v>
      </c>
      <c r="E418" s="3">
        <v>41769</v>
      </c>
      <c r="F418" s="4">
        <f t="shared" si="36"/>
        <v>5</v>
      </c>
      <c r="G418" s="4">
        <f t="shared" si="37"/>
        <v>10</v>
      </c>
      <c r="H418" s="4">
        <f t="shared" si="38"/>
        <v>2014</v>
      </c>
      <c r="I418" s="10" t="s">
        <v>157</v>
      </c>
      <c r="J418" s="2" t="s">
        <v>15</v>
      </c>
      <c r="K418" s="2" t="s">
        <v>22</v>
      </c>
      <c r="L418" s="2">
        <v>1.5</v>
      </c>
      <c r="M418" s="2" t="s">
        <v>22</v>
      </c>
      <c r="N418" s="2">
        <v>90</v>
      </c>
      <c r="O418" s="2">
        <v>104</v>
      </c>
      <c r="P418" s="2" t="str">
        <f t="shared" si="41"/>
        <v>BKN</v>
      </c>
      <c r="Q418" s="2">
        <f t="shared" si="39"/>
        <v>15.5</v>
      </c>
      <c r="R418" s="7">
        <f t="shared" si="40"/>
        <v>1</v>
      </c>
    </row>
    <row r="419" spans="1:18" ht="15" customHeight="1" x14ac:dyDescent="0.25">
      <c r="A419" s="7">
        <v>418</v>
      </c>
      <c r="B419" s="8" t="s">
        <v>185</v>
      </c>
      <c r="C419" s="7">
        <v>2013</v>
      </c>
      <c r="D419" s="7">
        <v>2014</v>
      </c>
      <c r="E419" s="3">
        <v>41770</v>
      </c>
      <c r="F419" s="4">
        <f t="shared" si="36"/>
        <v>5</v>
      </c>
      <c r="G419" s="4">
        <f t="shared" si="37"/>
        <v>11</v>
      </c>
      <c r="H419" s="4">
        <f t="shared" si="38"/>
        <v>2014</v>
      </c>
      <c r="I419" s="10" t="s">
        <v>157</v>
      </c>
      <c r="J419" s="7" t="s">
        <v>13</v>
      </c>
      <c r="K419" s="7" t="s">
        <v>139</v>
      </c>
      <c r="L419" s="7">
        <v>-4.5</v>
      </c>
      <c r="M419" s="7" t="s">
        <v>139</v>
      </c>
      <c r="N419" s="7">
        <v>95</v>
      </c>
      <c r="O419" s="7">
        <v>92</v>
      </c>
      <c r="P419" s="2" t="str">
        <f t="shared" si="41"/>
        <v>IND</v>
      </c>
      <c r="Q419" s="2">
        <f t="shared" si="39"/>
        <v>-7.5</v>
      </c>
      <c r="R419" s="7">
        <f t="shared" si="40"/>
        <v>0</v>
      </c>
    </row>
    <row r="420" spans="1:18" ht="15" customHeight="1" x14ac:dyDescent="0.25">
      <c r="A420" s="7">
        <v>419</v>
      </c>
      <c r="B420" s="8" t="s">
        <v>185</v>
      </c>
      <c r="C420" s="7">
        <v>2013</v>
      </c>
      <c r="D420" s="7">
        <v>2014</v>
      </c>
      <c r="E420" s="3">
        <v>41771</v>
      </c>
      <c r="F420" s="4">
        <f t="shared" si="36"/>
        <v>5</v>
      </c>
      <c r="G420" s="4">
        <f t="shared" si="37"/>
        <v>12</v>
      </c>
      <c r="H420" s="4">
        <f t="shared" si="38"/>
        <v>2014</v>
      </c>
      <c r="I420" s="10" t="s">
        <v>157</v>
      </c>
      <c r="J420" s="7" t="s">
        <v>134</v>
      </c>
      <c r="K420" s="7" t="s">
        <v>1</v>
      </c>
      <c r="L420" s="7">
        <v>4.5</v>
      </c>
      <c r="M420" s="7" t="s">
        <v>134</v>
      </c>
      <c r="N420" s="7">
        <v>92</v>
      </c>
      <c r="O420" s="7">
        <v>103</v>
      </c>
      <c r="P420" s="2" t="str">
        <f t="shared" si="41"/>
        <v>POR</v>
      </c>
      <c r="Q420" s="2">
        <f t="shared" si="39"/>
        <v>-15.5</v>
      </c>
      <c r="R420" s="7">
        <f t="shared" si="40"/>
        <v>0</v>
      </c>
    </row>
    <row r="421" spans="1:18" ht="15" customHeight="1" x14ac:dyDescent="0.25">
      <c r="A421" s="7">
        <v>420</v>
      </c>
      <c r="B421" s="8" t="s">
        <v>185</v>
      </c>
      <c r="C421" s="7">
        <v>2013</v>
      </c>
      <c r="D421" s="7">
        <v>2014</v>
      </c>
      <c r="E421" s="3">
        <v>41772</v>
      </c>
      <c r="F421" s="4">
        <f t="shared" si="36"/>
        <v>5</v>
      </c>
      <c r="G421" s="4">
        <f t="shared" si="37"/>
        <v>13</v>
      </c>
      <c r="H421" s="4">
        <f t="shared" si="38"/>
        <v>2014</v>
      </c>
      <c r="I421" s="10" t="s">
        <v>157</v>
      </c>
      <c r="J421" s="7" t="s">
        <v>139</v>
      </c>
      <c r="K421" s="7" t="s">
        <v>13</v>
      </c>
      <c r="L421" s="7">
        <v>-5</v>
      </c>
      <c r="M421" s="7" t="s">
        <v>139</v>
      </c>
      <c r="N421" s="7">
        <v>102</v>
      </c>
      <c r="O421" s="7">
        <v>79</v>
      </c>
      <c r="P421" s="2" t="str">
        <f t="shared" si="41"/>
        <v>WSH</v>
      </c>
      <c r="Q421" s="2">
        <f t="shared" si="39"/>
        <v>28</v>
      </c>
      <c r="R421" s="7">
        <f t="shared" si="40"/>
        <v>1</v>
      </c>
    </row>
    <row r="422" spans="1:18" ht="15" customHeight="1" x14ac:dyDescent="0.25">
      <c r="A422" s="7">
        <v>421</v>
      </c>
      <c r="B422" s="8" t="s">
        <v>185</v>
      </c>
      <c r="C422" s="7">
        <v>2013</v>
      </c>
      <c r="D422" s="7">
        <v>2014</v>
      </c>
      <c r="E422" s="3">
        <v>41773</v>
      </c>
      <c r="F422" s="4">
        <f t="shared" si="36"/>
        <v>5</v>
      </c>
      <c r="G422" s="4">
        <f t="shared" si="37"/>
        <v>14</v>
      </c>
      <c r="H422" s="4">
        <f t="shared" si="38"/>
        <v>2014</v>
      </c>
      <c r="I422" s="10" t="s">
        <v>157</v>
      </c>
      <c r="J422" s="7" t="s">
        <v>22</v>
      </c>
      <c r="K422" s="7" t="s">
        <v>15</v>
      </c>
      <c r="L422" s="7">
        <v>-7</v>
      </c>
      <c r="M422" s="7" t="s">
        <v>22</v>
      </c>
      <c r="N422" s="7">
        <v>94</v>
      </c>
      <c r="O422" s="7">
        <v>86</v>
      </c>
      <c r="P422" s="7" t="str">
        <f t="shared" si="41"/>
        <v>BKN</v>
      </c>
      <c r="Q422" s="7">
        <f t="shared" si="39"/>
        <v>15</v>
      </c>
      <c r="R422" s="7">
        <f t="shared" si="40"/>
        <v>1</v>
      </c>
    </row>
    <row r="423" spans="1:18" ht="15" customHeight="1" x14ac:dyDescent="0.25">
      <c r="A423" s="7">
        <v>422</v>
      </c>
      <c r="B423" s="8" t="s">
        <v>185</v>
      </c>
      <c r="C423" s="7">
        <v>2013</v>
      </c>
      <c r="D423" s="7">
        <v>2014</v>
      </c>
      <c r="E423" s="3">
        <v>41774</v>
      </c>
      <c r="F423" s="4">
        <f t="shared" si="36"/>
        <v>5</v>
      </c>
      <c r="G423" s="4">
        <f t="shared" si="37"/>
        <v>15</v>
      </c>
      <c r="H423" s="4">
        <f t="shared" si="38"/>
        <v>2014</v>
      </c>
      <c r="I423" s="10" t="s">
        <v>157</v>
      </c>
      <c r="J423" s="7" t="s">
        <v>13</v>
      </c>
      <c r="K423" s="7" t="s">
        <v>139</v>
      </c>
      <c r="L423" s="7">
        <v>-4.5</v>
      </c>
      <c r="M423" s="7" t="s">
        <v>139</v>
      </c>
      <c r="N423" s="7">
        <v>93</v>
      </c>
      <c r="O423" s="7">
        <v>80</v>
      </c>
      <c r="P423" s="7" t="str">
        <f t="shared" si="41"/>
        <v>IND</v>
      </c>
      <c r="Q423" s="7">
        <f t="shared" si="39"/>
        <v>-17.5</v>
      </c>
      <c r="R423" s="7">
        <f t="shared" si="40"/>
        <v>0</v>
      </c>
    </row>
    <row r="424" spans="1:18" ht="15" customHeight="1" x14ac:dyDescent="0.25">
      <c r="A424" s="7">
        <v>423</v>
      </c>
      <c r="B424" s="8" t="s">
        <v>185</v>
      </c>
      <c r="C424" s="7">
        <v>2013</v>
      </c>
      <c r="D424" s="7">
        <v>2014</v>
      </c>
      <c r="E424" s="3">
        <v>41777</v>
      </c>
      <c r="F424" s="4">
        <f t="shared" si="36"/>
        <v>5</v>
      </c>
      <c r="G424" s="4">
        <f t="shared" si="37"/>
        <v>18</v>
      </c>
      <c r="H424" s="4">
        <f t="shared" si="38"/>
        <v>2014</v>
      </c>
      <c r="I424" s="10" t="s">
        <v>157</v>
      </c>
      <c r="J424" s="7" t="s">
        <v>15</v>
      </c>
      <c r="K424" s="7" t="s">
        <v>13</v>
      </c>
      <c r="L424" s="7">
        <v>2</v>
      </c>
      <c r="M424" s="7" t="s">
        <v>13</v>
      </c>
      <c r="N424" s="7">
        <v>96</v>
      </c>
      <c r="O424" s="7">
        <v>107</v>
      </c>
      <c r="P424" s="7" t="str">
        <f t="shared" si="41"/>
        <v>IND</v>
      </c>
      <c r="Q424" s="7">
        <f t="shared" si="39"/>
        <v>13</v>
      </c>
      <c r="R424" s="7">
        <f t="shared" si="40"/>
        <v>1</v>
      </c>
    </row>
    <row r="425" spans="1:18" ht="15" customHeight="1" x14ac:dyDescent="0.25">
      <c r="A425" s="7">
        <v>424</v>
      </c>
      <c r="B425" s="8" t="s">
        <v>185</v>
      </c>
      <c r="C425" s="7">
        <v>2013</v>
      </c>
      <c r="D425" s="7">
        <v>2014</v>
      </c>
      <c r="E425" s="3">
        <v>41778</v>
      </c>
      <c r="F425" s="4">
        <f t="shared" si="36"/>
        <v>5</v>
      </c>
      <c r="G425" s="4">
        <f t="shared" si="37"/>
        <v>19</v>
      </c>
      <c r="H425" s="4">
        <f t="shared" si="38"/>
        <v>2014</v>
      </c>
      <c r="I425" s="10" t="s">
        <v>157</v>
      </c>
      <c r="J425" s="7" t="s">
        <v>12</v>
      </c>
      <c r="K425" s="7" t="s">
        <v>134</v>
      </c>
      <c r="L425" s="7">
        <v>-6</v>
      </c>
      <c r="M425" s="7" t="s">
        <v>134</v>
      </c>
      <c r="N425" s="7">
        <v>105</v>
      </c>
      <c r="O425" s="7">
        <v>122</v>
      </c>
      <c r="P425" s="7" t="str">
        <f t="shared" si="41"/>
        <v>SA</v>
      </c>
      <c r="Q425" s="7">
        <f t="shared" si="39"/>
        <v>11</v>
      </c>
      <c r="R425" s="7">
        <f t="shared" si="40"/>
        <v>1</v>
      </c>
    </row>
    <row r="426" spans="1:18" ht="15" customHeight="1" x14ac:dyDescent="0.25">
      <c r="A426" s="7">
        <v>425</v>
      </c>
      <c r="B426" s="8" t="s">
        <v>185</v>
      </c>
      <c r="C426" s="7">
        <v>2013</v>
      </c>
      <c r="D426" s="7">
        <v>2014</v>
      </c>
      <c r="E426" s="3">
        <v>41779</v>
      </c>
      <c r="F426" s="4">
        <f t="shared" si="36"/>
        <v>5</v>
      </c>
      <c r="G426" s="4">
        <f t="shared" si="37"/>
        <v>20</v>
      </c>
      <c r="H426" s="4">
        <f t="shared" si="38"/>
        <v>2014</v>
      </c>
      <c r="I426" s="10" t="s">
        <v>157</v>
      </c>
      <c r="J426" s="2" t="s">
        <v>15</v>
      </c>
      <c r="K426" s="2" t="s">
        <v>13</v>
      </c>
      <c r="L426" s="2">
        <v>2.5</v>
      </c>
      <c r="M426" s="2" t="s">
        <v>15</v>
      </c>
      <c r="N426" s="2">
        <v>87</v>
      </c>
      <c r="O426" s="2">
        <v>83</v>
      </c>
      <c r="P426" s="2" t="str">
        <f t="shared" si="41"/>
        <v>MIA</v>
      </c>
      <c r="Q426" s="2">
        <f t="shared" si="39"/>
        <v>1.5</v>
      </c>
      <c r="R426" s="7">
        <f t="shared" si="40"/>
        <v>1</v>
      </c>
    </row>
    <row r="427" spans="1:18" ht="15" customHeight="1" x14ac:dyDescent="0.25">
      <c r="A427" s="7">
        <v>426</v>
      </c>
      <c r="B427" s="8" t="s">
        <v>185</v>
      </c>
      <c r="C427" s="7">
        <v>2013</v>
      </c>
      <c r="D427" s="7">
        <v>2014</v>
      </c>
      <c r="E427" s="3">
        <v>41780</v>
      </c>
      <c r="F427" s="4">
        <f t="shared" si="36"/>
        <v>5</v>
      </c>
      <c r="G427" s="4">
        <f t="shared" si="37"/>
        <v>21</v>
      </c>
      <c r="H427" s="4">
        <f t="shared" si="38"/>
        <v>2014</v>
      </c>
      <c r="I427" s="10" t="s">
        <v>157</v>
      </c>
      <c r="J427" s="2" t="s">
        <v>12</v>
      </c>
      <c r="K427" s="2" t="s">
        <v>134</v>
      </c>
      <c r="L427" s="2">
        <v>-6</v>
      </c>
      <c r="M427" s="2" t="s">
        <v>12</v>
      </c>
      <c r="N427" s="2">
        <v>77</v>
      </c>
      <c r="O427" s="2">
        <v>112</v>
      </c>
      <c r="P427" s="2" t="str">
        <f t="shared" si="41"/>
        <v>SA</v>
      </c>
      <c r="Q427" s="2">
        <f t="shared" si="39"/>
        <v>-29</v>
      </c>
      <c r="R427" s="7">
        <f t="shared" si="40"/>
        <v>0</v>
      </c>
    </row>
    <row r="428" spans="1:18" ht="15" customHeight="1" x14ac:dyDescent="0.25">
      <c r="A428" s="7">
        <v>427</v>
      </c>
      <c r="B428" s="8" t="s">
        <v>185</v>
      </c>
      <c r="C428" s="7">
        <v>2013</v>
      </c>
      <c r="D428" s="7">
        <v>2014</v>
      </c>
      <c r="E428" s="3">
        <v>41783</v>
      </c>
      <c r="F428" s="4">
        <f t="shared" si="36"/>
        <v>5</v>
      </c>
      <c r="G428" s="4">
        <f t="shared" si="37"/>
        <v>24</v>
      </c>
      <c r="H428" s="4">
        <f t="shared" si="38"/>
        <v>2014</v>
      </c>
      <c r="I428" s="10" t="s">
        <v>157</v>
      </c>
      <c r="J428" s="2" t="s">
        <v>13</v>
      </c>
      <c r="K428" s="2" t="s">
        <v>15</v>
      </c>
      <c r="L428" s="2">
        <v>-6.5</v>
      </c>
      <c r="M428" s="2" t="s">
        <v>13</v>
      </c>
      <c r="N428" s="2">
        <v>87</v>
      </c>
      <c r="O428" s="2">
        <v>99</v>
      </c>
      <c r="P428" s="2" t="str">
        <f t="shared" si="41"/>
        <v>MIA</v>
      </c>
      <c r="Q428" s="2">
        <f t="shared" si="39"/>
        <v>-5.5</v>
      </c>
      <c r="R428" s="7">
        <f t="shared" si="40"/>
        <v>0</v>
      </c>
    </row>
    <row r="429" spans="1:18" ht="15" customHeight="1" x14ac:dyDescent="0.25">
      <c r="A429" s="7">
        <v>428</v>
      </c>
      <c r="B429" s="8" t="s">
        <v>185</v>
      </c>
      <c r="C429" s="7">
        <v>2013</v>
      </c>
      <c r="D429" s="7">
        <v>2014</v>
      </c>
      <c r="E429" s="3">
        <v>41784</v>
      </c>
      <c r="F429" s="4">
        <f t="shared" si="36"/>
        <v>5</v>
      </c>
      <c r="G429" s="4">
        <f t="shared" si="37"/>
        <v>25</v>
      </c>
      <c r="H429" s="4">
        <f t="shared" si="38"/>
        <v>2014</v>
      </c>
      <c r="I429" s="10" t="s">
        <v>157</v>
      </c>
      <c r="J429" s="2" t="s">
        <v>134</v>
      </c>
      <c r="K429" s="2" t="s">
        <v>12</v>
      </c>
      <c r="L429" s="2">
        <v>-2.5</v>
      </c>
      <c r="M429" s="2" t="s">
        <v>134</v>
      </c>
      <c r="N429" s="2">
        <v>97</v>
      </c>
      <c r="O429" s="2">
        <v>106</v>
      </c>
      <c r="P429" s="2" t="str">
        <f t="shared" si="41"/>
        <v>OKC</v>
      </c>
      <c r="Q429" s="2">
        <f t="shared" si="39"/>
        <v>-6.5</v>
      </c>
      <c r="R429" s="7">
        <f t="shared" si="40"/>
        <v>0</v>
      </c>
    </row>
    <row r="430" spans="1:18" ht="15" customHeight="1" x14ac:dyDescent="0.25">
      <c r="A430" s="7">
        <v>429</v>
      </c>
      <c r="B430" s="8" t="s">
        <v>185</v>
      </c>
      <c r="C430" s="7">
        <v>2013</v>
      </c>
      <c r="D430" s="7">
        <v>2014</v>
      </c>
      <c r="E430" s="3">
        <v>41785</v>
      </c>
      <c r="F430" s="4">
        <f t="shared" si="36"/>
        <v>5</v>
      </c>
      <c r="G430" s="4">
        <f t="shared" si="37"/>
        <v>26</v>
      </c>
      <c r="H430" s="4">
        <f t="shared" si="38"/>
        <v>2014</v>
      </c>
      <c r="I430" s="10" t="s">
        <v>157</v>
      </c>
      <c r="J430" s="2" t="s">
        <v>13</v>
      </c>
      <c r="K430" s="2" t="s">
        <v>15</v>
      </c>
      <c r="L430" s="2">
        <v>-6.5</v>
      </c>
      <c r="M430" s="2" t="s">
        <v>13</v>
      </c>
      <c r="N430" s="2">
        <v>90</v>
      </c>
      <c r="O430" s="2">
        <v>102</v>
      </c>
      <c r="P430" s="2" t="str">
        <f t="shared" si="41"/>
        <v>MIA</v>
      </c>
      <c r="Q430" s="2">
        <f t="shared" si="39"/>
        <v>-5.5</v>
      </c>
      <c r="R430" s="7">
        <f t="shared" si="40"/>
        <v>0</v>
      </c>
    </row>
    <row r="431" spans="1:18" ht="15" customHeight="1" x14ac:dyDescent="0.25">
      <c r="A431" s="7">
        <v>430</v>
      </c>
      <c r="B431" s="8" t="s">
        <v>185</v>
      </c>
      <c r="C431" s="7">
        <v>2013</v>
      </c>
      <c r="D431" s="7">
        <v>2014</v>
      </c>
      <c r="E431" s="3">
        <v>41786</v>
      </c>
      <c r="F431" s="4">
        <f t="shared" si="36"/>
        <v>5</v>
      </c>
      <c r="G431" s="4">
        <f t="shared" si="37"/>
        <v>27</v>
      </c>
      <c r="H431" s="4">
        <f t="shared" si="38"/>
        <v>2014</v>
      </c>
      <c r="I431" s="10" t="s">
        <v>157</v>
      </c>
      <c r="J431" s="2" t="s">
        <v>134</v>
      </c>
      <c r="K431" s="2" t="s">
        <v>12</v>
      </c>
      <c r="L431" s="2">
        <v>-3</v>
      </c>
      <c r="M431" s="2" t="s">
        <v>12</v>
      </c>
      <c r="N431" s="2">
        <v>92</v>
      </c>
      <c r="O431" s="2">
        <v>105</v>
      </c>
      <c r="P431" s="2" t="str">
        <f t="shared" si="41"/>
        <v>OKC</v>
      </c>
      <c r="Q431" s="2">
        <f t="shared" si="39"/>
        <v>10</v>
      </c>
      <c r="R431" s="7">
        <f t="shared" si="40"/>
        <v>1</v>
      </c>
    </row>
    <row r="432" spans="1:18" ht="15" customHeight="1" x14ac:dyDescent="0.25">
      <c r="A432" s="7">
        <v>431</v>
      </c>
      <c r="B432" s="8" t="s">
        <v>185</v>
      </c>
      <c r="C432" s="7">
        <v>2013</v>
      </c>
      <c r="D432" s="7">
        <v>2014</v>
      </c>
      <c r="E432" s="3">
        <v>41787</v>
      </c>
      <c r="F432" s="4">
        <f t="shared" si="36"/>
        <v>5</v>
      </c>
      <c r="G432" s="4">
        <f t="shared" si="37"/>
        <v>28</v>
      </c>
      <c r="H432" s="4">
        <f t="shared" si="38"/>
        <v>2014</v>
      </c>
      <c r="I432" s="10" t="s">
        <v>157</v>
      </c>
      <c r="J432" s="2" t="s">
        <v>15</v>
      </c>
      <c r="K432" s="2" t="s">
        <v>13</v>
      </c>
      <c r="L432" s="2">
        <v>2</v>
      </c>
      <c r="M432" s="2" t="s">
        <v>13</v>
      </c>
      <c r="N432" s="2">
        <v>90</v>
      </c>
      <c r="O432" s="2">
        <v>93</v>
      </c>
      <c r="P432" s="2" t="str">
        <f t="shared" si="41"/>
        <v>IND</v>
      </c>
      <c r="Q432" s="2">
        <f t="shared" si="39"/>
        <v>5</v>
      </c>
      <c r="R432" s="7">
        <f t="shared" si="40"/>
        <v>1</v>
      </c>
    </row>
    <row r="433" spans="1:18" ht="15" customHeight="1" x14ac:dyDescent="0.25">
      <c r="A433" s="7">
        <v>432</v>
      </c>
      <c r="B433" s="8" t="s">
        <v>185</v>
      </c>
      <c r="C433" s="7">
        <v>2013</v>
      </c>
      <c r="D433" s="7">
        <v>2014</v>
      </c>
      <c r="E433" s="3">
        <v>41788</v>
      </c>
      <c r="F433" s="4">
        <f t="shared" si="36"/>
        <v>5</v>
      </c>
      <c r="G433" s="4">
        <f t="shared" si="37"/>
        <v>29</v>
      </c>
      <c r="H433" s="4">
        <f t="shared" si="38"/>
        <v>2014</v>
      </c>
      <c r="I433" s="10" t="s">
        <v>157</v>
      </c>
      <c r="J433" s="2" t="s">
        <v>12</v>
      </c>
      <c r="K433" s="2" t="s">
        <v>134</v>
      </c>
      <c r="L433" s="2">
        <v>-5</v>
      </c>
      <c r="M433" s="2" t="s">
        <v>12</v>
      </c>
      <c r="N433" s="2">
        <v>89</v>
      </c>
      <c r="O433" s="2">
        <v>117</v>
      </c>
      <c r="P433" s="2" t="str">
        <f t="shared" si="41"/>
        <v>SA</v>
      </c>
      <c r="Q433" s="2">
        <f t="shared" si="39"/>
        <v>-23</v>
      </c>
      <c r="R433" s="7">
        <f t="shared" si="40"/>
        <v>0</v>
      </c>
    </row>
    <row r="434" spans="1:18" ht="15" customHeight="1" x14ac:dyDescent="0.25">
      <c r="A434" s="7">
        <v>433</v>
      </c>
      <c r="B434" s="8" t="s">
        <v>185</v>
      </c>
      <c r="C434" s="7">
        <v>2013</v>
      </c>
      <c r="D434" s="7">
        <v>2014</v>
      </c>
      <c r="E434" s="3">
        <v>41789</v>
      </c>
      <c r="F434" s="4">
        <f t="shared" si="36"/>
        <v>5</v>
      </c>
      <c r="G434" s="4">
        <f t="shared" si="37"/>
        <v>30</v>
      </c>
      <c r="H434" s="4">
        <f t="shared" si="38"/>
        <v>2014</v>
      </c>
      <c r="I434" s="10" t="s">
        <v>157</v>
      </c>
      <c r="J434" s="2" t="s">
        <v>13</v>
      </c>
      <c r="K434" s="2" t="s">
        <v>15</v>
      </c>
      <c r="L434" s="2">
        <v>-7.5</v>
      </c>
      <c r="M434" s="2" t="s">
        <v>15</v>
      </c>
      <c r="N434" s="2">
        <v>92</v>
      </c>
      <c r="O434" s="2">
        <v>117</v>
      </c>
      <c r="P434" s="2" t="str">
        <f t="shared" si="41"/>
        <v>MIA</v>
      </c>
      <c r="Q434" s="2">
        <f t="shared" si="39"/>
        <v>17.5</v>
      </c>
      <c r="R434" s="7">
        <f t="shared" si="40"/>
        <v>1</v>
      </c>
    </row>
    <row r="435" spans="1:18" ht="15" customHeight="1" x14ac:dyDescent="0.25">
      <c r="A435" s="7">
        <v>434</v>
      </c>
      <c r="B435" s="8" t="s">
        <v>185</v>
      </c>
      <c r="C435" s="7">
        <v>2013</v>
      </c>
      <c r="D435" s="7">
        <v>2014</v>
      </c>
      <c r="E435" s="3">
        <v>41790</v>
      </c>
      <c r="F435" s="4">
        <f t="shared" si="36"/>
        <v>5</v>
      </c>
      <c r="G435" s="4">
        <f t="shared" si="37"/>
        <v>31</v>
      </c>
      <c r="H435" s="4">
        <f t="shared" si="38"/>
        <v>2014</v>
      </c>
      <c r="I435" s="10" t="s">
        <v>157</v>
      </c>
      <c r="J435" s="2" t="s">
        <v>134</v>
      </c>
      <c r="K435" s="2" t="s">
        <v>12</v>
      </c>
      <c r="L435" s="2">
        <v>-3.5</v>
      </c>
      <c r="M435" s="2" t="s">
        <v>12</v>
      </c>
      <c r="N435" s="2">
        <v>112</v>
      </c>
      <c r="O435" s="2">
        <v>107</v>
      </c>
      <c r="P435" s="2" t="str">
        <f t="shared" si="41"/>
        <v>SA</v>
      </c>
      <c r="Q435" s="2">
        <f t="shared" si="39"/>
        <v>-8.5</v>
      </c>
      <c r="R435" s="7">
        <f t="shared" si="40"/>
        <v>0</v>
      </c>
    </row>
    <row r="436" spans="1:18" ht="15" customHeight="1" x14ac:dyDescent="0.25">
      <c r="A436" s="7">
        <v>435</v>
      </c>
      <c r="B436" s="8" t="s">
        <v>185</v>
      </c>
      <c r="C436" s="7">
        <v>2013</v>
      </c>
      <c r="D436" s="7">
        <v>2014</v>
      </c>
      <c r="E436" s="3">
        <v>41795</v>
      </c>
      <c r="F436" s="4">
        <f t="shared" si="36"/>
        <v>6</v>
      </c>
      <c r="G436" s="4">
        <f t="shared" si="37"/>
        <v>5</v>
      </c>
      <c r="H436" s="4">
        <f t="shared" si="38"/>
        <v>2014</v>
      </c>
      <c r="I436" s="10" t="s">
        <v>157</v>
      </c>
      <c r="J436" s="2" t="s">
        <v>15</v>
      </c>
      <c r="K436" s="2" t="s">
        <v>134</v>
      </c>
      <c r="L436" s="2">
        <v>-4</v>
      </c>
      <c r="M436" s="2" t="s">
        <v>134</v>
      </c>
      <c r="N436" s="2">
        <v>95</v>
      </c>
      <c r="O436" s="2">
        <v>110</v>
      </c>
      <c r="P436" s="2" t="str">
        <f t="shared" si="41"/>
        <v>SA</v>
      </c>
      <c r="Q436" s="2">
        <f t="shared" si="39"/>
        <v>11</v>
      </c>
      <c r="R436" s="7">
        <f t="shared" si="40"/>
        <v>1</v>
      </c>
    </row>
    <row r="437" spans="1:18" ht="15" customHeight="1" x14ac:dyDescent="0.25">
      <c r="A437" s="7">
        <v>436</v>
      </c>
      <c r="B437" s="8" t="s">
        <v>185</v>
      </c>
      <c r="C437" s="7">
        <v>2013</v>
      </c>
      <c r="D437" s="7">
        <v>2014</v>
      </c>
      <c r="E437" s="3">
        <v>41798</v>
      </c>
      <c r="F437" s="4">
        <f t="shared" si="36"/>
        <v>6</v>
      </c>
      <c r="G437" s="4">
        <f t="shared" si="37"/>
        <v>8</v>
      </c>
      <c r="H437" s="4">
        <f t="shared" si="38"/>
        <v>2014</v>
      </c>
      <c r="I437" s="10" t="s">
        <v>157</v>
      </c>
      <c r="J437" s="2" t="s">
        <v>15</v>
      </c>
      <c r="K437" s="2" t="s">
        <v>134</v>
      </c>
      <c r="L437" s="2">
        <v>-4.5</v>
      </c>
      <c r="M437" s="2" t="s">
        <v>15</v>
      </c>
      <c r="N437" s="2">
        <v>98</v>
      </c>
      <c r="O437" s="2">
        <v>96</v>
      </c>
      <c r="P437" s="2" t="str">
        <f t="shared" si="41"/>
        <v>MIA</v>
      </c>
      <c r="Q437" s="2">
        <f t="shared" si="39"/>
        <v>6.5</v>
      </c>
      <c r="R437" s="7">
        <f t="shared" si="40"/>
        <v>1</v>
      </c>
    </row>
    <row r="438" spans="1:18" ht="15" customHeight="1" x14ac:dyDescent="0.25">
      <c r="A438" s="7">
        <v>437</v>
      </c>
      <c r="B438" s="8" t="s">
        <v>185</v>
      </c>
      <c r="C438" s="7">
        <v>2013</v>
      </c>
      <c r="D438" s="7">
        <v>2014</v>
      </c>
      <c r="E438" s="3">
        <v>41800</v>
      </c>
      <c r="F438" s="4">
        <f t="shared" si="36"/>
        <v>6</v>
      </c>
      <c r="G438" s="4">
        <f t="shared" si="37"/>
        <v>10</v>
      </c>
      <c r="H438" s="4">
        <f t="shared" si="38"/>
        <v>2014</v>
      </c>
      <c r="I438" s="10" t="s">
        <v>157</v>
      </c>
      <c r="J438" s="2" t="s">
        <v>134</v>
      </c>
      <c r="K438" s="2" t="s">
        <v>15</v>
      </c>
      <c r="L438" s="2">
        <v>-4.5</v>
      </c>
      <c r="M438" s="2" t="s">
        <v>134</v>
      </c>
      <c r="N438" s="2">
        <v>111</v>
      </c>
      <c r="O438" s="2">
        <v>92</v>
      </c>
      <c r="P438" s="2" t="str">
        <f t="shared" si="41"/>
        <v>SA</v>
      </c>
      <c r="Q438" s="2">
        <f t="shared" si="39"/>
        <v>23.5</v>
      </c>
      <c r="R438" s="7">
        <f t="shared" si="40"/>
        <v>1</v>
      </c>
    </row>
    <row r="439" spans="1:18" ht="15" customHeight="1" x14ac:dyDescent="0.25">
      <c r="A439" s="7">
        <v>438</v>
      </c>
      <c r="B439" s="8" t="s">
        <v>185</v>
      </c>
      <c r="C439" s="7">
        <v>2013</v>
      </c>
      <c r="D439" s="7">
        <v>2014</v>
      </c>
      <c r="E439" s="3">
        <v>41802</v>
      </c>
      <c r="F439" s="4">
        <f t="shared" si="36"/>
        <v>6</v>
      </c>
      <c r="G439" s="4">
        <f t="shared" si="37"/>
        <v>12</v>
      </c>
      <c r="H439" s="4">
        <f t="shared" si="38"/>
        <v>2014</v>
      </c>
      <c r="I439" s="10" t="s">
        <v>157</v>
      </c>
      <c r="J439" s="2" t="s">
        <v>134</v>
      </c>
      <c r="K439" s="2" t="s">
        <v>15</v>
      </c>
      <c r="L439" s="2">
        <v>-5.5</v>
      </c>
      <c r="M439" s="2" t="s">
        <v>134</v>
      </c>
      <c r="N439" s="2">
        <v>107</v>
      </c>
      <c r="O439" s="2">
        <v>86</v>
      </c>
      <c r="P439" s="2" t="str">
        <f t="shared" si="41"/>
        <v>SA</v>
      </c>
      <c r="Q439" s="2">
        <f t="shared" si="39"/>
        <v>26.5</v>
      </c>
      <c r="R439" s="7">
        <f t="shared" si="40"/>
        <v>1</v>
      </c>
    </row>
    <row r="440" spans="1:18" ht="15" customHeight="1" x14ac:dyDescent="0.25">
      <c r="A440" s="7">
        <v>439</v>
      </c>
      <c r="B440" s="8" t="s">
        <v>185</v>
      </c>
      <c r="C440" s="7">
        <v>2013</v>
      </c>
      <c r="D440" s="7">
        <v>2014</v>
      </c>
      <c r="E440" s="3">
        <v>41805</v>
      </c>
      <c r="F440" s="4">
        <f t="shared" si="36"/>
        <v>6</v>
      </c>
      <c r="G440" s="4">
        <f t="shared" si="37"/>
        <v>15</v>
      </c>
      <c r="H440" s="4">
        <f t="shared" si="38"/>
        <v>2014</v>
      </c>
      <c r="I440" s="10" t="s">
        <v>157</v>
      </c>
      <c r="J440" s="7" t="s">
        <v>15</v>
      </c>
      <c r="K440" s="7" t="s">
        <v>134</v>
      </c>
      <c r="L440" s="7">
        <v>-6</v>
      </c>
      <c r="M440" s="7" t="s">
        <v>15</v>
      </c>
      <c r="N440" s="7">
        <v>87</v>
      </c>
      <c r="O440" s="7">
        <v>104</v>
      </c>
      <c r="P440" s="2" t="str">
        <f t="shared" si="41"/>
        <v>SA</v>
      </c>
      <c r="Q440" s="2">
        <f t="shared" si="39"/>
        <v>-11</v>
      </c>
      <c r="R440" s="7">
        <f t="shared" si="40"/>
        <v>0</v>
      </c>
    </row>
    <row r="441" spans="1:18" ht="15" customHeight="1" x14ac:dyDescent="0.25">
      <c r="A441" s="7">
        <v>440</v>
      </c>
      <c r="B441" s="8" t="s">
        <v>151</v>
      </c>
      <c r="C441" s="8">
        <v>2014</v>
      </c>
      <c r="D441" s="8">
        <v>2015</v>
      </c>
      <c r="E441" s="3">
        <v>41940</v>
      </c>
      <c r="F441" s="4">
        <f t="shared" si="36"/>
        <v>10</v>
      </c>
      <c r="G441" s="4">
        <f t="shared" si="37"/>
        <v>28</v>
      </c>
      <c r="H441" s="4">
        <f t="shared" si="38"/>
        <v>2014</v>
      </c>
      <c r="I441" s="10" t="s">
        <v>157</v>
      </c>
      <c r="J441" s="5" t="s">
        <v>4</v>
      </c>
      <c r="K441" s="5" t="s">
        <v>18</v>
      </c>
      <c r="L441" s="7">
        <v>7</v>
      </c>
      <c r="M441" s="5" t="s">
        <v>4</v>
      </c>
      <c r="N441" s="7">
        <v>108</v>
      </c>
      <c r="O441" s="7">
        <v>90</v>
      </c>
      <c r="P441" s="2" t="str">
        <f t="shared" si="41"/>
        <v>HOU</v>
      </c>
      <c r="Q441" s="2">
        <f t="shared" si="39"/>
        <v>11</v>
      </c>
      <c r="R441" s="7">
        <f t="shared" si="40"/>
        <v>1</v>
      </c>
    </row>
    <row r="442" spans="1:18" ht="15" customHeight="1" x14ac:dyDescent="0.25">
      <c r="A442" s="7">
        <v>441</v>
      </c>
      <c r="B442" s="8" t="s">
        <v>151</v>
      </c>
      <c r="C442" s="8">
        <v>2014</v>
      </c>
      <c r="D442" s="8">
        <v>2015</v>
      </c>
      <c r="E442" s="3">
        <v>41941</v>
      </c>
      <c r="F442" s="4">
        <f t="shared" si="36"/>
        <v>10</v>
      </c>
      <c r="G442" s="4">
        <f t="shared" si="37"/>
        <v>29</v>
      </c>
      <c r="H442" s="4">
        <f t="shared" si="38"/>
        <v>2014</v>
      </c>
      <c r="I442" s="10" t="s">
        <v>157</v>
      </c>
      <c r="J442" s="5" t="s">
        <v>0</v>
      </c>
      <c r="K442" s="5" t="s">
        <v>126</v>
      </c>
      <c r="L442" s="7">
        <v>4</v>
      </c>
      <c r="M442" s="5" t="s">
        <v>0</v>
      </c>
      <c r="N442" s="7">
        <v>104</v>
      </c>
      <c r="O442" s="7">
        <v>80</v>
      </c>
      <c r="P442" s="2" t="str">
        <f t="shared" si="41"/>
        <v>CHI</v>
      </c>
      <c r="Q442" s="2">
        <f t="shared" si="39"/>
        <v>20</v>
      </c>
      <c r="R442" s="7">
        <f t="shared" si="40"/>
        <v>1</v>
      </c>
    </row>
    <row r="443" spans="1:18" ht="15" customHeight="1" x14ac:dyDescent="0.25">
      <c r="A443" s="7">
        <v>442</v>
      </c>
      <c r="B443" s="8" t="s">
        <v>151</v>
      </c>
      <c r="C443" s="8">
        <v>2014</v>
      </c>
      <c r="D443" s="8">
        <v>2015</v>
      </c>
      <c r="E443" s="3">
        <v>41942</v>
      </c>
      <c r="F443" s="4">
        <f t="shared" si="36"/>
        <v>10</v>
      </c>
      <c r="G443" s="4">
        <f t="shared" si="37"/>
        <v>30</v>
      </c>
      <c r="H443" s="4">
        <f t="shared" si="38"/>
        <v>2014</v>
      </c>
      <c r="I443" s="10" t="s">
        <v>157</v>
      </c>
      <c r="J443" s="5" t="s">
        <v>139</v>
      </c>
      <c r="K443" s="5" t="s">
        <v>11</v>
      </c>
      <c r="L443" s="5">
        <v>4</v>
      </c>
      <c r="M443" s="5" t="s">
        <v>139</v>
      </c>
      <c r="N443" s="5">
        <v>105</v>
      </c>
      <c r="O443" s="5">
        <v>98</v>
      </c>
      <c r="P443" s="2" t="str">
        <f t="shared" si="41"/>
        <v>WSH</v>
      </c>
      <c r="Q443" s="2">
        <f t="shared" si="39"/>
        <v>3</v>
      </c>
      <c r="R443" s="7">
        <f t="shared" si="40"/>
        <v>1</v>
      </c>
    </row>
    <row r="444" spans="1:18" ht="15" customHeight="1" x14ac:dyDescent="0.25">
      <c r="A444" s="7">
        <v>443</v>
      </c>
      <c r="B444" s="8" t="s">
        <v>151</v>
      </c>
      <c r="C444" s="8">
        <v>2014</v>
      </c>
      <c r="D444" s="8">
        <v>2015</v>
      </c>
      <c r="E444" s="3">
        <v>41943</v>
      </c>
      <c r="F444" s="4">
        <f t="shared" si="36"/>
        <v>10</v>
      </c>
      <c r="G444" s="4">
        <f t="shared" si="37"/>
        <v>31</v>
      </c>
      <c r="H444" s="4">
        <f t="shared" si="38"/>
        <v>2014</v>
      </c>
      <c r="I444" s="10" t="s">
        <v>157</v>
      </c>
      <c r="J444" s="5" t="s">
        <v>134</v>
      </c>
      <c r="K444" s="5" t="s">
        <v>19</v>
      </c>
      <c r="L444" s="5">
        <v>2</v>
      </c>
      <c r="M444" s="5" t="s">
        <v>134</v>
      </c>
      <c r="N444" s="5">
        <v>89</v>
      </c>
      <c r="O444" s="5">
        <v>94</v>
      </c>
      <c r="P444" s="2" t="str">
        <f t="shared" si="41"/>
        <v>PHX</v>
      </c>
      <c r="Q444" s="2">
        <f t="shared" si="39"/>
        <v>-7</v>
      </c>
      <c r="R444" s="7">
        <f t="shared" si="40"/>
        <v>0</v>
      </c>
    </row>
    <row r="445" spans="1:18" ht="15" customHeight="1" x14ac:dyDescent="0.25">
      <c r="A445" s="7">
        <v>444</v>
      </c>
      <c r="B445" s="8" t="s">
        <v>151</v>
      </c>
      <c r="C445" s="8">
        <v>2014</v>
      </c>
      <c r="D445" s="8">
        <v>2015</v>
      </c>
      <c r="E445" s="3">
        <v>41944</v>
      </c>
      <c r="F445" s="4">
        <f t="shared" si="36"/>
        <v>11</v>
      </c>
      <c r="G445" s="4">
        <f t="shared" si="37"/>
        <v>1</v>
      </c>
      <c r="H445" s="4">
        <f t="shared" si="38"/>
        <v>2014</v>
      </c>
      <c r="I445" s="10" t="s">
        <v>157</v>
      </c>
      <c r="J445" s="5" t="s">
        <v>22</v>
      </c>
      <c r="K445" s="5" t="s">
        <v>7</v>
      </c>
      <c r="L445" s="5">
        <v>-3</v>
      </c>
      <c r="M445" s="5" t="s">
        <v>7</v>
      </c>
      <c r="N445" s="5">
        <v>102</v>
      </c>
      <c r="O445" s="5">
        <v>90</v>
      </c>
      <c r="P445" s="2" t="str">
        <f t="shared" si="41"/>
        <v>BKN</v>
      </c>
      <c r="Q445" s="2">
        <f t="shared" si="39"/>
        <v>-15</v>
      </c>
      <c r="R445" s="7">
        <f t="shared" si="40"/>
        <v>0</v>
      </c>
    </row>
    <row r="446" spans="1:18" ht="15" customHeight="1" x14ac:dyDescent="0.25">
      <c r="A446" s="7">
        <v>445</v>
      </c>
      <c r="B446" s="8" t="s">
        <v>151</v>
      </c>
      <c r="C446" s="8">
        <v>2014</v>
      </c>
      <c r="D446" s="8">
        <v>2015</v>
      </c>
      <c r="E446" s="3">
        <v>41945</v>
      </c>
      <c r="F446" s="4">
        <f t="shared" si="36"/>
        <v>11</v>
      </c>
      <c r="G446" s="4">
        <f t="shared" si="37"/>
        <v>2</v>
      </c>
      <c r="H446" s="4">
        <f t="shared" si="38"/>
        <v>2014</v>
      </c>
      <c r="I446" s="10" t="s">
        <v>157</v>
      </c>
      <c r="J446" s="5" t="s">
        <v>8</v>
      </c>
      <c r="K446" s="5" t="s">
        <v>126</v>
      </c>
      <c r="L446" s="5">
        <v>-4</v>
      </c>
      <c r="M446" s="5" t="s">
        <v>8</v>
      </c>
      <c r="N446" s="5">
        <v>93</v>
      </c>
      <c r="O446" s="5">
        <v>96</v>
      </c>
      <c r="P446" s="2" t="str">
        <f t="shared" si="41"/>
        <v>CHA</v>
      </c>
      <c r="Q446" s="2">
        <f t="shared" si="39"/>
        <v>1</v>
      </c>
      <c r="R446" s="7">
        <f t="shared" si="40"/>
        <v>1</v>
      </c>
    </row>
    <row r="447" spans="1:18" ht="15" customHeight="1" x14ac:dyDescent="0.25">
      <c r="A447" s="7">
        <v>446</v>
      </c>
      <c r="B447" s="8" t="s">
        <v>151</v>
      </c>
      <c r="C447" s="8">
        <v>2014</v>
      </c>
      <c r="D447" s="8">
        <v>2015</v>
      </c>
      <c r="E447" s="3">
        <v>41946</v>
      </c>
      <c r="F447" s="4">
        <f t="shared" si="36"/>
        <v>11</v>
      </c>
      <c r="G447" s="4">
        <f t="shared" si="37"/>
        <v>3</v>
      </c>
      <c r="H447" s="4">
        <f t="shared" si="38"/>
        <v>2014</v>
      </c>
      <c r="I447" s="10" t="s">
        <v>157</v>
      </c>
      <c r="J447" s="5" t="s">
        <v>17</v>
      </c>
      <c r="K447" s="5" t="s">
        <v>16</v>
      </c>
      <c r="L447" s="5">
        <v>-10</v>
      </c>
      <c r="M447" s="5" t="s">
        <v>17</v>
      </c>
      <c r="N447" s="5">
        <v>113</v>
      </c>
      <c r="O447" s="5">
        <v>118</v>
      </c>
      <c r="P447" s="7" t="str">
        <f t="shared" si="41"/>
        <v>BOS</v>
      </c>
      <c r="Q447" s="7">
        <f t="shared" si="39"/>
        <v>5</v>
      </c>
      <c r="R447" s="7">
        <f t="shared" si="40"/>
        <v>1</v>
      </c>
    </row>
    <row r="448" spans="1:18" ht="15" customHeight="1" x14ac:dyDescent="0.25">
      <c r="A448" s="7">
        <v>447</v>
      </c>
      <c r="B448" s="8" t="s">
        <v>151</v>
      </c>
      <c r="C448" s="8">
        <v>2014</v>
      </c>
      <c r="D448" s="8">
        <v>2015</v>
      </c>
      <c r="E448" s="3">
        <v>41947</v>
      </c>
      <c r="F448" s="4">
        <f t="shared" si="36"/>
        <v>11</v>
      </c>
      <c r="G448" s="4">
        <f t="shared" si="37"/>
        <v>4</v>
      </c>
      <c r="H448" s="4">
        <f t="shared" si="38"/>
        <v>2014</v>
      </c>
      <c r="I448" s="10" t="s">
        <v>157</v>
      </c>
      <c r="J448" s="5" t="s">
        <v>4</v>
      </c>
      <c r="K448" s="5" t="s">
        <v>15</v>
      </c>
      <c r="L448" s="5">
        <v>-1.5</v>
      </c>
      <c r="M448" s="5" t="s">
        <v>4</v>
      </c>
      <c r="N448" s="5">
        <v>108</v>
      </c>
      <c r="O448" s="5">
        <v>91</v>
      </c>
      <c r="P448" s="7" t="str">
        <f t="shared" si="41"/>
        <v>HOU</v>
      </c>
      <c r="Q448" s="7">
        <f t="shared" si="39"/>
        <v>18.5</v>
      </c>
      <c r="R448" s="7">
        <f t="shared" si="40"/>
        <v>1</v>
      </c>
    </row>
    <row r="449" spans="1:18" ht="15" customHeight="1" x14ac:dyDescent="0.25">
      <c r="A449" s="7">
        <v>448</v>
      </c>
      <c r="B449" s="8" t="s">
        <v>151</v>
      </c>
      <c r="C449" s="8">
        <v>2014</v>
      </c>
      <c r="D449" s="8">
        <v>2015</v>
      </c>
      <c r="E449" s="3">
        <v>41948</v>
      </c>
      <c r="F449" s="4">
        <f t="shared" si="36"/>
        <v>11</v>
      </c>
      <c r="G449" s="4">
        <f t="shared" si="37"/>
        <v>5</v>
      </c>
      <c r="H449" s="4">
        <f t="shared" si="38"/>
        <v>2014</v>
      </c>
      <c r="I449" s="10" t="s">
        <v>157</v>
      </c>
      <c r="J449" s="5" t="s">
        <v>2</v>
      </c>
      <c r="K449" s="5" t="s">
        <v>17</v>
      </c>
      <c r="L449" s="5">
        <v>-1</v>
      </c>
      <c r="M449" s="5" t="s">
        <v>2</v>
      </c>
      <c r="N449" s="5">
        <v>110</v>
      </c>
      <c r="O449" s="5">
        <v>107</v>
      </c>
      <c r="P449" s="7" t="str">
        <f t="shared" si="41"/>
        <v>TOR</v>
      </c>
      <c r="Q449" s="7">
        <f t="shared" si="39"/>
        <v>4</v>
      </c>
      <c r="R449" s="7">
        <f t="shared" si="40"/>
        <v>1</v>
      </c>
    </row>
    <row r="450" spans="1:18" ht="15" customHeight="1" x14ac:dyDescent="0.25">
      <c r="A450" s="7">
        <v>449</v>
      </c>
      <c r="B450" s="8" t="s">
        <v>151</v>
      </c>
      <c r="C450" s="8">
        <v>2014</v>
      </c>
      <c r="D450" s="8">
        <v>2015</v>
      </c>
      <c r="E450" s="3">
        <v>41949</v>
      </c>
      <c r="F450" s="4">
        <f t="shared" ref="F450:F513" si="42">MONTH(E450)</f>
        <v>11</v>
      </c>
      <c r="G450" s="4">
        <f t="shared" ref="G450:G513" si="43">DAY(E450)</f>
        <v>6</v>
      </c>
      <c r="H450" s="4">
        <f t="shared" ref="H450:H513" si="44">YEAR(E450)</f>
        <v>2014</v>
      </c>
      <c r="I450" s="10" t="s">
        <v>157</v>
      </c>
      <c r="J450" s="5" t="s">
        <v>16</v>
      </c>
      <c r="K450" s="5" t="s">
        <v>1</v>
      </c>
      <c r="L450" s="5">
        <v>-2.5</v>
      </c>
      <c r="M450" s="5" t="s">
        <v>1</v>
      </c>
      <c r="N450" s="5">
        <v>87</v>
      </c>
      <c r="O450" s="5">
        <v>108</v>
      </c>
      <c r="P450" s="7" t="str">
        <f t="shared" si="41"/>
        <v>POR</v>
      </c>
      <c r="Q450" s="7">
        <f t="shared" ref="Q450:Q513" si="45">IF(AND(N450&gt;0,O450&gt;0,(O450+L450)=N450),0,IF(P450="","",IF(P450=M450,ABS((O450+L450)-N450),-ABS((O450+L450)-N450))))</f>
        <v>18.5</v>
      </c>
      <c r="R450" s="7">
        <f t="shared" si="40"/>
        <v>1</v>
      </c>
    </row>
    <row r="451" spans="1:18" ht="15" customHeight="1" x14ac:dyDescent="0.25">
      <c r="A451" s="7">
        <v>450</v>
      </c>
      <c r="B451" s="8" t="s">
        <v>151</v>
      </c>
      <c r="C451" s="8">
        <v>2014</v>
      </c>
      <c r="D451" s="8">
        <v>2015</v>
      </c>
      <c r="E451" s="3">
        <v>41950</v>
      </c>
      <c r="F451" s="4">
        <f t="shared" si="42"/>
        <v>11</v>
      </c>
      <c r="G451" s="4">
        <f t="shared" si="43"/>
        <v>7</v>
      </c>
      <c r="H451" s="4">
        <f t="shared" si="44"/>
        <v>2014</v>
      </c>
      <c r="I451" s="10" t="s">
        <v>157</v>
      </c>
      <c r="J451" s="5" t="s">
        <v>5</v>
      </c>
      <c r="K451" s="5" t="s">
        <v>8</v>
      </c>
      <c r="L451" s="5">
        <v>1.5</v>
      </c>
      <c r="M451" s="5" t="s">
        <v>5</v>
      </c>
      <c r="N451" s="5">
        <v>119</v>
      </c>
      <c r="O451" s="5">
        <v>122</v>
      </c>
      <c r="P451" s="7" t="str">
        <f t="shared" si="41"/>
        <v>CHA</v>
      </c>
      <c r="Q451" s="7">
        <f t="shared" si="45"/>
        <v>-4.5</v>
      </c>
      <c r="R451" s="7">
        <f t="shared" ref="R451:R514" si="46">IF(Q451="","",IF(P451=M451,1,IF(Q451=0,"na",0)))</f>
        <v>0</v>
      </c>
    </row>
    <row r="452" spans="1:18" ht="15" customHeight="1" x14ac:dyDescent="0.25">
      <c r="A452" s="7">
        <v>451</v>
      </c>
      <c r="B452" s="8" t="s">
        <v>151</v>
      </c>
      <c r="C452" s="8">
        <v>2014</v>
      </c>
      <c r="D452" s="8">
        <v>2015</v>
      </c>
      <c r="E452" s="3">
        <v>41951</v>
      </c>
      <c r="F452" s="4">
        <f t="shared" si="42"/>
        <v>11</v>
      </c>
      <c r="G452" s="4">
        <f t="shared" si="43"/>
        <v>8</v>
      </c>
      <c r="H452" s="4">
        <f t="shared" si="44"/>
        <v>2014</v>
      </c>
      <c r="I452" s="10" t="s">
        <v>157</v>
      </c>
      <c r="J452" s="5" t="s">
        <v>124</v>
      </c>
      <c r="K452" s="5" t="s">
        <v>134</v>
      </c>
      <c r="L452" s="5">
        <v>-7</v>
      </c>
      <c r="M452" s="5" t="s">
        <v>134</v>
      </c>
      <c r="N452" s="5">
        <v>100</v>
      </c>
      <c r="O452" s="5">
        <v>99</v>
      </c>
      <c r="P452" s="7" t="str">
        <f t="shared" si="41"/>
        <v>NO</v>
      </c>
      <c r="Q452" s="7">
        <f t="shared" si="45"/>
        <v>-8</v>
      </c>
      <c r="R452" s="7">
        <f t="shared" si="46"/>
        <v>0</v>
      </c>
    </row>
    <row r="453" spans="1:18" ht="15" customHeight="1" x14ac:dyDescent="0.25">
      <c r="A453" s="7">
        <v>452</v>
      </c>
      <c r="B453" s="8" t="s">
        <v>151</v>
      </c>
      <c r="C453" s="8">
        <v>2014</v>
      </c>
      <c r="D453" s="8">
        <v>2015</v>
      </c>
      <c r="E453" s="3">
        <v>41952</v>
      </c>
      <c r="F453" s="4">
        <f t="shared" si="42"/>
        <v>11</v>
      </c>
      <c r="G453" s="4">
        <f t="shared" si="43"/>
        <v>9</v>
      </c>
      <c r="H453" s="4">
        <f t="shared" si="44"/>
        <v>2014</v>
      </c>
      <c r="I453" s="10" t="s">
        <v>157</v>
      </c>
      <c r="J453" s="8" t="s">
        <v>8</v>
      </c>
      <c r="K453" s="8" t="s">
        <v>18</v>
      </c>
      <c r="L453" s="8">
        <v>3</v>
      </c>
      <c r="M453" s="8" t="s">
        <v>18</v>
      </c>
      <c r="N453" s="8">
        <v>92</v>
      </c>
      <c r="O453" s="8">
        <v>107</v>
      </c>
      <c r="P453" s="2" t="str">
        <f t="shared" si="41"/>
        <v>LAL</v>
      </c>
      <c r="Q453" s="2">
        <f t="shared" si="45"/>
        <v>18</v>
      </c>
      <c r="R453" s="7">
        <f t="shared" si="46"/>
        <v>1</v>
      </c>
    </row>
    <row r="454" spans="1:18" ht="15" customHeight="1" x14ac:dyDescent="0.25">
      <c r="A454" s="7">
        <v>453</v>
      </c>
      <c r="B454" s="8" t="s">
        <v>151</v>
      </c>
      <c r="C454" s="8">
        <v>2014</v>
      </c>
      <c r="D454" s="8">
        <v>2015</v>
      </c>
      <c r="E454" s="3">
        <v>41953</v>
      </c>
      <c r="F454" s="4">
        <f t="shared" si="42"/>
        <v>11</v>
      </c>
      <c r="G454" s="4">
        <f t="shared" si="43"/>
        <v>10</v>
      </c>
      <c r="H454" s="4">
        <f t="shared" si="44"/>
        <v>2014</v>
      </c>
      <c r="I454" s="10" t="s">
        <v>157</v>
      </c>
      <c r="J454" s="8" t="s">
        <v>5</v>
      </c>
      <c r="K454" s="8" t="s">
        <v>126</v>
      </c>
      <c r="L454" s="8">
        <v>1.5</v>
      </c>
      <c r="M454" s="8" t="s">
        <v>5</v>
      </c>
      <c r="N454" s="8">
        <v>91</v>
      </c>
      <c r="O454" s="8">
        <v>85</v>
      </c>
      <c r="P454" s="2" t="str">
        <f t="shared" ref="P454:P517" si="47">IF(OR(N454="",O454=""),"",IF((O454+L454)&gt;N454,K454,IF((O454+L454)=N454,"N/A",J454)))</f>
        <v>ATL</v>
      </c>
      <c r="Q454" s="2">
        <f t="shared" si="45"/>
        <v>4.5</v>
      </c>
      <c r="R454" s="7">
        <f t="shared" si="46"/>
        <v>1</v>
      </c>
    </row>
    <row r="455" spans="1:18" ht="15" customHeight="1" x14ac:dyDescent="0.25">
      <c r="A455" s="7">
        <v>454</v>
      </c>
      <c r="B455" s="8" t="s">
        <v>151</v>
      </c>
      <c r="C455" s="8">
        <v>2014</v>
      </c>
      <c r="D455" s="8">
        <v>2015</v>
      </c>
      <c r="E455" s="3">
        <v>41954</v>
      </c>
      <c r="F455" s="4">
        <f t="shared" si="42"/>
        <v>11</v>
      </c>
      <c r="G455" s="4">
        <f t="shared" si="43"/>
        <v>11</v>
      </c>
      <c r="H455" s="4">
        <f t="shared" si="44"/>
        <v>2014</v>
      </c>
      <c r="I455" s="10" t="s">
        <v>157</v>
      </c>
      <c r="J455" s="8" t="s">
        <v>12</v>
      </c>
      <c r="K455" s="8" t="s">
        <v>10</v>
      </c>
      <c r="L455" s="8">
        <v>3.5</v>
      </c>
      <c r="M455" s="8" t="s">
        <v>12</v>
      </c>
      <c r="N455" s="8">
        <v>78</v>
      </c>
      <c r="O455" s="8">
        <v>85</v>
      </c>
      <c r="P455" s="2" t="str">
        <f t="shared" si="47"/>
        <v>MIL</v>
      </c>
      <c r="Q455" s="2">
        <f t="shared" si="45"/>
        <v>-10.5</v>
      </c>
      <c r="R455" s="7">
        <f t="shared" si="46"/>
        <v>0</v>
      </c>
    </row>
    <row r="456" spans="1:18" ht="15" customHeight="1" x14ac:dyDescent="0.25">
      <c r="A456" s="7">
        <v>455</v>
      </c>
      <c r="B456" s="8" t="s">
        <v>151</v>
      </c>
      <c r="C456" s="8">
        <v>2014</v>
      </c>
      <c r="D456" s="8">
        <v>2015</v>
      </c>
      <c r="E456" s="3">
        <v>41955</v>
      </c>
      <c r="F456" s="4">
        <f t="shared" si="42"/>
        <v>11</v>
      </c>
      <c r="G456" s="4">
        <f t="shared" si="43"/>
        <v>12</v>
      </c>
      <c r="H456" s="4">
        <f t="shared" si="44"/>
        <v>2014</v>
      </c>
      <c r="I456" s="10" t="s">
        <v>157</v>
      </c>
      <c r="J456" s="8" t="s">
        <v>22</v>
      </c>
      <c r="K456" s="8" t="s">
        <v>19</v>
      </c>
      <c r="L456" s="8">
        <v>-5.5</v>
      </c>
      <c r="M456" s="8" t="s">
        <v>19</v>
      </c>
      <c r="N456" s="8">
        <v>104</v>
      </c>
      <c r="O456" s="8">
        <v>112</v>
      </c>
      <c r="P456" s="2" t="str">
        <f t="shared" si="47"/>
        <v>PHX</v>
      </c>
      <c r="Q456" s="2">
        <f t="shared" si="45"/>
        <v>2.5</v>
      </c>
      <c r="R456" s="7">
        <f t="shared" si="46"/>
        <v>1</v>
      </c>
    </row>
    <row r="457" spans="1:18" ht="15" customHeight="1" x14ac:dyDescent="0.25">
      <c r="A457" s="7">
        <v>456</v>
      </c>
      <c r="B457" s="8" t="s">
        <v>151</v>
      </c>
      <c r="C457" s="8">
        <v>2014</v>
      </c>
      <c r="D457" s="8">
        <v>2015</v>
      </c>
      <c r="E457" s="3">
        <v>41956</v>
      </c>
      <c r="F457" s="4">
        <f t="shared" si="42"/>
        <v>11</v>
      </c>
      <c r="G457" s="4">
        <f t="shared" si="43"/>
        <v>13</v>
      </c>
      <c r="H457" s="4">
        <f t="shared" si="44"/>
        <v>2014</v>
      </c>
      <c r="I457" s="10" t="s">
        <v>157</v>
      </c>
      <c r="J457" s="8" t="s">
        <v>21</v>
      </c>
      <c r="K457" s="8" t="s">
        <v>9</v>
      </c>
      <c r="L457" s="8">
        <v>-5.5</v>
      </c>
      <c r="M457" s="8" t="s">
        <v>21</v>
      </c>
      <c r="N457" s="8">
        <v>110</v>
      </c>
      <c r="O457" s="8">
        <v>111</v>
      </c>
      <c r="P457" s="2" t="str">
        <f t="shared" si="47"/>
        <v>SAC</v>
      </c>
      <c r="Q457" s="2">
        <f t="shared" si="45"/>
        <v>4.5</v>
      </c>
      <c r="R457" s="7">
        <f t="shared" si="46"/>
        <v>1</v>
      </c>
    </row>
    <row r="458" spans="1:18" ht="15" customHeight="1" x14ac:dyDescent="0.25">
      <c r="A458" s="7">
        <v>457</v>
      </c>
      <c r="B458" s="8" t="s">
        <v>151</v>
      </c>
      <c r="C458" s="8">
        <v>2014</v>
      </c>
      <c r="D458" s="8">
        <v>2015</v>
      </c>
      <c r="E458" s="3">
        <v>41957</v>
      </c>
      <c r="F458" s="4">
        <f t="shared" si="42"/>
        <v>11</v>
      </c>
      <c r="G458" s="4">
        <f t="shared" si="43"/>
        <v>14</v>
      </c>
      <c r="H458" s="4">
        <f t="shared" si="44"/>
        <v>2014</v>
      </c>
      <c r="I458" s="10" t="s">
        <v>157</v>
      </c>
      <c r="J458" s="8" t="s">
        <v>15</v>
      </c>
      <c r="K458" s="8" t="s">
        <v>5</v>
      </c>
      <c r="L458" s="8">
        <v>-2</v>
      </c>
      <c r="M458" s="8" t="s">
        <v>15</v>
      </c>
      <c r="N458" s="8">
        <v>103</v>
      </c>
      <c r="O458" s="8">
        <v>114</v>
      </c>
      <c r="P458" s="2" t="str">
        <f t="shared" si="47"/>
        <v>ATL</v>
      </c>
      <c r="Q458" s="2">
        <f t="shared" si="45"/>
        <v>-9</v>
      </c>
      <c r="R458" s="7">
        <f t="shared" si="46"/>
        <v>0</v>
      </c>
    </row>
    <row r="459" spans="1:18" ht="15" customHeight="1" x14ac:dyDescent="0.25">
      <c r="A459" s="7">
        <v>458</v>
      </c>
      <c r="B459" s="8" t="s">
        <v>151</v>
      </c>
      <c r="C459" s="8">
        <v>2014</v>
      </c>
      <c r="D459" s="8">
        <v>2015</v>
      </c>
      <c r="E459" s="3">
        <v>41958</v>
      </c>
      <c r="F459" s="4">
        <f t="shared" si="42"/>
        <v>11</v>
      </c>
      <c r="G459" s="4">
        <f t="shared" si="43"/>
        <v>15</v>
      </c>
      <c r="H459" s="4">
        <f t="shared" si="44"/>
        <v>2014</v>
      </c>
      <c r="I459" s="10" t="s">
        <v>157</v>
      </c>
      <c r="J459" s="8" t="s">
        <v>137</v>
      </c>
      <c r="K459" s="8" t="s">
        <v>2</v>
      </c>
      <c r="L459" s="8">
        <v>-9.5</v>
      </c>
      <c r="M459" s="8" t="s">
        <v>137</v>
      </c>
      <c r="N459" s="8">
        <v>93</v>
      </c>
      <c r="O459" s="8">
        <v>111</v>
      </c>
      <c r="P459" s="2" t="str">
        <f t="shared" si="47"/>
        <v>TOR</v>
      </c>
      <c r="Q459" s="2">
        <f t="shared" si="45"/>
        <v>-8.5</v>
      </c>
      <c r="R459" s="7">
        <f t="shared" si="46"/>
        <v>0</v>
      </c>
    </row>
    <row r="460" spans="1:18" ht="15" customHeight="1" x14ac:dyDescent="0.25">
      <c r="A460" s="7">
        <v>459</v>
      </c>
      <c r="B460" s="8" t="s">
        <v>151</v>
      </c>
      <c r="C460" s="8">
        <v>2014</v>
      </c>
      <c r="D460" s="8">
        <v>2015</v>
      </c>
      <c r="E460" s="3">
        <v>41959</v>
      </c>
      <c r="F460" s="4">
        <f t="shared" si="42"/>
        <v>11</v>
      </c>
      <c r="G460" s="4">
        <f t="shared" si="43"/>
        <v>16</v>
      </c>
      <c r="H460" s="4">
        <f t="shared" si="44"/>
        <v>2014</v>
      </c>
      <c r="I460" s="10" t="s">
        <v>157</v>
      </c>
      <c r="J460" s="8" t="s">
        <v>114</v>
      </c>
      <c r="K460" s="8" t="s">
        <v>18</v>
      </c>
      <c r="L460" s="8">
        <v>8.5</v>
      </c>
      <c r="M460" s="8" t="s">
        <v>114</v>
      </c>
      <c r="N460" s="8">
        <v>136</v>
      </c>
      <c r="O460" s="8">
        <v>115</v>
      </c>
      <c r="P460" s="2" t="str">
        <f t="shared" si="47"/>
        <v>GS</v>
      </c>
      <c r="Q460" s="2">
        <f t="shared" si="45"/>
        <v>12.5</v>
      </c>
      <c r="R460" s="7">
        <f t="shared" si="46"/>
        <v>1</v>
      </c>
    </row>
    <row r="461" spans="1:18" ht="15" customHeight="1" x14ac:dyDescent="0.25">
      <c r="A461" s="7">
        <v>460</v>
      </c>
      <c r="B461" s="8" t="s">
        <v>151</v>
      </c>
      <c r="C461" s="8">
        <v>2014</v>
      </c>
      <c r="D461" s="8">
        <v>2015</v>
      </c>
      <c r="E461" s="3">
        <v>41960</v>
      </c>
      <c r="F461" s="4">
        <f t="shared" si="42"/>
        <v>11</v>
      </c>
      <c r="G461" s="4">
        <f t="shared" si="43"/>
        <v>17</v>
      </c>
      <c r="H461" s="4">
        <f t="shared" si="44"/>
        <v>2014</v>
      </c>
      <c r="I461" s="10" t="s">
        <v>157</v>
      </c>
      <c r="J461" s="8" t="s">
        <v>19</v>
      </c>
      <c r="K461" s="8" t="s">
        <v>17</v>
      </c>
      <c r="L461" s="8">
        <v>1.5</v>
      </c>
      <c r="M461" s="8" t="s">
        <v>19</v>
      </c>
      <c r="N461" s="8">
        <v>118</v>
      </c>
      <c r="O461" s="8">
        <v>114</v>
      </c>
      <c r="P461" s="2" t="str">
        <f t="shared" si="47"/>
        <v>PHX</v>
      </c>
      <c r="Q461" s="2">
        <f t="shared" si="45"/>
        <v>2.5</v>
      </c>
      <c r="R461" s="7">
        <f t="shared" si="46"/>
        <v>1</v>
      </c>
    </row>
    <row r="462" spans="1:18" ht="15" customHeight="1" x14ac:dyDescent="0.25">
      <c r="A462" s="7">
        <v>461</v>
      </c>
      <c r="B462" s="8" t="s">
        <v>151</v>
      </c>
      <c r="C462" s="8">
        <v>2014</v>
      </c>
      <c r="D462" s="8">
        <v>2015</v>
      </c>
      <c r="E462" s="3">
        <v>41961</v>
      </c>
      <c r="F462" s="4">
        <f t="shared" si="42"/>
        <v>11</v>
      </c>
      <c r="G462" s="4">
        <f t="shared" si="43"/>
        <v>18</v>
      </c>
      <c r="H462" s="4">
        <f t="shared" si="44"/>
        <v>2014</v>
      </c>
      <c r="I462" s="10" t="s">
        <v>157</v>
      </c>
      <c r="J462" s="8" t="s">
        <v>126</v>
      </c>
      <c r="K462" s="8" t="s">
        <v>10</v>
      </c>
      <c r="L462" s="8">
        <v>-1.5</v>
      </c>
      <c r="M462" s="8" t="s">
        <v>126</v>
      </c>
      <c r="N462" s="8">
        <v>113</v>
      </c>
      <c r="O462" s="8">
        <v>117</v>
      </c>
      <c r="P462" s="2" t="str">
        <f t="shared" si="47"/>
        <v>MIL</v>
      </c>
      <c r="Q462" s="2">
        <f t="shared" si="45"/>
        <v>-2.5</v>
      </c>
      <c r="R462" s="7">
        <f t="shared" si="46"/>
        <v>0</v>
      </c>
    </row>
    <row r="463" spans="1:18" ht="15" customHeight="1" x14ac:dyDescent="0.25">
      <c r="A463" s="7">
        <v>462</v>
      </c>
      <c r="B463" s="8" t="s">
        <v>151</v>
      </c>
      <c r="C463" s="8">
        <v>2014</v>
      </c>
      <c r="D463" s="8">
        <v>2015</v>
      </c>
      <c r="E463" s="3">
        <v>41962</v>
      </c>
      <c r="F463" s="4">
        <f t="shared" si="42"/>
        <v>11</v>
      </c>
      <c r="G463" s="4">
        <f t="shared" si="43"/>
        <v>19</v>
      </c>
      <c r="H463" s="4">
        <f t="shared" si="44"/>
        <v>2014</v>
      </c>
      <c r="I463" s="10" t="s">
        <v>157</v>
      </c>
      <c r="J463" s="8" t="s">
        <v>10</v>
      </c>
      <c r="K463" s="8" t="s">
        <v>22</v>
      </c>
      <c r="L463" s="8">
        <v>-6.5</v>
      </c>
      <c r="M463" s="8" t="s">
        <v>10</v>
      </c>
      <c r="N463" s="8">
        <v>122</v>
      </c>
      <c r="O463" s="8">
        <v>118</v>
      </c>
      <c r="P463" s="2" t="str">
        <f t="shared" si="47"/>
        <v>MIL</v>
      </c>
      <c r="Q463" s="2">
        <f t="shared" si="45"/>
        <v>10.5</v>
      </c>
      <c r="R463" s="7">
        <f t="shared" si="46"/>
        <v>1</v>
      </c>
    </row>
    <row r="464" spans="1:18" ht="15" customHeight="1" x14ac:dyDescent="0.25">
      <c r="A464" s="7">
        <v>463</v>
      </c>
      <c r="B464" s="8" t="s">
        <v>151</v>
      </c>
      <c r="C464" s="8">
        <v>2014</v>
      </c>
      <c r="D464" s="8">
        <v>2015</v>
      </c>
      <c r="E464" s="3">
        <v>41963</v>
      </c>
      <c r="F464" s="4">
        <f t="shared" si="42"/>
        <v>11</v>
      </c>
      <c r="G464" s="4">
        <f t="shared" si="43"/>
        <v>20</v>
      </c>
      <c r="H464" s="4">
        <f t="shared" si="44"/>
        <v>2014</v>
      </c>
      <c r="I464" s="10" t="s">
        <v>157</v>
      </c>
      <c r="J464" s="8" t="s">
        <v>0</v>
      </c>
      <c r="K464" s="8" t="s">
        <v>21</v>
      </c>
      <c r="L464" s="8">
        <v>-2.5</v>
      </c>
      <c r="M464" s="8" t="s">
        <v>21</v>
      </c>
      <c r="N464" s="8">
        <v>88</v>
      </c>
      <c r="O464" s="8">
        <v>103</v>
      </c>
      <c r="P464" s="2" t="str">
        <f t="shared" si="47"/>
        <v>SAC</v>
      </c>
      <c r="Q464" s="2">
        <f t="shared" si="45"/>
        <v>12.5</v>
      </c>
      <c r="R464" s="7">
        <f t="shared" si="46"/>
        <v>1</v>
      </c>
    </row>
    <row r="465" spans="1:18" ht="15" customHeight="1" x14ac:dyDescent="0.25">
      <c r="A465" s="7">
        <v>464</v>
      </c>
      <c r="B465" s="8" t="s">
        <v>151</v>
      </c>
      <c r="C465" s="8">
        <v>2014</v>
      </c>
      <c r="D465" s="8">
        <v>2015</v>
      </c>
      <c r="E465" s="3">
        <v>41964</v>
      </c>
      <c r="F465" s="4">
        <f t="shared" si="42"/>
        <v>11</v>
      </c>
      <c r="G465" s="4">
        <f t="shared" si="43"/>
        <v>21</v>
      </c>
      <c r="H465" s="4">
        <f t="shared" si="44"/>
        <v>2014</v>
      </c>
      <c r="I465" s="10" t="s">
        <v>157</v>
      </c>
      <c r="J465" s="8" t="s">
        <v>0</v>
      </c>
      <c r="K465" s="8" t="s">
        <v>1</v>
      </c>
      <c r="L465" s="8">
        <v>-8</v>
      </c>
      <c r="M465" s="8" t="s">
        <v>1</v>
      </c>
      <c r="N465" s="8">
        <v>87</v>
      </c>
      <c r="O465" s="8">
        <v>105</v>
      </c>
      <c r="P465" s="2" t="str">
        <f t="shared" si="47"/>
        <v>POR</v>
      </c>
      <c r="Q465" s="2">
        <f t="shared" si="45"/>
        <v>10</v>
      </c>
      <c r="R465" s="7">
        <f t="shared" si="46"/>
        <v>1</v>
      </c>
    </row>
    <row r="466" spans="1:18" ht="15" customHeight="1" x14ac:dyDescent="0.25">
      <c r="A466" s="7">
        <v>465</v>
      </c>
      <c r="B466" s="8" t="s">
        <v>151</v>
      </c>
      <c r="C466" s="8">
        <v>2014</v>
      </c>
      <c r="D466" s="8">
        <v>2015</v>
      </c>
      <c r="E466" s="3">
        <v>41965</v>
      </c>
      <c r="F466" s="4">
        <f t="shared" si="42"/>
        <v>11</v>
      </c>
      <c r="G466" s="4">
        <f t="shared" si="43"/>
        <v>22</v>
      </c>
      <c r="H466" s="4">
        <f t="shared" si="44"/>
        <v>2014</v>
      </c>
      <c r="I466" s="10" t="s">
        <v>157</v>
      </c>
      <c r="J466" s="8" t="s">
        <v>2</v>
      </c>
      <c r="K466" s="8" t="s">
        <v>6</v>
      </c>
      <c r="L466" s="8">
        <v>-3</v>
      </c>
      <c r="M466" s="8" t="s">
        <v>2</v>
      </c>
      <c r="N466" s="8">
        <v>110</v>
      </c>
      <c r="O466" s="8">
        <v>93</v>
      </c>
      <c r="P466" s="2" t="str">
        <f t="shared" si="47"/>
        <v>TOR</v>
      </c>
      <c r="Q466" s="2">
        <f t="shared" si="45"/>
        <v>20</v>
      </c>
      <c r="R466" s="7">
        <f t="shared" si="46"/>
        <v>1</v>
      </c>
    </row>
    <row r="467" spans="1:18" ht="15" customHeight="1" x14ac:dyDescent="0.25">
      <c r="A467" s="7">
        <v>466</v>
      </c>
      <c r="B467" s="8" t="s">
        <v>151</v>
      </c>
      <c r="C467" s="8">
        <v>2014</v>
      </c>
      <c r="D467" s="8">
        <v>2015</v>
      </c>
      <c r="E467" s="3">
        <v>41966</v>
      </c>
      <c r="F467" s="4">
        <f t="shared" si="42"/>
        <v>11</v>
      </c>
      <c r="G467" s="4">
        <f t="shared" si="43"/>
        <v>23</v>
      </c>
      <c r="H467" s="4">
        <f t="shared" si="44"/>
        <v>2014</v>
      </c>
      <c r="I467" s="10" t="s">
        <v>157</v>
      </c>
      <c r="J467" s="8" t="s">
        <v>23</v>
      </c>
      <c r="K467" s="8" t="s">
        <v>18</v>
      </c>
      <c r="L467" s="8">
        <v>1.5</v>
      </c>
      <c r="M467" s="8" t="s">
        <v>23</v>
      </c>
      <c r="N467" s="8">
        <v>101</v>
      </c>
      <c r="O467" s="8">
        <v>94</v>
      </c>
      <c r="P467" s="2" t="str">
        <f t="shared" si="47"/>
        <v>DEN</v>
      </c>
      <c r="Q467" s="2">
        <f t="shared" si="45"/>
        <v>5.5</v>
      </c>
      <c r="R467" s="7">
        <f t="shared" si="46"/>
        <v>1</v>
      </c>
    </row>
    <row r="468" spans="1:18" ht="15" customHeight="1" x14ac:dyDescent="0.25">
      <c r="A468" s="7">
        <v>467</v>
      </c>
      <c r="B468" s="8" t="s">
        <v>151</v>
      </c>
      <c r="C468" s="8">
        <v>2014</v>
      </c>
      <c r="D468" s="8">
        <v>2015</v>
      </c>
      <c r="E468" s="3">
        <v>41967</v>
      </c>
      <c r="F468" s="4">
        <f t="shared" si="42"/>
        <v>11</v>
      </c>
      <c r="G468" s="4">
        <f t="shared" si="43"/>
        <v>24</v>
      </c>
      <c r="H468" s="4">
        <f t="shared" si="44"/>
        <v>2014</v>
      </c>
      <c r="I468" s="10" t="s">
        <v>157</v>
      </c>
      <c r="J468" s="8" t="s">
        <v>11</v>
      </c>
      <c r="K468" s="8" t="s">
        <v>6</v>
      </c>
      <c r="L468" s="8">
        <v>-10.5</v>
      </c>
      <c r="M468" s="8" t="s">
        <v>6</v>
      </c>
      <c r="N468" s="8">
        <v>74</v>
      </c>
      <c r="O468" s="8">
        <v>106</v>
      </c>
      <c r="P468" s="2" t="str">
        <f t="shared" si="47"/>
        <v>CLE</v>
      </c>
      <c r="Q468" s="2">
        <f t="shared" si="45"/>
        <v>21.5</v>
      </c>
      <c r="R468" s="7">
        <f t="shared" si="46"/>
        <v>1</v>
      </c>
    </row>
    <row r="469" spans="1:18" ht="15" customHeight="1" x14ac:dyDescent="0.25">
      <c r="A469" s="7">
        <v>468</v>
      </c>
      <c r="B469" s="8" t="s">
        <v>151</v>
      </c>
      <c r="C469" s="8">
        <v>2014</v>
      </c>
      <c r="D469" s="8">
        <v>2015</v>
      </c>
      <c r="E469" s="3">
        <v>41968</v>
      </c>
      <c r="F469" s="4">
        <f t="shared" si="42"/>
        <v>11</v>
      </c>
      <c r="G469" s="4">
        <f t="shared" si="43"/>
        <v>25</v>
      </c>
      <c r="H469" s="4">
        <f t="shared" si="44"/>
        <v>2014</v>
      </c>
      <c r="I469" s="10" t="s">
        <v>157</v>
      </c>
      <c r="J469" s="8" t="s">
        <v>7</v>
      </c>
      <c r="K469" s="8" t="s">
        <v>10</v>
      </c>
      <c r="L469" s="8">
        <v>-3</v>
      </c>
      <c r="M469" s="8" t="s">
        <v>7</v>
      </c>
      <c r="N469" s="8">
        <v>86</v>
      </c>
      <c r="O469" s="8">
        <v>98</v>
      </c>
      <c r="P469" s="2" t="str">
        <f t="shared" si="47"/>
        <v>MIL</v>
      </c>
      <c r="Q469" s="2">
        <f t="shared" si="45"/>
        <v>-9</v>
      </c>
      <c r="R469" s="7">
        <f t="shared" si="46"/>
        <v>0</v>
      </c>
    </row>
    <row r="470" spans="1:18" ht="15" customHeight="1" x14ac:dyDescent="0.25">
      <c r="A470" s="7">
        <v>469</v>
      </c>
      <c r="B470" s="8" t="s">
        <v>151</v>
      </c>
      <c r="C470" s="8">
        <v>2014</v>
      </c>
      <c r="D470" s="8">
        <v>2015</v>
      </c>
      <c r="E470" s="3">
        <v>41969</v>
      </c>
      <c r="F470" s="4">
        <f t="shared" si="42"/>
        <v>11</v>
      </c>
      <c r="G470" s="4">
        <f t="shared" si="43"/>
        <v>26</v>
      </c>
      <c r="H470" s="4">
        <f t="shared" si="44"/>
        <v>2014</v>
      </c>
      <c r="I470" s="10" t="s">
        <v>157</v>
      </c>
      <c r="J470" s="8" t="s">
        <v>1</v>
      </c>
      <c r="K470" s="8" t="s">
        <v>8</v>
      </c>
      <c r="L470" s="8">
        <v>5.5</v>
      </c>
      <c r="M470" s="8" t="s">
        <v>1</v>
      </c>
      <c r="N470" s="8">
        <v>105</v>
      </c>
      <c r="O470" s="8">
        <v>97</v>
      </c>
      <c r="P470" s="2" t="str">
        <f t="shared" si="47"/>
        <v>POR</v>
      </c>
      <c r="Q470" s="2">
        <f t="shared" si="45"/>
        <v>2.5</v>
      </c>
      <c r="R470" s="7">
        <f t="shared" si="46"/>
        <v>1</v>
      </c>
    </row>
    <row r="471" spans="1:18" ht="15" customHeight="1" x14ac:dyDescent="0.25">
      <c r="A471" s="7">
        <v>470</v>
      </c>
      <c r="B471" s="8" t="s">
        <v>151</v>
      </c>
      <c r="C471" s="8">
        <v>2014</v>
      </c>
      <c r="D471" s="8">
        <v>2015</v>
      </c>
      <c r="E471" s="3">
        <v>41971</v>
      </c>
      <c r="F471" s="4">
        <f t="shared" si="42"/>
        <v>11</v>
      </c>
      <c r="G471" s="4">
        <f t="shared" si="43"/>
        <v>28</v>
      </c>
      <c r="H471" s="4">
        <f t="shared" si="44"/>
        <v>2014</v>
      </c>
      <c r="I471" s="10" t="s">
        <v>157</v>
      </c>
      <c r="J471" s="8" t="s">
        <v>124</v>
      </c>
      <c r="K471" s="8" t="s">
        <v>5</v>
      </c>
      <c r="L471" s="8">
        <v>-2.5</v>
      </c>
      <c r="M471" s="8" t="s">
        <v>124</v>
      </c>
      <c r="N471" s="8">
        <v>91</v>
      </c>
      <c r="O471" s="8">
        <v>100</v>
      </c>
      <c r="P471" s="2" t="str">
        <f t="shared" si="47"/>
        <v>ATL</v>
      </c>
      <c r="Q471" s="2">
        <f t="shared" si="45"/>
        <v>-6.5</v>
      </c>
      <c r="R471" s="7">
        <f t="shared" si="46"/>
        <v>0</v>
      </c>
    </row>
    <row r="472" spans="1:18" ht="15" customHeight="1" x14ac:dyDescent="0.25">
      <c r="A472" s="7">
        <v>471</v>
      </c>
      <c r="B472" s="8" t="s">
        <v>151</v>
      </c>
      <c r="C472" s="8">
        <v>2014</v>
      </c>
      <c r="D472" s="8">
        <v>2015</v>
      </c>
      <c r="E472" s="3">
        <v>41972</v>
      </c>
      <c r="F472" s="4">
        <f t="shared" si="42"/>
        <v>11</v>
      </c>
      <c r="G472" s="4">
        <f t="shared" si="43"/>
        <v>29</v>
      </c>
      <c r="H472" s="4">
        <f t="shared" si="44"/>
        <v>2014</v>
      </c>
      <c r="I472" s="10" t="s">
        <v>157</v>
      </c>
      <c r="J472" s="8" t="s">
        <v>14</v>
      </c>
      <c r="K472" s="8" t="s">
        <v>137</v>
      </c>
      <c r="L472" s="8">
        <v>5</v>
      </c>
      <c r="M472" s="8" t="s">
        <v>14</v>
      </c>
      <c r="N472" s="8">
        <v>112</v>
      </c>
      <c r="O472" s="8">
        <v>96</v>
      </c>
      <c r="P472" s="2" t="str">
        <f t="shared" si="47"/>
        <v>LAC</v>
      </c>
      <c r="Q472" s="2">
        <f t="shared" si="45"/>
        <v>11</v>
      </c>
      <c r="R472" s="7">
        <f t="shared" si="46"/>
        <v>1</v>
      </c>
    </row>
    <row r="473" spans="1:18" ht="15" customHeight="1" x14ac:dyDescent="0.25">
      <c r="A473" s="7">
        <v>472</v>
      </c>
      <c r="B473" s="8" t="s">
        <v>151</v>
      </c>
      <c r="C473" s="8">
        <v>2014</v>
      </c>
      <c r="D473" s="8">
        <v>2015</v>
      </c>
      <c r="E473" s="3">
        <v>41973</v>
      </c>
      <c r="F473" s="4">
        <f t="shared" si="42"/>
        <v>11</v>
      </c>
      <c r="G473" s="4">
        <f t="shared" si="43"/>
        <v>30</v>
      </c>
      <c r="H473" s="4">
        <f t="shared" si="44"/>
        <v>2014</v>
      </c>
      <c r="I473" s="10" t="s">
        <v>157</v>
      </c>
      <c r="J473" s="8" t="s">
        <v>134</v>
      </c>
      <c r="K473" s="8" t="s">
        <v>17</v>
      </c>
      <c r="L473" s="8">
        <v>7.5</v>
      </c>
      <c r="M473" s="8" t="s">
        <v>17</v>
      </c>
      <c r="N473" s="8">
        <v>111</v>
      </c>
      <c r="O473" s="8">
        <v>89</v>
      </c>
      <c r="P473" s="2" t="str">
        <f t="shared" si="47"/>
        <v>SA</v>
      </c>
      <c r="Q473" s="2">
        <f t="shared" si="45"/>
        <v>-14.5</v>
      </c>
      <c r="R473" s="7">
        <f t="shared" si="46"/>
        <v>0</v>
      </c>
    </row>
    <row r="474" spans="1:18" ht="15" customHeight="1" x14ac:dyDescent="0.25">
      <c r="A474" s="7">
        <v>473</v>
      </c>
      <c r="B474" s="8" t="s">
        <v>151</v>
      </c>
      <c r="C474" s="8">
        <v>2014</v>
      </c>
      <c r="D474" s="8">
        <v>2015</v>
      </c>
      <c r="E474" s="3">
        <v>41974</v>
      </c>
      <c r="F474" s="4">
        <f t="shared" si="42"/>
        <v>12</v>
      </c>
      <c r="G474" s="4">
        <f t="shared" si="43"/>
        <v>1</v>
      </c>
      <c r="H474" s="4">
        <f t="shared" si="44"/>
        <v>2014</v>
      </c>
      <c r="I474" s="10" t="s">
        <v>157</v>
      </c>
      <c r="J474" s="8" t="s">
        <v>23</v>
      </c>
      <c r="K474" s="8" t="s">
        <v>137</v>
      </c>
      <c r="L474" s="8">
        <v>3</v>
      </c>
      <c r="M474" s="8" t="s">
        <v>137</v>
      </c>
      <c r="N474" s="8">
        <v>103</v>
      </c>
      <c r="O474" s="8">
        <v>101</v>
      </c>
      <c r="P474" s="2" t="str">
        <f t="shared" si="47"/>
        <v>UTAH</v>
      </c>
      <c r="Q474" s="2">
        <f t="shared" si="45"/>
        <v>1</v>
      </c>
      <c r="R474" s="7">
        <f t="shared" si="46"/>
        <v>1</v>
      </c>
    </row>
    <row r="475" spans="1:18" ht="15" customHeight="1" x14ac:dyDescent="0.25">
      <c r="A475" s="7">
        <v>474</v>
      </c>
      <c r="B475" s="8" t="s">
        <v>151</v>
      </c>
      <c r="C475" s="8">
        <v>2014</v>
      </c>
      <c r="D475" s="8">
        <v>2015</v>
      </c>
      <c r="E475" s="3">
        <v>41975</v>
      </c>
      <c r="F475" s="4">
        <f t="shared" si="42"/>
        <v>12</v>
      </c>
      <c r="G475" s="4">
        <f t="shared" si="43"/>
        <v>2</v>
      </c>
      <c r="H475" s="4">
        <f t="shared" si="44"/>
        <v>2014</v>
      </c>
      <c r="I475" s="10" t="s">
        <v>157</v>
      </c>
      <c r="J475" s="8" t="s">
        <v>10</v>
      </c>
      <c r="K475" s="8" t="s">
        <v>6</v>
      </c>
      <c r="L475" s="8">
        <v>-10.5</v>
      </c>
      <c r="M475" s="8" t="s">
        <v>10</v>
      </c>
      <c r="N475" s="8">
        <v>108</v>
      </c>
      <c r="O475" s="8">
        <v>111</v>
      </c>
      <c r="P475" s="2" t="str">
        <f t="shared" si="47"/>
        <v>MIL</v>
      </c>
      <c r="Q475" s="2">
        <f t="shared" si="45"/>
        <v>7.5</v>
      </c>
      <c r="R475" s="7">
        <f t="shared" si="46"/>
        <v>1</v>
      </c>
    </row>
    <row r="476" spans="1:18" ht="15" customHeight="1" x14ac:dyDescent="0.25">
      <c r="A476" s="7">
        <v>475</v>
      </c>
      <c r="B476" s="8" t="s">
        <v>151</v>
      </c>
      <c r="C476" s="8">
        <v>2014</v>
      </c>
      <c r="D476" s="8">
        <v>2015</v>
      </c>
      <c r="E476" s="3">
        <v>41976</v>
      </c>
      <c r="F476" s="4">
        <f t="shared" si="42"/>
        <v>12</v>
      </c>
      <c r="G476" s="4">
        <f t="shared" si="43"/>
        <v>3</v>
      </c>
      <c r="H476" s="4">
        <f t="shared" si="44"/>
        <v>2014</v>
      </c>
      <c r="I476" s="10" t="s">
        <v>157</v>
      </c>
      <c r="J476" s="8" t="s">
        <v>20</v>
      </c>
      <c r="K476" s="8" t="s">
        <v>3</v>
      </c>
      <c r="L476" s="8">
        <v>-7</v>
      </c>
      <c r="M476" s="8" t="s">
        <v>20</v>
      </c>
      <c r="N476" s="8">
        <v>85</v>
      </c>
      <c r="O476" s="8">
        <v>77</v>
      </c>
      <c r="P476" s="2" t="str">
        <f t="shared" si="47"/>
        <v>PHI</v>
      </c>
      <c r="Q476" s="2">
        <f t="shared" si="45"/>
        <v>15</v>
      </c>
      <c r="R476" s="7">
        <f t="shared" si="46"/>
        <v>1</v>
      </c>
    </row>
    <row r="477" spans="1:18" ht="15" customHeight="1" x14ac:dyDescent="0.25">
      <c r="A477" s="7">
        <v>476</v>
      </c>
      <c r="B477" s="8" t="s">
        <v>151</v>
      </c>
      <c r="C477" s="8">
        <v>2014</v>
      </c>
      <c r="D477" s="8">
        <v>2015</v>
      </c>
      <c r="E477" s="3">
        <v>41977</v>
      </c>
      <c r="F477" s="4">
        <f t="shared" si="42"/>
        <v>12</v>
      </c>
      <c r="G477" s="4">
        <f t="shared" si="43"/>
        <v>4</v>
      </c>
      <c r="H477" s="4">
        <f t="shared" si="44"/>
        <v>2014</v>
      </c>
      <c r="I477" s="10" t="s">
        <v>157</v>
      </c>
      <c r="J477" s="8" t="s">
        <v>13</v>
      </c>
      <c r="K477" s="8" t="s">
        <v>1</v>
      </c>
      <c r="L477" s="2">
        <v>-8.5</v>
      </c>
      <c r="M477" s="8" t="s">
        <v>1</v>
      </c>
      <c r="N477" s="8">
        <v>82</v>
      </c>
      <c r="O477" s="8">
        <v>88</v>
      </c>
      <c r="P477" s="2" t="str">
        <f t="shared" si="47"/>
        <v>IND</v>
      </c>
      <c r="Q477" s="2">
        <f t="shared" si="45"/>
        <v>-2.5</v>
      </c>
      <c r="R477" s="7">
        <f t="shared" si="46"/>
        <v>0</v>
      </c>
    </row>
    <row r="478" spans="1:18" ht="15" customHeight="1" x14ac:dyDescent="0.25">
      <c r="A478" s="7">
        <v>477</v>
      </c>
      <c r="B478" s="8" t="s">
        <v>151</v>
      </c>
      <c r="C478" s="8">
        <v>2014</v>
      </c>
      <c r="D478" s="8">
        <v>2015</v>
      </c>
      <c r="E478" s="3">
        <v>41978</v>
      </c>
      <c r="F478" s="4">
        <f t="shared" si="42"/>
        <v>12</v>
      </c>
      <c r="G478" s="4">
        <f t="shared" si="43"/>
        <v>5</v>
      </c>
      <c r="H478" s="4">
        <f t="shared" si="44"/>
        <v>2014</v>
      </c>
      <c r="I478" s="10" t="s">
        <v>157</v>
      </c>
      <c r="J478" s="8" t="s">
        <v>13</v>
      </c>
      <c r="K478" s="8" t="s">
        <v>21</v>
      </c>
      <c r="L478" s="8">
        <v>-3.5</v>
      </c>
      <c r="M478" s="8" t="s">
        <v>21</v>
      </c>
      <c r="N478" s="8">
        <v>101</v>
      </c>
      <c r="O478" s="8">
        <v>102</v>
      </c>
      <c r="P478" s="2" t="str">
        <f t="shared" si="47"/>
        <v>IND</v>
      </c>
      <c r="Q478" s="2">
        <f t="shared" si="45"/>
        <v>-2.5</v>
      </c>
      <c r="R478" s="7">
        <f t="shared" si="46"/>
        <v>0</v>
      </c>
    </row>
    <row r="479" spans="1:18" ht="15" customHeight="1" x14ac:dyDescent="0.25">
      <c r="A479" s="7">
        <v>478</v>
      </c>
      <c r="B479" s="8" t="s">
        <v>151</v>
      </c>
      <c r="C479" s="8">
        <v>2014</v>
      </c>
      <c r="D479" s="8">
        <v>2015</v>
      </c>
      <c r="E479" s="3">
        <v>41979</v>
      </c>
      <c r="F479" s="4">
        <f t="shared" si="42"/>
        <v>12</v>
      </c>
      <c r="G479" s="4">
        <f t="shared" si="43"/>
        <v>6</v>
      </c>
      <c r="H479" s="4">
        <f t="shared" si="44"/>
        <v>2014</v>
      </c>
      <c r="I479" s="10" t="s">
        <v>157</v>
      </c>
      <c r="J479" s="8" t="s">
        <v>19</v>
      </c>
      <c r="K479" s="8" t="s">
        <v>4</v>
      </c>
      <c r="L479" s="8">
        <v>2</v>
      </c>
      <c r="M479" s="8" t="s">
        <v>4</v>
      </c>
      <c r="N479" s="8">
        <v>95</v>
      </c>
      <c r="O479" s="8">
        <v>100</v>
      </c>
      <c r="P479" s="2" t="str">
        <f t="shared" si="47"/>
        <v>HOU</v>
      </c>
      <c r="Q479" s="2">
        <f t="shared" si="45"/>
        <v>7</v>
      </c>
      <c r="R479" s="7">
        <f t="shared" si="46"/>
        <v>1</v>
      </c>
    </row>
    <row r="480" spans="1:18" ht="15" customHeight="1" x14ac:dyDescent="0.25">
      <c r="A480" s="7">
        <v>479</v>
      </c>
      <c r="B480" s="8" t="s">
        <v>151</v>
      </c>
      <c r="C480" s="8">
        <v>2014</v>
      </c>
      <c r="D480" s="8">
        <v>2015</v>
      </c>
      <c r="E480" s="3">
        <v>41980</v>
      </c>
      <c r="F480" s="4">
        <f t="shared" si="42"/>
        <v>12</v>
      </c>
      <c r="G480" s="4">
        <f t="shared" si="43"/>
        <v>7</v>
      </c>
      <c r="H480" s="4">
        <f t="shared" si="44"/>
        <v>2014</v>
      </c>
      <c r="I480" s="10" t="s">
        <v>157</v>
      </c>
      <c r="J480" s="8" t="s">
        <v>124</v>
      </c>
      <c r="K480" s="8" t="s">
        <v>18</v>
      </c>
      <c r="L480" s="8">
        <v>2.5</v>
      </c>
      <c r="M480" s="8" t="s">
        <v>124</v>
      </c>
      <c r="N480" s="8">
        <v>104</v>
      </c>
      <c r="O480" s="8">
        <v>87</v>
      </c>
      <c r="P480" s="2" t="str">
        <f t="shared" si="47"/>
        <v>NO</v>
      </c>
      <c r="Q480" s="2">
        <f t="shared" si="45"/>
        <v>14.5</v>
      </c>
      <c r="R480" s="7">
        <f t="shared" si="46"/>
        <v>1</v>
      </c>
    </row>
    <row r="481" spans="1:18" ht="15" customHeight="1" x14ac:dyDescent="0.25">
      <c r="A481" s="7">
        <v>480</v>
      </c>
      <c r="B481" s="8" t="s">
        <v>151</v>
      </c>
      <c r="C481" s="8">
        <v>2014</v>
      </c>
      <c r="D481" s="8">
        <v>2015</v>
      </c>
      <c r="E481" s="3">
        <v>41981</v>
      </c>
      <c r="F481" s="4">
        <f t="shared" si="42"/>
        <v>12</v>
      </c>
      <c r="G481" s="4">
        <f t="shared" si="43"/>
        <v>8</v>
      </c>
      <c r="H481" s="4">
        <f t="shared" si="44"/>
        <v>2014</v>
      </c>
      <c r="I481" s="10" t="s">
        <v>157</v>
      </c>
      <c r="J481" s="8" t="s">
        <v>137</v>
      </c>
      <c r="K481" s="8" t="s">
        <v>21</v>
      </c>
      <c r="L481" s="8">
        <v>-5</v>
      </c>
      <c r="M481" s="8" t="s">
        <v>21</v>
      </c>
      <c r="N481" s="8">
        <v>92</v>
      </c>
      <c r="O481" s="8">
        <v>101</v>
      </c>
      <c r="P481" s="2" t="str">
        <f t="shared" si="47"/>
        <v>SAC</v>
      </c>
      <c r="Q481" s="2">
        <f t="shared" si="45"/>
        <v>4</v>
      </c>
      <c r="R481" s="7">
        <f t="shared" si="46"/>
        <v>1</v>
      </c>
    </row>
    <row r="482" spans="1:18" ht="15" customHeight="1" x14ac:dyDescent="0.25">
      <c r="A482" s="7">
        <v>481</v>
      </c>
      <c r="B482" s="8" t="s">
        <v>151</v>
      </c>
      <c r="C482" s="8">
        <v>2014</v>
      </c>
      <c r="D482" s="8">
        <v>2015</v>
      </c>
      <c r="E482" s="3">
        <v>41982</v>
      </c>
      <c r="F482" s="4">
        <f t="shared" si="42"/>
        <v>12</v>
      </c>
      <c r="G482" s="4">
        <f t="shared" si="43"/>
        <v>9</v>
      </c>
      <c r="H482" s="4">
        <f t="shared" si="44"/>
        <v>2014</v>
      </c>
      <c r="I482" s="10" t="s">
        <v>157</v>
      </c>
      <c r="J482" s="8" t="s">
        <v>10</v>
      </c>
      <c r="K482" s="8" t="s">
        <v>12</v>
      </c>
      <c r="L482" s="8">
        <v>-10</v>
      </c>
      <c r="M482" s="8" t="s">
        <v>12</v>
      </c>
      <c r="N482" s="8">
        <v>101</v>
      </c>
      <c r="O482" s="8">
        <v>114</v>
      </c>
      <c r="P482" s="2" t="str">
        <f t="shared" si="47"/>
        <v>OKC</v>
      </c>
      <c r="Q482" s="2">
        <f t="shared" si="45"/>
        <v>3</v>
      </c>
      <c r="R482" s="7">
        <f t="shared" si="46"/>
        <v>1</v>
      </c>
    </row>
    <row r="483" spans="1:18" ht="15" customHeight="1" x14ac:dyDescent="0.25">
      <c r="A483" s="7">
        <v>482</v>
      </c>
      <c r="B483" s="8" t="s">
        <v>151</v>
      </c>
      <c r="C483" s="8">
        <v>2014</v>
      </c>
      <c r="D483" s="8">
        <v>2015</v>
      </c>
      <c r="E483" s="3">
        <v>41983</v>
      </c>
      <c r="F483" s="4">
        <f t="shared" si="42"/>
        <v>12</v>
      </c>
      <c r="G483" s="4">
        <f t="shared" si="43"/>
        <v>10</v>
      </c>
      <c r="H483" s="4">
        <f t="shared" si="44"/>
        <v>2014</v>
      </c>
      <c r="I483" s="10" t="s">
        <v>157</v>
      </c>
      <c r="J483" s="8" t="s">
        <v>20</v>
      </c>
      <c r="K483" s="8" t="s">
        <v>5</v>
      </c>
      <c r="L483" s="8">
        <v>-13.5</v>
      </c>
      <c r="M483" s="8" t="s">
        <v>5</v>
      </c>
      <c r="N483" s="8">
        <v>79</v>
      </c>
      <c r="O483" s="8">
        <v>95</v>
      </c>
      <c r="P483" s="2" t="str">
        <f t="shared" si="47"/>
        <v>ATL</v>
      </c>
      <c r="Q483" s="2">
        <f t="shared" si="45"/>
        <v>2.5</v>
      </c>
      <c r="R483" s="7">
        <f t="shared" si="46"/>
        <v>1</v>
      </c>
    </row>
    <row r="484" spans="1:18" ht="15" customHeight="1" x14ac:dyDescent="0.25">
      <c r="A484" s="7">
        <v>483</v>
      </c>
      <c r="B484" s="8" t="s">
        <v>151</v>
      </c>
      <c r="C484" s="8">
        <v>2014</v>
      </c>
      <c r="D484" s="8">
        <v>2015</v>
      </c>
      <c r="E484" s="3">
        <v>41984</v>
      </c>
      <c r="F484" s="4">
        <f t="shared" si="42"/>
        <v>12</v>
      </c>
      <c r="G484" s="4">
        <f t="shared" si="43"/>
        <v>11</v>
      </c>
      <c r="H484" s="4">
        <f t="shared" si="44"/>
        <v>2014</v>
      </c>
      <c r="I484" s="10" t="s">
        <v>157</v>
      </c>
      <c r="J484" s="5" t="s">
        <v>4</v>
      </c>
      <c r="K484" s="5" t="s">
        <v>21</v>
      </c>
      <c r="L484" s="8">
        <v>1</v>
      </c>
      <c r="M484" s="5" t="s">
        <v>21</v>
      </c>
      <c r="N484" s="5">
        <v>113</v>
      </c>
      <c r="O484" s="5">
        <v>109</v>
      </c>
      <c r="P484" s="2" t="str">
        <f t="shared" si="47"/>
        <v>HOU</v>
      </c>
      <c r="Q484" s="2">
        <f t="shared" si="45"/>
        <v>-3</v>
      </c>
      <c r="R484" s="7">
        <f t="shared" si="46"/>
        <v>0</v>
      </c>
    </row>
    <row r="485" spans="1:18" ht="15" customHeight="1" x14ac:dyDescent="0.25">
      <c r="A485" s="7">
        <v>484</v>
      </c>
      <c r="B485" s="8" t="s">
        <v>151</v>
      </c>
      <c r="C485" s="8">
        <v>2014</v>
      </c>
      <c r="D485" s="8">
        <v>2015</v>
      </c>
      <c r="E485" s="3">
        <v>41985</v>
      </c>
      <c r="F485" s="4">
        <f t="shared" si="42"/>
        <v>12</v>
      </c>
      <c r="G485" s="4">
        <f t="shared" si="43"/>
        <v>12</v>
      </c>
      <c r="H485" s="4">
        <f t="shared" si="44"/>
        <v>2014</v>
      </c>
      <c r="I485" s="10" t="s">
        <v>157</v>
      </c>
      <c r="J485" s="5" t="s">
        <v>14</v>
      </c>
      <c r="K485" s="5" t="s">
        <v>139</v>
      </c>
      <c r="L485" s="5">
        <v>2.5</v>
      </c>
      <c r="M485" s="5" t="s">
        <v>139</v>
      </c>
      <c r="N485" s="5">
        <v>96</v>
      </c>
      <c r="O485" s="5">
        <v>104</v>
      </c>
      <c r="P485" s="2" t="str">
        <f t="shared" si="47"/>
        <v>WSH</v>
      </c>
      <c r="Q485" s="2">
        <f t="shared" si="45"/>
        <v>10.5</v>
      </c>
      <c r="R485" s="7">
        <f t="shared" si="46"/>
        <v>1</v>
      </c>
    </row>
    <row r="486" spans="1:18" ht="15" customHeight="1" x14ac:dyDescent="0.25">
      <c r="A486" s="7">
        <v>485</v>
      </c>
      <c r="B486" s="8" t="s">
        <v>151</v>
      </c>
      <c r="C486" s="8">
        <v>2014</v>
      </c>
      <c r="D486" s="8">
        <v>2015</v>
      </c>
      <c r="E486" s="3">
        <v>41986</v>
      </c>
      <c r="F486" s="4">
        <f t="shared" si="42"/>
        <v>12</v>
      </c>
      <c r="G486" s="4">
        <f t="shared" si="43"/>
        <v>13</v>
      </c>
      <c r="H486" s="4">
        <f t="shared" si="44"/>
        <v>2014</v>
      </c>
      <c r="I486" s="10" t="s">
        <v>157</v>
      </c>
      <c r="J486" s="5" t="s">
        <v>1</v>
      </c>
      <c r="K486" s="5" t="s">
        <v>13</v>
      </c>
      <c r="L486" s="5">
        <v>5</v>
      </c>
      <c r="M486" s="5" t="s">
        <v>1</v>
      </c>
      <c r="N486" s="5">
        <v>95</v>
      </c>
      <c r="O486" s="5">
        <v>85</v>
      </c>
      <c r="P486" s="2" t="str">
        <f t="shared" si="47"/>
        <v>POR</v>
      </c>
      <c r="Q486" s="2">
        <f t="shared" si="45"/>
        <v>5</v>
      </c>
      <c r="R486" s="7">
        <f t="shared" si="46"/>
        <v>1</v>
      </c>
    </row>
    <row r="487" spans="1:18" ht="15" customHeight="1" x14ac:dyDescent="0.25">
      <c r="A487" s="7">
        <v>486</v>
      </c>
      <c r="B487" s="8" t="s">
        <v>151</v>
      </c>
      <c r="C487" s="8">
        <v>2014</v>
      </c>
      <c r="D487" s="8">
        <v>2015</v>
      </c>
      <c r="E487" s="3">
        <v>41987</v>
      </c>
      <c r="F487" s="4">
        <f t="shared" si="42"/>
        <v>12</v>
      </c>
      <c r="G487" s="4">
        <f t="shared" si="43"/>
        <v>14</v>
      </c>
      <c r="H487" s="4">
        <f t="shared" si="44"/>
        <v>2014</v>
      </c>
      <c r="I487" s="10" t="s">
        <v>157</v>
      </c>
      <c r="J487" s="5" t="s">
        <v>2</v>
      </c>
      <c r="K487" s="5" t="s">
        <v>126</v>
      </c>
      <c r="L487" s="5">
        <v>6.5</v>
      </c>
      <c r="M487" s="5" t="s">
        <v>2</v>
      </c>
      <c r="N487" s="5">
        <v>95</v>
      </c>
      <c r="O487" s="5">
        <v>90</v>
      </c>
      <c r="P487" s="2" t="str">
        <f t="shared" si="47"/>
        <v>NY</v>
      </c>
      <c r="Q487" s="2">
        <f t="shared" si="45"/>
        <v>-1.5</v>
      </c>
      <c r="R487" s="7">
        <f t="shared" si="46"/>
        <v>0</v>
      </c>
    </row>
    <row r="488" spans="1:18" ht="15" customHeight="1" x14ac:dyDescent="0.25">
      <c r="A488" s="7">
        <v>487</v>
      </c>
      <c r="B488" s="8" t="s">
        <v>151</v>
      </c>
      <c r="C488" s="8">
        <v>2014</v>
      </c>
      <c r="D488" s="8">
        <v>2015</v>
      </c>
      <c r="E488" s="3">
        <v>41988</v>
      </c>
      <c r="F488" s="4">
        <f t="shared" si="42"/>
        <v>12</v>
      </c>
      <c r="G488" s="4">
        <f t="shared" si="43"/>
        <v>15</v>
      </c>
      <c r="H488" s="4">
        <f t="shared" si="44"/>
        <v>2014</v>
      </c>
      <c r="I488" s="10" t="s">
        <v>157</v>
      </c>
      <c r="J488" s="5" t="s">
        <v>10</v>
      </c>
      <c r="K488" s="5" t="s">
        <v>19</v>
      </c>
      <c r="L488" s="5">
        <v>-5.5</v>
      </c>
      <c r="M488" s="5" t="s">
        <v>19</v>
      </c>
      <c r="N488" s="5">
        <v>96</v>
      </c>
      <c r="O488" s="5">
        <v>94</v>
      </c>
      <c r="P488" s="2" t="str">
        <f t="shared" si="47"/>
        <v>MIL</v>
      </c>
      <c r="Q488" s="2">
        <f t="shared" si="45"/>
        <v>-7.5</v>
      </c>
      <c r="R488" s="7">
        <f t="shared" si="46"/>
        <v>0</v>
      </c>
    </row>
    <row r="489" spans="1:18" ht="15" customHeight="1" x14ac:dyDescent="0.25">
      <c r="A489" s="7">
        <v>488</v>
      </c>
      <c r="B489" s="8" t="s">
        <v>151</v>
      </c>
      <c r="C489" s="8">
        <v>2014</v>
      </c>
      <c r="D489" s="8">
        <v>2015</v>
      </c>
      <c r="E489" s="3">
        <v>41989</v>
      </c>
      <c r="F489" s="4">
        <f t="shared" si="42"/>
        <v>12</v>
      </c>
      <c r="G489" s="4">
        <f t="shared" si="43"/>
        <v>16</v>
      </c>
      <c r="H489" s="4">
        <f t="shared" si="44"/>
        <v>2014</v>
      </c>
      <c r="I489" s="10" t="s">
        <v>157</v>
      </c>
      <c r="J489" s="5" t="s">
        <v>137</v>
      </c>
      <c r="K489" s="5" t="s">
        <v>124</v>
      </c>
      <c r="L489" s="5">
        <v>9</v>
      </c>
      <c r="M489" s="5" t="s">
        <v>137</v>
      </c>
      <c r="N489" s="5">
        <v>111</v>
      </c>
      <c r="O489" s="5">
        <v>119</v>
      </c>
      <c r="P489" s="2" t="str">
        <f t="shared" si="47"/>
        <v>NO</v>
      </c>
      <c r="Q489" s="2">
        <f t="shared" si="45"/>
        <v>-17</v>
      </c>
      <c r="R489" s="7">
        <f t="shared" si="46"/>
        <v>0</v>
      </c>
    </row>
    <row r="490" spans="1:18" ht="15" customHeight="1" x14ac:dyDescent="0.25">
      <c r="A490" s="7">
        <v>489</v>
      </c>
      <c r="B490" s="8" t="s">
        <v>151</v>
      </c>
      <c r="C490" s="8">
        <v>2014</v>
      </c>
      <c r="D490" s="8">
        <v>2015</v>
      </c>
      <c r="E490" s="3">
        <v>41990</v>
      </c>
      <c r="F490" s="4">
        <f t="shared" si="42"/>
        <v>12</v>
      </c>
      <c r="G490" s="4">
        <f t="shared" si="43"/>
        <v>17</v>
      </c>
      <c r="H490" s="4">
        <f t="shared" si="44"/>
        <v>2014</v>
      </c>
      <c r="I490" s="10" t="s">
        <v>157</v>
      </c>
      <c r="J490" s="5" t="s">
        <v>11</v>
      </c>
      <c r="K490" s="5" t="s">
        <v>17</v>
      </c>
      <c r="L490" s="5">
        <v>-3.5</v>
      </c>
      <c r="M490" s="5" t="s">
        <v>17</v>
      </c>
      <c r="N490" s="5">
        <v>92</v>
      </c>
      <c r="O490" s="5">
        <v>109</v>
      </c>
      <c r="P490" s="2" t="str">
        <f t="shared" si="47"/>
        <v>BOS</v>
      </c>
      <c r="Q490" s="2">
        <f t="shared" si="45"/>
        <v>13.5</v>
      </c>
      <c r="R490" s="7">
        <f t="shared" si="46"/>
        <v>1</v>
      </c>
    </row>
    <row r="491" spans="1:18" ht="15" customHeight="1" x14ac:dyDescent="0.25">
      <c r="A491" s="7">
        <v>490</v>
      </c>
      <c r="B491" s="8" t="s">
        <v>151</v>
      </c>
      <c r="C491" s="8">
        <v>2014</v>
      </c>
      <c r="D491" s="8">
        <v>2015</v>
      </c>
      <c r="E491" s="3">
        <v>41991</v>
      </c>
      <c r="F491" s="4">
        <f t="shared" si="42"/>
        <v>12</v>
      </c>
      <c r="G491" s="4">
        <f t="shared" si="43"/>
        <v>18</v>
      </c>
      <c r="H491" s="4">
        <f t="shared" si="44"/>
        <v>2014</v>
      </c>
      <c r="I491" s="10" t="s">
        <v>157</v>
      </c>
      <c r="J491" s="5" t="s">
        <v>126</v>
      </c>
      <c r="K491" s="5" t="s">
        <v>0</v>
      </c>
      <c r="L491" s="5">
        <v>-13</v>
      </c>
      <c r="M491" s="5" t="s">
        <v>0</v>
      </c>
      <c r="N491" s="5">
        <v>97</v>
      </c>
      <c r="O491" s="5">
        <v>103</v>
      </c>
      <c r="P491" s="2" t="str">
        <f t="shared" si="47"/>
        <v>NY</v>
      </c>
      <c r="Q491" s="2">
        <f t="shared" si="45"/>
        <v>-7</v>
      </c>
      <c r="R491" s="7">
        <f t="shared" si="46"/>
        <v>0</v>
      </c>
    </row>
    <row r="492" spans="1:18" ht="15" customHeight="1" x14ac:dyDescent="0.25">
      <c r="A492" s="7">
        <v>491</v>
      </c>
      <c r="B492" s="8" t="s">
        <v>151</v>
      </c>
      <c r="C492" s="8">
        <v>2014</v>
      </c>
      <c r="D492" s="8">
        <v>2015</v>
      </c>
      <c r="E492" s="3">
        <v>41992</v>
      </c>
      <c r="F492" s="4">
        <f t="shared" si="42"/>
        <v>12</v>
      </c>
      <c r="G492" s="4">
        <f t="shared" si="43"/>
        <v>19</v>
      </c>
      <c r="H492" s="4">
        <f t="shared" si="44"/>
        <v>2014</v>
      </c>
      <c r="I492" s="10" t="s">
        <v>157</v>
      </c>
      <c r="J492" s="5" t="s">
        <v>1</v>
      </c>
      <c r="K492" s="5" t="s">
        <v>134</v>
      </c>
      <c r="L492" s="5">
        <v>-4.5</v>
      </c>
      <c r="M492" s="5" t="s">
        <v>1</v>
      </c>
      <c r="N492" s="5">
        <v>129</v>
      </c>
      <c r="O492" s="5">
        <v>119</v>
      </c>
      <c r="P492" s="7" t="str">
        <f t="shared" si="47"/>
        <v>POR</v>
      </c>
      <c r="Q492" s="7">
        <f t="shared" si="45"/>
        <v>14.5</v>
      </c>
      <c r="R492" s="7">
        <f t="shared" si="46"/>
        <v>1</v>
      </c>
    </row>
    <row r="493" spans="1:18" ht="15" customHeight="1" x14ac:dyDescent="0.25">
      <c r="A493" s="7">
        <v>492</v>
      </c>
      <c r="B493" s="8" t="s">
        <v>151</v>
      </c>
      <c r="C493" s="8">
        <v>2014</v>
      </c>
      <c r="D493" s="8">
        <v>2015</v>
      </c>
      <c r="E493" s="3">
        <v>41993</v>
      </c>
      <c r="F493" s="4">
        <f t="shared" si="42"/>
        <v>12</v>
      </c>
      <c r="G493" s="4">
        <f t="shared" si="43"/>
        <v>20</v>
      </c>
      <c r="H493" s="4">
        <f t="shared" si="44"/>
        <v>2014</v>
      </c>
      <c r="I493" s="10" t="s">
        <v>157</v>
      </c>
      <c r="J493" s="5" t="s">
        <v>13</v>
      </c>
      <c r="K493" s="5" t="s">
        <v>23</v>
      </c>
      <c r="L493" s="5">
        <v>-3.5</v>
      </c>
      <c r="M493" s="5" t="s">
        <v>23</v>
      </c>
      <c r="N493" s="5">
        <v>73</v>
      </c>
      <c r="O493" s="5">
        <v>76</v>
      </c>
      <c r="P493" s="7" t="str">
        <f t="shared" si="47"/>
        <v>IND</v>
      </c>
      <c r="Q493" s="7">
        <f t="shared" si="45"/>
        <v>-0.5</v>
      </c>
      <c r="R493" s="7">
        <f t="shared" si="46"/>
        <v>0</v>
      </c>
    </row>
    <row r="494" spans="1:18" ht="15" customHeight="1" x14ac:dyDescent="0.25">
      <c r="A494" s="7">
        <v>493</v>
      </c>
      <c r="B494" s="8" t="s">
        <v>151</v>
      </c>
      <c r="C494" s="8">
        <v>2014</v>
      </c>
      <c r="D494" s="8">
        <v>2015</v>
      </c>
      <c r="E494" s="3">
        <v>41994</v>
      </c>
      <c r="F494" s="4">
        <f t="shared" si="42"/>
        <v>12</v>
      </c>
      <c r="G494" s="4">
        <f t="shared" si="43"/>
        <v>21</v>
      </c>
      <c r="H494" s="4">
        <f t="shared" si="44"/>
        <v>2014</v>
      </c>
      <c r="I494" s="10" t="s">
        <v>157</v>
      </c>
      <c r="J494" s="5" t="s">
        <v>17</v>
      </c>
      <c r="K494" s="5" t="s">
        <v>15</v>
      </c>
      <c r="L494" s="5">
        <v>-1.5</v>
      </c>
      <c r="M494" s="5" t="s">
        <v>17</v>
      </c>
      <c r="N494" s="5">
        <v>84</v>
      </c>
      <c r="O494" s="5">
        <v>100</v>
      </c>
      <c r="P494" s="7" t="str">
        <f t="shared" si="47"/>
        <v>MIA</v>
      </c>
      <c r="Q494" s="7">
        <f t="shared" si="45"/>
        <v>-14.5</v>
      </c>
      <c r="R494" s="7">
        <f t="shared" si="46"/>
        <v>0</v>
      </c>
    </row>
    <row r="495" spans="1:18" ht="15" customHeight="1" x14ac:dyDescent="0.25">
      <c r="A495" s="7">
        <v>494</v>
      </c>
      <c r="B495" s="8" t="s">
        <v>151</v>
      </c>
      <c r="C495" s="8">
        <v>2014</v>
      </c>
      <c r="D495" s="8">
        <v>2015</v>
      </c>
      <c r="E495" s="3">
        <v>41995</v>
      </c>
      <c r="F495" s="4">
        <f t="shared" si="42"/>
        <v>12</v>
      </c>
      <c r="G495" s="4">
        <f t="shared" si="43"/>
        <v>22</v>
      </c>
      <c r="H495" s="4">
        <f t="shared" si="44"/>
        <v>2014</v>
      </c>
      <c r="I495" s="10" t="s">
        <v>157</v>
      </c>
      <c r="J495" s="5" t="s">
        <v>23</v>
      </c>
      <c r="K495" s="5" t="s">
        <v>8</v>
      </c>
      <c r="L495" s="5">
        <v>-2.5</v>
      </c>
      <c r="M495" s="5" t="s">
        <v>23</v>
      </c>
      <c r="N495" s="5">
        <v>82</v>
      </c>
      <c r="O495" s="5">
        <v>110</v>
      </c>
      <c r="P495" s="7" t="str">
        <f t="shared" si="47"/>
        <v>CHA</v>
      </c>
      <c r="Q495" s="7">
        <f t="shared" si="45"/>
        <v>-25.5</v>
      </c>
      <c r="R495" s="7">
        <f t="shared" si="46"/>
        <v>0</v>
      </c>
    </row>
    <row r="496" spans="1:18" ht="15" customHeight="1" x14ac:dyDescent="0.25">
      <c r="A496" s="7">
        <v>495</v>
      </c>
      <c r="B496" s="8" t="s">
        <v>151</v>
      </c>
      <c r="C496" s="8">
        <v>2014</v>
      </c>
      <c r="D496" s="8">
        <v>2015</v>
      </c>
      <c r="E496" s="3">
        <v>41996</v>
      </c>
      <c r="F496" s="4">
        <f t="shared" si="42"/>
        <v>12</v>
      </c>
      <c r="G496" s="4">
        <f t="shared" si="43"/>
        <v>23</v>
      </c>
      <c r="H496" s="4">
        <f t="shared" si="44"/>
        <v>2014</v>
      </c>
      <c r="I496" s="10" t="s">
        <v>157</v>
      </c>
      <c r="J496" s="5" t="s">
        <v>0</v>
      </c>
      <c r="K496" s="5" t="s">
        <v>139</v>
      </c>
      <c r="L496" s="5">
        <v>-3</v>
      </c>
      <c r="M496" s="5" t="s">
        <v>139</v>
      </c>
      <c r="N496" s="5">
        <v>99</v>
      </c>
      <c r="O496" s="5">
        <v>91</v>
      </c>
      <c r="P496" s="7" t="str">
        <f t="shared" si="47"/>
        <v>CHI</v>
      </c>
      <c r="Q496" s="7">
        <f t="shared" si="45"/>
        <v>-11</v>
      </c>
      <c r="R496" s="7">
        <f t="shared" si="46"/>
        <v>0</v>
      </c>
    </row>
    <row r="497" spans="1:18" ht="15" customHeight="1" x14ac:dyDescent="0.25">
      <c r="A497" s="7">
        <v>496</v>
      </c>
      <c r="B497" s="8" t="s">
        <v>151</v>
      </c>
      <c r="C497" s="8">
        <v>2014</v>
      </c>
      <c r="D497" s="8">
        <v>2015</v>
      </c>
      <c r="E497" s="3">
        <v>41998</v>
      </c>
      <c r="F497" s="4">
        <f t="shared" si="42"/>
        <v>12</v>
      </c>
      <c r="G497" s="4">
        <f t="shared" si="43"/>
        <v>25</v>
      </c>
      <c r="H497" s="4">
        <f t="shared" si="44"/>
        <v>2014</v>
      </c>
      <c r="I497" s="10" t="s">
        <v>157</v>
      </c>
      <c r="J497" s="5" t="s">
        <v>139</v>
      </c>
      <c r="K497" s="5" t="s">
        <v>126</v>
      </c>
      <c r="L497" s="5">
        <v>5.5</v>
      </c>
      <c r="M497" s="5" t="s">
        <v>139</v>
      </c>
      <c r="N497" s="5">
        <v>102</v>
      </c>
      <c r="O497" s="5">
        <v>91</v>
      </c>
      <c r="P497" s="7" t="str">
        <f t="shared" si="47"/>
        <v>WSH</v>
      </c>
      <c r="Q497" s="7">
        <f t="shared" si="45"/>
        <v>5.5</v>
      </c>
      <c r="R497" s="7">
        <f t="shared" si="46"/>
        <v>1</v>
      </c>
    </row>
    <row r="498" spans="1:18" ht="15" customHeight="1" x14ac:dyDescent="0.25">
      <c r="A498" s="7">
        <v>497</v>
      </c>
      <c r="B498" s="8" t="s">
        <v>151</v>
      </c>
      <c r="C498" s="8">
        <v>2014</v>
      </c>
      <c r="D498" s="8">
        <v>2015</v>
      </c>
      <c r="E498" s="3">
        <v>41999</v>
      </c>
      <c r="F498" s="4">
        <f t="shared" si="42"/>
        <v>12</v>
      </c>
      <c r="G498" s="4">
        <f t="shared" si="43"/>
        <v>26</v>
      </c>
      <c r="H498" s="4">
        <f t="shared" si="44"/>
        <v>2014</v>
      </c>
      <c r="I498" s="10" t="s">
        <v>157</v>
      </c>
      <c r="J498" s="5" t="s">
        <v>13</v>
      </c>
      <c r="K498" s="5" t="s">
        <v>7</v>
      </c>
      <c r="L498" s="5">
        <v>2.5</v>
      </c>
      <c r="M498" s="5" t="s">
        <v>13</v>
      </c>
      <c r="N498" s="5">
        <v>109</v>
      </c>
      <c r="O498" s="5">
        <v>119</v>
      </c>
      <c r="P498" s="7" t="str">
        <f t="shared" si="47"/>
        <v>DET</v>
      </c>
      <c r="Q498" s="7">
        <f t="shared" si="45"/>
        <v>-12.5</v>
      </c>
      <c r="R498" s="7">
        <f t="shared" si="46"/>
        <v>0</v>
      </c>
    </row>
    <row r="499" spans="1:18" ht="15" customHeight="1" x14ac:dyDescent="0.25">
      <c r="A499" s="7">
        <v>498</v>
      </c>
      <c r="B499" s="8" t="s">
        <v>151</v>
      </c>
      <c r="C499" s="8">
        <v>2014</v>
      </c>
      <c r="D499" s="8">
        <v>2015</v>
      </c>
      <c r="E499" s="3">
        <v>42000</v>
      </c>
      <c r="F499" s="4">
        <f t="shared" si="42"/>
        <v>12</v>
      </c>
      <c r="G499" s="4">
        <f t="shared" si="43"/>
        <v>27</v>
      </c>
      <c r="H499" s="4">
        <f t="shared" si="44"/>
        <v>2014</v>
      </c>
      <c r="I499" s="10" t="s">
        <v>157</v>
      </c>
      <c r="J499" s="8" t="s">
        <v>11</v>
      </c>
      <c r="K499" s="8" t="s">
        <v>8</v>
      </c>
      <c r="L499" s="8">
        <v>-5.5</v>
      </c>
      <c r="M499" s="8" t="s">
        <v>8</v>
      </c>
      <c r="N499" s="8">
        <v>102</v>
      </c>
      <c r="O499" s="8">
        <v>94</v>
      </c>
      <c r="P499" s="2" t="str">
        <f t="shared" si="47"/>
        <v>ORL</v>
      </c>
      <c r="Q499" s="2">
        <f t="shared" si="45"/>
        <v>-13.5</v>
      </c>
      <c r="R499" s="7">
        <f t="shared" si="46"/>
        <v>0</v>
      </c>
    </row>
    <row r="500" spans="1:18" ht="15" customHeight="1" x14ac:dyDescent="0.25">
      <c r="A500" s="7">
        <v>499</v>
      </c>
      <c r="B500" s="8" t="s">
        <v>151</v>
      </c>
      <c r="C500" s="8">
        <v>2014</v>
      </c>
      <c r="D500" s="8">
        <v>2015</v>
      </c>
      <c r="E500" s="3">
        <v>42001</v>
      </c>
      <c r="F500" s="4">
        <f t="shared" si="42"/>
        <v>12</v>
      </c>
      <c r="G500" s="4">
        <f t="shared" si="43"/>
        <v>28</v>
      </c>
      <c r="H500" s="4">
        <f t="shared" si="44"/>
        <v>2014</v>
      </c>
      <c r="I500" s="10" t="s">
        <v>157</v>
      </c>
      <c r="J500" s="8" t="s">
        <v>19</v>
      </c>
      <c r="K500" s="8" t="s">
        <v>18</v>
      </c>
      <c r="L500" s="8">
        <v>-5</v>
      </c>
      <c r="M500" s="8" t="s">
        <v>19</v>
      </c>
      <c r="N500" s="8">
        <v>116</v>
      </c>
      <c r="O500" s="8">
        <v>107</v>
      </c>
      <c r="P500" s="2" t="str">
        <f t="shared" si="47"/>
        <v>PHX</v>
      </c>
      <c r="Q500" s="2">
        <f t="shared" si="45"/>
        <v>14</v>
      </c>
      <c r="R500" s="7">
        <f t="shared" si="46"/>
        <v>1</v>
      </c>
    </row>
    <row r="501" spans="1:18" ht="15" customHeight="1" x14ac:dyDescent="0.25">
      <c r="A501" s="7">
        <v>500</v>
      </c>
      <c r="B501" s="8" t="s">
        <v>151</v>
      </c>
      <c r="C501" s="8">
        <v>2014</v>
      </c>
      <c r="D501" s="8">
        <v>2015</v>
      </c>
      <c r="E501" s="3">
        <v>42002</v>
      </c>
      <c r="F501" s="4">
        <f t="shared" si="42"/>
        <v>12</v>
      </c>
      <c r="G501" s="4">
        <f t="shared" si="43"/>
        <v>29</v>
      </c>
      <c r="H501" s="4">
        <f t="shared" si="44"/>
        <v>2014</v>
      </c>
      <c r="I501" s="10" t="s">
        <v>157</v>
      </c>
      <c r="J501" s="8" t="s">
        <v>139</v>
      </c>
      <c r="K501" s="8" t="s">
        <v>4</v>
      </c>
      <c r="L501" s="8">
        <v>-4</v>
      </c>
      <c r="M501" s="8" t="s">
        <v>4</v>
      </c>
      <c r="N501" s="8">
        <v>104</v>
      </c>
      <c r="O501" s="8">
        <v>103</v>
      </c>
      <c r="P501" s="2" t="str">
        <f t="shared" si="47"/>
        <v>WSH</v>
      </c>
      <c r="Q501" s="2">
        <f t="shared" si="45"/>
        <v>-5</v>
      </c>
      <c r="R501" s="7">
        <f t="shared" si="46"/>
        <v>0</v>
      </c>
    </row>
    <row r="502" spans="1:18" ht="15" customHeight="1" x14ac:dyDescent="0.25">
      <c r="A502" s="7">
        <v>501</v>
      </c>
      <c r="B502" s="8" t="s">
        <v>151</v>
      </c>
      <c r="C502" s="8">
        <v>2014</v>
      </c>
      <c r="D502" s="8">
        <v>2015</v>
      </c>
      <c r="E502" s="3">
        <v>42003</v>
      </c>
      <c r="F502" s="4">
        <f t="shared" si="42"/>
        <v>12</v>
      </c>
      <c r="G502" s="4">
        <f t="shared" si="43"/>
        <v>30</v>
      </c>
      <c r="H502" s="4">
        <f t="shared" si="44"/>
        <v>2014</v>
      </c>
      <c r="I502" s="10" t="s">
        <v>157</v>
      </c>
      <c r="J502" s="8" t="s">
        <v>7</v>
      </c>
      <c r="K502" s="8" t="s">
        <v>11</v>
      </c>
      <c r="L502" s="8">
        <v>1</v>
      </c>
      <c r="M502" s="8" t="s">
        <v>7</v>
      </c>
      <c r="N502" s="8">
        <v>109</v>
      </c>
      <c r="O502" s="8">
        <v>86</v>
      </c>
      <c r="P502" s="2" t="str">
        <f t="shared" si="47"/>
        <v>DET</v>
      </c>
      <c r="Q502" s="2">
        <f t="shared" si="45"/>
        <v>22</v>
      </c>
      <c r="R502" s="7">
        <f t="shared" si="46"/>
        <v>1</v>
      </c>
    </row>
    <row r="503" spans="1:18" ht="15" customHeight="1" x14ac:dyDescent="0.25">
      <c r="A503" s="7">
        <v>502</v>
      </c>
      <c r="B503" s="8" t="s">
        <v>151</v>
      </c>
      <c r="C503" s="8">
        <v>2014</v>
      </c>
      <c r="D503" s="8">
        <v>2015</v>
      </c>
      <c r="E503" s="3">
        <v>42004</v>
      </c>
      <c r="F503" s="4">
        <f t="shared" si="42"/>
        <v>12</v>
      </c>
      <c r="G503" s="4">
        <f t="shared" si="43"/>
        <v>31</v>
      </c>
      <c r="H503" s="4">
        <f t="shared" si="44"/>
        <v>2014</v>
      </c>
      <c r="I503" s="10" t="s">
        <v>157</v>
      </c>
      <c r="J503" s="8" t="s">
        <v>15</v>
      </c>
      <c r="K503" s="8" t="s">
        <v>13</v>
      </c>
      <c r="L503" s="8">
        <v>-4</v>
      </c>
      <c r="M503" s="8" t="s">
        <v>15</v>
      </c>
      <c r="N503" s="8">
        <v>95</v>
      </c>
      <c r="O503" s="8">
        <v>106</v>
      </c>
      <c r="P503" s="2" t="str">
        <f t="shared" si="47"/>
        <v>IND</v>
      </c>
      <c r="Q503" s="2">
        <f t="shared" si="45"/>
        <v>-7</v>
      </c>
      <c r="R503" s="7">
        <f t="shared" si="46"/>
        <v>0</v>
      </c>
    </row>
    <row r="504" spans="1:18" ht="15" customHeight="1" x14ac:dyDescent="0.25">
      <c r="A504" s="7">
        <v>503</v>
      </c>
      <c r="B504" s="8" t="s">
        <v>151</v>
      </c>
      <c r="C504" s="8">
        <v>2014</v>
      </c>
      <c r="D504" s="8">
        <v>2015</v>
      </c>
      <c r="E504" s="3">
        <v>42005</v>
      </c>
      <c r="F504" s="4">
        <f t="shared" si="42"/>
        <v>1</v>
      </c>
      <c r="G504" s="4">
        <f t="shared" si="43"/>
        <v>1</v>
      </c>
      <c r="H504" s="4">
        <f t="shared" si="44"/>
        <v>2015</v>
      </c>
      <c r="I504" s="10" t="s">
        <v>157</v>
      </c>
      <c r="J504" s="8" t="s">
        <v>23</v>
      </c>
      <c r="K504" s="8" t="s">
        <v>0</v>
      </c>
      <c r="L504" s="8">
        <v>-11</v>
      </c>
      <c r="M504" s="8" t="s">
        <v>23</v>
      </c>
      <c r="N504" s="8">
        <v>101</v>
      </c>
      <c r="O504" s="8">
        <v>106</v>
      </c>
      <c r="P504" s="2" t="str">
        <f t="shared" si="47"/>
        <v>DEN</v>
      </c>
      <c r="Q504" s="2">
        <f t="shared" si="45"/>
        <v>6</v>
      </c>
      <c r="R504" s="7">
        <f t="shared" si="46"/>
        <v>1</v>
      </c>
    </row>
    <row r="505" spans="1:18" ht="15" customHeight="1" x14ac:dyDescent="0.25">
      <c r="A505" s="7">
        <v>504</v>
      </c>
      <c r="B505" s="8" t="s">
        <v>151</v>
      </c>
      <c r="C505" s="8">
        <v>2014</v>
      </c>
      <c r="D505" s="8">
        <v>2015</v>
      </c>
      <c r="E505" s="3">
        <v>42006</v>
      </c>
      <c r="F505" s="4">
        <f t="shared" si="42"/>
        <v>1</v>
      </c>
      <c r="G505" s="4">
        <f t="shared" si="43"/>
        <v>2</v>
      </c>
      <c r="H505" s="4">
        <f t="shared" si="44"/>
        <v>2015</v>
      </c>
      <c r="I505" s="10" t="s">
        <v>157</v>
      </c>
      <c r="J505" s="8" t="s">
        <v>16</v>
      </c>
      <c r="K505" s="8" t="s">
        <v>17</v>
      </c>
      <c r="L505" s="8">
        <v>5.5</v>
      </c>
      <c r="M505" s="8" t="s">
        <v>16</v>
      </c>
      <c r="N505" s="8">
        <v>119</v>
      </c>
      <c r="O505" s="8">
        <v>101</v>
      </c>
      <c r="P505" s="2" t="str">
        <f t="shared" si="47"/>
        <v>DAL</v>
      </c>
      <c r="Q505" s="2">
        <f t="shared" si="45"/>
        <v>12.5</v>
      </c>
      <c r="R505" s="7">
        <f t="shared" si="46"/>
        <v>1</v>
      </c>
    </row>
    <row r="506" spans="1:18" ht="15" customHeight="1" x14ac:dyDescent="0.25">
      <c r="A506" s="7">
        <v>505</v>
      </c>
      <c r="B506" s="8" t="s">
        <v>151</v>
      </c>
      <c r="C506" s="8">
        <v>2014</v>
      </c>
      <c r="D506" s="8">
        <v>2015</v>
      </c>
      <c r="E506" s="3">
        <v>42007</v>
      </c>
      <c r="F506" s="4">
        <f t="shared" si="42"/>
        <v>1</v>
      </c>
      <c r="G506" s="4">
        <f t="shared" si="43"/>
        <v>3</v>
      </c>
      <c r="H506" s="4">
        <f t="shared" si="44"/>
        <v>2015</v>
      </c>
      <c r="I506" s="10" t="s">
        <v>157</v>
      </c>
      <c r="J506" s="8" t="s">
        <v>5</v>
      </c>
      <c r="K506" s="8" t="s">
        <v>1</v>
      </c>
      <c r="L506" s="8">
        <v>-6</v>
      </c>
      <c r="M506" s="8" t="s">
        <v>1</v>
      </c>
      <c r="N506" s="8">
        <v>115</v>
      </c>
      <c r="O506" s="8">
        <v>107</v>
      </c>
      <c r="P506" s="2" t="str">
        <f t="shared" si="47"/>
        <v>ATL</v>
      </c>
      <c r="Q506" s="2">
        <f t="shared" si="45"/>
        <v>-14</v>
      </c>
      <c r="R506" s="7">
        <f t="shared" si="46"/>
        <v>0</v>
      </c>
    </row>
    <row r="507" spans="1:18" ht="15" customHeight="1" x14ac:dyDescent="0.25">
      <c r="A507" s="7">
        <v>506</v>
      </c>
      <c r="B507" s="8" t="s">
        <v>151</v>
      </c>
      <c r="C507" s="8">
        <v>2014</v>
      </c>
      <c r="D507" s="8">
        <v>2015</v>
      </c>
      <c r="E507" s="3">
        <v>42008</v>
      </c>
      <c r="F507" s="4">
        <f t="shared" si="42"/>
        <v>1</v>
      </c>
      <c r="G507" s="4">
        <f t="shared" si="43"/>
        <v>4</v>
      </c>
      <c r="H507" s="4">
        <f t="shared" si="44"/>
        <v>2015</v>
      </c>
      <c r="I507" s="10" t="s">
        <v>157</v>
      </c>
      <c r="J507" s="8" t="s">
        <v>2</v>
      </c>
      <c r="K507" s="8" t="s">
        <v>19</v>
      </c>
      <c r="L507" s="8">
        <v>-1</v>
      </c>
      <c r="M507" s="8" t="s">
        <v>19</v>
      </c>
      <c r="N507" s="8">
        <v>109</v>
      </c>
      <c r="O507" s="8">
        <v>125</v>
      </c>
      <c r="P507" s="2" t="str">
        <f t="shared" si="47"/>
        <v>PHX</v>
      </c>
      <c r="Q507" s="2">
        <f t="shared" si="45"/>
        <v>15</v>
      </c>
      <c r="R507" s="7">
        <f t="shared" si="46"/>
        <v>1</v>
      </c>
    </row>
    <row r="508" spans="1:18" ht="15" customHeight="1" x14ac:dyDescent="0.25">
      <c r="A508" s="7">
        <v>507</v>
      </c>
      <c r="B508" s="8" t="s">
        <v>151</v>
      </c>
      <c r="C508" s="8">
        <v>2014</v>
      </c>
      <c r="D508" s="8">
        <v>2015</v>
      </c>
      <c r="E508" s="3">
        <v>42009</v>
      </c>
      <c r="F508" s="4">
        <f t="shared" si="42"/>
        <v>1</v>
      </c>
      <c r="G508" s="4">
        <f t="shared" si="43"/>
        <v>5</v>
      </c>
      <c r="H508" s="4">
        <f t="shared" si="44"/>
        <v>2015</v>
      </c>
      <c r="I508" s="10" t="s">
        <v>157</v>
      </c>
      <c r="J508" s="8" t="s">
        <v>139</v>
      </c>
      <c r="K508" s="8" t="s">
        <v>124</v>
      </c>
      <c r="L508" s="8">
        <v>-3</v>
      </c>
      <c r="M508" s="8" t="s">
        <v>139</v>
      </c>
      <c r="N508" s="8">
        <v>92</v>
      </c>
      <c r="O508" s="8">
        <v>85</v>
      </c>
      <c r="P508" s="2" t="str">
        <f t="shared" si="47"/>
        <v>WSH</v>
      </c>
      <c r="Q508" s="2">
        <f t="shared" si="45"/>
        <v>10</v>
      </c>
      <c r="R508" s="7">
        <f t="shared" si="46"/>
        <v>1</v>
      </c>
    </row>
    <row r="509" spans="1:18" ht="15" customHeight="1" x14ac:dyDescent="0.25">
      <c r="A509" s="7">
        <v>508</v>
      </c>
      <c r="B509" s="8" t="s">
        <v>151</v>
      </c>
      <c r="C509" s="8">
        <v>2014</v>
      </c>
      <c r="D509" s="8">
        <v>2015</v>
      </c>
      <c r="E509" s="3">
        <v>42010</v>
      </c>
      <c r="F509" s="4">
        <f t="shared" si="42"/>
        <v>1</v>
      </c>
      <c r="G509" s="4">
        <f t="shared" si="43"/>
        <v>6</v>
      </c>
      <c r="H509" s="4">
        <f t="shared" si="44"/>
        <v>2015</v>
      </c>
      <c r="I509" s="10" t="s">
        <v>157</v>
      </c>
      <c r="J509" s="8" t="s">
        <v>19</v>
      </c>
      <c r="K509" s="8" t="s">
        <v>10</v>
      </c>
      <c r="L509" s="8">
        <v>4</v>
      </c>
      <c r="M509" s="8" t="s">
        <v>19</v>
      </c>
      <c r="N509" s="8">
        <v>102</v>
      </c>
      <c r="O509" s="8">
        <v>96</v>
      </c>
      <c r="P509" s="2" t="str">
        <f t="shared" si="47"/>
        <v>PHX</v>
      </c>
      <c r="Q509" s="2">
        <f t="shared" si="45"/>
        <v>2</v>
      </c>
      <c r="R509" s="7">
        <f t="shared" si="46"/>
        <v>1</v>
      </c>
    </row>
    <row r="510" spans="1:18" ht="15" customHeight="1" x14ac:dyDescent="0.25">
      <c r="A510" s="7">
        <v>509</v>
      </c>
      <c r="B510" s="8" t="s">
        <v>151</v>
      </c>
      <c r="C510" s="8">
        <v>2014</v>
      </c>
      <c r="D510" s="8">
        <v>2015</v>
      </c>
      <c r="E510" s="3">
        <v>42011</v>
      </c>
      <c r="F510" s="4">
        <f t="shared" si="42"/>
        <v>1</v>
      </c>
      <c r="G510" s="4">
        <f t="shared" si="43"/>
        <v>7</v>
      </c>
      <c r="H510" s="4">
        <f t="shared" si="44"/>
        <v>2015</v>
      </c>
      <c r="I510" s="10" t="s">
        <v>157</v>
      </c>
      <c r="J510" s="8" t="s">
        <v>126</v>
      </c>
      <c r="K510" s="8" t="s">
        <v>139</v>
      </c>
      <c r="L510" s="8">
        <v>-14.5</v>
      </c>
      <c r="M510" s="8" t="s">
        <v>139</v>
      </c>
      <c r="N510" s="8">
        <v>91</v>
      </c>
      <c r="O510" s="8">
        <v>101</v>
      </c>
      <c r="P510" s="2" t="str">
        <f t="shared" si="47"/>
        <v>NY</v>
      </c>
      <c r="Q510" s="2">
        <f t="shared" si="45"/>
        <v>-4.5</v>
      </c>
      <c r="R510" s="7">
        <f t="shared" si="46"/>
        <v>0</v>
      </c>
    </row>
    <row r="511" spans="1:18" ht="15" customHeight="1" x14ac:dyDescent="0.25">
      <c r="A511" s="7">
        <v>510</v>
      </c>
      <c r="B511" s="8" t="s">
        <v>151</v>
      </c>
      <c r="C511" s="8">
        <v>2014</v>
      </c>
      <c r="D511" s="8">
        <v>2015</v>
      </c>
      <c r="E511" s="3">
        <v>42012</v>
      </c>
      <c r="F511" s="4">
        <f t="shared" si="42"/>
        <v>1</v>
      </c>
      <c r="G511" s="4">
        <f t="shared" si="43"/>
        <v>8</v>
      </c>
      <c r="H511" s="4">
        <f t="shared" si="44"/>
        <v>2015</v>
      </c>
      <c r="I511" s="10" t="s">
        <v>157</v>
      </c>
      <c r="J511" s="8" t="s">
        <v>8</v>
      </c>
      <c r="K511" s="8" t="s">
        <v>2</v>
      </c>
      <c r="L511" s="8">
        <v>-12.5</v>
      </c>
      <c r="M511" s="8" t="s">
        <v>8</v>
      </c>
      <c r="N511" s="8">
        <v>103</v>
      </c>
      <c r="O511" s="8">
        <v>95</v>
      </c>
      <c r="P511" s="2" t="str">
        <f t="shared" si="47"/>
        <v>CHA</v>
      </c>
      <c r="Q511" s="2">
        <f t="shared" si="45"/>
        <v>20.5</v>
      </c>
      <c r="R511" s="7">
        <f t="shared" si="46"/>
        <v>1</v>
      </c>
    </row>
    <row r="512" spans="1:18" ht="15" customHeight="1" x14ac:dyDescent="0.25">
      <c r="A512" s="7">
        <v>511</v>
      </c>
      <c r="B512" s="8" t="s">
        <v>151</v>
      </c>
      <c r="C512" s="8">
        <v>2014</v>
      </c>
      <c r="D512" s="8">
        <v>2015</v>
      </c>
      <c r="E512" s="3">
        <v>42013</v>
      </c>
      <c r="F512" s="4">
        <f t="shared" si="42"/>
        <v>1</v>
      </c>
      <c r="G512" s="4">
        <f t="shared" si="43"/>
        <v>9</v>
      </c>
      <c r="H512" s="4">
        <f t="shared" si="44"/>
        <v>2015</v>
      </c>
      <c r="I512" s="10" t="s">
        <v>157</v>
      </c>
      <c r="J512" s="8" t="s">
        <v>5</v>
      </c>
      <c r="K512" s="8" t="s">
        <v>7</v>
      </c>
      <c r="L512" s="8">
        <v>-2.5</v>
      </c>
      <c r="M512" s="8" t="s">
        <v>5</v>
      </c>
      <c r="N512" s="8">
        <v>106</v>
      </c>
      <c r="O512" s="8">
        <v>103</v>
      </c>
      <c r="P512" s="2" t="str">
        <f t="shared" si="47"/>
        <v>ATL</v>
      </c>
      <c r="Q512" s="2">
        <f t="shared" si="45"/>
        <v>5.5</v>
      </c>
      <c r="R512" s="7">
        <f t="shared" si="46"/>
        <v>1</v>
      </c>
    </row>
    <row r="513" spans="1:18" ht="15" customHeight="1" x14ac:dyDescent="0.25">
      <c r="A513" s="7">
        <v>512</v>
      </c>
      <c r="B513" s="8" t="s">
        <v>151</v>
      </c>
      <c r="C513" s="8">
        <v>2014</v>
      </c>
      <c r="D513" s="8">
        <v>2015</v>
      </c>
      <c r="E513" s="3">
        <v>42014</v>
      </c>
      <c r="F513" s="4">
        <f t="shared" si="42"/>
        <v>1</v>
      </c>
      <c r="G513" s="4">
        <f t="shared" si="43"/>
        <v>10</v>
      </c>
      <c r="H513" s="4">
        <f t="shared" si="44"/>
        <v>2015</v>
      </c>
      <c r="I513" s="10" t="s">
        <v>157</v>
      </c>
      <c r="J513" s="8" t="s">
        <v>13</v>
      </c>
      <c r="K513" s="8" t="s">
        <v>20</v>
      </c>
      <c r="L513" s="8">
        <v>-6</v>
      </c>
      <c r="M513" s="8" t="s">
        <v>13</v>
      </c>
      <c r="N513" s="8">
        <v>92</v>
      </c>
      <c r="O513" s="8">
        <v>93</v>
      </c>
      <c r="P513" s="2" t="str">
        <f t="shared" si="47"/>
        <v>IND</v>
      </c>
      <c r="Q513" s="2">
        <f t="shared" si="45"/>
        <v>5</v>
      </c>
      <c r="R513" s="7">
        <f t="shared" si="46"/>
        <v>1</v>
      </c>
    </row>
    <row r="514" spans="1:18" ht="15" customHeight="1" x14ac:dyDescent="0.25">
      <c r="A514" s="7">
        <v>513</v>
      </c>
      <c r="B514" s="8" t="s">
        <v>151</v>
      </c>
      <c r="C514" s="8">
        <v>2014</v>
      </c>
      <c r="D514" s="8">
        <v>2015</v>
      </c>
      <c r="E514" s="3">
        <v>42015</v>
      </c>
      <c r="F514" s="4">
        <f t="shared" ref="F514:F577" si="48">MONTH(E514)</f>
        <v>1</v>
      </c>
      <c r="G514" s="4">
        <f t="shared" ref="G514:G577" si="49">DAY(E514)</f>
        <v>11</v>
      </c>
      <c r="H514" s="4">
        <f t="shared" ref="H514:H577" si="50">YEAR(E514)</f>
        <v>2015</v>
      </c>
      <c r="I514" s="10" t="s">
        <v>157</v>
      </c>
      <c r="J514" s="8" t="s">
        <v>15</v>
      </c>
      <c r="K514" s="8" t="s">
        <v>14</v>
      </c>
      <c r="L514" s="8">
        <v>-10</v>
      </c>
      <c r="M514" s="8" t="s">
        <v>14</v>
      </c>
      <c r="N514" s="8">
        <v>104</v>
      </c>
      <c r="O514" s="8">
        <v>90</v>
      </c>
      <c r="P514" s="2" t="str">
        <f t="shared" si="47"/>
        <v>MIA</v>
      </c>
      <c r="Q514" s="2">
        <f t="shared" ref="Q514:Q577" si="51">IF(AND(N514&gt;0,O514&gt;0,(O514+L514)=N514),0,IF(P514="","",IF(P514=M514,ABS((O514+L514)-N514),-ABS((O514+L514)-N514))))</f>
        <v>-24</v>
      </c>
      <c r="R514" s="7">
        <f t="shared" si="46"/>
        <v>0</v>
      </c>
    </row>
    <row r="515" spans="1:18" ht="15" customHeight="1" x14ac:dyDescent="0.25">
      <c r="A515" s="7">
        <v>514</v>
      </c>
      <c r="B515" s="8" t="s">
        <v>151</v>
      </c>
      <c r="C515" s="8">
        <v>2014</v>
      </c>
      <c r="D515" s="8">
        <v>2015</v>
      </c>
      <c r="E515" s="3">
        <v>42016</v>
      </c>
      <c r="F515" s="4">
        <f t="shared" si="48"/>
        <v>1</v>
      </c>
      <c r="G515" s="4">
        <f t="shared" si="49"/>
        <v>12</v>
      </c>
      <c r="H515" s="4">
        <f t="shared" si="50"/>
        <v>2015</v>
      </c>
      <c r="I515" s="10" t="s">
        <v>157</v>
      </c>
      <c r="J515" s="5" t="s">
        <v>7</v>
      </c>
      <c r="K515" s="5" t="s">
        <v>2</v>
      </c>
      <c r="L515" s="8">
        <v>-6</v>
      </c>
      <c r="M515" s="5" t="s">
        <v>7</v>
      </c>
      <c r="N515" s="8">
        <v>114</v>
      </c>
      <c r="O515" s="8">
        <v>111</v>
      </c>
      <c r="P515" s="2" t="str">
        <f t="shared" si="47"/>
        <v>DET</v>
      </c>
      <c r="Q515" s="2">
        <f t="shared" si="51"/>
        <v>9</v>
      </c>
      <c r="R515" s="7">
        <f t="shared" ref="R515:R578" si="52">IF(Q515="","",IF(P515=M515,1,IF(Q515=0,"na",0)))</f>
        <v>1</v>
      </c>
    </row>
    <row r="516" spans="1:18" ht="15" customHeight="1" x14ac:dyDescent="0.25">
      <c r="A516" s="7">
        <v>515</v>
      </c>
      <c r="B516" s="8" t="s">
        <v>151</v>
      </c>
      <c r="C516" s="8">
        <v>2014</v>
      </c>
      <c r="D516" s="8">
        <v>2015</v>
      </c>
      <c r="E516" s="3">
        <v>42017</v>
      </c>
      <c r="F516" s="4">
        <f t="shared" si="48"/>
        <v>1</v>
      </c>
      <c r="G516" s="4">
        <f t="shared" si="49"/>
        <v>13</v>
      </c>
      <c r="H516" s="4">
        <f t="shared" si="50"/>
        <v>2015</v>
      </c>
      <c r="I516" s="10" t="s">
        <v>157</v>
      </c>
      <c r="J516" s="5" t="s">
        <v>16</v>
      </c>
      <c r="K516" s="5" t="s">
        <v>21</v>
      </c>
      <c r="L516" s="5">
        <v>5</v>
      </c>
      <c r="M516" s="5" t="s">
        <v>16</v>
      </c>
      <c r="N516" s="5">
        <v>108</v>
      </c>
      <c r="O516" s="5">
        <v>104</v>
      </c>
      <c r="P516" s="2" t="str">
        <f t="shared" si="47"/>
        <v>SAC</v>
      </c>
      <c r="Q516" s="2">
        <f t="shared" si="51"/>
        <v>-1</v>
      </c>
      <c r="R516" s="7">
        <f t="shared" si="52"/>
        <v>0</v>
      </c>
    </row>
    <row r="517" spans="1:18" ht="15" customHeight="1" x14ac:dyDescent="0.25">
      <c r="A517" s="7">
        <v>516</v>
      </c>
      <c r="B517" s="8" t="s">
        <v>151</v>
      </c>
      <c r="C517" s="8">
        <v>2014</v>
      </c>
      <c r="D517" s="8">
        <v>2015</v>
      </c>
      <c r="E517" s="3">
        <v>42018</v>
      </c>
      <c r="F517" s="4">
        <f t="shared" si="48"/>
        <v>1</v>
      </c>
      <c r="G517" s="4">
        <f t="shared" si="49"/>
        <v>14</v>
      </c>
      <c r="H517" s="4">
        <f t="shared" si="50"/>
        <v>2015</v>
      </c>
      <c r="I517" s="10" t="s">
        <v>157</v>
      </c>
      <c r="J517" s="5" t="s">
        <v>14</v>
      </c>
      <c r="K517" s="5" t="s">
        <v>1</v>
      </c>
      <c r="L517" s="5">
        <v>-4</v>
      </c>
      <c r="M517" s="5" t="s">
        <v>1</v>
      </c>
      <c r="N517" s="5">
        <v>100</v>
      </c>
      <c r="O517" s="5">
        <v>94</v>
      </c>
      <c r="P517" s="2" t="str">
        <f t="shared" si="47"/>
        <v>LAC</v>
      </c>
      <c r="Q517" s="2">
        <f t="shared" si="51"/>
        <v>-10</v>
      </c>
      <c r="R517" s="7">
        <f t="shared" si="52"/>
        <v>0</v>
      </c>
    </row>
    <row r="518" spans="1:18" ht="15" customHeight="1" x14ac:dyDescent="0.25">
      <c r="A518" s="7">
        <v>517</v>
      </c>
      <c r="B518" s="8" t="s">
        <v>151</v>
      </c>
      <c r="C518" s="8">
        <v>2014</v>
      </c>
      <c r="D518" s="8">
        <v>2015</v>
      </c>
      <c r="E518" s="3">
        <v>42019</v>
      </c>
      <c r="F518" s="4">
        <f t="shared" si="48"/>
        <v>1</v>
      </c>
      <c r="G518" s="4">
        <f t="shared" si="49"/>
        <v>15</v>
      </c>
      <c r="H518" s="4">
        <f t="shared" si="50"/>
        <v>2015</v>
      </c>
      <c r="I518" s="10" t="s">
        <v>157</v>
      </c>
      <c r="J518" s="5" t="s">
        <v>12</v>
      </c>
      <c r="K518" s="5" t="s">
        <v>4</v>
      </c>
      <c r="L518" s="5">
        <v>-1.5</v>
      </c>
      <c r="M518" s="5" t="s">
        <v>12</v>
      </c>
      <c r="N518" s="5">
        <v>101</v>
      </c>
      <c r="O518" s="5">
        <v>112</v>
      </c>
      <c r="P518" s="2" t="str">
        <f t="shared" ref="P518:P581" si="53">IF(OR(N518="",O518=""),"",IF((O518+L518)&gt;N518,K518,IF((O518+L518)=N518,"N/A",J518)))</f>
        <v>HOU</v>
      </c>
      <c r="Q518" s="2">
        <f t="shared" si="51"/>
        <v>-9.5</v>
      </c>
      <c r="R518" s="7">
        <f t="shared" si="52"/>
        <v>0</v>
      </c>
    </row>
    <row r="519" spans="1:18" ht="15" customHeight="1" x14ac:dyDescent="0.25">
      <c r="A519" s="7">
        <v>518</v>
      </c>
      <c r="B519" s="8" t="s">
        <v>151</v>
      </c>
      <c r="C519" s="8">
        <v>2014</v>
      </c>
      <c r="D519" s="8">
        <v>2015</v>
      </c>
      <c r="E519" s="3">
        <v>42020</v>
      </c>
      <c r="F519" s="4">
        <f t="shared" si="48"/>
        <v>1</v>
      </c>
      <c r="G519" s="4">
        <f t="shared" si="49"/>
        <v>16</v>
      </c>
      <c r="H519" s="4">
        <f t="shared" si="50"/>
        <v>2015</v>
      </c>
      <c r="I519" s="10" t="s">
        <v>157</v>
      </c>
      <c r="J519" s="5" t="s">
        <v>9</v>
      </c>
      <c r="K519" s="5" t="s">
        <v>11</v>
      </c>
      <c r="L519" s="5">
        <v>-6.5</v>
      </c>
      <c r="M519" s="5" t="s">
        <v>9</v>
      </c>
      <c r="N519" s="5">
        <v>106</v>
      </c>
      <c r="O519" s="5">
        <v>96</v>
      </c>
      <c r="P519" s="2" t="str">
        <f t="shared" si="53"/>
        <v>MEM</v>
      </c>
      <c r="Q519" s="2">
        <f t="shared" si="51"/>
        <v>16.5</v>
      </c>
      <c r="R519" s="7">
        <f t="shared" si="52"/>
        <v>1</v>
      </c>
    </row>
    <row r="520" spans="1:18" ht="15" customHeight="1" x14ac:dyDescent="0.25">
      <c r="A520" s="7">
        <v>519</v>
      </c>
      <c r="B520" s="8" t="s">
        <v>151</v>
      </c>
      <c r="C520" s="8">
        <v>2014</v>
      </c>
      <c r="D520" s="8">
        <v>2015</v>
      </c>
      <c r="E520" s="3">
        <v>42021</v>
      </c>
      <c r="F520" s="4">
        <f t="shared" si="48"/>
        <v>1</v>
      </c>
      <c r="G520" s="4">
        <f t="shared" si="49"/>
        <v>17</v>
      </c>
      <c r="H520" s="4">
        <f t="shared" si="50"/>
        <v>2015</v>
      </c>
      <c r="I520" s="10" t="s">
        <v>157</v>
      </c>
      <c r="J520" s="5" t="s">
        <v>1</v>
      </c>
      <c r="K520" s="5" t="s">
        <v>9</v>
      </c>
      <c r="L520" s="5">
        <v>-3</v>
      </c>
      <c r="M520" s="5" t="s">
        <v>1</v>
      </c>
      <c r="N520" s="5">
        <v>98</v>
      </c>
      <c r="O520" s="5">
        <v>102</v>
      </c>
      <c r="P520" s="2" t="str">
        <f t="shared" si="53"/>
        <v>MEM</v>
      </c>
      <c r="Q520" s="2">
        <f t="shared" si="51"/>
        <v>-1</v>
      </c>
      <c r="R520" s="7">
        <f t="shared" si="52"/>
        <v>0</v>
      </c>
    </row>
    <row r="521" spans="1:18" ht="15" customHeight="1" x14ac:dyDescent="0.25">
      <c r="A521" s="7">
        <v>520</v>
      </c>
      <c r="B521" s="8" t="s">
        <v>151</v>
      </c>
      <c r="C521" s="8">
        <v>2014</v>
      </c>
      <c r="D521" s="8">
        <v>2015</v>
      </c>
      <c r="E521" s="3">
        <v>42022</v>
      </c>
      <c r="F521" s="4">
        <f t="shared" si="48"/>
        <v>1</v>
      </c>
      <c r="G521" s="4">
        <f t="shared" si="49"/>
        <v>18</v>
      </c>
      <c r="H521" s="4">
        <f t="shared" si="50"/>
        <v>2015</v>
      </c>
      <c r="I521" s="10" t="s">
        <v>157</v>
      </c>
      <c r="J521" s="5" t="s">
        <v>12</v>
      </c>
      <c r="K521" s="5" t="s">
        <v>11</v>
      </c>
      <c r="L521" s="5">
        <v>9.5</v>
      </c>
      <c r="M521" s="5" t="s">
        <v>11</v>
      </c>
      <c r="N521" s="5">
        <v>127</v>
      </c>
      <c r="O521" s="5">
        <v>99</v>
      </c>
      <c r="P521" s="2" t="str">
        <f t="shared" si="53"/>
        <v>OKC</v>
      </c>
      <c r="Q521" s="2">
        <f t="shared" si="51"/>
        <v>-18.5</v>
      </c>
      <c r="R521" s="7">
        <f t="shared" si="52"/>
        <v>0</v>
      </c>
    </row>
    <row r="522" spans="1:18" ht="15" customHeight="1" x14ac:dyDescent="0.25">
      <c r="A522" s="7">
        <v>521</v>
      </c>
      <c r="B522" s="8" t="s">
        <v>151</v>
      </c>
      <c r="C522" s="8">
        <v>2014</v>
      </c>
      <c r="D522" s="8">
        <v>2015</v>
      </c>
      <c r="E522" s="3">
        <v>42023</v>
      </c>
      <c r="F522" s="4">
        <f t="shared" si="48"/>
        <v>1</v>
      </c>
      <c r="G522" s="4">
        <f t="shared" si="49"/>
        <v>19</v>
      </c>
      <c r="H522" s="4">
        <f t="shared" si="50"/>
        <v>2015</v>
      </c>
      <c r="I522" s="10" t="s">
        <v>157</v>
      </c>
      <c r="J522" s="5" t="s">
        <v>16</v>
      </c>
      <c r="K522" s="5" t="s">
        <v>9</v>
      </c>
      <c r="L522" s="5">
        <v>-2.5</v>
      </c>
      <c r="M522" s="5" t="s">
        <v>16</v>
      </c>
      <c r="N522" s="5">
        <v>103</v>
      </c>
      <c r="O522" s="5">
        <v>95</v>
      </c>
      <c r="P522" s="2" t="str">
        <f t="shared" si="53"/>
        <v>DAL</v>
      </c>
      <c r="Q522" s="2">
        <f t="shared" si="51"/>
        <v>10.5</v>
      </c>
      <c r="R522" s="7">
        <f t="shared" si="52"/>
        <v>1</v>
      </c>
    </row>
    <row r="523" spans="1:18" ht="15" customHeight="1" x14ac:dyDescent="0.25">
      <c r="A523" s="7">
        <v>522</v>
      </c>
      <c r="B523" s="8" t="s">
        <v>151</v>
      </c>
      <c r="C523" s="8">
        <v>2014</v>
      </c>
      <c r="D523" s="8">
        <v>2015</v>
      </c>
      <c r="E523" s="3">
        <v>42024</v>
      </c>
      <c r="F523" s="4">
        <f t="shared" si="48"/>
        <v>1</v>
      </c>
      <c r="G523" s="4">
        <f t="shared" si="49"/>
        <v>20</v>
      </c>
      <c r="H523" s="4">
        <f t="shared" si="50"/>
        <v>2015</v>
      </c>
      <c r="I523" s="10" t="s">
        <v>157</v>
      </c>
      <c r="J523" s="5" t="s">
        <v>134</v>
      </c>
      <c r="K523" s="5" t="s">
        <v>23</v>
      </c>
      <c r="L523" s="5">
        <v>7.5</v>
      </c>
      <c r="M523" s="5" t="s">
        <v>134</v>
      </c>
      <c r="N523" s="5">
        <v>109</v>
      </c>
      <c r="O523" s="5">
        <v>99</v>
      </c>
      <c r="P523" s="2" t="str">
        <f t="shared" si="53"/>
        <v>SA</v>
      </c>
      <c r="Q523" s="2">
        <f t="shared" si="51"/>
        <v>2.5</v>
      </c>
      <c r="R523" s="7">
        <f t="shared" si="52"/>
        <v>1</v>
      </c>
    </row>
    <row r="524" spans="1:18" ht="15" customHeight="1" x14ac:dyDescent="0.25">
      <c r="A524" s="7">
        <v>523</v>
      </c>
      <c r="B524" s="8" t="s">
        <v>151</v>
      </c>
      <c r="C524" s="8">
        <v>2014</v>
      </c>
      <c r="D524" s="8">
        <v>2015</v>
      </c>
      <c r="E524" s="3">
        <v>42025</v>
      </c>
      <c r="F524" s="4">
        <f t="shared" si="48"/>
        <v>1</v>
      </c>
      <c r="G524" s="4">
        <f t="shared" si="49"/>
        <v>21</v>
      </c>
      <c r="H524" s="4">
        <f t="shared" si="50"/>
        <v>2015</v>
      </c>
      <c r="I524" s="10" t="s">
        <v>157</v>
      </c>
      <c r="J524" s="5" t="s">
        <v>2</v>
      </c>
      <c r="K524" s="5" t="s">
        <v>9</v>
      </c>
      <c r="L524" s="5">
        <v>-5.5</v>
      </c>
      <c r="M524" s="5" t="s">
        <v>9</v>
      </c>
      <c r="N524" s="5">
        <v>86</v>
      </c>
      <c r="O524" s="5">
        <v>92</v>
      </c>
      <c r="P524" s="2" t="str">
        <f t="shared" si="53"/>
        <v>MEM</v>
      </c>
      <c r="Q524" s="2">
        <f t="shared" si="51"/>
        <v>0.5</v>
      </c>
      <c r="R524" s="7">
        <f t="shared" si="52"/>
        <v>1</v>
      </c>
    </row>
    <row r="525" spans="1:18" ht="15" customHeight="1" x14ac:dyDescent="0.25">
      <c r="A525" s="7">
        <v>524</v>
      </c>
      <c r="B525" s="8" t="s">
        <v>151</v>
      </c>
      <c r="C525" s="8">
        <v>2014</v>
      </c>
      <c r="D525" s="8">
        <v>2015</v>
      </c>
      <c r="E525" s="3">
        <v>42026</v>
      </c>
      <c r="F525" s="4">
        <f t="shared" si="48"/>
        <v>1</v>
      </c>
      <c r="G525" s="4">
        <f t="shared" si="49"/>
        <v>22</v>
      </c>
      <c r="H525" s="4">
        <f t="shared" si="50"/>
        <v>2015</v>
      </c>
      <c r="I525" s="10" t="s">
        <v>157</v>
      </c>
      <c r="J525" s="5" t="s">
        <v>137</v>
      </c>
      <c r="K525" s="5" t="s">
        <v>10</v>
      </c>
      <c r="L525" s="5">
        <v>-7.5</v>
      </c>
      <c r="M525" s="5" t="s">
        <v>10</v>
      </c>
      <c r="N525" s="5">
        <v>101</v>
      </c>
      <c r="O525" s="5">
        <v>99</v>
      </c>
      <c r="P525" s="2" t="str">
        <f t="shared" si="53"/>
        <v>UTAH</v>
      </c>
      <c r="Q525" s="2">
        <f t="shared" si="51"/>
        <v>-9.5</v>
      </c>
      <c r="R525" s="7">
        <f t="shared" si="52"/>
        <v>0</v>
      </c>
    </row>
    <row r="526" spans="1:18" ht="15" customHeight="1" x14ac:dyDescent="0.25">
      <c r="A526" s="7">
        <v>525</v>
      </c>
      <c r="B526" s="8" t="s">
        <v>151</v>
      </c>
      <c r="C526" s="8">
        <v>2014</v>
      </c>
      <c r="D526" s="8">
        <v>2015</v>
      </c>
      <c r="E526" s="3">
        <v>42027</v>
      </c>
      <c r="F526" s="4">
        <f t="shared" si="48"/>
        <v>1</v>
      </c>
      <c r="G526" s="4">
        <f t="shared" si="49"/>
        <v>23</v>
      </c>
      <c r="H526" s="4">
        <f t="shared" si="50"/>
        <v>2015</v>
      </c>
      <c r="I526" s="10" t="s">
        <v>157</v>
      </c>
      <c r="J526" s="5" t="s">
        <v>4</v>
      </c>
      <c r="K526" s="5" t="s">
        <v>19</v>
      </c>
      <c r="L526" s="5">
        <v>-2.5</v>
      </c>
      <c r="M526" s="5" t="s">
        <v>4</v>
      </c>
      <c r="N526" s="5">
        <v>113</v>
      </c>
      <c r="O526" s="5">
        <v>111</v>
      </c>
      <c r="P526" s="2" t="str">
        <f t="shared" si="53"/>
        <v>HOU</v>
      </c>
      <c r="Q526" s="2">
        <f t="shared" si="51"/>
        <v>4.5</v>
      </c>
      <c r="R526" s="7">
        <f t="shared" si="52"/>
        <v>1</v>
      </c>
    </row>
    <row r="527" spans="1:18" ht="15" customHeight="1" x14ac:dyDescent="0.25">
      <c r="A527" s="7">
        <v>526</v>
      </c>
      <c r="B527" s="8" t="s">
        <v>151</v>
      </c>
      <c r="C527" s="8">
        <v>2014</v>
      </c>
      <c r="D527" s="8">
        <v>2015</v>
      </c>
      <c r="E527" s="3">
        <v>42028</v>
      </c>
      <c r="F527" s="4">
        <f t="shared" si="48"/>
        <v>1</v>
      </c>
      <c r="G527" s="4">
        <f t="shared" si="49"/>
        <v>24</v>
      </c>
      <c r="H527" s="4">
        <f t="shared" si="50"/>
        <v>2015</v>
      </c>
      <c r="I527" s="10" t="s">
        <v>157</v>
      </c>
      <c r="J527" s="5" t="s">
        <v>139</v>
      </c>
      <c r="K527" s="5" t="s">
        <v>1</v>
      </c>
      <c r="L527" s="5">
        <v>5</v>
      </c>
      <c r="M527" s="5" t="s">
        <v>139</v>
      </c>
      <c r="N527" s="5">
        <v>96</v>
      </c>
      <c r="O527" s="5">
        <v>103</v>
      </c>
      <c r="P527" s="7" t="str">
        <f t="shared" si="53"/>
        <v>POR</v>
      </c>
      <c r="Q527" s="7">
        <f t="shared" si="51"/>
        <v>-12</v>
      </c>
      <c r="R527" s="7">
        <f t="shared" si="52"/>
        <v>0</v>
      </c>
    </row>
    <row r="528" spans="1:18" ht="15" customHeight="1" x14ac:dyDescent="0.25">
      <c r="A528" s="7">
        <v>527</v>
      </c>
      <c r="B528" s="8" t="s">
        <v>151</v>
      </c>
      <c r="C528" s="8">
        <v>2014</v>
      </c>
      <c r="D528" s="8">
        <v>2015</v>
      </c>
      <c r="E528" s="3">
        <v>42029</v>
      </c>
      <c r="F528" s="4">
        <f t="shared" si="48"/>
        <v>1</v>
      </c>
      <c r="G528" s="4">
        <f t="shared" si="49"/>
        <v>25</v>
      </c>
      <c r="H528" s="4">
        <f t="shared" si="50"/>
        <v>2015</v>
      </c>
      <c r="I528" s="10" t="s">
        <v>157</v>
      </c>
      <c r="J528" s="5" t="s">
        <v>16</v>
      </c>
      <c r="K528" s="5" t="s">
        <v>124</v>
      </c>
      <c r="L528" s="5">
        <v>3</v>
      </c>
      <c r="M528" s="5" t="s">
        <v>124</v>
      </c>
      <c r="N528" s="5">
        <v>106</v>
      </c>
      <c r="O528" s="5">
        <v>109</v>
      </c>
      <c r="P528" s="7" t="str">
        <f t="shared" si="53"/>
        <v>NO</v>
      </c>
      <c r="Q528" s="7">
        <f t="shared" si="51"/>
        <v>6</v>
      </c>
      <c r="R528" s="7">
        <f t="shared" si="52"/>
        <v>1</v>
      </c>
    </row>
    <row r="529" spans="1:18" ht="15" customHeight="1" x14ac:dyDescent="0.25">
      <c r="A529" s="7">
        <v>528</v>
      </c>
      <c r="B529" s="8" t="s">
        <v>151</v>
      </c>
      <c r="C529" s="8">
        <v>2014</v>
      </c>
      <c r="D529" s="8">
        <v>2015</v>
      </c>
      <c r="E529" s="3">
        <v>42030</v>
      </c>
      <c r="F529" s="4">
        <f t="shared" si="48"/>
        <v>1</v>
      </c>
      <c r="G529" s="4">
        <f t="shared" si="49"/>
        <v>26</v>
      </c>
      <c r="H529" s="4">
        <f t="shared" si="50"/>
        <v>2015</v>
      </c>
      <c r="I529" s="10" t="s">
        <v>157</v>
      </c>
      <c r="J529" s="5" t="s">
        <v>17</v>
      </c>
      <c r="K529" s="5" t="s">
        <v>137</v>
      </c>
      <c r="L529" s="5">
        <v>-7.5</v>
      </c>
      <c r="M529" s="5" t="s">
        <v>17</v>
      </c>
      <c r="N529" s="5">
        <v>99</v>
      </c>
      <c r="O529" s="5">
        <v>90</v>
      </c>
      <c r="P529" s="7" t="str">
        <f t="shared" si="53"/>
        <v>BOS</v>
      </c>
      <c r="Q529" s="7">
        <f t="shared" si="51"/>
        <v>16.5</v>
      </c>
      <c r="R529" s="7">
        <f t="shared" si="52"/>
        <v>1</v>
      </c>
    </row>
    <row r="530" spans="1:18" ht="15" customHeight="1" x14ac:dyDescent="0.25">
      <c r="A530" s="7">
        <v>529</v>
      </c>
      <c r="B530" s="8" t="s">
        <v>151</v>
      </c>
      <c r="C530" s="8">
        <v>2014</v>
      </c>
      <c r="D530" s="8">
        <v>2015</v>
      </c>
      <c r="E530" s="3">
        <v>42031</v>
      </c>
      <c r="F530" s="4">
        <f t="shared" si="48"/>
        <v>1</v>
      </c>
      <c r="G530" s="4">
        <f t="shared" si="49"/>
        <v>27</v>
      </c>
      <c r="H530" s="4">
        <f t="shared" si="50"/>
        <v>2015</v>
      </c>
      <c r="I530" s="10" t="s">
        <v>157</v>
      </c>
      <c r="J530" s="5" t="s">
        <v>10</v>
      </c>
      <c r="K530" s="5" t="s">
        <v>15</v>
      </c>
      <c r="L530" s="5">
        <v>-4</v>
      </c>
      <c r="M530" s="5" t="s">
        <v>15</v>
      </c>
      <c r="N530" s="5">
        <v>109</v>
      </c>
      <c r="O530" s="5">
        <v>102</v>
      </c>
      <c r="P530" s="7" t="str">
        <f t="shared" si="53"/>
        <v>MIL</v>
      </c>
      <c r="Q530" s="7">
        <f t="shared" si="51"/>
        <v>-11</v>
      </c>
      <c r="R530" s="7">
        <f t="shared" si="52"/>
        <v>0</v>
      </c>
    </row>
    <row r="531" spans="1:18" ht="15" customHeight="1" x14ac:dyDescent="0.25">
      <c r="A531" s="7">
        <v>530</v>
      </c>
      <c r="B531" s="8" t="s">
        <v>151</v>
      </c>
      <c r="C531" s="8">
        <v>2014</v>
      </c>
      <c r="D531" s="8">
        <v>2015</v>
      </c>
      <c r="E531" s="3">
        <v>42032</v>
      </c>
      <c r="F531" s="4">
        <f t="shared" si="48"/>
        <v>1</v>
      </c>
      <c r="G531" s="4">
        <f t="shared" si="49"/>
        <v>28</v>
      </c>
      <c r="H531" s="4">
        <f t="shared" si="50"/>
        <v>2015</v>
      </c>
      <c r="I531" s="10" t="s">
        <v>157</v>
      </c>
      <c r="J531" s="8" t="s">
        <v>16</v>
      </c>
      <c r="K531" s="8" t="s">
        <v>4</v>
      </c>
      <c r="L531" s="8">
        <v>-4</v>
      </c>
      <c r="M531" s="8" t="s">
        <v>16</v>
      </c>
      <c r="N531" s="8">
        <v>94</v>
      </c>
      <c r="O531" s="8">
        <v>99</v>
      </c>
      <c r="P531" s="2" t="str">
        <f t="shared" si="53"/>
        <v>HOU</v>
      </c>
      <c r="Q531" s="2">
        <f t="shared" si="51"/>
        <v>-1</v>
      </c>
      <c r="R531" s="7">
        <f t="shared" si="52"/>
        <v>0</v>
      </c>
    </row>
    <row r="532" spans="1:18" ht="15" customHeight="1" x14ac:dyDescent="0.25">
      <c r="A532" s="7">
        <v>531</v>
      </c>
      <c r="B532" s="8" t="s">
        <v>151</v>
      </c>
      <c r="C532" s="8">
        <v>2014</v>
      </c>
      <c r="D532" s="8">
        <v>2015</v>
      </c>
      <c r="E532" s="3">
        <v>42033</v>
      </c>
      <c r="F532" s="4">
        <f t="shared" si="48"/>
        <v>1</v>
      </c>
      <c r="G532" s="4">
        <f t="shared" si="49"/>
        <v>29</v>
      </c>
      <c r="H532" s="4">
        <f t="shared" si="50"/>
        <v>2015</v>
      </c>
      <c r="I532" s="10" t="s">
        <v>157</v>
      </c>
      <c r="J532" s="8" t="s">
        <v>126</v>
      </c>
      <c r="K532" s="8" t="s">
        <v>13</v>
      </c>
      <c r="L532" s="8">
        <v>-8</v>
      </c>
      <c r="M532" s="8" t="s">
        <v>126</v>
      </c>
      <c r="N532" s="8">
        <v>103</v>
      </c>
      <c r="O532" s="8">
        <v>82</v>
      </c>
      <c r="P532" s="2" t="str">
        <f t="shared" si="53"/>
        <v>NY</v>
      </c>
      <c r="Q532" s="2">
        <f t="shared" si="51"/>
        <v>29</v>
      </c>
      <c r="R532" s="7">
        <f t="shared" si="52"/>
        <v>1</v>
      </c>
    </row>
    <row r="533" spans="1:18" ht="15" customHeight="1" x14ac:dyDescent="0.25">
      <c r="A533" s="7">
        <v>532</v>
      </c>
      <c r="B533" s="8" t="s">
        <v>151</v>
      </c>
      <c r="C533" s="8">
        <v>2014</v>
      </c>
      <c r="D533" s="8">
        <v>2015</v>
      </c>
      <c r="E533" s="3">
        <v>42034</v>
      </c>
      <c r="F533" s="4">
        <f t="shared" si="48"/>
        <v>1</v>
      </c>
      <c r="G533" s="4">
        <f t="shared" si="49"/>
        <v>30</v>
      </c>
      <c r="H533" s="4">
        <f t="shared" si="50"/>
        <v>2015</v>
      </c>
      <c r="I533" s="10" t="s">
        <v>157</v>
      </c>
      <c r="J533" s="8" t="s">
        <v>0</v>
      </c>
      <c r="K533" s="8" t="s">
        <v>19</v>
      </c>
      <c r="L533" s="8">
        <v>4</v>
      </c>
      <c r="M533" s="8" t="s">
        <v>19</v>
      </c>
      <c r="N533" s="8">
        <v>93</v>
      </c>
      <c r="O533" s="8">
        <v>99</v>
      </c>
      <c r="P533" s="2" t="str">
        <f t="shared" si="53"/>
        <v>PHX</v>
      </c>
      <c r="Q533" s="2">
        <f t="shared" si="51"/>
        <v>10</v>
      </c>
      <c r="R533" s="7">
        <f t="shared" si="52"/>
        <v>1</v>
      </c>
    </row>
    <row r="534" spans="1:18" ht="15" customHeight="1" x14ac:dyDescent="0.25">
      <c r="A534" s="7">
        <v>533</v>
      </c>
      <c r="B534" s="8" t="s">
        <v>151</v>
      </c>
      <c r="C534" s="8">
        <v>2014</v>
      </c>
      <c r="D534" s="8">
        <v>2015</v>
      </c>
      <c r="E534" s="3">
        <v>42035</v>
      </c>
      <c r="F534" s="4">
        <f t="shared" si="48"/>
        <v>1</v>
      </c>
      <c r="G534" s="4">
        <f t="shared" si="49"/>
        <v>31</v>
      </c>
      <c r="H534" s="4">
        <f t="shared" si="50"/>
        <v>2015</v>
      </c>
      <c r="I534" s="10" t="s">
        <v>157</v>
      </c>
      <c r="J534" s="8" t="s">
        <v>1</v>
      </c>
      <c r="K534" s="8" t="s">
        <v>10</v>
      </c>
      <c r="L534" s="8">
        <v>1.5</v>
      </c>
      <c r="M534" s="8" t="s">
        <v>1</v>
      </c>
      <c r="N534" s="8">
        <v>88</v>
      </c>
      <c r="O534" s="8">
        <v>95</v>
      </c>
      <c r="P534" s="2" t="str">
        <f t="shared" si="53"/>
        <v>MIL</v>
      </c>
      <c r="Q534" s="2">
        <f t="shared" si="51"/>
        <v>-8.5</v>
      </c>
      <c r="R534" s="7">
        <f t="shared" si="52"/>
        <v>0</v>
      </c>
    </row>
    <row r="535" spans="1:18" ht="15" customHeight="1" x14ac:dyDescent="0.25">
      <c r="A535" s="7">
        <v>534</v>
      </c>
      <c r="B535" s="8" t="s">
        <v>151</v>
      </c>
      <c r="C535" s="8">
        <v>2014</v>
      </c>
      <c r="D535" s="8">
        <v>2015</v>
      </c>
      <c r="E535" s="3">
        <v>42036</v>
      </c>
      <c r="F535" s="4">
        <f t="shared" si="48"/>
        <v>2</v>
      </c>
      <c r="G535" s="4">
        <f t="shared" si="49"/>
        <v>1</v>
      </c>
      <c r="H535" s="4">
        <f t="shared" si="50"/>
        <v>2015</v>
      </c>
      <c r="I535" s="10" t="s">
        <v>157</v>
      </c>
      <c r="J535" s="8" t="s">
        <v>18</v>
      </c>
      <c r="K535" s="8" t="s">
        <v>126</v>
      </c>
      <c r="L535" s="8">
        <v>-3</v>
      </c>
      <c r="M535" s="8" t="s">
        <v>18</v>
      </c>
      <c r="N535" s="8">
        <v>80</v>
      </c>
      <c r="O535" s="8">
        <v>92</v>
      </c>
      <c r="P535" s="2" t="str">
        <f t="shared" si="53"/>
        <v>NY</v>
      </c>
      <c r="Q535" s="2">
        <f t="shared" si="51"/>
        <v>-9</v>
      </c>
      <c r="R535" s="7">
        <f t="shared" si="52"/>
        <v>0</v>
      </c>
    </row>
    <row r="536" spans="1:18" ht="15" customHeight="1" x14ac:dyDescent="0.25">
      <c r="A536" s="7">
        <v>535</v>
      </c>
      <c r="B536" s="8" t="s">
        <v>151</v>
      </c>
      <c r="C536" s="8">
        <v>2014</v>
      </c>
      <c r="D536" s="8">
        <v>2015</v>
      </c>
      <c r="E536" s="3">
        <v>42037</v>
      </c>
      <c r="F536" s="4">
        <f t="shared" si="48"/>
        <v>2</v>
      </c>
      <c r="G536" s="4">
        <f t="shared" si="49"/>
        <v>2</v>
      </c>
      <c r="H536" s="4">
        <f t="shared" si="50"/>
        <v>2015</v>
      </c>
      <c r="I536" s="10" t="s">
        <v>157</v>
      </c>
      <c r="J536" s="8" t="s">
        <v>14</v>
      </c>
      <c r="K536" s="8" t="s">
        <v>22</v>
      </c>
      <c r="L536" s="8">
        <v>8.5</v>
      </c>
      <c r="M536" s="8" t="s">
        <v>14</v>
      </c>
      <c r="N536" s="8">
        <v>100</v>
      </c>
      <c r="O536" s="8">
        <v>102</v>
      </c>
      <c r="P536" s="2" t="str">
        <f t="shared" si="53"/>
        <v>BKN</v>
      </c>
      <c r="Q536" s="2">
        <f t="shared" si="51"/>
        <v>-10.5</v>
      </c>
      <c r="R536" s="7">
        <f t="shared" si="52"/>
        <v>0</v>
      </c>
    </row>
    <row r="537" spans="1:18" ht="15" customHeight="1" x14ac:dyDescent="0.25">
      <c r="A537" s="7">
        <v>536</v>
      </c>
      <c r="B537" s="8" t="s">
        <v>151</v>
      </c>
      <c r="C537" s="8">
        <v>2014</v>
      </c>
      <c r="D537" s="8">
        <v>2015</v>
      </c>
      <c r="E537" s="3">
        <v>42038</v>
      </c>
      <c r="F537" s="4">
        <f t="shared" si="48"/>
        <v>2</v>
      </c>
      <c r="G537" s="4">
        <f t="shared" si="49"/>
        <v>3</v>
      </c>
      <c r="H537" s="4">
        <f t="shared" si="50"/>
        <v>2015</v>
      </c>
      <c r="I537" s="10" t="s">
        <v>157</v>
      </c>
      <c r="J537" s="8" t="s">
        <v>15</v>
      </c>
      <c r="K537" s="8" t="s">
        <v>7</v>
      </c>
      <c r="L537" s="8">
        <v>-4</v>
      </c>
      <c r="M537" s="8" t="s">
        <v>7</v>
      </c>
      <c r="N537" s="8">
        <v>91</v>
      </c>
      <c r="O537" s="8">
        <v>108</v>
      </c>
      <c r="P537" s="2" t="str">
        <f t="shared" si="53"/>
        <v>DET</v>
      </c>
      <c r="Q537" s="2">
        <f t="shared" si="51"/>
        <v>13</v>
      </c>
      <c r="R537" s="7">
        <f t="shared" si="52"/>
        <v>1</v>
      </c>
    </row>
    <row r="538" spans="1:18" ht="15" customHeight="1" x14ac:dyDescent="0.25">
      <c r="A538" s="7">
        <v>537</v>
      </c>
      <c r="B538" s="8" t="s">
        <v>151</v>
      </c>
      <c r="C538" s="8">
        <v>2014</v>
      </c>
      <c r="D538" s="8">
        <v>2015</v>
      </c>
      <c r="E538" s="3">
        <v>42039</v>
      </c>
      <c r="F538" s="4">
        <f t="shared" si="48"/>
        <v>2</v>
      </c>
      <c r="G538" s="4">
        <f t="shared" si="49"/>
        <v>4</v>
      </c>
      <c r="H538" s="4">
        <f t="shared" si="50"/>
        <v>2015</v>
      </c>
      <c r="I538" s="10" t="s">
        <v>157</v>
      </c>
      <c r="J538" s="8" t="s">
        <v>18</v>
      </c>
      <c r="K538" s="8" t="s">
        <v>10</v>
      </c>
      <c r="L538" s="8">
        <v>-9</v>
      </c>
      <c r="M538" s="8" t="s">
        <v>18</v>
      </c>
      <c r="N538" s="8">
        <v>105</v>
      </c>
      <c r="O538" s="8">
        <v>113</v>
      </c>
      <c r="P538" s="2" t="str">
        <f t="shared" si="53"/>
        <v>LAL</v>
      </c>
      <c r="Q538" s="2">
        <f t="shared" si="51"/>
        <v>1</v>
      </c>
      <c r="R538" s="7">
        <f t="shared" si="52"/>
        <v>1</v>
      </c>
    </row>
    <row r="539" spans="1:18" ht="15" customHeight="1" x14ac:dyDescent="0.25">
      <c r="A539" s="7">
        <v>538</v>
      </c>
      <c r="B539" s="8" t="s">
        <v>151</v>
      </c>
      <c r="C539" s="8">
        <v>2014</v>
      </c>
      <c r="D539" s="8">
        <v>2015</v>
      </c>
      <c r="E539" s="3">
        <v>42040</v>
      </c>
      <c r="F539" s="4">
        <f t="shared" si="48"/>
        <v>2</v>
      </c>
      <c r="G539" s="4">
        <f t="shared" si="49"/>
        <v>5</v>
      </c>
      <c r="H539" s="4">
        <f t="shared" si="50"/>
        <v>2015</v>
      </c>
      <c r="I539" s="10" t="s">
        <v>157</v>
      </c>
      <c r="J539" s="8" t="s">
        <v>139</v>
      </c>
      <c r="K539" s="8" t="s">
        <v>8</v>
      </c>
      <c r="L539" s="8">
        <v>-1</v>
      </c>
      <c r="M539" s="8" t="s">
        <v>139</v>
      </c>
      <c r="N539" s="8">
        <v>87</v>
      </c>
      <c r="O539" s="8">
        <v>94</v>
      </c>
      <c r="P539" s="2" t="str">
        <f t="shared" si="53"/>
        <v>CHA</v>
      </c>
      <c r="Q539" s="2">
        <f t="shared" si="51"/>
        <v>-6</v>
      </c>
      <c r="R539" s="7">
        <f t="shared" si="52"/>
        <v>0</v>
      </c>
    </row>
    <row r="540" spans="1:18" ht="15" customHeight="1" x14ac:dyDescent="0.25">
      <c r="A540" s="7">
        <v>539</v>
      </c>
      <c r="B540" s="8" t="s">
        <v>151</v>
      </c>
      <c r="C540" s="8">
        <v>2014</v>
      </c>
      <c r="D540" s="8">
        <v>2015</v>
      </c>
      <c r="E540" s="3">
        <v>42041</v>
      </c>
      <c r="F540" s="4">
        <f t="shared" si="48"/>
        <v>2</v>
      </c>
      <c r="G540" s="4">
        <f t="shared" si="49"/>
        <v>6</v>
      </c>
      <c r="H540" s="4">
        <f t="shared" si="50"/>
        <v>2015</v>
      </c>
      <c r="I540" s="10" t="s">
        <v>157</v>
      </c>
      <c r="J540" s="8" t="s">
        <v>6</v>
      </c>
      <c r="K540" s="8" t="s">
        <v>13</v>
      </c>
      <c r="L540" s="8">
        <v>6</v>
      </c>
      <c r="M540" s="8" t="s">
        <v>13</v>
      </c>
      <c r="N540" s="8">
        <v>99</v>
      </c>
      <c r="O540" s="8">
        <v>103</v>
      </c>
      <c r="P540" s="2" t="str">
        <f t="shared" si="53"/>
        <v>IND</v>
      </c>
      <c r="Q540" s="2">
        <f t="shared" si="51"/>
        <v>10</v>
      </c>
      <c r="R540" s="7">
        <f t="shared" si="52"/>
        <v>1</v>
      </c>
    </row>
    <row r="541" spans="1:18" ht="15" customHeight="1" x14ac:dyDescent="0.25">
      <c r="A541" s="7">
        <v>540</v>
      </c>
      <c r="B541" s="8" t="s">
        <v>151</v>
      </c>
      <c r="C541" s="8">
        <v>2014</v>
      </c>
      <c r="D541" s="8">
        <v>2015</v>
      </c>
      <c r="E541" s="3">
        <v>42042</v>
      </c>
      <c r="F541" s="4">
        <f t="shared" si="48"/>
        <v>2</v>
      </c>
      <c r="G541" s="4">
        <f t="shared" si="49"/>
        <v>7</v>
      </c>
      <c r="H541" s="4">
        <f t="shared" si="50"/>
        <v>2015</v>
      </c>
      <c r="I541" s="10" t="s">
        <v>157</v>
      </c>
      <c r="J541" s="8" t="s">
        <v>17</v>
      </c>
      <c r="K541" s="8" t="s">
        <v>10</v>
      </c>
      <c r="L541" s="8">
        <v>-6.5</v>
      </c>
      <c r="M541" s="8" t="s">
        <v>10</v>
      </c>
      <c r="N541" s="8">
        <v>93</v>
      </c>
      <c r="O541" s="8">
        <v>96</v>
      </c>
      <c r="P541" s="2" t="str">
        <f t="shared" si="53"/>
        <v>BOS</v>
      </c>
      <c r="Q541" s="2">
        <f t="shared" si="51"/>
        <v>-3.5</v>
      </c>
      <c r="R541" s="7">
        <f t="shared" si="52"/>
        <v>0</v>
      </c>
    </row>
    <row r="542" spans="1:18" ht="15" customHeight="1" x14ac:dyDescent="0.25">
      <c r="A542" s="7">
        <v>541</v>
      </c>
      <c r="B542" s="8" t="s">
        <v>151</v>
      </c>
      <c r="C542" s="8">
        <v>2014</v>
      </c>
      <c r="D542" s="8">
        <v>2015</v>
      </c>
      <c r="E542" s="3">
        <v>42043</v>
      </c>
      <c r="F542" s="4">
        <f t="shared" si="48"/>
        <v>2</v>
      </c>
      <c r="G542" s="4">
        <f t="shared" si="49"/>
        <v>8</v>
      </c>
      <c r="H542" s="4">
        <f t="shared" si="50"/>
        <v>2015</v>
      </c>
      <c r="I542" s="10" t="s">
        <v>157</v>
      </c>
      <c r="J542" s="8" t="s">
        <v>13</v>
      </c>
      <c r="K542" s="8" t="s">
        <v>8</v>
      </c>
      <c r="L542" s="8">
        <v>1</v>
      </c>
      <c r="M542" s="8" t="s">
        <v>13</v>
      </c>
      <c r="N542" s="8">
        <v>103</v>
      </c>
      <c r="O542" s="8">
        <v>102</v>
      </c>
      <c r="P542" s="2" t="str">
        <f t="shared" si="53"/>
        <v>N/A</v>
      </c>
      <c r="Q542" s="2">
        <f t="shared" si="51"/>
        <v>0</v>
      </c>
      <c r="R542" s="7" t="str">
        <f t="shared" si="52"/>
        <v>na</v>
      </c>
    </row>
    <row r="543" spans="1:18" ht="15" customHeight="1" x14ac:dyDescent="0.25">
      <c r="A543" s="7">
        <v>542</v>
      </c>
      <c r="B543" s="8" t="s">
        <v>151</v>
      </c>
      <c r="C543" s="8">
        <v>2014</v>
      </c>
      <c r="D543" s="8">
        <v>2015</v>
      </c>
      <c r="E543" s="3">
        <v>42044</v>
      </c>
      <c r="F543" s="4">
        <f t="shared" si="48"/>
        <v>2</v>
      </c>
      <c r="G543" s="4">
        <f t="shared" si="49"/>
        <v>9</v>
      </c>
      <c r="H543" s="4">
        <f t="shared" si="50"/>
        <v>2015</v>
      </c>
      <c r="I543" s="10" t="s">
        <v>157</v>
      </c>
      <c r="J543" s="8" t="s">
        <v>126</v>
      </c>
      <c r="K543" s="8" t="s">
        <v>15</v>
      </c>
      <c r="L543" s="8">
        <v>-5</v>
      </c>
      <c r="M543" s="8" t="s">
        <v>126</v>
      </c>
      <c r="N543" s="8">
        <v>95</v>
      </c>
      <c r="O543" s="8">
        <v>109</v>
      </c>
      <c r="P543" s="2" t="str">
        <f t="shared" si="53"/>
        <v>MIA</v>
      </c>
      <c r="Q543" s="2">
        <f t="shared" si="51"/>
        <v>-9</v>
      </c>
      <c r="R543" s="7">
        <f t="shared" si="52"/>
        <v>0</v>
      </c>
    </row>
    <row r="544" spans="1:18" ht="15" customHeight="1" x14ac:dyDescent="0.25">
      <c r="A544" s="7">
        <v>543</v>
      </c>
      <c r="B544" s="8" t="s">
        <v>151</v>
      </c>
      <c r="C544" s="8">
        <v>2014</v>
      </c>
      <c r="D544" s="8">
        <v>2015</v>
      </c>
      <c r="E544" s="3">
        <v>42045</v>
      </c>
      <c r="F544" s="4">
        <f t="shared" si="48"/>
        <v>2</v>
      </c>
      <c r="G544" s="4">
        <f t="shared" si="49"/>
        <v>10</v>
      </c>
      <c r="H544" s="4">
        <f t="shared" si="50"/>
        <v>2015</v>
      </c>
      <c r="I544" s="10" t="s">
        <v>157</v>
      </c>
      <c r="J544" s="8" t="s">
        <v>7</v>
      </c>
      <c r="K544" s="8" t="s">
        <v>8</v>
      </c>
      <c r="L544" s="8">
        <v>-2</v>
      </c>
      <c r="M544" s="8" t="s">
        <v>7</v>
      </c>
      <c r="N544" s="8">
        <v>106</v>
      </c>
      <c r="O544" s="8">
        <v>78</v>
      </c>
      <c r="P544" s="2" t="str">
        <f t="shared" si="53"/>
        <v>DET</v>
      </c>
      <c r="Q544" s="2">
        <f t="shared" si="51"/>
        <v>30</v>
      </c>
      <c r="R544" s="7">
        <f t="shared" si="52"/>
        <v>1</v>
      </c>
    </row>
    <row r="545" spans="1:18" ht="15" customHeight="1" x14ac:dyDescent="0.25">
      <c r="A545" s="7">
        <v>544</v>
      </c>
      <c r="B545" s="8" t="s">
        <v>151</v>
      </c>
      <c r="C545" s="8">
        <v>2014</v>
      </c>
      <c r="D545" s="8">
        <v>2015</v>
      </c>
      <c r="E545" s="3">
        <v>42046</v>
      </c>
      <c r="F545" s="4">
        <f t="shared" si="48"/>
        <v>2</v>
      </c>
      <c r="G545" s="4">
        <f t="shared" si="49"/>
        <v>11</v>
      </c>
      <c r="H545" s="4">
        <f t="shared" si="50"/>
        <v>2015</v>
      </c>
      <c r="I545" s="10" t="s">
        <v>157</v>
      </c>
      <c r="J545" s="8" t="s">
        <v>134</v>
      </c>
      <c r="K545" s="8" t="s">
        <v>7</v>
      </c>
      <c r="L545" s="8">
        <v>6.5</v>
      </c>
      <c r="M545" s="8" t="s">
        <v>134</v>
      </c>
      <c r="N545" s="8">
        <v>104</v>
      </c>
      <c r="O545" s="8">
        <v>87</v>
      </c>
      <c r="P545" s="2" t="str">
        <f t="shared" si="53"/>
        <v>SA</v>
      </c>
      <c r="Q545" s="2">
        <f t="shared" si="51"/>
        <v>10.5</v>
      </c>
      <c r="R545" s="7">
        <f t="shared" si="52"/>
        <v>1</v>
      </c>
    </row>
    <row r="546" spans="1:18" ht="15" customHeight="1" x14ac:dyDescent="0.25">
      <c r="A546" s="7">
        <v>545</v>
      </c>
      <c r="B546" s="8" t="s">
        <v>151</v>
      </c>
      <c r="C546" s="8">
        <v>2014</v>
      </c>
      <c r="D546" s="8">
        <v>2015</v>
      </c>
      <c r="E546" s="3">
        <v>42047</v>
      </c>
      <c r="F546" s="4">
        <f t="shared" si="48"/>
        <v>2</v>
      </c>
      <c r="G546" s="4">
        <f t="shared" si="49"/>
        <v>12</v>
      </c>
      <c r="H546" s="4">
        <f t="shared" si="50"/>
        <v>2015</v>
      </c>
      <c r="I546" s="10" t="s">
        <v>157</v>
      </c>
      <c r="J546" s="8" t="s">
        <v>6</v>
      </c>
      <c r="K546" s="8" t="s">
        <v>0</v>
      </c>
      <c r="L546" s="8">
        <v>2.5</v>
      </c>
      <c r="M546" s="8" t="s">
        <v>6</v>
      </c>
      <c r="N546" s="8">
        <v>98</v>
      </c>
      <c r="O546" s="8">
        <v>113</v>
      </c>
      <c r="P546" s="2" t="str">
        <f t="shared" si="53"/>
        <v>CHI</v>
      </c>
      <c r="Q546" s="2">
        <f t="shared" si="51"/>
        <v>-17.5</v>
      </c>
      <c r="R546" s="7">
        <f t="shared" si="52"/>
        <v>0</v>
      </c>
    </row>
    <row r="547" spans="1:18" ht="15" customHeight="1" x14ac:dyDescent="0.25">
      <c r="A547" s="7">
        <v>546</v>
      </c>
      <c r="B547" s="8" t="s">
        <v>151</v>
      </c>
      <c r="C547" s="8">
        <v>2014</v>
      </c>
      <c r="D547" s="8">
        <v>2015</v>
      </c>
      <c r="E547" s="3">
        <v>42054</v>
      </c>
      <c r="F547" s="4">
        <f t="shared" si="48"/>
        <v>2</v>
      </c>
      <c r="G547" s="4">
        <f t="shared" si="49"/>
        <v>19</v>
      </c>
      <c r="H547" s="4">
        <f t="shared" si="50"/>
        <v>2015</v>
      </c>
      <c r="I547" s="10" t="s">
        <v>157</v>
      </c>
      <c r="J547" s="8" t="s">
        <v>134</v>
      </c>
      <c r="K547" s="8" t="s">
        <v>14</v>
      </c>
      <c r="L547" s="2">
        <v>3</v>
      </c>
      <c r="M547" s="8" t="s">
        <v>134</v>
      </c>
      <c r="N547" s="2">
        <v>115</v>
      </c>
      <c r="O547" s="2">
        <v>119</v>
      </c>
      <c r="P547" s="2" t="str">
        <f t="shared" si="53"/>
        <v>LAC</v>
      </c>
      <c r="Q547" s="2">
        <f t="shared" si="51"/>
        <v>-7</v>
      </c>
      <c r="R547" s="7">
        <f t="shared" si="52"/>
        <v>0</v>
      </c>
    </row>
    <row r="548" spans="1:18" ht="15" customHeight="1" x14ac:dyDescent="0.25">
      <c r="A548" s="7">
        <v>547</v>
      </c>
      <c r="B548" s="8" t="s">
        <v>151</v>
      </c>
      <c r="C548" s="8">
        <v>2014</v>
      </c>
      <c r="D548" s="8">
        <v>2015</v>
      </c>
      <c r="E548" s="3">
        <v>42055</v>
      </c>
      <c r="F548" s="4">
        <f t="shared" si="48"/>
        <v>2</v>
      </c>
      <c r="G548" s="4">
        <f t="shared" si="49"/>
        <v>20</v>
      </c>
      <c r="H548" s="4">
        <f t="shared" si="50"/>
        <v>2015</v>
      </c>
      <c r="I548" s="10" t="s">
        <v>157</v>
      </c>
      <c r="J548" s="5" t="s">
        <v>6</v>
      </c>
      <c r="K548" s="5" t="s">
        <v>139</v>
      </c>
      <c r="L548" s="7">
        <v>3</v>
      </c>
      <c r="M548" s="5" t="s">
        <v>6</v>
      </c>
      <c r="N548" s="7">
        <v>127</v>
      </c>
      <c r="O548" s="7">
        <v>89</v>
      </c>
      <c r="P548" s="2" t="str">
        <f t="shared" si="53"/>
        <v>CLE</v>
      </c>
      <c r="Q548" s="2">
        <f t="shared" si="51"/>
        <v>35</v>
      </c>
      <c r="R548" s="7">
        <f t="shared" si="52"/>
        <v>1</v>
      </c>
    </row>
    <row r="549" spans="1:18" ht="15" customHeight="1" x14ac:dyDescent="0.25">
      <c r="A549" s="7">
        <v>548</v>
      </c>
      <c r="B549" s="8" t="s">
        <v>151</v>
      </c>
      <c r="C549" s="8">
        <v>2014</v>
      </c>
      <c r="D549" s="8">
        <v>2015</v>
      </c>
      <c r="E549" s="3">
        <v>42056</v>
      </c>
      <c r="F549" s="4">
        <f t="shared" si="48"/>
        <v>2</v>
      </c>
      <c r="G549" s="4">
        <f t="shared" si="49"/>
        <v>21</v>
      </c>
      <c r="H549" s="4">
        <f t="shared" si="50"/>
        <v>2015</v>
      </c>
      <c r="I549" s="10" t="s">
        <v>157</v>
      </c>
      <c r="J549" s="5" t="s">
        <v>2</v>
      </c>
      <c r="K549" s="5" t="s">
        <v>4</v>
      </c>
      <c r="L549" s="7">
        <v>-3</v>
      </c>
      <c r="M549" s="5" t="s">
        <v>2</v>
      </c>
      <c r="N549" s="7">
        <v>76</v>
      </c>
      <c r="O549" s="7">
        <v>98</v>
      </c>
      <c r="P549" s="2" t="str">
        <f t="shared" si="53"/>
        <v>HOU</v>
      </c>
      <c r="Q549" s="2">
        <f t="shared" si="51"/>
        <v>-19</v>
      </c>
      <c r="R549" s="7">
        <f t="shared" si="52"/>
        <v>0</v>
      </c>
    </row>
    <row r="550" spans="1:18" ht="15" customHeight="1" x14ac:dyDescent="0.25">
      <c r="A550" s="7">
        <v>549</v>
      </c>
      <c r="B550" s="8" t="s">
        <v>151</v>
      </c>
      <c r="C550" s="8">
        <v>2014</v>
      </c>
      <c r="D550" s="8">
        <v>2015</v>
      </c>
      <c r="E550" s="3">
        <v>42057</v>
      </c>
      <c r="F550" s="4">
        <f t="shared" si="48"/>
        <v>2</v>
      </c>
      <c r="G550" s="4">
        <f t="shared" si="49"/>
        <v>22</v>
      </c>
      <c r="H550" s="4">
        <f t="shared" si="50"/>
        <v>2015</v>
      </c>
      <c r="I550" s="10" t="s">
        <v>157</v>
      </c>
      <c r="J550" s="5" t="s">
        <v>139</v>
      </c>
      <c r="K550" s="5" t="s">
        <v>7</v>
      </c>
      <c r="L550" s="5">
        <v>1.5</v>
      </c>
      <c r="M550" s="5" t="s">
        <v>139</v>
      </c>
      <c r="N550" s="5">
        <v>89</v>
      </c>
      <c r="O550" s="5">
        <v>106</v>
      </c>
      <c r="P550" s="2" t="str">
        <f t="shared" si="53"/>
        <v>DET</v>
      </c>
      <c r="Q550" s="2">
        <f t="shared" si="51"/>
        <v>-18.5</v>
      </c>
      <c r="R550" s="7">
        <f t="shared" si="52"/>
        <v>0</v>
      </c>
    </row>
    <row r="551" spans="1:18" ht="15" customHeight="1" x14ac:dyDescent="0.25">
      <c r="A551" s="7">
        <v>550</v>
      </c>
      <c r="B551" s="8" t="s">
        <v>151</v>
      </c>
      <c r="C551" s="8">
        <v>2014</v>
      </c>
      <c r="D551" s="8">
        <v>2015</v>
      </c>
      <c r="E551" s="3">
        <v>42058</v>
      </c>
      <c r="F551" s="4">
        <f t="shared" si="48"/>
        <v>2</v>
      </c>
      <c r="G551" s="4">
        <f t="shared" si="49"/>
        <v>23</v>
      </c>
      <c r="H551" s="4">
        <f t="shared" si="50"/>
        <v>2015</v>
      </c>
      <c r="I551" s="10" t="s">
        <v>157</v>
      </c>
      <c r="J551" s="5" t="s">
        <v>9</v>
      </c>
      <c r="K551" s="5" t="s">
        <v>14</v>
      </c>
      <c r="L551" s="5">
        <v>-3.5</v>
      </c>
      <c r="M551" s="5" t="s">
        <v>9</v>
      </c>
      <c r="N551" s="5">
        <v>90</v>
      </c>
      <c r="O551" s="5">
        <v>87</v>
      </c>
      <c r="P551" s="2" t="str">
        <f t="shared" si="53"/>
        <v>MEM</v>
      </c>
      <c r="Q551" s="2">
        <f t="shared" si="51"/>
        <v>6.5</v>
      </c>
      <c r="R551" s="7">
        <f t="shared" si="52"/>
        <v>1</v>
      </c>
    </row>
    <row r="552" spans="1:18" ht="15" customHeight="1" x14ac:dyDescent="0.25">
      <c r="A552" s="7">
        <v>551</v>
      </c>
      <c r="B552" s="8" t="s">
        <v>151</v>
      </c>
      <c r="C552" s="8">
        <v>2014</v>
      </c>
      <c r="D552" s="8">
        <v>2015</v>
      </c>
      <c r="E552" s="3">
        <v>42059</v>
      </c>
      <c r="F552" s="4">
        <f t="shared" si="48"/>
        <v>2</v>
      </c>
      <c r="G552" s="4">
        <f t="shared" si="49"/>
        <v>24</v>
      </c>
      <c r="H552" s="4">
        <f t="shared" si="50"/>
        <v>2015</v>
      </c>
      <c r="I552" s="10" t="s">
        <v>157</v>
      </c>
      <c r="J552" s="5" t="s">
        <v>2</v>
      </c>
      <c r="K552" s="5" t="s">
        <v>16</v>
      </c>
      <c r="L552" s="5">
        <v>-4.5</v>
      </c>
      <c r="M552" s="5" t="s">
        <v>16</v>
      </c>
      <c r="N552" s="5">
        <v>92</v>
      </c>
      <c r="O552" s="5">
        <v>99</v>
      </c>
      <c r="P552" s="2" t="str">
        <f t="shared" si="53"/>
        <v>DAL</v>
      </c>
      <c r="Q552" s="2">
        <f t="shared" si="51"/>
        <v>2.5</v>
      </c>
      <c r="R552" s="7">
        <f t="shared" si="52"/>
        <v>1</v>
      </c>
    </row>
    <row r="553" spans="1:18" ht="15" customHeight="1" x14ac:dyDescent="0.25">
      <c r="A553" s="7">
        <v>552</v>
      </c>
      <c r="B553" s="8" t="s">
        <v>151</v>
      </c>
      <c r="C553" s="8">
        <v>2014</v>
      </c>
      <c r="D553" s="8">
        <v>2015</v>
      </c>
      <c r="E553" s="3">
        <v>42060</v>
      </c>
      <c r="F553" s="4">
        <f t="shared" si="48"/>
        <v>2</v>
      </c>
      <c r="G553" s="4">
        <f t="shared" si="49"/>
        <v>25</v>
      </c>
      <c r="H553" s="4">
        <f t="shared" si="50"/>
        <v>2015</v>
      </c>
      <c r="I553" s="10" t="s">
        <v>157</v>
      </c>
      <c r="J553" s="5" t="s">
        <v>139</v>
      </c>
      <c r="K553" s="5" t="s">
        <v>3</v>
      </c>
      <c r="L553" s="5">
        <v>-2</v>
      </c>
      <c r="M553" s="5" t="s">
        <v>139</v>
      </c>
      <c r="N553" s="5">
        <v>77</v>
      </c>
      <c r="O553" s="5">
        <v>97</v>
      </c>
      <c r="P553" s="2" t="str">
        <f t="shared" si="53"/>
        <v>MIN</v>
      </c>
      <c r="Q553" s="2">
        <f t="shared" si="51"/>
        <v>-18</v>
      </c>
      <c r="R553" s="7">
        <f t="shared" si="52"/>
        <v>0</v>
      </c>
    </row>
    <row r="554" spans="1:18" ht="15" customHeight="1" x14ac:dyDescent="0.25">
      <c r="A554" s="7">
        <v>553</v>
      </c>
      <c r="B554" s="8" t="s">
        <v>151</v>
      </c>
      <c r="C554" s="8">
        <v>2014</v>
      </c>
      <c r="D554" s="8">
        <v>2015</v>
      </c>
      <c r="E554" s="3">
        <v>42061</v>
      </c>
      <c r="F554" s="4">
        <f t="shared" si="48"/>
        <v>2</v>
      </c>
      <c r="G554" s="4">
        <f t="shared" si="49"/>
        <v>26</v>
      </c>
      <c r="H554" s="4">
        <f t="shared" si="50"/>
        <v>2015</v>
      </c>
      <c r="I554" s="10" t="s">
        <v>157</v>
      </c>
      <c r="J554" s="5" t="s">
        <v>12</v>
      </c>
      <c r="K554" s="5" t="s">
        <v>19</v>
      </c>
      <c r="L554" s="8">
        <v>5</v>
      </c>
      <c r="M554" s="5" t="s">
        <v>19</v>
      </c>
      <c r="N554" s="8">
        <v>113</v>
      </c>
      <c r="O554" s="8">
        <v>117</v>
      </c>
      <c r="P554" s="2" t="str">
        <f t="shared" si="53"/>
        <v>PHX</v>
      </c>
      <c r="Q554" s="2">
        <f t="shared" si="51"/>
        <v>9</v>
      </c>
      <c r="R554" s="7">
        <f t="shared" si="52"/>
        <v>1</v>
      </c>
    </row>
    <row r="555" spans="1:18" ht="15" customHeight="1" x14ac:dyDescent="0.25">
      <c r="A555" s="7">
        <v>554</v>
      </c>
      <c r="B555" s="8" t="s">
        <v>151</v>
      </c>
      <c r="C555" s="8">
        <v>2014</v>
      </c>
      <c r="D555" s="8">
        <v>2015</v>
      </c>
      <c r="E555" s="3">
        <v>42062</v>
      </c>
      <c r="F555" s="4">
        <f t="shared" si="48"/>
        <v>2</v>
      </c>
      <c r="G555" s="4">
        <f t="shared" si="49"/>
        <v>27</v>
      </c>
      <c r="H555" s="4">
        <f t="shared" si="50"/>
        <v>2015</v>
      </c>
      <c r="I555" s="10" t="s">
        <v>157</v>
      </c>
      <c r="J555" s="5" t="s">
        <v>8</v>
      </c>
      <c r="K555" s="5" t="s">
        <v>17</v>
      </c>
      <c r="L555" s="8">
        <v>-2</v>
      </c>
      <c r="M555" s="5" t="s">
        <v>17</v>
      </c>
      <c r="N555" s="8">
        <v>98</v>
      </c>
      <c r="O555" s="8">
        <v>106</v>
      </c>
      <c r="P555" s="2" t="str">
        <f t="shared" si="53"/>
        <v>BOS</v>
      </c>
      <c r="Q555" s="2">
        <f t="shared" si="51"/>
        <v>6</v>
      </c>
      <c r="R555" s="7">
        <f t="shared" si="52"/>
        <v>1</v>
      </c>
    </row>
    <row r="556" spans="1:18" ht="15" customHeight="1" x14ac:dyDescent="0.25">
      <c r="A556" s="7">
        <v>555</v>
      </c>
      <c r="B556" s="8" t="s">
        <v>151</v>
      </c>
      <c r="C556" s="8">
        <v>2014</v>
      </c>
      <c r="D556" s="8">
        <v>2015</v>
      </c>
      <c r="E556" s="3">
        <v>42063</v>
      </c>
      <c r="F556" s="4">
        <f t="shared" si="48"/>
        <v>2</v>
      </c>
      <c r="G556" s="4">
        <f t="shared" si="49"/>
        <v>28</v>
      </c>
      <c r="H556" s="4">
        <f t="shared" si="50"/>
        <v>2015</v>
      </c>
      <c r="I556" s="10" t="s">
        <v>157</v>
      </c>
      <c r="J556" s="5" t="s">
        <v>9</v>
      </c>
      <c r="K556" s="5" t="s">
        <v>3</v>
      </c>
      <c r="L556" s="8">
        <v>5</v>
      </c>
      <c r="M556" s="5" t="s">
        <v>3</v>
      </c>
      <c r="N556" s="8">
        <v>101</v>
      </c>
      <c r="O556" s="8">
        <v>97</v>
      </c>
      <c r="P556" s="2" t="str">
        <f t="shared" si="53"/>
        <v>MIN</v>
      </c>
      <c r="Q556" s="2">
        <f t="shared" si="51"/>
        <v>1</v>
      </c>
      <c r="R556" s="7">
        <f t="shared" si="52"/>
        <v>1</v>
      </c>
    </row>
    <row r="557" spans="1:18" ht="15" customHeight="1" x14ac:dyDescent="0.25">
      <c r="A557" s="7">
        <v>556</v>
      </c>
      <c r="B557" s="8" t="s">
        <v>151</v>
      </c>
      <c r="C557" s="8">
        <v>2014</v>
      </c>
      <c r="D557" s="8">
        <v>2015</v>
      </c>
      <c r="E557" s="3">
        <v>42064</v>
      </c>
      <c r="F557" s="4">
        <f t="shared" si="48"/>
        <v>3</v>
      </c>
      <c r="G557" s="4">
        <f t="shared" si="49"/>
        <v>1</v>
      </c>
      <c r="H557" s="4">
        <f t="shared" si="50"/>
        <v>2015</v>
      </c>
      <c r="I557" s="10" t="s">
        <v>157</v>
      </c>
      <c r="J557" s="5" t="s">
        <v>8</v>
      </c>
      <c r="K557" s="5" t="s">
        <v>11</v>
      </c>
      <c r="L557" s="5">
        <v>1.5</v>
      </c>
      <c r="M557" s="5" t="s">
        <v>11</v>
      </c>
      <c r="N557" s="5">
        <v>98</v>
      </c>
      <c r="O557" s="5">
        <v>83</v>
      </c>
      <c r="P557" s="7" t="str">
        <f t="shared" si="53"/>
        <v>CHA</v>
      </c>
      <c r="Q557" s="7">
        <f t="shared" si="51"/>
        <v>-13.5</v>
      </c>
      <c r="R557" s="7">
        <f t="shared" si="52"/>
        <v>0</v>
      </c>
    </row>
    <row r="558" spans="1:18" ht="15" customHeight="1" x14ac:dyDescent="0.25">
      <c r="A558" s="7">
        <v>557</v>
      </c>
      <c r="B558" s="8" t="s">
        <v>151</v>
      </c>
      <c r="C558" s="8">
        <v>2014</v>
      </c>
      <c r="D558" s="8">
        <v>2015</v>
      </c>
      <c r="E558" s="3">
        <v>42065</v>
      </c>
      <c r="F558" s="4">
        <f t="shared" si="48"/>
        <v>3</v>
      </c>
      <c r="G558" s="4">
        <f t="shared" si="49"/>
        <v>2</v>
      </c>
      <c r="H558" s="4">
        <f t="shared" si="50"/>
        <v>2015</v>
      </c>
      <c r="I558" s="10" t="s">
        <v>157</v>
      </c>
      <c r="J558" s="8" t="s">
        <v>114</v>
      </c>
      <c r="K558" s="8" t="s">
        <v>22</v>
      </c>
      <c r="L558" s="8">
        <v>6</v>
      </c>
      <c r="M558" s="8" t="s">
        <v>114</v>
      </c>
      <c r="N558" s="8">
        <v>108</v>
      </c>
      <c r="O558" s="8">
        <v>110</v>
      </c>
      <c r="P558" s="2" t="str">
        <f t="shared" si="53"/>
        <v>BKN</v>
      </c>
      <c r="Q558" s="2">
        <f t="shared" si="51"/>
        <v>-8</v>
      </c>
      <c r="R558" s="7">
        <f t="shared" si="52"/>
        <v>0</v>
      </c>
    </row>
    <row r="559" spans="1:18" ht="15" customHeight="1" x14ac:dyDescent="0.25">
      <c r="A559" s="7">
        <v>558</v>
      </c>
      <c r="B559" s="8" t="s">
        <v>151</v>
      </c>
      <c r="C559" s="8">
        <v>2014</v>
      </c>
      <c r="D559" s="8">
        <v>2015</v>
      </c>
      <c r="E559" s="3">
        <v>42066</v>
      </c>
      <c r="F559" s="4">
        <f t="shared" si="48"/>
        <v>3</v>
      </c>
      <c r="G559" s="4">
        <f t="shared" si="49"/>
        <v>3</v>
      </c>
      <c r="H559" s="4">
        <f t="shared" si="50"/>
        <v>2015</v>
      </c>
      <c r="I559" s="10" t="s">
        <v>157</v>
      </c>
      <c r="J559" s="8" t="s">
        <v>18</v>
      </c>
      <c r="K559" s="8" t="s">
        <v>8</v>
      </c>
      <c r="L559" s="8">
        <v>-8.5</v>
      </c>
      <c r="M559" s="8" t="s">
        <v>18</v>
      </c>
      <c r="N559" s="8">
        <v>103</v>
      </c>
      <c r="O559" s="8">
        <v>104</v>
      </c>
      <c r="P559" s="2" t="str">
        <f t="shared" si="53"/>
        <v>LAL</v>
      </c>
      <c r="Q559" s="2">
        <f t="shared" si="51"/>
        <v>7.5</v>
      </c>
      <c r="R559" s="7">
        <f t="shared" si="52"/>
        <v>1</v>
      </c>
    </row>
    <row r="560" spans="1:18" ht="15" customHeight="1" x14ac:dyDescent="0.25">
      <c r="A560" s="7">
        <v>559</v>
      </c>
      <c r="B560" s="8" t="s">
        <v>151</v>
      </c>
      <c r="C560" s="8">
        <v>2014</v>
      </c>
      <c r="D560" s="8">
        <v>2015</v>
      </c>
      <c r="E560" s="3">
        <v>42067</v>
      </c>
      <c r="F560" s="4">
        <f t="shared" si="48"/>
        <v>3</v>
      </c>
      <c r="G560" s="4">
        <f t="shared" si="49"/>
        <v>4</v>
      </c>
      <c r="H560" s="4">
        <f t="shared" si="50"/>
        <v>2015</v>
      </c>
      <c r="I560" s="10" t="s">
        <v>157</v>
      </c>
      <c r="J560" s="8" t="s">
        <v>1</v>
      </c>
      <c r="K560" s="8" t="s">
        <v>14</v>
      </c>
      <c r="L560" s="8">
        <v>-3.5</v>
      </c>
      <c r="M560" s="8" t="s">
        <v>14</v>
      </c>
      <c r="N560" s="8">
        <v>98</v>
      </c>
      <c r="O560" s="8">
        <v>93</v>
      </c>
      <c r="P560" s="2" t="str">
        <f t="shared" si="53"/>
        <v>POR</v>
      </c>
      <c r="Q560" s="2">
        <f t="shared" si="51"/>
        <v>-8.5</v>
      </c>
      <c r="R560" s="7">
        <f t="shared" si="52"/>
        <v>0</v>
      </c>
    </row>
    <row r="561" spans="1:18" ht="15" customHeight="1" x14ac:dyDescent="0.25">
      <c r="A561" s="7">
        <v>560</v>
      </c>
      <c r="B561" s="8" t="s">
        <v>151</v>
      </c>
      <c r="C561" s="8">
        <v>2014</v>
      </c>
      <c r="D561" s="8">
        <v>2015</v>
      </c>
      <c r="E561" s="3">
        <v>42068</v>
      </c>
      <c r="F561" s="4">
        <f t="shared" si="48"/>
        <v>3</v>
      </c>
      <c r="G561" s="4">
        <f t="shared" si="49"/>
        <v>5</v>
      </c>
      <c r="H561" s="4">
        <f t="shared" si="50"/>
        <v>2015</v>
      </c>
      <c r="I561" s="10" t="s">
        <v>157</v>
      </c>
      <c r="J561" s="8" t="s">
        <v>12</v>
      </c>
      <c r="K561" s="8" t="s">
        <v>0</v>
      </c>
      <c r="L561" s="8">
        <v>1.5</v>
      </c>
      <c r="M561" s="8" t="s">
        <v>0</v>
      </c>
      <c r="N561" s="8">
        <v>105</v>
      </c>
      <c r="O561" s="8">
        <v>108</v>
      </c>
      <c r="P561" s="2" t="str">
        <f t="shared" si="53"/>
        <v>CHI</v>
      </c>
      <c r="Q561" s="2">
        <f t="shared" si="51"/>
        <v>4.5</v>
      </c>
      <c r="R561" s="7">
        <f t="shared" si="52"/>
        <v>1</v>
      </c>
    </row>
    <row r="562" spans="1:18" ht="15" customHeight="1" x14ac:dyDescent="0.25">
      <c r="A562" s="7">
        <v>561</v>
      </c>
      <c r="B562" s="8" t="s">
        <v>151</v>
      </c>
      <c r="C562" s="8">
        <v>2014</v>
      </c>
      <c r="D562" s="8">
        <v>2015</v>
      </c>
      <c r="E562" s="3">
        <v>42069</v>
      </c>
      <c r="F562" s="4">
        <f t="shared" si="48"/>
        <v>3</v>
      </c>
      <c r="G562" s="4">
        <f t="shared" si="49"/>
        <v>6</v>
      </c>
      <c r="H562" s="4">
        <f t="shared" si="50"/>
        <v>2015</v>
      </c>
      <c r="I562" s="10" t="s">
        <v>157</v>
      </c>
      <c r="J562" s="8" t="s">
        <v>17</v>
      </c>
      <c r="K562" s="8" t="s">
        <v>124</v>
      </c>
      <c r="L562" s="8">
        <v>-7</v>
      </c>
      <c r="M562" s="8" t="s">
        <v>124</v>
      </c>
      <c r="N562" s="8">
        <v>104</v>
      </c>
      <c r="O562" s="8">
        <v>98</v>
      </c>
      <c r="P562" s="2" t="str">
        <f t="shared" si="53"/>
        <v>BOS</v>
      </c>
      <c r="Q562" s="2">
        <f t="shared" si="51"/>
        <v>-13</v>
      </c>
      <c r="R562" s="7">
        <f t="shared" si="52"/>
        <v>0</v>
      </c>
    </row>
    <row r="563" spans="1:18" ht="15" customHeight="1" x14ac:dyDescent="0.25">
      <c r="A563" s="7">
        <v>562</v>
      </c>
      <c r="B563" s="8" t="s">
        <v>151</v>
      </c>
      <c r="C563" s="8">
        <v>2014</v>
      </c>
      <c r="D563" s="8">
        <v>2015</v>
      </c>
      <c r="E563" s="3">
        <v>42070</v>
      </c>
      <c r="F563" s="4">
        <f t="shared" si="48"/>
        <v>3</v>
      </c>
      <c r="G563" s="4">
        <f t="shared" si="49"/>
        <v>7</v>
      </c>
      <c r="H563" s="4">
        <f t="shared" si="50"/>
        <v>2015</v>
      </c>
      <c r="I563" s="10" t="s">
        <v>157</v>
      </c>
      <c r="J563" s="8" t="s">
        <v>139</v>
      </c>
      <c r="K563" s="8" t="s">
        <v>10</v>
      </c>
      <c r="L563" s="8">
        <v>-4</v>
      </c>
      <c r="M563" s="8" t="s">
        <v>139</v>
      </c>
      <c r="N563" s="8">
        <v>85</v>
      </c>
      <c r="O563" s="8">
        <v>91</v>
      </c>
      <c r="P563" s="2" t="str">
        <f t="shared" si="53"/>
        <v>MIL</v>
      </c>
      <c r="Q563" s="2">
        <f t="shared" si="51"/>
        <v>-2</v>
      </c>
      <c r="R563" s="7">
        <f t="shared" si="52"/>
        <v>0</v>
      </c>
    </row>
    <row r="564" spans="1:18" ht="15" customHeight="1" x14ac:dyDescent="0.25">
      <c r="A564" s="7">
        <v>563</v>
      </c>
      <c r="B564" s="8" t="s">
        <v>151</v>
      </c>
      <c r="C564" s="8">
        <v>2014</v>
      </c>
      <c r="D564" s="8">
        <v>2015</v>
      </c>
      <c r="E564" s="3">
        <v>42071</v>
      </c>
      <c r="F564" s="4">
        <f t="shared" si="48"/>
        <v>3</v>
      </c>
      <c r="G564" s="4">
        <f t="shared" si="49"/>
        <v>8</v>
      </c>
      <c r="H564" s="4">
        <f t="shared" si="50"/>
        <v>2015</v>
      </c>
      <c r="I564" s="10" t="s">
        <v>157</v>
      </c>
      <c r="J564" s="8" t="s">
        <v>8</v>
      </c>
      <c r="K564" s="8" t="s">
        <v>7</v>
      </c>
      <c r="L564" s="8">
        <v>-1</v>
      </c>
      <c r="M564" s="8" t="s">
        <v>7</v>
      </c>
      <c r="N564" s="8">
        <v>108</v>
      </c>
      <c r="O564" s="8">
        <v>101</v>
      </c>
      <c r="P564" s="2" t="str">
        <f t="shared" si="53"/>
        <v>CHA</v>
      </c>
      <c r="Q564" s="2">
        <f t="shared" si="51"/>
        <v>-8</v>
      </c>
      <c r="R564" s="7">
        <f t="shared" si="52"/>
        <v>0</v>
      </c>
    </row>
    <row r="565" spans="1:18" ht="15" customHeight="1" x14ac:dyDescent="0.25">
      <c r="A565" s="7">
        <v>564</v>
      </c>
      <c r="B565" s="8" t="s">
        <v>151</v>
      </c>
      <c r="C565" s="8">
        <v>2014</v>
      </c>
      <c r="D565" s="8">
        <v>2015</v>
      </c>
      <c r="E565" s="3">
        <v>42072</v>
      </c>
      <c r="F565" s="4">
        <f t="shared" si="48"/>
        <v>3</v>
      </c>
      <c r="G565" s="4">
        <f t="shared" si="49"/>
        <v>9</v>
      </c>
      <c r="H565" s="4">
        <f t="shared" si="50"/>
        <v>2015</v>
      </c>
      <c r="I565" s="10" t="s">
        <v>157</v>
      </c>
      <c r="J565" s="8" t="s">
        <v>124</v>
      </c>
      <c r="K565" s="8" t="s">
        <v>10</v>
      </c>
      <c r="L565" s="8">
        <v>-2</v>
      </c>
      <c r="M565" s="8" t="s">
        <v>10</v>
      </c>
      <c r="N565" s="8">
        <v>114</v>
      </c>
      <c r="O565" s="8">
        <v>103</v>
      </c>
      <c r="P565" s="2" t="str">
        <f t="shared" si="53"/>
        <v>NO</v>
      </c>
      <c r="Q565" s="2">
        <f t="shared" si="51"/>
        <v>-13</v>
      </c>
      <c r="R565" s="7">
        <f t="shared" si="52"/>
        <v>0</v>
      </c>
    </row>
    <row r="566" spans="1:18" ht="15" customHeight="1" x14ac:dyDescent="0.25">
      <c r="A566" s="7">
        <v>565</v>
      </c>
      <c r="B566" s="8" t="s">
        <v>151</v>
      </c>
      <c r="C566" s="8">
        <v>2014</v>
      </c>
      <c r="D566" s="8">
        <v>2015</v>
      </c>
      <c r="E566" s="3">
        <v>42073</v>
      </c>
      <c r="F566" s="4">
        <f t="shared" si="48"/>
        <v>3</v>
      </c>
      <c r="G566" s="4">
        <f t="shared" si="49"/>
        <v>10</v>
      </c>
      <c r="H566" s="4">
        <f t="shared" si="50"/>
        <v>2015</v>
      </c>
      <c r="I566" s="10" t="s">
        <v>157</v>
      </c>
      <c r="J566" s="8" t="s">
        <v>2</v>
      </c>
      <c r="K566" s="8" t="s">
        <v>134</v>
      </c>
      <c r="L566" s="8">
        <v>-7.5</v>
      </c>
      <c r="M566" s="8" t="s">
        <v>2</v>
      </c>
      <c r="N566" s="8">
        <v>107</v>
      </c>
      <c r="O566" s="8">
        <v>117</v>
      </c>
      <c r="P566" s="2" t="str">
        <f t="shared" si="53"/>
        <v>SA</v>
      </c>
      <c r="Q566" s="2">
        <f t="shared" si="51"/>
        <v>-2.5</v>
      </c>
      <c r="R566" s="7">
        <f t="shared" si="52"/>
        <v>0</v>
      </c>
    </row>
    <row r="567" spans="1:18" ht="15" customHeight="1" x14ac:dyDescent="0.25">
      <c r="A567" s="7">
        <v>566</v>
      </c>
      <c r="B567" s="8" t="s">
        <v>151</v>
      </c>
      <c r="C567" s="8">
        <v>2014</v>
      </c>
      <c r="D567" s="8">
        <v>2015</v>
      </c>
      <c r="E567" s="3">
        <v>42074</v>
      </c>
      <c r="F567" s="4">
        <f t="shared" si="48"/>
        <v>3</v>
      </c>
      <c r="G567" s="4">
        <f t="shared" si="49"/>
        <v>11</v>
      </c>
      <c r="H567" s="4">
        <f t="shared" si="50"/>
        <v>2015</v>
      </c>
      <c r="I567" s="10" t="s">
        <v>157</v>
      </c>
      <c r="J567" s="8" t="s">
        <v>4</v>
      </c>
      <c r="K567" s="8" t="s">
        <v>1</v>
      </c>
      <c r="L567" s="8">
        <v>-2.5</v>
      </c>
      <c r="M567" s="8" t="s">
        <v>4</v>
      </c>
      <c r="N567" s="8">
        <v>100</v>
      </c>
      <c r="O567" s="8">
        <v>105</v>
      </c>
      <c r="P567" s="2" t="str">
        <f t="shared" si="53"/>
        <v>POR</v>
      </c>
      <c r="Q567" s="2">
        <f t="shared" si="51"/>
        <v>-2.5</v>
      </c>
      <c r="R567" s="7">
        <f t="shared" si="52"/>
        <v>0</v>
      </c>
    </row>
    <row r="568" spans="1:18" ht="15" customHeight="1" x14ac:dyDescent="0.25">
      <c r="A568" s="7">
        <v>567</v>
      </c>
      <c r="B568" s="8" t="s">
        <v>151</v>
      </c>
      <c r="C568" s="8">
        <v>2014</v>
      </c>
      <c r="D568" s="8">
        <v>2015</v>
      </c>
      <c r="E568" s="3">
        <v>42075</v>
      </c>
      <c r="F568" s="4">
        <f t="shared" si="48"/>
        <v>3</v>
      </c>
      <c r="G568" s="4">
        <f t="shared" si="49"/>
        <v>12</v>
      </c>
      <c r="H568" s="4">
        <f t="shared" si="50"/>
        <v>2015</v>
      </c>
      <c r="I568" s="10" t="s">
        <v>157</v>
      </c>
      <c r="J568" s="8" t="s">
        <v>6</v>
      </c>
      <c r="K568" s="8" t="s">
        <v>134</v>
      </c>
      <c r="L568" s="8">
        <v>-0.5</v>
      </c>
      <c r="M568" s="8" t="s">
        <v>134</v>
      </c>
      <c r="N568" s="8">
        <v>128</v>
      </c>
      <c r="O568" s="8">
        <v>125</v>
      </c>
      <c r="P568" s="2" t="str">
        <f t="shared" si="53"/>
        <v>CLE</v>
      </c>
      <c r="Q568" s="2">
        <f t="shared" si="51"/>
        <v>-3.5</v>
      </c>
      <c r="R568" s="7">
        <f t="shared" si="52"/>
        <v>0</v>
      </c>
    </row>
    <row r="569" spans="1:18" ht="15" customHeight="1" x14ac:dyDescent="0.25">
      <c r="A569" s="7">
        <v>568</v>
      </c>
      <c r="B569" s="8" t="s">
        <v>151</v>
      </c>
      <c r="C569" s="8">
        <v>2014</v>
      </c>
      <c r="D569" s="8">
        <v>2015</v>
      </c>
      <c r="E569" s="3">
        <v>42076</v>
      </c>
      <c r="F569" s="4">
        <f t="shared" si="48"/>
        <v>3</v>
      </c>
      <c r="G569" s="4">
        <f t="shared" si="49"/>
        <v>13</v>
      </c>
      <c r="H569" s="4">
        <f t="shared" si="50"/>
        <v>2015</v>
      </c>
      <c r="I569" s="10" t="s">
        <v>157</v>
      </c>
      <c r="J569" s="8" t="s">
        <v>21</v>
      </c>
      <c r="K569" s="8" t="s">
        <v>20</v>
      </c>
      <c r="L569" s="8">
        <v>4</v>
      </c>
      <c r="M569" s="8" t="s">
        <v>20</v>
      </c>
      <c r="N569" s="8">
        <v>107</v>
      </c>
      <c r="O569" s="8">
        <v>114</v>
      </c>
      <c r="P569" s="2" t="str">
        <f t="shared" si="53"/>
        <v>PHI</v>
      </c>
      <c r="Q569" s="2">
        <f t="shared" si="51"/>
        <v>11</v>
      </c>
      <c r="R569" s="7">
        <f t="shared" si="52"/>
        <v>1</v>
      </c>
    </row>
    <row r="570" spans="1:18" ht="15" customHeight="1" x14ac:dyDescent="0.25">
      <c r="A570" s="7">
        <v>569</v>
      </c>
      <c r="B570" s="8" t="s">
        <v>151</v>
      </c>
      <c r="C570" s="8">
        <v>2014</v>
      </c>
      <c r="D570" s="8">
        <v>2015</v>
      </c>
      <c r="E570" s="3">
        <v>42077</v>
      </c>
      <c r="F570" s="4">
        <f t="shared" si="48"/>
        <v>3</v>
      </c>
      <c r="G570" s="4">
        <f t="shared" si="49"/>
        <v>14</v>
      </c>
      <c r="H570" s="4">
        <f t="shared" si="50"/>
        <v>2015</v>
      </c>
      <c r="I570" s="10" t="s">
        <v>157</v>
      </c>
      <c r="J570" s="5" t="s">
        <v>22</v>
      </c>
      <c r="K570" s="5" t="s">
        <v>20</v>
      </c>
      <c r="L570" s="5">
        <v>5.5</v>
      </c>
      <c r="M570" s="5" t="s">
        <v>20</v>
      </c>
      <c r="N570" s="5">
        <v>94</v>
      </c>
      <c r="O570" s="5">
        <v>87</v>
      </c>
      <c r="P570" s="2" t="str">
        <f t="shared" si="53"/>
        <v>BKN</v>
      </c>
      <c r="Q570" s="2">
        <f t="shared" si="51"/>
        <v>-1.5</v>
      </c>
      <c r="R570" s="7">
        <f t="shared" si="52"/>
        <v>0</v>
      </c>
    </row>
    <row r="571" spans="1:18" ht="15" customHeight="1" x14ac:dyDescent="0.25">
      <c r="A571" s="7">
        <v>570</v>
      </c>
      <c r="B571" s="8" t="s">
        <v>151</v>
      </c>
      <c r="C571" s="8">
        <v>2014</v>
      </c>
      <c r="D571" s="8">
        <v>2015</v>
      </c>
      <c r="E571" s="3">
        <v>42078</v>
      </c>
      <c r="F571" s="4">
        <f t="shared" si="48"/>
        <v>3</v>
      </c>
      <c r="G571" s="4">
        <f t="shared" si="49"/>
        <v>15</v>
      </c>
      <c r="H571" s="4">
        <f t="shared" si="50"/>
        <v>2015</v>
      </c>
      <c r="I571" s="10" t="s">
        <v>157</v>
      </c>
      <c r="J571" s="5" t="s">
        <v>0</v>
      </c>
      <c r="K571" s="5" t="s">
        <v>12</v>
      </c>
      <c r="L571" s="5">
        <v>-7</v>
      </c>
      <c r="M571" s="5" t="s">
        <v>0</v>
      </c>
      <c r="N571" s="5">
        <v>100</v>
      </c>
      <c r="O571" s="5">
        <v>109</v>
      </c>
      <c r="P571" s="2" t="str">
        <f t="shared" si="53"/>
        <v>OKC</v>
      </c>
      <c r="Q571" s="2">
        <f t="shared" si="51"/>
        <v>-2</v>
      </c>
      <c r="R571" s="7">
        <f t="shared" si="52"/>
        <v>0</v>
      </c>
    </row>
    <row r="572" spans="1:18" ht="15" customHeight="1" x14ac:dyDescent="0.25">
      <c r="A572" s="7">
        <v>571</v>
      </c>
      <c r="B572" s="8" t="s">
        <v>151</v>
      </c>
      <c r="C572" s="8">
        <v>2014</v>
      </c>
      <c r="D572" s="8">
        <v>2015</v>
      </c>
      <c r="E572" s="3">
        <v>42079</v>
      </c>
      <c r="F572" s="4">
        <f t="shared" si="48"/>
        <v>3</v>
      </c>
      <c r="G572" s="4">
        <f t="shared" si="49"/>
        <v>16</v>
      </c>
      <c r="H572" s="4">
        <f t="shared" si="50"/>
        <v>2015</v>
      </c>
      <c r="I572" s="10" t="s">
        <v>157</v>
      </c>
      <c r="J572" s="5" t="s">
        <v>8</v>
      </c>
      <c r="K572" s="5" t="s">
        <v>137</v>
      </c>
      <c r="L572" s="5">
        <v>-4.5</v>
      </c>
      <c r="M572" s="5" t="s">
        <v>137</v>
      </c>
      <c r="N572" s="5">
        <v>66</v>
      </c>
      <c r="O572" s="5">
        <v>94</v>
      </c>
      <c r="P572" s="2" t="str">
        <f t="shared" si="53"/>
        <v>UTAH</v>
      </c>
      <c r="Q572" s="2">
        <f t="shared" si="51"/>
        <v>23.5</v>
      </c>
      <c r="R572" s="7">
        <f t="shared" si="52"/>
        <v>1</v>
      </c>
    </row>
    <row r="573" spans="1:18" ht="15" customHeight="1" x14ac:dyDescent="0.25">
      <c r="A573" s="7">
        <v>572</v>
      </c>
      <c r="B573" s="8" t="s">
        <v>151</v>
      </c>
      <c r="C573" s="8">
        <v>2014</v>
      </c>
      <c r="D573" s="8">
        <v>2015</v>
      </c>
      <c r="E573" s="3">
        <v>42080</v>
      </c>
      <c r="F573" s="4">
        <f t="shared" si="48"/>
        <v>3</v>
      </c>
      <c r="G573" s="4">
        <f t="shared" si="49"/>
        <v>17</v>
      </c>
      <c r="H573" s="4">
        <f t="shared" si="50"/>
        <v>2015</v>
      </c>
      <c r="I573" s="10" t="s">
        <v>157</v>
      </c>
      <c r="J573" s="5" t="s">
        <v>11</v>
      </c>
      <c r="K573" s="5" t="s">
        <v>4</v>
      </c>
      <c r="L573" s="5">
        <v>-11.5</v>
      </c>
      <c r="M573" s="5" t="s">
        <v>11</v>
      </c>
      <c r="N573" s="5">
        <v>94</v>
      </c>
      <c r="O573" s="5">
        <v>107</v>
      </c>
      <c r="P573" s="2" t="str">
        <f t="shared" si="53"/>
        <v>HOU</v>
      </c>
      <c r="Q573" s="2">
        <f t="shared" si="51"/>
        <v>-1.5</v>
      </c>
      <c r="R573" s="7">
        <f t="shared" si="52"/>
        <v>0</v>
      </c>
    </row>
    <row r="574" spans="1:18" ht="15" customHeight="1" x14ac:dyDescent="0.25">
      <c r="A574" s="7">
        <v>573</v>
      </c>
      <c r="B574" s="8" t="s">
        <v>151</v>
      </c>
      <c r="C574" s="8">
        <v>2014</v>
      </c>
      <c r="D574" s="8">
        <v>2015</v>
      </c>
      <c r="E574" s="3">
        <v>42081</v>
      </c>
      <c r="F574" s="4">
        <f t="shared" si="48"/>
        <v>3</v>
      </c>
      <c r="G574" s="4">
        <f t="shared" si="49"/>
        <v>18</v>
      </c>
      <c r="H574" s="4">
        <f t="shared" si="50"/>
        <v>2015</v>
      </c>
      <c r="I574" s="10" t="s">
        <v>157</v>
      </c>
      <c r="J574" s="5" t="s">
        <v>14</v>
      </c>
      <c r="K574" s="5" t="s">
        <v>21</v>
      </c>
      <c r="L574" s="5">
        <v>8.5</v>
      </c>
      <c r="M574" s="5" t="s">
        <v>21</v>
      </c>
      <c r="N574" s="5">
        <v>116</v>
      </c>
      <c r="O574" s="5">
        <v>105</v>
      </c>
      <c r="P574" s="2" t="str">
        <f t="shared" si="53"/>
        <v>LAC</v>
      </c>
      <c r="Q574" s="2">
        <f t="shared" si="51"/>
        <v>-2.5</v>
      </c>
      <c r="R574" s="7">
        <f t="shared" si="52"/>
        <v>0</v>
      </c>
    </row>
    <row r="575" spans="1:18" ht="15" customHeight="1" x14ac:dyDescent="0.25">
      <c r="A575" s="7">
        <v>574</v>
      </c>
      <c r="B575" s="8" t="s">
        <v>151</v>
      </c>
      <c r="C575" s="8">
        <v>2014</v>
      </c>
      <c r="D575" s="8">
        <v>2015</v>
      </c>
      <c r="E575" s="3">
        <v>42082</v>
      </c>
      <c r="F575" s="4">
        <f t="shared" si="48"/>
        <v>3</v>
      </c>
      <c r="G575" s="4">
        <f t="shared" si="49"/>
        <v>19</v>
      </c>
      <c r="H575" s="4">
        <f t="shared" si="50"/>
        <v>2015</v>
      </c>
      <c r="I575" s="10" t="s">
        <v>157</v>
      </c>
      <c r="J575" s="5" t="s">
        <v>137</v>
      </c>
      <c r="K575" s="5" t="s">
        <v>18</v>
      </c>
      <c r="L575" s="8">
        <v>4.5</v>
      </c>
      <c r="M575" s="5" t="s">
        <v>137</v>
      </c>
      <c r="N575" s="8">
        <v>80</v>
      </c>
      <c r="O575" s="8">
        <v>73</v>
      </c>
      <c r="P575" s="2" t="str">
        <f t="shared" si="53"/>
        <v>UTAH</v>
      </c>
      <c r="Q575" s="2">
        <f t="shared" si="51"/>
        <v>2.5</v>
      </c>
      <c r="R575" s="7">
        <f t="shared" si="52"/>
        <v>1</v>
      </c>
    </row>
    <row r="576" spans="1:18" ht="15" customHeight="1" x14ac:dyDescent="0.25">
      <c r="A576" s="7">
        <v>575</v>
      </c>
      <c r="B576" s="8" t="s">
        <v>151</v>
      </c>
      <c r="C576" s="8">
        <v>2014</v>
      </c>
      <c r="D576" s="8">
        <v>2015</v>
      </c>
      <c r="E576" s="3">
        <v>42083</v>
      </c>
      <c r="F576" s="4">
        <f t="shared" si="48"/>
        <v>3</v>
      </c>
      <c r="G576" s="4">
        <f t="shared" si="49"/>
        <v>20</v>
      </c>
      <c r="H576" s="4">
        <f t="shared" si="50"/>
        <v>2015</v>
      </c>
      <c r="I576" s="10" t="s">
        <v>157</v>
      </c>
      <c r="J576" s="5" t="s">
        <v>23</v>
      </c>
      <c r="K576" s="5" t="s">
        <v>15</v>
      </c>
      <c r="L576" s="5">
        <v>-8</v>
      </c>
      <c r="M576" s="5" t="s">
        <v>23</v>
      </c>
      <c r="N576" s="5">
        <v>91</v>
      </c>
      <c r="O576" s="5">
        <v>108</v>
      </c>
      <c r="P576" s="7" t="str">
        <f t="shared" si="53"/>
        <v>MIA</v>
      </c>
      <c r="Q576" s="7">
        <f t="shared" si="51"/>
        <v>-9</v>
      </c>
      <c r="R576" s="7">
        <f t="shared" si="52"/>
        <v>0</v>
      </c>
    </row>
    <row r="577" spans="1:18" ht="15" customHeight="1" x14ac:dyDescent="0.25">
      <c r="A577" s="7">
        <v>576</v>
      </c>
      <c r="B577" s="8" t="s">
        <v>151</v>
      </c>
      <c r="C577" s="8">
        <v>2014</v>
      </c>
      <c r="D577" s="8">
        <v>2015</v>
      </c>
      <c r="E577" s="3">
        <v>42084</v>
      </c>
      <c r="F577" s="4">
        <f t="shared" si="48"/>
        <v>3</v>
      </c>
      <c r="G577" s="4">
        <f t="shared" si="49"/>
        <v>21</v>
      </c>
      <c r="H577" s="4">
        <f t="shared" si="50"/>
        <v>2015</v>
      </c>
      <c r="I577" s="10" t="s">
        <v>157</v>
      </c>
      <c r="J577" s="5" t="s">
        <v>1</v>
      </c>
      <c r="K577" s="5" t="s">
        <v>9</v>
      </c>
      <c r="L577" s="5">
        <v>-3.5</v>
      </c>
      <c r="M577" s="5" t="s">
        <v>9</v>
      </c>
      <c r="N577" s="5">
        <v>86</v>
      </c>
      <c r="O577" s="5">
        <v>97</v>
      </c>
      <c r="P577" s="7" t="str">
        <f t="shared" si="53"/>
        <v>MEM</v>
      </c>
      <c r="Q577" s="7">
        <f t="shared" si="51"/>
        <v>7.5</v>
      </c>
      <c r="R577" s="7">
        <f t="shared" si="52"/>
        <v>1</v>
      </c>
    </row>
    <row r="578" spans="1:18" ht="15" customHeight="1" x14ac:dyDescent="0.25">
      <c r="A578" s="7">
        <v>577</v>
      </c>
      <c r="B578" s="8" t="s">
        <v>151</v>
      </c>
      <c r="C578" s="8">
        <v>2014</v>
      </c>
      <c r="D578" s="8">
        <v>2015</v>
      </c>
      <c r="E578" s="3">
        <v>42085</v>
      </c>
      <c r="F578" s="4">
        <f t="shared" ref="F578:F641" si="54">MONTH(E578)</f>
        <v>3</v>
      </c>
      <c r="G578" s="4">
        <f t="shared" ref="G578:G641" si="55">DAY(E578)</f>
        <v>22</v>
      </c>
      <c r="H578" s="4">
        <f t="shared" ref="H578:H641" si="56">YEAR(E578)</f>
        <v>2015</v>
      </c>
      <c r="I578" s="10" t="s">
        <v>157</v>
      </c>
      <c r="J578" s="5" t="s">
        <v>134</v>
      </c>
      <c r="K578" s="5" t="s">
        <v>5</v>
      </c>
      <c r="L578" s="5">
        <v>-2</v>
      </c>
      <c r="M578" s="5" t="s">
        <v>5</v>
      </c>
      <c r="N578" s="5">
        <v>114</v>
      </c>
      <c r="O578" s="5">
        <v>95</v>
      </c>
      <c r="P578" s="7" t="str">
        <f t="shared" si="53"/>
        <v>SA</v>
      </c>
      <c r="Q578" s="7">
        <f t="shared" ref="Q578:Q641" si="57">IF(AND(N578&gt;0,O578&gt;0,(O578+L578)=N578),0,IF(P578="","",IF(P578=M578,ABS((O578+L578)-N578),-ABS((O578+L578)-N578))))</f>
        <v>-21</v>
      </c>
      <c r="R578" s="7">
        <f t="shared" si="52"/>
        <v>0</v>
      </c>
    </row>
    <row r="579" spans="1:18" ht="15" customHeight="1" x14ac:dyDescent="0.25">
      <c r="A579" s="7">
        <v>578</v>
      </c>
      <c r="B579" s="8" t="s">
        <v>151</v>
      </c>
      <c r="C579" s="8">
        <v>2014</v>
      </c>
      <c r="D579" s="8">
        <v>2015</v>
      </c>
      <c r="E579" s="3">
        <v>42086</v>
      </c>
      <c r="F579" s="4">
        <f t="shared" si="54"/>
        <v>3</v>
      </c>
      <c r="G579" s="4">
        <f t="shared" si="55"/>
        <v>23</v>
      </c>
      <c r="H579" s="4">
        <f t="shared" si="56"/>
        <v>2015</v>
      </c>
      <c r="I579" s="10" t="s">
        <v>157</v>
      </c>
      <c r="J579" s="5" t="s">
        <v>3</v>
      </c>
      <c r="K579" s="5" t="s">
        <v>137</v>
      </c>
      <c r="L579" s="5">
        <v>-10</v>
      </c>
      <c r="M579" s="5" t="s">
        <v>137</v>
      </c>
      <c r="N579" s="5">
        <v>106</v>
      </c>
      <c r="O579" s="5">
        <v>104</v>
      </c>
      <c r="P579" s="7" t="str">
        <f t="shared" si="53"/>
        <v>MIN</v>
      </c>
      <c r="Q579" s="7">
        <f t="shared" si="57"/>
        <v>-12</v>
      </c>
      <c r="R579" s="7">
        <f t="shared" ref="R579:R642" si="58">IF(Q579="","",IF(P579=M579,1,IF(Q579=0,"na",0)))</f>
        <v>0</v>
      </c>
    </row>
    <row r="580" spans="1:18" ht="15" customHeight="1" x14ac:dyDescent="0.25">
      <c r="A580" s="7">
        <v>579</v>
      </c>
      <c r="B580" s="8" t="s">
        <v>151</v>
      </c>
      <c r="C580" s="8">
        <v>2014</v>
      </c>
      <c r="D580" s="8">
        <v>2015</v>
      </c>
      <c r="E580" s="3">
        <v>42087</v>
      </c>
      <c r="F580" s="4">
        <f t="shared" si="54"/>
        <v>3</v>
      </c>
      <c r="G580" s="4">
        <f t="shared" si="55"/>
        <v>24</v>
      </c>
      <c r="H580" s="4">
        <f t="shared" si="56"/>
        <v>2015</v>
      </c>
      <c r="I580" s="10" t="s">
        <v>157</v>
      </c>
      <c r="J580" s="5" t="s">
        <v>2</v>
      </c>
      <c r="K580" s="5" t="s">
        <v>7</v>
      </c>
      <c r="L580" s="5">
        <v>-2</v>
      </c>
      <c r="M580" s="5" t="s">
        <v>2</v>
      </c>
      <c r="N580" s="5">
        <v>104</v>
      </c>
      <c r="O580" s="5">
        <v>108</v>
      </c>
      <c r="P580" s="7" t="str">
        <f t="shared" si="53"/>
        <v>DET</v>
      </c>
      <c r="Q580" s="7">
        <f t="shared" si="57"/>
        <v>-2</v>
      </c>
      <c r="R580" s="7">
        <f t="shared" si="58"/>
        <v>0</v>
      </c>
    </row>
    <row r="581" spans="1:18" ht="15" customHeight="1" x14ac:dyDescent="0.25">
      <c r="A581" s="7">
        <v>580</v>
      </c>
      <c r="B581" s="8" t="s">
        <v>151</v>
      </c>
      <c r="C581" s="8">
        <v>2014</v>
      </c>
      <c r="D581" s="8">
        <v>2015</v>
      </c>
      <c r="E581" s="3">
        <v>42088</v>
      </c>
      <c r="F581" s="4">
        <f t="shared" si="54"/>
        <v>3</v>
      </c>
      <c r="G581" s="4">
        <f t="shared" si="55"/>
        <v>25</v>
      </c>
      <c r="H581" s="4">
        <f t="shared" si="56"/>
        <v>2015</v>
      </c>
      <c r="I581" s="10" t="s">
        <v>157</v>
      </c>
      <c r="J581" s="8" t="s">
        <v>21</v>
      </c>
      <c r="K581" s="8" t="s">
        <v>19</v>
      </c>
      <c r="L581" s="8">
        <v>-8.5</v>
      </c>
      <c r="M581" s="8" t="s">
        <v>21</v>
      </c>
      <c r="N581" s="8">
        <v>108</v>
      </c>
      <c r="O581" s="8">
        <v>99</v>
      </c>
      <c r="P581" s="2" t="str">
        <f t="shared" si="53"/>
        <v>SAC</v>
      </c>
      <c r="Q581" s="2">
        <f t="shared" si="57"/>
        <v>17.5</v>
      </c>
      <c r="R581" s="7">
        <f t="shared" si="58"/>
        <v>1</v>
      </c>
    </row>
    <row r="582" spans="1:18" ht="15" customHeight="1" x14ac:dyDescent="0.25">
      <c r="A582" s="7">
        <v>581</v>
      </c>
      <c r="B582" s="8" t="s">
        <v>151</v>
      </c>
      <c r="C582" s="8">
        <v>2014</v>
      </c>
      <c r="D582" s="8">
        <v>2015</v>
      </c>
      <c r="E582" s="3">
        <v>42089</v>
      </c>
      <c r="F582" s="4">
        <f t="shared" si="54"/>
        <v>3</v>
      </c>
      <c r="G582" s="4">
        <f t="shared" si="55"/>
        <v>26</v>
      </c>
      <c r="H582" s="4">
        <f t="shared" si="56"/>
        <v>2015</v>
      </c>
      <c r="I582" s="10" t="s">
        <v>157</v>
      </c>
      <c r="J582" s="8" t="s">
        <v>13</v>
      </c>
      <c r="K582" s="8" t="s">
        <v>10</v>
      </c>
      <c r="L582" s="8">
        <v>-2.5</v>
      </c>
      <c r="M582" s="8" t="s">
        <v>10</v>
      </c>
      <c r="N582" s="8">
        <v>107</v>
      </c>
      <c r="O582" s="8">
        <v>111</v>
      </c>
      <c r="P582" s="2" t="str">
        <f t="shared" ref="P582:P645" si="59">IF(OR(N582="",O582=""),"",IF((O582+L582)&gt;N582,K582,IF((O582+L582)=N582,"N/A",J582)))</f>
        <v>MIL</v>
      </c>
      <c r="Q582" s="2">
        <f t="shared" si="57"/>
        <v>1.5</v>
      </c>
      <c r="R582" s="7">
        <f t="shared" si="58"/>
        <v>1</v>
      </c>
    </row>
    <row r="583" spans="1:18" ht="15" customHeight="1" x14ac:dyDescent="0.25">
      <c r="A583" s="7">
        <v>582</v>
      </c>
      <c r="B583" s="8" t="s">
        <v>151</v>
      </c>
      <c r="C583" s="8">
        <v>2014</v>
      </c>
      <c r="D583" s="8">
        <v>2015</v>
      </c>
      <c r="E583" s="3">
        <v>42090</v>
      </c>
      <c r="F583" s="4">
        <f t="shared" si="54"/>
        <v>3</v>
      </c>
      <c r="G583" s="4">
        <f t="shared" si="55"/>
        <v>27</v>
      </c>
      <c r="H583" s="4">
        <f t="shared" si="56"/>
        <v>2015</v>
      </c>
      <c r="I583" s="10" t="s">
        <v>157</v>
      </c>
      <c r="J583" s="8" t="s">
        <v>14</v>
      </c>
      <c r="K583" s="8" t="s">
        <v>20</v>
      </c>
      <c r="L583" s="8">
        <v>12.5</v>
      </c>
      <c r="M583" s="8" t="s">
        <v>14</v>
      </c>
      <c r="N583" s="8">
        <v>119</v>
      </c>
      <c r="O583" s="8">
        <v>98</v>
      </c>
      <c r="P583" s="2" t="str">
        <f t="shared" si="59"/>
        <v>LAC</v>
      </c>
      <c r="Q583" s="2">
        <f t="shared" si="57"/>
        <v>8.5</v>
      </c>
      <c r="R583" s="7">
        <f t="shared" si="58"/>
        <v>1</v>
      </c>
    </row>
    <row r="584" spans="1:18" ht="15" customHeight="1" x14ac:dyDescent="0.25">
      <c r="A584" s="7">
        <v>583</v>
      </c>
      <c r="B584" s="8" t="s">
        <v>151</v>
      </c>
      <c r="C584" s="8">
        <v>2014</v>
      </c>
      <c r="D584" s="8">
        <v>2015</v>
      </c>
      <c r="E584" s="3">
        <v>42091</v>
      </c>
      <c r="F584" s="4">
        <f t="shared" si="54"/>
        <v>3</v>
      </c>
      <c r="G584" s="4">
        <f t="shared" si="55"/>
        <v>28</v>
      </c>
      <c r="H584" s="4">
        <f t="shared" si="56"/>
        <v>2015</v>
      </c>
      <c r="I584" s="10" t="s">
        <v>157</v>
      </c>
      <c r="J584" s="8" t="s">
        <v>126</v>
      </c>
      <c r="K584" s="8" t="s">
        <v>0</v>
      </c>
      <c r="L584" s="8">
        <v>-16.5</v>
      </c>
      <c r="M584" s="8" t="s">
        <v>126</v>
      </c>
      <c r="N584" s="8">
        <v>80</v>
      </c>
      <c r="O584" s="8">
        <v>111</v>
      </c>
      <c r="P584" s="2" t="str">
        <f t="shared" si="59"/>
        <v>CHI</v>
      </c>
      <c r="Q584" s="2">
        <f t="shared" si="57"/>
        <v>-14.5</v>
      </c>
      <c r="R584" s="7">
        <f t="shared" si="58"/>
        <v>0</v>
      </c>
    </row>
    <row r="585" spans="1:18" ht="15" customHeight="1" x14ac:dyDescent="0.25">
      <c r="A585" s="7">
        <v>584</v>
      </c>
      <c r="B585" s="8" t="s">
        <v>151</v>
      </c>
      <c r="C585" s="8">
        <v>2014</v>
      </c>
      <c r="D585" s="8">
        <v>2015</v>
      </c>
      <c r="E585" s="3">
        <v>42092</v>
      </c>
      <c r="F585" s="4">
        <f t="shared" si="54"/>
        <v>3</v>
      </c>
      <c r="G585" s="4">
        <f t="shared" si="55"/>
        <v>29</v>
      </c>
      <c r="H585" s="4">
        <f t="shared" si="56"/>
        <v>2015</v>
      </c>
      <c r="I585" s="10" t="s">
        <v>157</v>
      </c>
      <c r="J585" s="8" t="s">
        <v>9</v>
      </c>
      <c r="K585" s="8" t="s">
        <v>134</v>
      </c>
      <c r="L585" s="8">
        <v>-7.5</v>
      </c>
      <c r="M585" s="8" t="s">
        <v>9</v>
      </c>
      <c r="N585" s="8">
        <v>89</v>
      </c>
      <c r="O585" s="8">
        <v>103</v>
      </c>
      <c r="P585" s="2" t="str">
        <f t="shared" si="59"/>
        <v>SA</v>
      </c>
      <c r="Q585" s="2">
        <f t="shared" si="57"/>
        <v>-6.5</v>
      </c>
      <c r="R585" s="7">
        <f t="shared" si="58"/>
        <v>0</v>
      </c>
    </row>
    <row r="586" spans="1:18" ht="15" customHeight="1" x14ac:dyDescent="0.25">
      <c r="A586" s="7">
        <v>585</v>
      </c>
      <c r="B586" s="8" t="s">
        <v>151</v>
      </c>
      <c r="C586" s="8">
        <v>2014</v>
      </c>
      <c r="D586" s="8">
        <v>2015</v>
      </c>
      <c r="E586" s="3">
        <v>42093</v>
      </c>
      <c r="F586" s="4">
        <f t="shared" si="54"/>
        <v>3</v>
      </c>
      <c r="G586" s="4">
        <f t="shared" si="55"/>
        <v>30</v>
      </c>
      <c r="H586" s="4">
        <f t="shared" si="56"/>
        <v>2015</v>
      </c>
      <c r="I586" s="10" t="s">
        <v>157</v>
      </c>
      <c r="J586" s="8" t="s">
        <v>10</v>
      </c>
      <c r="K586" s="8" t="s">
        <v>5</v>
      </c>
      <c r="L586" s="8">
        <v>-7.5</v>
      </c>
      <c r="M586" s="8" t="s">
        <v>10</v>
      </c>
      <c r="N586" s="8">
        <v>88</v>
      </c>
      <c r="O586" s="8">
        <v>101</v>
      </c>
      <c r="P586" s="2" t="str">
        <f t="shared" si="59"/>
        <v>ATL</v>
      </c>
      <c r="Q586" s="2">
        <f t="shared" si="57"/>
        <v>-5.5</v>
      </c>
      <c r="R586" s="7">
        <f t="shared" si="58"/>
        <v>0</v>
      </c>
    </row>
    <row r="587" spans="1:18" ht="15" customHeight="1" x14ac:dyDescent="0.25">
      <c r="A587" s="7">
        <v>586</v>
      </c>
      <c r="B587" s="8" t="s">
        <v>151</v>
      </c>
      <c r="C587" s="8">
        <v>2014</v>
      </c>
      <c r="D587" s="8">
        <v>2015</v>
      </c>
      <c r="E587" s="3">
        <v>42094</v>
      </c>
      <c r="F587" s="4">
        <f t="shared" si="54"/>
        <v>3</v>
      </c>
      <c r="G587" s="4">
        <f t="shared" si="55"/>
        <v>31</v>
      </c>
      <c r="H587" s="4">
        <f t="shared" si="56"/>
        <v>2015</v>
      </c>
      <c r="I587" s="10" t="s">
        <v>157</v>
      </c>
      <c r="J587" s="8" t="s">
        <v>134</v>
      </c>
      <c r="K587" s="8" t="s">
        <v>15</v>
      </c>
      <c r="L587" s="8">
        <v>-7</v>
      </c>
      <c r="M587" s="8" t="s">
        <v>134</v>
      </c>
      <c r="N587" s="8">
        <v>95</v>
      </c>
      <c r="O587" s="8">
        <v>81</v>
      </c>
      <c r="P587" s="2" t="str">
        <f t="shared" si="59"/>
        <v>SA</v>
      </c>
      <c r="Q587" s="2">
        <f t="shared" si="57"/>
        <v>21</v>
      </c>
      <c r="R587" s="7">
        <f t="shared" si="58"/>
        <v>1</v>
      </c>
    </row>
    <row r="588" spans="1:18" ht="15" customHeight="1" x14ac:dyDescent="0.25">
      <c r="A588" s="7">
        <v>587</v>
      </c>
      <c r="B588" s="8" t="s">
        <v>151</v>
      </c>
      <c r="C588" s="8">
        <v>2014</v>
      </c>
      <c r="D588" s="8">
        <v>2015</v>
      </c>
      <c r="E588" s="3">
        <v>42095</v>
      </c>
      <c r="F588" s="4">
        <f t="shared" si="54"/>
        <v>4</v>
      </c>
      <c r="G588" s="4">
        <f t="shared" si="55"/>
        <v>1</v>
      </c>
      <c r="H588" s="4">
        <f t="shared" si="56"/>
        <v>2015</v>
      </c>
      <c r="I588" s="10" t="s">
        <v>157</v>
      </c>
      <c r="J588" s="8" t="s">
        <v>16</v>
      </c>
      <c r="K588" s="8" t="s">
        <v>12</v>
      </c>
      <c r="L588" s="8">
        <v>-3</v>
      </c>
      <c r="M588" s="8" t="s">
        <v>16</v>
      </c>
      <c r="N588" s="8">
        <v>135</v>
      </c>
      <c r="O588" s="8">
        <v>131</v>
      </c>
      <c r="P588" s="2" t="str">
        <f t="shared" si="59"/>
        <v>DAL</v>
      </c>
      <c r="Q588" s="2">
        <f t="shared" si="57"/>
        <v>7</v>
      </c>
      <c r="R588" s="7">
        <f t="shared" si="58"/>
        <v>1</v>
      </c>
    </row>
    <row r="589" spans="1:18" ht="15" customHeight="1" x14ac:dyDescent="0.25">
      <c r="A589" s="7">
        <v>588</v>
      </c>
      <c r="B589" s="8" t="s">
        <v>151</v>
      </c>
      <c r="C589" s="8">
        <v>2014</v>
      </c>
      <c r="D589" s="8">
        <v>2015</v>
      </c>
      <c r="E589" s="3">
        <v>42096</v>
      </c>
      <c r="F589" s="4">
        <f t="shared" si="54"/>
        <v>4</v>
      </c>
      <c r="G589" s="4">
        <f t="shared" si="55"/>
        <v>2</v>
      </c>
      <c r="H589" s="4">
        <f t="shared" si="56"/>
        <v>2015</v>
      </c>
      <c r="I589" s="10" t="s">
        <v>157</v>
      </c>
      <c r="J589" s="8" t="s">
        <v>4</v>
      </c>
      <c r="K589" s="8" t="s">
        <v>16</v>
      </c>
      <c r="L589" s="8">
        <v>-2</v>
      </c>
      <c r="M589" s="8" t="s">
        <v>4</v>
      </c>
      <c r="N589" s="8">
        <v>108</v>
      </c>
      <c r="O589" s="8">
        <v>101</v>
      </c>
      <c r="P589" s="2" t="str">
        <f t="shared" si="59"/>
        <v>HOU</v>
      </c>
      <c r="Q589" s="2">
        <f t="shared" si="57"/>
        <v>9</v>
      </c>
      <c r="R589" s="7">
        <f t="shared" si="58"/>
        <v>1</v>
      </c>
    </row>
    <row r="590" spans="1:18" ht="15" customHeight="1" x14ac:dyDescent="0.25">
      <c r="A590" s="7">
        <v>589</v>
      </c>
      <c r="B590" s="8" t="s">
        <v>151</v>
      </c>
      <c r="C590" s="8">
        <v>2014</v>
      </c>
      <c r="D590" s="8">
        <v>2015</v>
      </c>
      <c r="E590" s="3">
        <v>42097</v>
      </c>
      <c r="F590" s="4">
        <f t="shared" si="54"/>
        <v>4</v>
      </c>
      <c r="G590" s="4">
        <f t="shared" si="55"/>
        <v>3</v>
      </c>
      <c r="H590" s="4">
        <f t="shared" si="56"/>
        <v>2015</v>
      </c>
      <c r="I590" s="10" t="s">
        <v>157</v>
      </c>
      <c r="J590" s="8" t="s">
        <v>2</v>
      </c>
      <c r="K590" s="8" t="s">
        <v>22</v>
      </c>
      <c r="L590" s="8">
        <v>-2</v>
      </c>
      <c r="M590" s="8" t="s">
        <v>22</v>
      </c>
      <c r="N590" s="8">
        <v>109</v>
      </c>
      <c r="O590" s="8">
        <v>114</v>
      </c>
      <c r="P590" s="2" t="str">
        <f t="shared" si="59"/>
        <v>BKN</v>
      </c>
      <c r="Q590" s="2">
        <f t="shared" si="57"/>
        <v>3</v>
      </c>
      <c r="R590" s="7">
        <f t="shared" si="58"/>
        <v>1</v>
      </c>
    </row>
    <row r="591" spans="1:18" ht="15" customHeight="1" x14ac:dyDescent="0.25">
      <c r="A591" s="7">
        <v>590</v>
      </c>
      <c r="B591" s="8" t="s">
        <v>151</v>
      </c>
      <c r="C591" s="8">
        <v>2014</v>
      </c>
      <c r="D591" s="8">
        <v>2015</v>
      </c>
      <c r="E591" s="3">
        <v>42098</v>
      </c>
      <c r="F591" s="4">
        <f t="shared" si="54"/>
        <v>4</v>
      </c>
      <c r="G591" s="4">
        <f t="shared" si="55"/>
        <v>4</v>
      </c>
      <c r="H591" s="4">
        <f t="shared" si="56"/>
        <v>2015</v>
      </c>
      <c r="I591" s="10" t="s">
        <v>157</v>
      </c>
      <c r="J591" s="8" t="s">
        <v>20</v>
      </c>
      <c r="K591" s="8" t="s">
        <v>8</v>
      </c>
      <c r="L591" s="8">
        <v>-6</v>
      </c>
      <c r="M591" s="8" t="s">
        <v>8</v>
      </c>
      <c r="N591" s="8">
        <v>91</v>
      </c>
      <c r="O591" s="8">
        <v>92</v>
      </c>
      <c r="P591" s="2" t="str">
        <f t="shared" si="59"/>
        <v>PHI</v>
      </c>
      <c r="Q591" s="2">
        <f t="shared" si="57"/>
        <v>-5</v>
      </c>
      <c r="R591" s="7">
        <f t="shared" si="58"/>
        <v>0</v>
      </c>
    </row>
    <row r="592" spans="1:18" ht="15" customHeight="1" x14ac:dyDescent="0.25">
      <c r="A592" s="7">
        <v>591</v>
      </c>
      <c r="B592" s="8" t="s">
        <v>151</v>
      </c>
      <c r="C592" s="8">
        <v>2014</v>
      </c>
      <c r="D592" s="8">
        <v>2015</v>
      </c>
      <c r="E592" s="3">
        <v>42099</v>
      </c>
      <c r="F592" s="4">
        <f t="shared" si="54"/>
        <v>4</v>
      </c>
      <c r="G592" s="4">
        <f t="shared" si="55"/>
        <v>5</v>
      </c>
      <c r="H592" s="4">
        <f t="shared" si="56"/>
        <v>2015</v>
      </c>
      <c r="I592" s="10" t="s">
        <v>157</v>
      </c>
      <c r="J592" s="8" t="s">
        <v>4</v>
      </c>
      <c r="K592" s="8" t="s">
        <v>12</v>
      </c>
      <c r="L592" s="8">
        <v>-1.5</v>
      </c>
      <c r="M592" s="8" t="s">
        <v>4</v>
      </c>
      <c r="N592" s="8">
        <v>115</v>
      </c>
      <c r="O592" s="8">
        <v>112</v>
      </c>
      <c r="P592" s="2" t="str">
        <f t="shared" si="59"/>
        <v>HOU</v>
      </c>
      <c r="Q592" s="2">
        <f t="shared" si="57"/>
        <v>4.5</v>
      </c>
      <c r="R592" s="7">
        <f t="shared" si="58"/>
        <v>1</v>
      </c>
    </row>
    <row r="593" spans="1:18" ht="15" customHeight="1" x14ac:dyDescent="0.25">
      <c r="A593" s="7">
        <v>592</v>
      </c>
      <c r="B593" s="8" t="s">
        <v>151</v>
      </c>
      <c r="C593" s="8">
        <v>2014</v>
      </c>
      <c r="D593" s="8">
        <v>2015</v>
      </c>
      <c r="E593" s="3">
        <v>42100</v>
      </c>
      <c r="F593" s="4">
        <f t="shared" si="54"/>
        <v>4</v>
      </c>
      <c r="G593" s="4">
        <f t="shared" si="55"/>
        <v>6</v>
      </c>
      <c r="H593" s="4">
        <f t="shared" si="56"/>
        <v>2015</v>
      </c>
      <c r="I593" s="10" t="s">
        <v>157</v>
      </c>
      <c r="J593" s="8" t="s">
        <v>1</v>
      </c>
      <c r="K593" s="8" t="s">
        <v>22</v>
      </c>
      <c r="L593" s="8">
        <v>-6</v>
      </c>
      <c r="M593" s="8" t="s">
        <v>1</v>
      </c>
      <c r="N593" s="8">
        <v>96</v>
      </c>
      <c r="O593" s="8">
        <v>106</v>
      </c>
      <c r="P593" s="2" t="str">
        <f t="shared" si="59"/>
        <v>BKN</v>
      </c>
      <c r="Q593" s="2">
        <f t="shared" si="57"/>
        <v>-4</v>
      </c>
      <c r="R593" s="7">
        <f t="shared" si="58"/>
        <v>0</v>
      </c>
    </row>
    <row r="594" spans="1:18" ht="15" customHeight="1" x14ac:dyDescent="0.25">
      <c r="A594" s="7">
        <v>593</v>
      </c>
      <c r="B594" s="8" t="s">
        <v>151</v>
      </c>
      <c r="C594" s="8">
        <v>2014</v>
      </c>
      <c r="D594" s="8">
        <v>2015</v>
      </c>
      <c r="E594" s="3">
        <v>42101</v>
      </c>
      <c r="F594" s="4">
        <f t="shared" si="54"/>
        <v>4</v>
      </c>
      <c r="G594" s="4">
        <f t="shared" si="55"/>
        <v>7</v>
      </c>
      <c r="H594" s="4">
        <f t="shared" si="56"/>
        <v>2015</v>
      </c>
      <c r="I594" s="10" t="s">
        <v>157</v>
      </c>
      <c r="J594" s="8" t="s">
        <v>3</v>
      </c>
      <c r="K594" s="8" t="s">
        <v>21</v>
      </c>
      <c r="L594" s="8">
        <v>-10</v>
      </c>
      <c r="M594" s="8" t="s">
        <v>3</v>
      </c>
      <c r="N594" s="8">
        <v>111</v>
      </c>
      <c r="O594" s="8">
        <v>116</v>
      </c>
      <c r="P594" s="2" t="str">
        <f t="shared" si="59"/>
        <v>MIN</v>
      </c>
      <c r="Q594" s="2">
        <f t="shared" si="57"/>
        <v>5</v>
      </c>
      <c r="R594" s="7">
        <f t="shared" si="58"/>
        <v>1</v>
      </c>
    </row>
    <row r="595" spans="1:18" ht="15" customHeight="1" x14ac:dyDescent="0.25">
      <c r="A595" s="7">
        <v>594</v>
      </c>
      <c r="B595" s="8" t="s">
        <v>151</v>
      </c>
      <c r="C595" s="8">
        <v>2014</v>
      </c>
      <c r="D595" s="8">
        <v>2015</v>
      </c>
      <c r="E595" s="3">
        <v>42102</v>
      </c>
      <c r="F595" s="4">
        <f t="shared" si="54"/>
        <v>4</v>
      </c>
      <c r="G595" s="4">
        <f t="shared" si="55"/>
        <v>8</v>
      </c>
      <c r="H595" s="4">
        <f t="shared" si="56"/>
        <v>2015</v>
      </c>
      <c r="I595" s="10" t="s">
        <v>157</v>
      </c>
      <c r="J595" s="5" t="s">
        <v>17</v>
      </c>
      <c r="K595" s="5" t="s">
        <v>7</v>
      </c>
      <c r="L595" s="5">
        <v>1</v>
      </c>
      <c r="M595" s="5" t="s">
        <v>17</v>
      </c>
      <c r="N595" s="5">
        <v>113</v>
      </c>
      <c r="O595" s="5">
        <v>103</v>
      </c>
      <c r="P595" s="2" t="str">
        <f t="shared" si="59"/>
        <v>BOS</v>
      </c>
      <c r="Q595" s="2">
        <f t="shared" si="57"/>
        <v>9</v>
      </c>
      <c r="R595" s="7">
        <f t="shared" si="58"/>
        <v>1</v>
      </c>
    </row>
    <row r="596" spans="1:18" ht="15" customHeight="1" x14ac:dyDescent="0.25">
      <c r="A596" s="7">
        <v>595</v>
      </c>
      <c r="B596" s="8" t="s">
        <v>151</v>
      </c>
      <c r="C596" s="8">
        <v>2014</v>
      </c>
      <c r="D596" s="8">
        <v>2015</v>
      </c>
      <c r="E596" s="3">
        <v>42103</v>
      </c>
      <c r="F596" s="4">
        <f t="shared" si="54"/>
        <v>4</v>
      </c>
      <c r="G596" s="4">
        <f t="shared" si="55"/>
        <v>9</v>
      </c>
      <c r="H596" s="4">
        <f t="shared" si="56"/>
        <v>2015</v>
      </c>
      <c r="I596" s="10" t="s">
        <v>157</v>
      </c>
      <c r="J596" s="5" t="s">
        <v>0</v>
      </c>
      <c r="K596" s="5" t="s">
        <v>15</v>
      </c>
      <c r="L596" s="5">
        <v>1</v>
      </c>
      <c r="M596" s="5" t="s">
        <v>15</v>
      </c>
      <c r="N596" s="5">
        <v>89</v>
      </c>
      <c r="O596" s="5">
        <v>78</v>
      </c>
      <c r="P596" s="2" t="str">
        <f t="shared" si="59"/>
        <v>CHI</v>
      </c>
      <c r="Q596" s="2">
        <f t="shared" si="57"/>
        <v>-10</v>
      </c>
      <c r="R596" s="7">
        <f t="shared" si="58"/>
        <v>0</v>
      </c>
    </row>
    <row r="597" spans="1:18" ht="15" customHeight="1" x14ac:dyDescent="0.25">
      <c r="A597" s="7">
        <v>596</v>
      </c>
      <c r="B597" s="8" t="s">
        <v>151</v>
      </c>
      <c r="C597" s="8">
        <v>2014</v>
      </c>
      <c r="D597" s="8">
        <v>2015</v>
      </c>
      <c r="E597" s="3">
        <v>42104</v>
      </c>
      <c r="F597" s="4">
        <f t="shared" si="54"/>
        <v>4</v>
      </c>
      <c r="G597" s="4">
        <f t="shared" si="55"/>
        <v>10</v>
      </c>
      <c r="H597" s="4">
        <f t="shared" si="56"/>
        <v>2015</v>
      </c>
      <c r="I597" s="10" t="s">
        <v>157</v>
      </c>
      <c r="J597" s="5" t="s">
        <v>13</v>
      </c>
      <c r="K597" s="5" t="s">
        <v>7</v>
      </c>
      <c r="L597" s="5">
        <v>4</v>
      </c>
      <c r="M597" s="5" t="s">
        <v>13</v>
      </c>
      <c r="N597" s="5">
        <v>107</v>
      </c>
      <c r="O597" s="5">
        <v>103</v>
      </c>
      <c r="P597" s="2" t="str">
        <f t="shared" si="59"/>
        <v>N/A</v>
      </c>
      <c r="Q597" s="2">
        <f t="shared" si="57"/>
        <v>0</v>
      </c>
      <c r="R597" s="7" t="str">
        <f t="shared" si="58"/>
        <v>na</v>
      </c>
    </row>
    <row r="598" spans="1:18" ht="15" customHeight="1" x14ac:dyDescent="0.25">
      <c r="A598" s="7">
        <v>597</v>
      </c>
      <c r="B598" s="8" t="s">
        <v>151</v>
      </c>
      <c r="C598" s="8">
        <v>2014</v>
      </c>
      <c r="D598" s="8">
        <v>2015</v>
      </c>
      <c r="E598" s="3">
        <v>42105</v>
      </c>
      <c r="F598" s="4">
        <f t="shared" si="54"/>
        <v>4</v>
      </c>
      <c r="G598" s="4">
        <f t="shared" si="55"/>
        <v>11</v>
      </c>
      <c r="H598" s="4">
        <f t="shared" si="56"/>
        <v>2015</v>
      </c>
      <c r="I598" s="10" t="s">
        <v>157</v>
      </c>
      <c r="J598" s="5" t="s">
        <v>2</v>
      </c>
      <c r="K598" s="5" t="s">
        <v>15</v>
      </c>
      <c r="L598" s="5">
        <v>-3.5</v>
      </c>
      <c r="M598" s="5" t="s">
        <v>2</v>
      </c>
      <c r="N598" s="5">
        <v>107</v>
      </c>
      <c r="O598" s="5">
        <v>104</v>
      </c>
      <c r="P598" s="2" t="str">
        <f t="shared" si="59"/>
        <v>TOR</v>
      </c>
      <c r="Q598" s="2">
        <f t="shared" si="57"/>
        <v>6.5</v>
      </c>
      <c r="R598" s="7">
        <f t="shared" si="58"/>
        <v>1</v>
      </c>
    </row>
    <row r="599" spans="1:18" ht="15" customHeight="1" x14ac:dyDescent="0.25">
      <c r="A599" s="7">
        <v>598</v>
      </c>
      <c r="B599" s="8" t="s">
        <v>151</v>
      </c>
      <c r="C599" s="8">
        <v>2014</v>
      </c>
      <c r="D599" s="8">
        <v>2015</v>
      </c>
      <c r="E599" s="3">
        <v>42106</v>
      </c>
      <c r="F599" s="4">
        <f t="shared" si="54"/>
        <v>4</v>
      </c>
      <c r="G599" s="4">
        <f t="shared" si="55"/>
        <v>12</v>
      </c>
      <c r="H599" s="4">
        <f t="shared" si="56"/>
        <v>2015</v>
      </c>
      <c r="I599" s="10" t="s">
        <v>157</v>
      </c>
      <c r="J599" s="5" t="s">
        <v>124</v>
      </c>
      <c r="K599" s="5" t="s">
        <v>4</v>
      </c>
      <c r="L599" s="5">
        <v>-4.5</v>
      </c>
      <c r="M599" s="5" t="s">
        <v>4</v>
      </c>
      <c r="N599" s="5">
        <v>114</v>
      </c>
      <c r="O599" s="5">
        <v>121</v>
      </c>
      <c r="P599" s="2" t="str">
        <f t="shared" si="59"/>
        <v>HOU</v>
      </c>
      <c r="Q599" s="2">
        <f t="shared" si="57"/>
        <v>2.5</v>
      </c>
      <c r="R599" s="7">
        <f t="shared" si="58"/>
        <v>1</v>
      </c>
    </row>
    <row r="600" spans="1:18" ht="15" customHeight="1" x14ac:dyDescent="0.25">
      <c r="A600" s="7">
        <v>599</v>
      </c>
      <c r="B600" s="8" t="s">
        <v>151</v>
      </c>
      <c r="C600" s="8">
        <v>2014</v>
      </c>
      <c r="D600" s="8">
        <v>2015</v>
      </c>
      <c r="E600" s="3">
        <v>42107</v>
      </c>
      <c r="F600" s="4">
        <f t="shared" si="54"/>
        <v>4</v>
      </c>
      <c r="G600" s="4">
        <f t="shared" si="55"/>
        <v>13</v>
      </c>
      <c r="H600" s="4">
        <f t="shared" si="56"/>
        <v>2015</v>
      </c>
      <c r="I600" s="10" t="s">
        <v>157</v>
      </c>
      <c r="J600" s="5" t="s">
        <v>0</v>
      </c>
      <c r="K600" s="5" t="s">
        <v>22</v>
      </c>
      <c r="L600" s="5">
        <v>2</v>
      </c>
      <c r="M600" s="5" t="s">
        <v>22</v>
      </c>
      <c r="N600" s="5">
        <v>113</v>
      </c>
      <c r="O600" s="5">
        <v>86</v>
      </c>
      <c r="P600" s="2" t="str">
        <f t="shared" si="59"/>
        <v>CHI</v>
      </c>
      <c r="Q600" s="2">
        <f t="shared" si="57"/>
        <v>-25</v>
      </c>
      <c r="R600" s="7">
        <f t="shared" si="58"/>
        <v>0</v>
      </c>
    </row>
    <row r="601" spans="1:18" ht="15" customHeight="1" x14ac:dyDescent="0.25">
      <c r="A601" s="7">
        <v>600</v>
      </c>
      <c r="B601" s="8" t="s">
        <v>151</v>
      </c>
      <c r="C601" s="8">
        <v>2014</v>
      </c>
      <c r="D601" s="8">
        <v>2015</v>
      </c>
      <c r="E601" s="3">
        <v>42108</v>
      </c>
      <c r="F601" s="4">
        <f t="shared" si="54"/>
        <v>4</v>
      </c>
      <c r="G601" s="4">
        <f t="shared" si="55"/>
        <v>14</v>
      </c>
      <c r="H601" s="4">
        <f t="shared" si="56"/>
        <v>2015</v>
      </c>
      <c r="I601" s="10" t="s">
        <v>157</v>
      </c>
      <c r="J601" s="5" t="s">
        <v>2</v>
      </c>
      <c r="K601" s="5" t="s">
        <v>17</v>
      </c>
      <c r="L601" s="5">
        <v>-4</v>
      </c>
      <c r="M601" s="5" t="s">
        <v>2</v>
      </c>
      <c r="N601" s="5">
        <v>93</v>
      </c>
      <c r="O601" s="5">
        <v>95</v>
      </c>
      <c r="P601" s="2" t="str">
        <f t="shared" si="59"/>
        <v>TOR</v>
      </c>
      <c r="Q601" s="2">
        <f t="shared" si="57"/>
        <v>2</v>
      </c>
      <c r="R601" s="7">
        <f t="shared" si="58"/>
        <v>1</v>
      </c>
    </row>
    <row r="602" spans="1:18" ht="15" customHeight="1" x14ac:dyDescent="0.25">
      <c r="A602" s="7">
        <v>601</v>
      </c>
      <c r="B602" s="8" t="s">
        <v>151</v>
      </c>
      <c r="C602" s="8">
        <v>2014</v>
      </c>
      <c r="D602" s="8">
        <v>2015</v>
      </c>
      <c r="E602" s="3">
        <v>42109</v>
      </c>
      <c r="F602" s="4">
        <f t="shared" si="54"/>
        <v>4</v>
      </c>
      <c r="G602" s="4">
        <f t="shared" si="55"/>
        <v>15</v>
      </c>
      <c r="H602" s="4">
        <f t="shared" si="56"/>
        <v>2015</v>
      </c>
      <c r="I602" s="10" t="s">
        <v>157</v>
      </c>
      <c r="J602" s="5" t="s">
        <v>7</v>
      </c>
      <c r="K602" s="5" t="s">
        <v>126</v>
      </c>
      <c r="L602" s="5">
        <v>6.5</v>
      </c>
      <c r="M602" s="5" t="s">
        <v>7</v>
      </c>
      <c r="N602" s="5">
        <v>112</v>
      </c>
      <c r="O602" s="5">
        <v>90</v>
      </c>
      <c r="P602" s="7" t="str">
        <f t="shared" si="59"/>
        <v>DET</v>
      </c>
      <c r="Q602" s="7">
        <f t="shared" si="57"/>
        <v>15.5</v>
      </c>
      <c r="R602" s="7">
        <f t="shared" si="58"/>
        <v>1</v>
      </c>
    </row>
    <row r="603" spans="1:18" ht="15" customHeight="1" x14ac:dyDescent="0.25">
      <c r="A603" s="7">
        <v>602</v>
      </c>
      <c r="B603" s="8" t="s">
        <v>185</v>
      </c>
      <c r="C603" s="8">
        <v>2014</v>
      </c>
      <c r="D603" s="8">
        <v>2015</v>
      </c>
      <c r="E603" s="3">
        <v>42112</v>
      </c>
      <c r="F603" s="4">
        <f t="shared" si="54"/>
        <v>4</v>
      </c>
      <c r="G603" s="4">
        <f t="shared" si="55"/>
        <v>18</v>
      </c>
      <c r="H603" s="4">
        <f t="shared" si="56"/>
        <v>2015</v>
      </c>
      <c r="I603" s="10" t="s">
        <v>157</v>
      </c>
      <c r="J603" s="5" t="s">
        <v>10</v>
      </c>
      <c r="K603" s="5" t="s">
        <v>0</v>
      </c>
      <c r="L603" s="5">
        <v>-8</v>
      </c>
      <c r="M603" s="5" t="s">
        <v>10</v>
      </c>
      <c r="N603" s="5">
        <v>91</v>
      </c>
      <c r="O603" s="5">
        <v>103</v>
      </c>
      <c r="P603" s="7" t="str">
        <f t="shared" si="59"/>
        <v>CHI</v>
      </c>
      <c r="Q603" s="7">
        <f t="shared" si="57"/>
        <v>-4</v>
      </c>
      <c r="R603" s="7">
        <f t="shared" si="58"/>
        <v>0</v>
      </c>
    </row>
    <row r="604" spans="1:18" ht="15" customHeight="1" x14ac:dyDescent="0.25">
      <c r="A604" s="7">
        <v>603</v>
      </c>
      <c r="B604" s="8" t="s">
        <v>185</v>
      </c>
      <c r="C604" s="8">
        <v>2014</v>
      </c>
      <c r="D604" s="8">
        <v>2015</v>
      </c>
      <c r="E604" s="3">
        <v>42113</v>
      </c>
      <c r="F604" s="4">
        <f t="shared" si="54"/>
        <v>4</v>
      </c>
      <c r="G604" s="4">
        <f t="shared" si="55"/>
        <v>19</v>
      </c>
      <c r="H604" s="4">
        <f t="shared" si="56"/>
        <v>2015</v>
      </c>
      <c r="I604" s="10" t="s">
        <v>157</v>
      </c>
      <c r="J604" s="5" t="s">
        <v>22</v>
      </c>
      <c r="K604" s="5" t="s">
        <v>5</v>
      </c>
      <c r="L604" s="5">
        <v>-10</v>
      </c>
      <c r="M604" s="5" t="s">
        <v>22</v>
      </c>
      <c r="N604" s="5">
        <v>92</v>
      </c>
      <c r="O604" s="5">
        <v>99</v>
      </c>
      <c r="P604" s="7" t="str">
        <f t="shared" si="59"/>
        <v>BKN</v>
      </c>
      <c r="Q604" s="7">
        <f t="shared" si="57"/>
        <v>3</v>
      </c>
      <c r="R604" s="7">
        <f t="shared" si="58"/>
        <v>1</v>
      </c>
    </row>
    <row r="605" spans="1:18" ht="15" customHeight="1" x14ac:dyDescent="0.25">
      <c r="A605" s="7">
        <v>604</v>
      </c>
      <c r="B605" s="8" t="s">
        <v>185</v>
      </c>
      <c r="C605" s="8">
        <v>2014</v>
      </c>
      <c r="D605" s="8">
        <v>2015</v>
      </c>
      <c r="E605" s="3">
        <v>42114</v>
      </c>
      <c r="F605" s="4">
        <f t="shared" si="54"/>
        <v>4</v>
      </c>
      <c r="G605" s="4">
        <f t="shared" si="55"/>
        <v>20</v>
      </c>
      <c r="H605" s="4">
        <f t="shared" si="56"/>
        <v>2015</v>
      </c>
      <c r="I605" s="10" t="s">
        <v>157</v>
      </c>
      <c r="J605" s="5" t="s">
        <v>124</v>
      </c>
      <c r="K605" s="5" t="s">
        <v>114</v>
      </c>
      <c r="L605" s="5">
        <v>-11</v>
      </c>
      <c r="M605" s="5" t="s">
        <v>114</v>
      </c>
      <c r="N605" s="5">
        <v>87</v>
      </c>
      <c r="O605" s="5">
        <v>97</v>
      </c>
      <c r="P605" s="7" t="str">
        <f t="shared" si="59"/>
        <v>NO</v>
      </c>
      <c r="Q605" s="7">
        <f t="shared" si="57"/>
        <v>-1</v>
      </c>
      <c r="R605" s="7">
        <f t="shared" si="58"/>
        <v>0</v>
      </c>
    </row>
    <row r="606" spans="1:18" ht="15" customHeight="1" x14ac:dyDescent="0.25">
      <c r="A606" s="7">
        <v>605</v>
      </c>
      <c r="B606" s="8" t="s">
        <v>185</v>
      </c>
      <c r="C606" s="8">
        <v>2014</v>
      </c>
      <c r="D606" s="8">
        <v>2015</v>
      </c>
      <c r="E606" s="3">
        <v>42115</v>
      </c>
      <c r="F606" s="4">
        <f t="shared" si="54"/>
        <v>4</v>
      </c>
      <c r="G606" s="4">
        <f t="shared" si="55"/>
        <v>21</v>
      </c>
      <c r="H606" s="4">
        <f t="shared" si="56"/>
        <v>2015</v>
      </c>
      <c r="I606" s="10" t="s">
        <v>157</v>
      </c>
      <c r="J606" s="5" t="s">
        <v>16</v>
      </c>
      <c r="K606" s="5" t="s">
        <v>4</v>
      </c>
      <c r="L606" s="5">
        <v>-5.5</v>
      </c>
      <c r="M606" s="5" t="s">
        <v>16</v>
      </c>
      <c r="N606" s="5">
        <v>99</v>
      </c>
      <c r="O606" s="5">
        <v>111</v>
      </c>
      <c r="P606" s="7" t="str">
        <f t="shared" si="59"/>
        <v>HOU</v>
      </c>
      <c r="Q606" s="7">
        <f t="shared" si="57"/>
        <v>-6.5</v>
      </c>
      <c r="R606" s="7">
        <f t="shared" si="58"/>
        <v>0</v>
      </c>
    </row>
    <row r="607" spans="1:18" ht="15" customHeight="1" x14ac:dyDescent="0.25">
      <c r="A607" s="7">
        <v>606</v>
      </c>
      <c r="B607" s="8" t="s">
        <v>185</v>
      </c>
      <c r="C607" s="8">
        <v>2014</v>
      </c>
      <c r="D607" s="8">
        <v>2015</v>
      </c>
      <c r="E607" s="3">
        <v>42116</v>
      </c>
      <c r="F607" s="4">
        <f t="shared" si="54"/>
        <v>4</v>
      </c>
      <c r="G607" s="4">
        <f t="shared" si="55"/>
        <v>22</v>
      </c>
      <c r="H607" s="4">
        <f t="shared" si="56"/>
        <v>2015</v>
      </c>
      <c r="I607" s="10" t="s">
        <v>157</v>
      </c>
      <c r="J607" s="5" t="s">
        <v>22</v>
      </c>
      <c r="K607" s="5" t="s">
        <v>5</v>
      </c>
      <c r="L607" s="5">
        <v>-9.5</v>
      </c>
      <c r="M607" s="5" t="s">
        <v>22</v>
      </c>
      <c r="N607" s="5">
        <v>96</v>
      </c>
      <c r="O607" s="5">
        <v>91</v>
      </c>
      <c r="P607" s="7" t="str">
        <f t="shared" si="59"/>
        <v>BKN</v>
      </c>
      <c r="Q607" s="7">
        <f t="shared" si="57"/>
        <v>14.5</v>
      </c>
      <c r="R607" s="7">
        <f t="shared" si="58"/>
        <v>1</v>
      </c>
    </row>
    <row r="608" spans="1:18" ht="15" customHeight="1" x14ac:dyDescent="0.25">
      <c r="A608" s="7">
        <v>607</v>
      </c>
      <c r="B608" s="8" t="s">
        <v>185</v>
      </c>
      <c r="C608" s="8">
        <v>2014</v>
      </c>
      <c r="D608" s="8">
        <v>2015</v>
      </c>
      <c r="E608" s="3">
        <v>42117</v>
      </c>
      <c r="F608" s="4">
        <f t="shared" si="54"/>
        <v>4</v>
      </c>
      <c r="G608" s="4">
        <f t="shared" si="55"/>
        <v>23</v>
      </c>
      <c r="H608" s="4">
        <f t="shared" si="56"/>
        <v>2015</v>
      </c>
      <c r="I608" s="10" t="s">
        <v>157</v>
      </c>
      <c r="J608" s="5" t="s">
        <v>114</v>
      </c>
      <c r="K608" s="5" t="s">
        <v>124</v>
      </c>
      <c r="L608" s="5">
        <v>5</v>
      </c>
      <c r="M608" s="5" t="s">
        <v>114</v>
      </c>
      <c r="N608" s="5">
        <v>123</v>
      </c>
      <c r="O608" s="5">
        <v>119</v>
      </c>
      <c r="P608" s="7" t="str">
        <f t="shared" si="59"/>
        <v>NO</v>
      </c>
      <c r="Q608" s="7">
        <f t="shared" si="57"/>
        <v>-1</v>
      </c>
      <c r="R608" s="7">
        <f t="shared" si="58"/>
        <v>0</v>
      </c>
    </row>
    <row r="609" spans="1:18" ht="15" customHeight="1" x14ac:dyDescent="0.25">
      <c r="A609" s="7">
        <v>608</v>
      </c>
      <c r="B609" s="8" t="s">
        <v>185</v>
      </c>
      <c r="C609" s="8">
        <v>2014</v>
      </c>
      <c r="D609" s="8">
        <v>2015</v>
      </c>
      <c r="E609" s="3">
        <v>42118</v>
      </c>
      <c r="F609" s="4">
        <f t="shared" si="54"/>
        <v>4</v>
      </c>
      <c r="G609" s="4">
        <f t="shared" si="55"/>
        <v>24</v>
      </c>
      <c r="H609" s="4">
        <f t="shared" si="56"/>
        <v>2015</v>
      </c>
      <c r="I609" s="10" t="s">
        <v>157</v>
      </c>
      <c r="J609" s="8" t="s">
        <v>2</v>
      </c>
      <c r="K609" s="8" t="s">
        <v>139</v>
      </c>
      <c r="L609" s="8">
        <v>-4</v>
      </c>
      <c r="M609" s="8" t="s">
        <v>139</v>
      </c>
      <c r="N609" s="8">
        <v>99</v>
      </c>
      <c r="O609" s="8">
        <v>106</v>
      </c>
      <c r="P609" s="2" t="str">
        <f t="shared" si="59"/>
        <v>WSH</v>
      </c>
      <c r="Q609" s="2">
        <f t="shared" si="57"/>
        <v>3</v>
      </c>
      <c r="R609" s="7">
        <f t="shared" si="58"/>
        <v>1</v>
      </c>
    </row>
    <row r="610" spans="1:18" ht="15" customHeight="1" x14ac:dyDescent="0.25">
      <c r="A610" s="7">
        <v>609</v>
      </c>
      <c r="B610" s="8" t="s">
        <v>185</v>
      </c>
      <c r="C610" s="8">
        <v>2014</v>
      </c>
      <c r="D610" s="8">
        <v>2015</v>
      </c>
      <c r="E610" s="3">
        <v>42119</v>
      </c>
      <c r="F610" s="4">
        <f t="shared" si="54"/>
        <v>4</v>
      </c>
      <c r="G610" s="4">
        <f t="shared" si="55"/>
        <v>25</v>
      </c>
      <c r="H610" s="4">
        <f t="shared" si="56"/>
        <v>2015</v>
      </c>
      <c r="I610" s="10" t="s">
        <v>157</v>
      </c>
      <c r="J610" s="8" t="s">
        <v>0</v>
      </c>
      <c r="K610" s="8" t="s">
        <v>10</v>
      </c>
      <c r="L610" s="8">
        <v>4.5</v>
      </c>
      <c r="M610" s="8" t="s">
        <v>10</v>
      </c>
      <c r="N610" s="8">
        <v>90</v>
      </c>
      <c r="O610" s="8">
        <v>92</v>
      </c>
      <c r="P610" s="2" t="str">
        <f t="shared" si="59"/>
        <v>MIL</v>
      </c>
      <c r="Q610" s="2">
        <f t="shared" si="57"/>
        <v>6.5</v>
      </c>
      <c r="R610" s="7">
        <f t="shared" si="58"/>
        <v>1</v>
      </c>
    </row>
    <row r="611" spans="1:18" ht="15" customHeight="1" x14ac:dyDescent="0.25">
      <c r="A611" s="7">
        <v>610</v>
      </c>
      <c r="B611" s="8" t="s">
        <v>185</v>
      </c>
      <c r="C611" s="8">
        <v>2014</v>
      </c>
      <c r="D611" s="8">
        <v>2015</v>
      </c>
      <c r="E611" s="3">
        <v>42120</v>
      </c>
      <c r="F611" s="4">
        <f t="shared" si="54"/>
        <v>4</v>
      </c>
      <c r="G611" s="4">
        <f t="shared" si="55"/>
        <v>26</v>
      </c>
      <c r="H611" s="4">
        <f t="shared" si="56"/>
        <v>2015</v>
      </c>
      <c r="I611" s="10" t="s">
        <v>157</v>
      </c>
      <c r="J611" s="8" t="s">
        <v>2</v>
      </c>
      <c r="K611" s="8" t="s">
        <v>139</v>
      </c>
      <c r="L611" s="8">
        <v>-6</v>
      </c>
      <c r="M611" s="8" t="s">
        <v>2</v>
      </c>
      <c r="N611" s="8">
        <v>94</v>
      </c>
      <c r="O611" s="8">
        <v>125</v>
      </c>
      <c r="P611" s="2" t="str">
        <f t="shared" si="59"/>
        <v>WSH</v>
      </c>
      <c r="Q611" s="2">
        <f t="shared" si="57"/>
        <v>-25</v>
      </c>
      <c r="R611" s="7">
        <f t="shared" si="58"/>
        <v>0</v>
      </c>
    </row>
    <row r="612" spans="1:18" ht="15" customHeight="1" x14ac:dyDescent="0.25">
      <c r="A612" s="7">
        <v>611</v>
      </c>
      <c r="B612" s="8" t="s">
        <v>185</v>
      </c>
      <c r="C612" s="8">
        <v>2014</v>
      </c>
      <c r="D612" s="8">
        <v>2015</v>
      </c>
      <c r="E612" s="3">
        <v>42121</v>
      </c>
      <c r="F612" s="4">
        <f t="shared" si="54"/>
        <v>4</v>
      </c>
      <c r="G612" s="4">
        <f t="shared" si="55"/>
        <v>27</v>
      </c>
      <c r="H612" s="4">
        <f t="shared" si="56"/>
        <v>2015</v>
      </c>
      <c r="I612" s="10" t="s">
        <v>157</v>
      </c>
      <c r="J612" s="8" t="s">
        <v>5</v>
      </c>
      <c r="K612" s="8" t="s">
        <v>22</v>
      </c>
      <c r="L612" s="8">
        <v>4</v>
      </c>
      <c r="M612" s="8" t="s">
        <v>5</v>
      </c>
      <c r="N612" s="8">
        <v>115</v>
      </c>
      <c r="O612" s="8">
        <v>120</v>
      </c>
      <c r="P612" s="2" t="str">
        <f t="shared" si="59"/>
        <v>BKN</v>
      </c>
      <c r="Q612" s="2">
        <f t="shared" si="57"/>
        <v>-9</v>
      </c>
      <c r="R612" s="7">
        <f t="shared" si="58"/>
        <v>0</v>
      </c>
    </row>
    <row r="613" spans="1:18" ht="15" customHeight="1" x14ac:dyDescent="0.25">
      <c r="A613" s="7">
        <v>612</v>
      </c>
      <c r="B613" s="8" t="s">
        <v>185</v>
      </c>
      <c r="C613" s="8">
        <v>2014</v>
      </c>
      <c r="D613" s="8">
        <v>2015</v>
      </c>
      <c r="E613" s="3">
        <v>42122</v>
      </c>
      <c r="F613" s="4">
        <f t="shared" si="54"/>
        <v>4</v>
      </c>
      <c r="G613" s="4">
        <f t="shared" si="55"/>
        <v>28</v>
      </c>
      <c r="H613" s="4">
        <f t="shared" si="56"/>
        <v>2015</v>
      </c>
      <c r="I613" s="10" t="s">
        <v>157</v>
      </c>
      <c r="J613" s="8" t="s">
        <v>134</v>
      </c>
      <c r="K613" s="8" t="s">
        <v>14</v>
      </c>
      <c r="L613" s="8">
        <v>-2</v>
      </c>
      <c r="M613" s="8" t="s">
        <v>134</v>
      </c>
      <c r="N613" s="8">
        <v>111</v>
      </c>
      <c r="O613" s="8">
        <v>107</v>
      </c>
      <c r="P613" s="2" t="str">
        <f t="shared" si="59"/>
        <v>SA</v>
      </c>
      <c r="Q613" s="2">
        <f t="shared" si="57"/>
        <v>6</v>
      </c>
      <c r="R613" s="7">
        <f t="shared" si="58"/>
        <v>1</v>
      </c>
    </row>
    <row r="614" spans="1:18" ht="15" customHeight="1" x14ac:dyDescent="0.25">
      <c r="A614" s="7">
        <v>613</v>
      </c>
      <c r="B614" s="8" t="s">
        <v>185</v>
      </c>
      <c r="C614" s="8">
        <v>2014</v>
      </c>
      <c r="D614" s="8">
        <v>2015</v>
      </c>
      <c r="E614" s="3">
        <v>42123</v>
      </c>
      <c r="F614" s="4">
        <f t="shared" si="54"/>
        <v>4</v>
      </c>
      <c r="G614" s="4">
        <f t="shared" si="55"/>
        <v>29</v>
      </c>
      <c r="H614" s="4">
        <f t="shared" si="56"/>
        <v>2015</v>
      </c>
      <c r="I614" s="10" t="s">
        <v>157</v>
      </c>
      <c r="J614" s="8" t="s">
        <v>22</v>
      </c>
      <c r="K614" s="8" t="s">
        <v>5</v>
      </c>
      <c r="L614" s="8">
        <v>-9</v>
      </c>
      <c r="M614" s="8" t="s">
        <v>22</v>
      </c>
      <c r="N614" s="8">
        <v>97</v>
      </c>
      <c r="O614" s="8">
        <v>107</v>
      </c>
      <c r="P614" s="2" t="str">
        <f t="shared" si="59"/>
        <v>ATL</v>
      </c>
      <c r="Q614" s="2">
        <f t="shared" si="57"/>
        <v>-1</v>
      </c>
      <c r="R614" s="7">
        <f t="shared" si="58"/>
        <v>0</v>
      </c>
    </row>
    <row r="615" spans="1:18" ht="15" customHeight="1" x14ac:dyDescent="0.25">
      <c r="A615" s="7">
        <v>614</v>
      </c>
      <c r="B615" s="8" t="s">
        <v>185</v>
      </c>
      <c r="C615" s="8">
        <v>2014</v>
      </c>
      <c r="D615" s="8">
        <v>2015</v>
      </c>
      <c r="E615" s="3">
        <v>42124</v>
      </c>
      <c r="F615" s="4">
        <f t="shared" si="54"/>
        <v>4</v>
      </c>
      <c r="G615" s="4">
        <f t="shared" si="55"/>
        <v>30</v>
      </c>
      <c r="H615" s="4">
        <f t="shared" si="56"/>
        <v>2015</v>
      </c>
      <c r="I615" s="10" t="s">
        <v>157</v>
      </c>
      <c r="J615" s="8" t="s">
        <v>0</v>
      </c>
      <c r="K615" s="8" t="s">
        <v>10</v>
      </c>
      <c r="L615" s="8">
        <v>3.5</v>
      </c>
      <c r="M615" s="8" t="s">
        <v>10</v>
      </c>
      <c r="N615" s="8">
        <v>120</v>
      </c>
      <c r="O615" s="8">
        <v>66</v>
      </c>
      <c r="P615" s="2" t="str">
        <f t="shared" si="59"/>
        <v>CHI</v>
      </c>
      <c r="Q615" s="2">
        <f t="shared" si="57"/>
        <v>-50.5</v>
      </c>
      <c r="R615" s="7">
        <f t="shared" si="58"/>
        <v>0</v>
      </c>
    </row>
    <row r="616" spans="1:18" ht="15" customHeight="1" x14ac:dyDescent="0.25">
      <c r="A616" s="7">
        <v>615</v>
      </c>
      <c r="B616" s="8" t="s">
        <v>185</v>
      </c>
      <c r="C616" s="8">
        <v>2014</v>
      </c>
      <c r="D616" s="8">
        <v>2015</v>
      </c>
      <c r="E616" s="3">
        <v>42125</v>
      </c>
      <c r="F616" s="4">
        <f t="shared" si="54"/>
        <v>5</v>
      </c>
      <c r="G616" s="4">
        <f t="shared" si="55"/>
        <v>1</v>
      </c>
      <c r="H616" s="4">
        <f t="shared" si="56"/>
        <v>2015</v>
      </c>
      <c r="I616" s="10" t="s">
        <v>157</v>
      </c>
      <c r="J616" s="8" t="s">
        <v>5</v>
      </c>
      <c r="K616" s="8" t="s">
        <v>22</v>
      </c>
      <c r="L616" s="8">
        <v>3.5</v>
      </c>
      <c r="M616" s="8" t="s">
        <v>22</v>
      </c>
      <c r="N616" s="8">
        <v>111</v>
      </c>
      <c r="O616" s="8">
        <v>87</v>
      </c>
      <c r="P616" s="2" t="str">
        <f t="shared" si="59"/>
        <v>ATL</v>
      </c>
      <c r="Q616" s="2">
        <f t="shared" si="57"/>
        <v>-20.5</v>
      </c>
      <c r="R616" s="7">
        <f t="shared" si="58"/>
        <v>0</v>
      </c>
    </row>
    <row r="617" spans="1:18" ht="15" customHeight="1" x14ac:dyDescent="0.25">
      <c r="A617" s="7">
        <v>616</v>
      </c>
      <c r="B617" s="8" t="s">
        <v>185</v>
      </c>
      <c r="C617" s="8">
        <v>2014</v>
      </c>
      <c r="D617" s="8">
        <v>2015</v>
      </c>
      <c r="E617" s="3">
        <v>42126</v>
      </c>
      <c r="F617" s="4">
        <f t="shared" si="54"/>
        <v>5</v>
      </c>
      <c r="G617" s="4">
        <f t="shared" si="55"/>
        <v>2</v>
      </c>
      <c r="H617" s="4">
        <f t="shared" si="56"/>
        <v>2015</v>
      </c>
      <c r="I617" s="10" t="s">
        <v>157</v>
      </c>
      <c r="J617" s="8" t="s">
        <v>134</v>
      </c>
      <c r="K617" s="8" t="s">
        <v>14</v>
      </c>
      <c r="L617" s="8">
        <v>-2</v>
      </c>
      <c r="M617" s="8" t="s">
        <v>134</v>
      </c>
      <c r="N617" s="8">
        <v>109</v>
      </c>
      <c r="O617" s="8">
        <v>111</v>
      </c>
      <c r="P617" s="2" t="str">
        <f t="shared" si="59"/>
        <v>N/A</v>
      </c>
      <c r="Q617" s="2">
        <f t="shared" si="57"/>
        <v>0</v>
      </c>
      <c r="R617" s="7" t="str">
        <f t="shared" si="58"/>
        <v>na</v>
      </c>
    </row>
    <row r="618" spans="1:18" ht="15" customHeight="1" x14ac:dyDescent="0.25">
      <c r="A618" s="7">
        <v>617</v>
      </c>
      <c r="B618" s="8" t="s">
        <v>185</v>
      </c>
      <c r="C618" s="8">
        <v>2014</v>
      </c>
      <c r="D618" s="8">
        <v>2015</v>
      </c>
      <c r="E618" s="3">
        <v>42127</v>
      </c>
      <c r="F618" s="4">
        <f t="shared" si="54"/>
        <v>5</v>
      </c>
      <c r="G618" s="4">
        <f t="shared" si="55"/>
        <v>3</v>
      </c>
      <c r="H618" s="4">
        <f t="shared" si="56"/>
        <v>2015</v>
      </c>
      <c r="I618" s="10" t="s">
        <v>157</v>
      </c>
      <c r="J618" s="8" t="s">
        <v>9</v>
      </c>
      <c r="K618" s="8" t="s">
        <v>114</v>
      </c>
      <c r="L618" s="8">
        <v>-10</v>
      </c>
      <c r="M618" s="8" t="s">
        <v>114</v>
      </c>
      <c r="N618" s="8">
        <v>86</v>
      </c>
      <c r="O618" s="8">
        <v>101</v>
      </c>
      <c r="P618" s="2" t="str">
        <f t="shared" si="59"/>
        <v>GS</v>
      </c>
      <c r="Q618" s="2">
        <f t="shared" si="57"/>
        <v>5</v>
      </c>
      <c r="R618" s="7">
        <f t="shared" si="58"/>
        <v>1</v>
      </c>
    </row>
    <row r="619" spans="1:18" ht="15" customHeight="1" x14ac:dyDescent="0.25">
      <c r="A619" s="7">
        <v>618</v>
      </c>
      <c r="B619" s="8" t="s">
        <v>185</v>
      </c>
      <c r="C619" s="8">
        <v>2014</v>
      </c>
      <c r="D619" s="8">
        <v>2015</v>
      </c>
      <c r="E619" s="3">
        <v>42128</v>
      </c>
      <c r="F619" s="4">
        <f t="shared" si="54"/>
        <v>5</v>
      </c>
      <c r="G619" s="4">
        <f t="shared" si="55"/>
        <v>4</v>
      </c>
      <c r="H619" s="4">
        <f t="shared" si="56"/>
        <v>2015</v>
      </c>
      <c r="I619" s="10" t="s">
        <v>157</v>
      </c>
      <c r="J619" s="8" t="s">
        <v>0</v>
      </c>
      <c r="K619" s="8" t="s">
        <v>6</v>
      </c>
      <c r="L619" s="8">
        <v>-5</v>
      </c>
      <c r="M619" s="8" t="s">
        <v>0</v>
      </c>
      <c r="N619" s="8">
        <v>97</v>
      </c>
      <c r="O619" s="8">
        <v>92</v>
      </c>
      <c r="P619" s="2" t="str">
        <f t="shared" si="59"/>
        <v>CHI</v>
      </c>
      <c r="Q619" s="2">
        <f t="shared" si="57"/>
        <v>10</v>
      </c>
      <c r="R619" s="7">
        <f t="shared" si="58"/>
        <v>1</v>
      </c>
    </row>
    <row r="620" spans="1:18" ht="15" customHeight="1" x14ac:dyDescent="0.25">
      <c r="A620" s="7">
        <v>619</v>
      </c>
      <c r="B620" s="8" t="s">
        <v>185</v>
      </c>
      <c r="C620" s="8">
        <v>2014</v>
      </c>
      <c r="D620" s="8">
        <v>2015</v>
      </c>
      <c r="E620" s="3">
        <v>42129</v>
      </c>
      <c r="F620" s="4">
        <f t="shared" si="54"/>
        <v>5</v>
      </c>
      <c r="G620" s="4">
        <f t="shared" si="55"/>
        <v>5</v>
      </c>
      <c r="H620" s="4">
        <f t="shared" si="56"/>
        <v>2015</v>
      </c>
      <c r="I620" s="10" t="s">
        <v>157</v>
      </c>
      <c r="J620" s="8" t="s">
        <v>9</v>
      </c>
      <c r="K620" s="8" t="s">
        <v>114</v>
      </c>
      <c r="L620" s="8">
        <v>-10.5</v>
      </c>
      <c r="M620" s="8" t="s">
        <v>114</v>
      </c>
      <c r="N620" s="8">
        <v>97</v>
      </c>
      <c r="O620" s="8">
        <v>90</v>
      </c>
      <c r="P620" s="2" t="str">
        <f t="shared" si="59"/>
        <v>MEM</v>
      </c>
      <c r="Q620" s="2">
        <f t="shared" si="57"/>
        <v>-17.5</v>
      </c>
      <c r="R620" s="7">
        <f t="shared" si="58"/>
        <v>0</v>
      </c>
    </row>
    <row r="621" spans="1:18" ht="15" customHeight="1" x14ac:dyDescent="0.25">
      <c r="A621" s="7">
        <v>620</v>
      </c>
      <c r="B621" s="8" t="s">
        <v>185</v>
      </c>
      <c r="C621" s="8">
        <v>2014</v>
      </c>
      <c r="D621" s="8">
        <v>2015</v>
      </c>
      <c r="E621" s="3">
        <v>42130</v>
      </c>
      <c r="F621" s="4">
        <f t="shared" si="54"/>
        <v>5</v>
      </c>
      <c r="G621" s="4">
        <f t="shared" si="55"/>
        <v>6</v>
      </c>
      <c r="H621" s="4">
        <f t="shared" si="56"/>
        <v>2015</v>
      </c>
      <c r="I621" s="10" t="s">
        <v>157</v>
      </c>
      <c r="J621" s="8" t="s">
        <v>0</v>
      </c>
      <c r="K621" s="8" t="s">
        <v>6</v>
      </c>
      <c r="L621" s="8">
        <v>-5.5</v>
      </c>
      <c r="M621" s="8" t="s">
        <v>6</v>
      </c>
      <c r="N621" s="8">
        <v>91</v>
      </c>
      <c r="O621" s="8">
        <v>106</v>
      </c>
      <c r="P621" s="2" t="str">
        <f t="shared" si="59"/>
        <v>CLE</v>
      </c>
      <c r="Q621" s="2">
        <f t="shared" si="57"/>
        <v>9.5</v>
      </c>
      <c r="R621" s="7">
        <f t="shared" si="58"/>
        <v>1</v>
      </c>
    </row>
    <row r="622" spans="1:18" ht="15" customHeight="1" x14ac:dyDescent="0.25">
      <c r="A622" s="7">
        <v>621</v>
      </c>
      <c r="B622" s="8" t="s">
        <v>185</v>
      </c>
      <c r="C622" s="8">
        <v>2014</v>
      </c>
      <c r="D622" s="8">
        <v>2015</v>
      </c>
      <c r="E622" s="3">
        <v>42132</v>
      </c>
      <c r="F622" s="4">
        <f t="shared" si="54"/>
        <v>5</v>
      </c>
      <c r="G622" s="4">
        <f t="shared" si="55"/>
        <v>8</v>
      </c>
      <c r="H622" s="4">
        <f t="shared" si="56"/>
        <v>2015</v>
      </c>
      <c r="I622" s="10" t="s">
        <v>157</v>
      </c>
      <c r="J622" s="8" t="s">
        <v>6</v>
      </c>
      <c r="K622" s="8" t="s">
        <v>0</v>
      </c>
      <c r="L622" s="8">
        <v>-1.5</v>
      </c>
      <c r="M622" s="8" t="s">
        <v>6</v>
      </c>
      <c r="N622" s="8">
        <v>96</v>
      </c>
      <c r="O622" s="8">
        <v>99</v>
      </c>
      <c r="P622" s="2" t="str">
        <f t="shared" si="59"/>
        <v>CHI</v>
      </c>
      <c r="Q622" s="2">
        <f t="shared" si="57"/>
        <v>-1.5</v>
      </c>
      <c r="R622" s="7">
        <f t="shared" si="58"/>
        <v>0</v>
      </c>
    </row>
    <row r="623" spans="1:18" ht="15" customHeight="1" x14ac:dyDescent="0.25">
      <c r="A623" s="7">
        <v>622</v>
      </c>
      <c r="B623" s="8" t="s">
        <v>185</v>
      </c>
      <c r="C623" s="8">
        <v>2014</v>
      </c>
      <c r="D623" s="8">
        <v>2015</v>
      </c>
      <c r="E623" s="3">
        <v>42133</v>
      </c>
      <c r="F623" s="4">
        <f t="shared" si="54"/>
        <v>5</v>
      </c>
      <c r="G623" s="4">
        <f t="shared" si="55"/>
        <v>9</v>
      </c>
      <c r="H623" s="4">
        <f t="shared" si="56"/>
        <v>2015</v>
      </c>
      <c r="I623" s="10" t="s">
        <v>157</v>
      </c>
      <c r="J623" s="8" t="s">
        <v>5</v>
      </c>
      <c r="K623" s="8" t="s">
        <v>139</v>
      </c>
      <c r="L623" s="8">
        <v>3.5</v>
      </c>
      <c r="M623" s="8" t="s">
        <v>139</v>
      </c>
      <c r="N623" s="8">
        <v>101</v>
      </c>
      <c r="O623" s="8">
        <v>103</v>
      </c>
      <c r="P623" s="2" t="str">
        <f t="shared" si="59"/>
        <v>WSH</v>
      </c>
      <c r="Q623" s="2">
        <f t="shared" si="57"/>
        <v>5.5</v>
      </c>
      <c r="R623" s="7">
        <f t="shared" si="58"/>
        <v>1</v>
      </c>
    </row>
    <row r="624" spans="1:18" ht="15" customHeight="1" x14ac:dyDescent="0.25">
      <c r="A624" s="7">
        <v>623</v>
      </c>
      <c r="B624" s="8" t="s">
        <v>185</v>
      </c>
      <c r="C624" s="8">
        <v>2014</v>
      </c>
      <c r="D624" s="8">
        <v>2015</v>
      </c>
      <c r="E624" s="3">
        <v>42134</v>
      </c>
      <c r="F624" s="4">
        <f t="shared" si="54"/>
        <v>5</v>
      </c>
      <c r="G624" s="4">
        <f t="shared" si="55"/>
        <v>10</v>
      </c>
      <c r="H624" s="4">
        <f t="shared" si="56"/>
        <v>2015</v>
      </c>
      <c r="I624" s="10" t="s">
        <v>157</v>
      </c>
      <c r="J624" s="8" t="s">
        <v>4</v>
      </c>
      <c r="K624" s="8" t="s">
        <v>14</v>
      </c>
      <c r="L624" s="8">
        <v>-7.5</v>
      </c>
      <c r="M624" s="8" t="s">
        <v>14</v>
      </c>
      <c r="N624" s="8">
        <v>95</v>
      </c>
      <c r="O624" s="8">
        <v>128</v>
      </c>
      <c r="P624" s="2" t="str">
        <f t="shared" si="59"/>
        <v>LAC</v>
      </c>
      <c r="Q624" s="2">
        <f t="shared" si="57"/>
        <v>25.5</v>
      </c>
      <c r="R624" s="7">
        <f t="shared" si="58"/>
        <v>1</v>
      </c>
    </row>
    <row r="625" spans="1:18" ht="15" customHeight="1" x14ac:dyDescent="0.25">
      <c r="A625" s="7">
        <v>624</v>
      </c>
      <c r="B625" s="8" t="s">
        <v>185</v>
      </c>
      <c r="C625" s="8">
        <v>2014</v>
      </c>
      <c r="D625" s="8">
        <v>2015</v>
      </c>
      <c r="E625" s="3">
        <v>42135</v>
      </c>
      <c r="F625" s="4">
        <f t="shared" si="54"/>
        <v>5</v>
      </c>
      <c r="G625" s="4">
        <f t="shared" si="55"/>
        <v>11</v>
      </c>
      <c r="H625" s="4">
        <f t="shared" si="56"/>
        <v>2015</v>
      </c>
      <c r="I625" s="10" t="s">
        <v>157</v>
      </c>
      <c r="J625" s="8" t="s">
        <v>114</v>
      </c>
      <c r="K625" s="8" t="s">
        <v>9</v>
      </c>
      <c r="L625" s="8">
        <v>5</v>
      </c>
      <c r="M625" s="8" t="s">
        <v>9</v>
      </c>
      <c r="N625" s="8">
        <v>101</v>
      </c>
      <c r="O625" s="8">
        <v>84</v>
      </c>
      <c r="P625" s="2" t="str">
        <f t="shared" si="59"/>
        <v>GS</v>
      </c>
      <c r="Q625" s="2">
        <f t="shared" si="57"/>
        <v>-12</v>
      </c>
      <c r="R625" s="7">
        <f t="shared" si="58"/>
        <v>0</v>
      </c>
    </row>
    <row r="626" spans="1:18" ht="15" customHeight="1" x14ac:dyDescent="0.25">
      <c r="A626" s="7">
        <v>625</v>
      </c>
      <c r="B626" s="8" t="s">
        <v>185</v>
      </c>
      <c r="C626" s="8">
        <v>2014</v>
      </c>
      <c r="D626" s="8">
        <v>2015</v>
      </c>
      <c r="E626" s="3">
        <v>42136</v>
      </c>
      <c r="F626" s="4">
        <f t="shared" si="54"/>
        <v>5</v>
      </c>
      <c r="G626" s="4">
        <f t="shared" si="55"/>
        <v>12</v>
      </c>
      <c r="H626" s="4">
        <f t="shared" si="56"/>
        <v>2015</v>
      </c>
      <c r="I626" s="10" t="s">
        <v>157</v>
      </c>
      <c r="J626" s="5" t="s">
        <v>0</v>
      </c>
      <c r="K626" s="5" t="s">
        <v>6</v>
      </c>
      <c r="L626" s="5">
        <v>-5.5</v>
      </c>
      <c r="M626" s="5" t="s">
        <v>0</v>
      </c>
      <c r="N626" s="5">
        <v>101</v>
      </c>
      <c r="O626" s="5">
        <v>106</v>
      </c>
      <c r="P626" s="2" t="str">
        <f t="shared" si="59"/>
        <v>CHI</v>
      </c>
      <c r="Q626" s="2">
        <f t="shared" si="57"/>
        <v>0.5</v>
      </c>
      <c r="R626" s="7">
        <f t="shared" si="58"/>
        <v>1</v>
      </c>
    </row>
    <row r="627" spans="1:18" ht="15" customHeight="1" x14ac:dyDescent="0.25">
      <c r="A627" s="7">
        <v>626</v>
      </c>
      <c r="B627" s="8" t="s">
        <v>185</v>
      </c>
      <c r="C627" s="8">
        <v>2014</v>
      </c>
      <c r="D627" s="8">
        <v>2015</v>
      </c>
      <c r="E627" s="3">
        <v>42137</v>
      </c>
      <c r="F627" s="4">
        <f t="shared" si="54"/>
        <v>5</v>
      </c>
      <c r="G627" s="4">
        <f t="shared" si="55"/>
        <v>13</v>
      </c>
      <c r="H627" s="4">
        <f t="shared" si="56"/>
        <v>2015</v>
      </c>
      <c r="I627" s="10" t="s">
        <v>157</v>
      </c>
      <c r="J627" s="5" t="s">
        <v>9</v>
      </c>
      <c r="K627" s="5" t="s">
        <v>114</v>
      </c>
      <c r="L627" s="5">
        <v>-9.5</v>
      </c>
      <c r="M627" s="5" t="s">
        <v>9</v>
      </c>
      <c r="N627" s="5">
        <v>78</v>
      </c>
      <c r="O627" s="5">
        <v>98</v>
      </c>
      <c r="P627" s="2" t="str">
        <f t="shared" si="59"/>
        <v>GS</v>
      </c>
      <c r="Q627" s="2">
        <f t="shared" si="57"/>
        <v>-10.5</v>
      </c>
      <c r="R627" s="7">
        <f t="shared" si="58"/>
        <v>0</v>
      </c>
    </row>
    <row r="628" spans="1:18" ht="15" customHeight="1" x14ac:dyDescent="0.25">
      <c r="A628" s="7">
        <v>627</v>
      </c>
      <c r="B628" s="8" t="s">
        <v>185</v>
      </c>
      <c r="C628" s="8">
        <v>2014</v>
      </c>
      <c r="D628" s="8">
        <v>2015</v>
      </c>
      <c r="E628" s="3">
        <v>42138</v>
      </c>
      <c r="F628" s="4">
        <f t="shared" si="54"/>
        <v>5</v>
      </c>
      <c r="G628" s="4">
        <f t="shared" si="55"/>
        <v>14</v>
      </c>
      <c r="H628" s="4">
        <f t="shared" si="56"/>
        <v>2015</v>
      </c>
      <c r="I628" s="10" t="s">
        <v>157</v>
      </c>
      <c r="J628" s="5" t="s">
        <v>4</v>
      </c>
      <c r="K628" s="5" t="s">
        <v>14</v>
      </c>
      <c r="L628" s="5">
        <v>-8.5</v>
      </c>
      <c r="M628" s="5" t="s">
        <v>4</v>
      </c>
      <c r="N628" s="5">
        <v>119</v>
      </c>
      <c r="O628" s="5">
        <v>107</v>
      </c>
      <c r="P628" s="2" t="str">
        <f t="shared" si="59"/>
        <v>HOU</v>
      </c>
      <c r="Q628" s="2">
        <f t="shared" si="57"/>
        <v>20.5</v>
      </c>
      <c r="R628" s="7">
        <f t="shared" si="58"/>
        <v>1</v>
      </c>
    </row>
    <row r="629" spans="1:18" ht="15" customHeight="1" x14ac:dyDescent="0.25">
      <c r="A629" s="7">
        <v>628</v>
      </c>
      <c r="B629" s="8" t="s">
        <v>185</v>
      </c>
      <c r="C629" s="8">
        <v>2014</v>
      </c>
      <c r="D629" s="8">
        <v>2015</v>
      </c>
      <c r="E629" s="3">
        <v>42139</v>
      </c>
      <c r="F629" s="4">
        <f t="shared" si="54"/>
        <v>5</v>
      </c>
      <c r="G629" s="4">
        <f t="shared" si="55"/>
        <v>15</v>
      </c>
      <c r="H629" s="4">
        <f t="shared" si="56"/>
        <v>2015</v>
      </c>
      <c r="I629" s="10" t="s">
        <v>157</v>
      </c>
      <c r="J629" s="5" t="s">
        <v>5</v>
      </c>
      <c r="K629" s="5" t="s">
        <v>139</v>
      </c>
      <c r="L629" s="5">
        <v>-2.5</v>
      </c>
      <c r="M629" s="5" t="s">
        <v>139</v>
      </c>
      <c r="N629" s="5">
        <v>94</v>
      </c>
      <c r="O629" s="5">
        <v>91</v>
      </c>
      <c r="P629" s="2" t="str">
        <f t="shared" si="59"/>
        <v>ATL</v>
      </c>
      <c r="Q629" s="2">
        <f t="shared" si="57"/>
        <v>-5.5</v>
      </c>
      <c r="R629" s="7">
        <f t="shared" si="58"/>
        <v>0</v>
      </c>
    </row>
    <row r="630" spans="1:18" ht="15" customHeight="1" x14ac:dyDescent="0.25">
      <c r="A630" s="7">
        <v>629</v>
      </c>
      <c r="B630" s="8" t="s">
        <v>185</v>
      </c>
      <c r="C630" s="8">
        <v>2014</v>
      </c>
      <c r="D630" s="8">
        <v>2015</v>
      </c>
      <c r="E630" s="3">
        <v>42141</v>
      </c>
      <c r="F630" s="4">
        <f t="shared" si="54"/>
        <v>5</v>
      </c>
      <c r="G630" s="4">
        <f t="shared" si="55"/>
        <v>17</v>
      </c>
      <c r="H630" s="4">
        <f t="shared" si="56"/>
        <v>2015</v>
      </c>
      <c r="I630" s="10" t="s">
        <v>157</v>
      </c>
      <c r="J630" s="5" t="s">
        <v>14</v>
      </c>
      <c r="K630" s="5" t="s">
        <v>4</v>
      </c>
      <c r="L630" s="5">
        <v>2</v>
      </c>
      <c r="M630" s="5" t="s">
        <v>14</v>
      </c>
      <c r="N630" s="5">
        <v>100</v>
      </c>
      <c r="O630" s="5">
        <v>113</v>
      </c>
      <c r="P630" s="2" t="str">
        <f t="shared" si="59"/>
        <v>HOU</v>
      </c>
      <c r="Q630" s="2">
        <f t="shared" si="57"/>
        <v>-15</v>
      </c>
      <c r="R630" s="7">
        <f t="shared" si="58"/>
        <v>0</v>
      </c>
    </row>
    <row r="631" spans="1:18" ht="15" customHeight="1" x14ac:dyDescent="0.25">
      <c r="A631" s="7">
        <v>630</v>
      </c>
      <c r="B631" s="8" t="s">
        <v>185</v>
      </c>
      <c r="C631" s="8">
        <v>2014</v>
      </c>
      <c r="D631" s="8">
        <v>2015</v>
      </c>
      <c r="E631" s="3">
        <v>42143</v>
      </c>
      <c r="F631" s="4">
        <f t="shared" si="54"/>
        <v>5</v>
      </c>
      <c r="G631" s="4">
        <f t="shared" si="55"/>
        <v>19</v>
      </c>
      <c r="H631" s="4">
        <f t="shared" si="56"/>
        <v>2015</v>
      </c>
      <c r="I631" s="10" t="s">
        <v>157</v>
      </c>
      <c r="J631" s="5" t="s">
        <v>4</v>
      </c>
      <c r="K631" s="5" t="s">
        <v>114</v>
      </c>
      <c r="L631" s="5">
        <v>-10</v>
      </c>
      <c r="M631" s="5" t="s">
        <v>114</v>
      </c>
      <c r="N631" s="5">
        <v>106</v>
      </c>
      <c r="O631" s="5">
        <v>110</v>
      </c>
      <c r="P631" s="2" t="str">
        <f t="shared" si="59"/>
        <v>HOU</v>
      </c>
      <c r="Q631" s="2">
        <f t="shared" si="57"/>
        <v>-6</v>
      </c>
      <c r="R631" s="7">
        <f t="shared" si="58"/>
        <v>0</v>
      </c>
    </row>
    <row r="632" spans="1:18" ht="15" customHeight="1" x14ac:dyDescent="0.25">
      <c r="A632" s="7">
        <v>631</v>
      </c>
      <c r="B632" s="8" t="s">
        <v>185</v>
      </c>
      <c r="C632" s="8">
        <v>2014</v>
      </c>
      <c r="D632" s="8">
        <v>2015</v>
      </c>
      <c r="E632" s="3">
        <v>42144</v>
      </c>
      <c r="F632" s="4">
        <f t="shared" si="54"/>
        <v>5</v>
      </c>
      <c r="G632" s="4">
        <f t="shared" si="55"/>
        <v>20</v>
      </c>
      <c r="H632" s="4">
        <f t="shared" si="56"/>
        <v>2015</v>
      </c>
      <c r="I632" s="10" t="s">
        <v>157</v>
      </c>
      <c r="J632" s="5" t="s">
        <v>6</v>
      </c>
      <c r="K632" s="5" t="s">
        <v>5</v>
      </c>
      <c r="L632" s="7">
        <v>-1</v>
      </c>
      <c r="M632" s="5" t="s">
        <v>5</v>
      </c>
      <c r="N632" s="5">
        <v>97</v>
      </c>
      <c r="O632" s="5">
        <v>89</v>
      </c>
      <c r="P632" s="2" t="str">
        <f t="shared" si="59"/>
        <v>CLE</v>
      </c>
      <c r="Q632" s="2">
        <f t="shared" si="57"/>
        <v>-9</v>
      </c>
      <c r="R632" s="7">
        <f t="shared" si="58"/>
        <v>0</v>
      </c>
    </row>
    <row r="633" spans="1:18" ht="15" customHeight="1" x14ac:dyDescent="0.25">
      <c r="A633" s="7">
        <v>632</v>
      </c>
      <c r="B633" s="8" t="s">
        <v>185</v>
      </c>
      <c r="C633" s="8">
        <v>2014</v>
      </c>
      <c r="D633" s="8">
        <v>2015</v>
      </c>
      <c r="E633" s="3">
        <v>42145</v>
      </c>
      <c r="F633" s="4">
        <f t="shared" si="54"/>
        <v>5</v>
      </c>
      <c r="G633" s="4">
        <f t="shared" si="55"/>
        <v>21</v>
      </c>
      <c r="H633" s="4">
        <f t="shared" si="56"/>
        <v>2015</v>
      </c>
      <c r="I633" s="10" t="s">
        <v>157</v>
      </c>
      <c r="J633" s="5" t="s">
        <v>4</v>
      </c>
      <c r="K633" s="5" t="s">
        <v>114</v>
      </c>
      <c r="L633" s="5">
        <v>-10.5</v>
      </c>
      <c r="M633" s="5" t="s">
        <v>114</v>
      </c>
      <c r="N633" s="5">
        <v>98</v>
      </c>
      <c r="O633" s="5">
        <v>99</v>
      </c>
      <c r="P633" s="2" t="str">
        <f t="shared" si="59"/>
        <v>HOU</v>
      </c>
      <c r="Q633" s="2">
        <f t="shared" si="57"/>
        <v>-9.5</v>
      </c>
      <c r="R633" s="7">
        <f t="shared" si="58"/>
        <v>0</v>
      </c>
    </row>
    <row r="634" spans="1:18" ht="15" customHeight="1" x14ac:dyDescent="0.25">
      <c r="A634" s="7">
        <v>633</v>
      </c>
      <c r="B634" s="8" t="s">
        <v>185</v>
      </c>
      <c r="C634" s="8">
        <v>2014</v>
      </c>
      <c r="D634" s="8">
        <v>2015</v>
      </c>
      <c r="E634" s="3">
        <v>42146</v>
      </c>
      <c r="F634" s="4">
        <f t="shared" si="54"/>
        <v>5</v>
      </c>
      <c r="G634" s="4">
        <f t="shared" si="55"/>
        <v>22</v>
      </c>
      <c r="H634" s="4">
        <f t="shared" si="56"/>
        <v>2015</v>
      </c>
      <c r="I634" s="10" t="s">
        <v>157</v>
      </c>
      <c r="J634" s="5" t="s">
        <v>6</v>
      </c>
      <c r="K634" s="5" t="s">
        <v>5</v>
      </c>
      <c r="L634" s="5">
        <v>-1.5</v>
      </c>
      <c r="M634" s="5" t="s">
        <v>5</v>
      </c>
      <c r="N634" s="5">
        <v>94</v>
      </c>
      <c r="O634" s="5">
        <v>82</v>
      </c>
      <c r="P634" s="7" t="str">
        <f t="shared" si="59"/>
        <v>CLE</v>
      </c>
      <c r="Q634" s="7">
        <f t="shared" si="57"/>
        <v>-13.5</v>
      </c>
      <c r="R634" s="7">
        <f t="shared" si="58"/>
        <v>0</v>
      </c>
    </row>
    <row r="635" spans="1:18" ht="15" customHeight="1" x14ac:dyDescent="0.25">
      <c r="A635" s="7">
        <v>634</v>
      </c>
      <c r="B635" s="8" t="s">
        <v>185</v>
      </c>
      <c r="C635" s="8">
        <v>2014</v>
      </c>
      <c r="D635" s="8">
        <v>2015</v>
      </c>
      <c r="E635" s="3">
        <v>42147</v>
      </c>
      <c r="F635" s="4">
        <f t="shared" si="54"/>
        <v>5</v>
      </c>
      <c r="G635" s="4">
        <f t="shared" si="55"/>
        <v>23</v>
      </c>
      <c r="H635" s="4">
        <f t="shared" si="56"/>
        <v>2015</v>
      </c>
      <c r="I635" s="10" t="s">
        <v>157</v>
      </c>
      <c r="J635" s="5" t="s">
        <v>114</v>
      </c>
      <c r="K635" s="5" t="s">
        <v>4</v>
      </c>
      <c r="L635" s="5">
        <v>1.5</v>
      </c>
      <c r="M635" s="5" t="s">
        <v>114</v>
      </c>
      <c r="N635" s="5">
        <v>115</v>
      </c>
      <c r="O635" s="5">
        <v>80</v>
      </c>
      <c r="P635" s="7" t="str">
        <f t="shared" si="59"/>
        <v>GS</v>
      </c>
      <c r="Q635" s="7">
        <f t="shared" si="57"/>
        <v>33.5</v>
      </c>
      <c r="R635" s="7">
        <f t="shared" si="58"/>
        <v>1</v>
      </c>
    </row>
    <row r="636" spans="1:18" ht="15" customHeight="1" x14ac:dyDescent="0.25">
      <c r="A636" s="7">
        <v>635</v>
      </c>
      <c r="B636" s="8" t="s">
        <v>185</v>
      </c>
      <c r="C636" s="8">
        <v>2014</v>
      </c>
      <c r="D636" s="8">
        <v>2015</v>
      </c>
      <c r="E636" s="3">
        <v>42148</v>
      </c>
      <c r="F636" s="4">
        <f t="shared" si="54"/>
        <v>5</v>
      </c>
      <c r="G636" s="4">
        <f t="shared" si="55"/>
        <v>24</v>
      </c>
      <c r="H636" s="4">
        <f t="shared" si="56"/>
        <v>2015</v>
      </c>
      <c r="I636" s="10" t="s">
        <v>157</v>
      </c>
      <c r="J636" s="5" t="s">
        <v>5</v>
      </c>
      <c r="K636" s="5" t="s">
        <v>6</v>
      </c>
      <c r="L636" s="5">
        <v>-9</v>
      </c>
      <c r="M636" s="5" t="s">
        <v>6</v>
      </c>
      <c r="N636" s="5">
        <v>111</v>
      </c>
      <c r="O636" s="5">
        <v>114</v>
      </c>
      <c r="P636" s="7" t="str">
        <f t="shared" si="59"/>
        <v>ATL</v>
      </c>
      <c r="Q636" s="7">
        <f t="shared" si="57"/>
        <v>-6</v>
      </c>
      <c r="R636" s="7">
        <f t="shared" si="58"/>
        <v>0</v>
      </c>
    </row>
    <row r="637" spans="1:18" ht="15" customHeight="1" x14ac:dyDescent="0.25">
      <c r="A637" s="7">
        <v>636</v>
      </c>
      <c r="B637" s="8" t="s">
        <v>185</v>
      </c>
      <c r="C637" s="8">
        <v>2014</v>
      </c>
      <c r="D637" s="8">
        <v>2015</v>
      </c>
      <c r="E637" s="3">
        <v>42149</v>
      </c>
      <c r="F637" s="4">
        <f t="shared" si="54"/>
        <v>5</v>
      </c>
      <c r="G637" s="4">
        <f t="shared" si="55"/>
        <v>25</v>
      </c>
      <c r="H637" s="4">
        <f t="shared" si="56"/>
        <v>2015</v>
      </c>
      <c r="I637" s="10" t="s">
        <v>157</v>
      </c>
      <c r="J637" s="5" t="s">
        <v>114</v>
      </c>
      <c r="K637" s="5" t="s">
        <v>4</v>
      </c>
      <c r="L637" s="5">
        <v>4.5</v>
      </c>
      <c r="M637" s="5" t="s">
        <v>4</v>
      </c>
      <c r="N637" s="5">
        <v>115</v>
      </c>
      <c r="O637" s="5">
        <v>128</v>
      </c>
      <c r="P637" s="7" t="str">
        <f t="shared" si="59"/>
        <v>HOU</v>
      </c>
      <c r="Q637" s="7">
        <f t="shared" si="57"/>
        <v>17.5</v>
      </c>
      <c r="R637" s="7">
        <f t="shared" si="58"/>
        <v>1</v>
      </c>
    </row>
    <row r="638" spans="1:18" ht="15" customHeight="1" x14ac:dyDescent="0.25">
      <c r="A638" s="7">
        <v>637</v>
      </c>
      <c r="B638" s="8" t="s">
        <v>185</v>
      </c>
      <c r="C638" s="8">
        <v>2014</v>
      </c>
      <c r="D638" s="8">
        <v>2015</v>
      </c>
      <c r="E638" s="3">
        <v>42150</v>
      </c>
      <c r="F638" s="4">
        <f t="shared" si="54"/>
        <v>5</v>
      </c>
      <c r="G638" s="4">
        <f t="shared" si="55"/>
        <v>26</v>
      </c>
      <c r="H638" s="4">
        <f t="shared" si="56"/>
        <v>2015</v>
      </c>
      <c r="I638" s="10" t="s">
        <v>157</v>
      </c>
      <c r="J638" s="5" t="s">
        <v>5</v>
      </c>
      <c r="K638" s="5" t="s">
        <v>6</v>
      </c>
      <c r="L638" s="5">
        <v>-8.5</v>
      </c>
      <c r="M638" s="5" t="s">
        <v>5</v>
      </c>
      <c r="N638" s="5">
        <v>88</v>
      </c>
      <c r="O638" s="5">
        <v>118</v>
      </c>
      <c r="P638" s="7" t="str">
        <f t="shared" si="59"/>
        <v>CLE</v>
      </c>
      <c r="Q638" s="7">
        <f t="shared" si="57"/>
        <v>-21.5</v>
      </c>
      <c r="R638" s="7">
        <f t="shared" si="58"/>
        <v>0</v>
      </c>
    </row>
    <row r="639" spans="1:18" ht="15" customHeight="1" x14ac:dyDescent="0.25">
      <c r="A639" s="7">
        <v>638</v>
      </c>
      <c r="B639" s="8" t="s">
        <v>185</v>
      </c>
      <c r="C639" s="8">
        <v>2014</v>
      </c>
      <c r="D639" s="8">
        <v>2015</v>
      </c>
      <c r="E639" s="3">
        <v>42151</v>
      </c>
      <c r="F639" s="4">
        <f t="shared" si="54"/>
        <v>5</v>
      </c>
      <c r="G639" s="4">
        <f t="shared" si="55"/>
        <v>27</v>
      </c>
      <c r="H639" s="4">
        <f t="shared" si="56"/>
        <v>2015</v>
      </c>
      <c r="I639" s="10" t="s">
        <v>157</v>
      </c>
      <c r="J639" s="8" t="s">
        <v>4</v>
      </c>
      <c r="K639" s="8" t="s">
        <v>114</v>
      </c>
      <c r="L639" s="8">
        <v>-10</v>
      </c>
      <c r="M639" s="8" t="s">
        <v>4</v>
      </c>
      <c r="N639" s="8">
        <v>90</v>
      </c>
      <c r="O639" s="8">
        <v>104</v>
      </c>
      <c r="P639" s="2" t="str">
        <f t="shared" si="59"/>
        <v>GS</v>
      </c>
      <c r="Q639" s="2">
        <f t="shared" si="57"/>
        <v>-4</v>
      </c>
      <c r="R639" s="7">
        <f t="shared" si="58"/>
        <v>0</v>
      </c>
    </row>
    <row r="640" spans="1:18" ht="15" customHeight="1" x14ac:dyDescent="0.25">
      <c r="A640" s="7">
        <v>639</v>
      </c>
      <c r="B640" s="8" t="s">
        <v>185</v>
      </c>
      <c r="C640" s="8">
        <v>2014</v>
      </c>
      <c r="D640" s="8">
        <v>2015</v>
      </c>
      <c r="E640" s="3">
        <v>42159</v>
      </c>
      <c r="F640" s="4">
        <f t="shared" si="54"/>
        <v>6</v>
      </c>
      <c r="G640" s="4">
        <f t="shared" si="55"/>
        <v>4</v>
      </c>
      <c r="H640" s="4">
        <f t="shared" si="56"/>
        <v>2015</v>
      </c>
      <c r="I640" s="10" t="s">
        <v>157</v>
      </c>
      <c r="J640" s="8" t="s">
        <v>6</v>
      </c>
      <c r="K640" s="8" t="s">
        <v>114</v>
      </c>
      <c r="L640" s="2">
        <v>-5.5</v>
      </c>
      <c r="M640" s="8" t="s">
        <v>114</v>
      </c>
      <c r="N640" s="2">
        <v>100</v>
      </c>
      <c r="O640" s="2">
        <v>108</v>
      </c>
      <c r="P640" s="2" t="str">
        <f t="shared" si="59"/>
        <v>GS</v>
      </c>
      <c r="Q640" s="2">
        <f t="shared" si="57"/>
        <v>2.5</v>
      </c>
      <c r="R640" s="7">
        <f t="shared" si="58"/>
        <v>1</v>
      </c>
    </row>
    <row r="641" spans="1:18" ht="15" customHeight="1" x14ac:dyDescent="0.25">
      <c r="A641" s="7">
        <v>640</v>
      </c>
      <c r="B641" s="8" t="s">
        <v>185</v>
      </c>
      <c r="C641" s="8">
        <v>2014</v>
      </c>
      <c r="D641" s="8">
        <v>2015</v>
      </c>
      <c r="E641" s="3">
        <v>42162</v>
      </c>
      <c r="F641" s="4">
        <f t="shared" si="54"/>
        <v>6</v>
      </c>
      <c r="G641" s="4">
        <f t="shared" si="55"/>
        <v>7</v>
      </c>
      <c r="H641" s="4">
        <f t="shared" si="56"/>
        <v>2015</v>
      </c>
      <c r="I641" s="10" t="s">
        <v>157</v>
      </c>
      <c r="J641" s="8" t="s">
        <v>6</v>
      </c>
      <c r="K641" s="8" t="s">
        <v>114</v>
      </c>
      <c r="L641" s="2">
        <v>-7.5</v>
      </c>
      <c r="M641" s="8" t="s">
        <v>114</v>
      </c>
      <c r="N641" s="2">
        <v>95</v>
      </c>
      <c r="O641" s="2">
        <v>93</v>
      </c>
      <c r="P641" s="2" t="str">
        <f t="shared" si="59"/>
        <v>CLE</v>
      </c>
      <c r="Q641" s="2">
        <f t="shared" si="57"/>
        <v>-9.5</v>
      </c>
      <c r="R641" s="7">
        <f t="shared" si="58"/>
        <v>0</v>
      </c>
    </row>
    <row r="642" spans="1:18" ht="15" customHeight="1" x14ac:dyDescent="0.25">
      <c r="A642" s="7">
        <v>641</v>
      </c>
      <c r="B642" s="8" t="s">
        <v>185</v>
      </c>
      <c r="C642" s="8">
        <v>2014</v>
      </c>
      <c r="D642" s="8">
        <v>2015</v>
      </c>
      <c r="E642" s="3">
        <v>42164</v>
      </c>
      <c r="F642" s="4">
        <f t="shared" ref="F642:F705" si="60">MONTH(E642)</f>
        <v>6</v>
      </c>
      <c r="G642" s="4">
        <f t="shared" ref="G642:G705" si="61">DAY(E642)</f>
        <v>9</v>
      </c>
      <c r="H642" s="4">
        <f t="shared" ref="H642:H705" si="62">YEAR(E642)</f>
        <v>2015</v>
      </c>
      <c r="I642" s="10" t="s">
        <v>157</v>
      </c>
      <c r="J642" s="8" t="s">
        <v>114</v>
      </c>
      <c r="K642" s="8" t="s">
        <v>6</v>
      </c>
      <c r="L642" s="2">
        <v>1.5</v>
      </c>
      <c r="M642" s="8" t="s">
        <v>6</v>
      </c>
      <c r="N642" s="2">
        <v>91</v>
      </c>
      <c r="O642" s="2">
        <v>96</v>
      </c>
      <c r="P642" s="2" t="str">
        <f t="shared" si="59"/>
        <v>CLE</v>
      </c>
      <c r="Q642" s="2">
        <f t="shared" ref="Q642:Q705" si="63">IF(AND(N642&gt;0,O642&gt;0,(O642+L642)=N642),0,IF(P642="","",IF(P642=M642,ABS((O642+L642)-N642),-ABS((O642+L642)-N642))))</f>
        <v>6.5</v>
      </c>
      <c r="R642" s="7">
        <f t="shared" si="58"/>
        <v>1</v>
      </c>
    </row>
    <row r="643" spans="1:18" ht="15" customHeight="1" x14ac:dyDescent="0.25">
      <c r="A643" s="7">
        <v>642</v>
      </c>
      <c r="B643" s="8" t="s">
        <v>185</v>
      </c>
      <c r="C643" s="8">
        <v>2014</v>
      </c>
      <c r="D643" s="8">
        <v>2015</v>
      </c>
      <c r="E643" s="3">
        <v>42166</v>
      </c>
      <c r="F643" s="4">
        <f t="shared" si="60"/>
        <v>6</v>
      </c>
      <c r="G643" s="4">
        <f t="shared" si="61"/>
        <v>11</v>
      </c>
      <c r="H643" s="4">
        <f t="shared" si="62"/>
        <v>2015</v>
      </c>
      <c r="I643" s="10" t="s">
        <v>157</v>
      </c>
      <c r="J643" s="8" t="s">
        <v>114</v>
      </c>
      <c r="K643" s="8" t="s">
        <v>6</v>
      </c>
      <c r="L643" s="2">
        <v>2.5</v>
      </c>
      <c r="M643" s="8" t="s">
        <v>114</v>
      </c>
      <c r="N643" s="2">
        <v>103</v>
      </c>
      <c r="O643" s="2">
        <v>82</v>
      </c>
      <c r="P643" s="2" t="str">
        <f t="shared" si="59"/>
        <v>GS</v>
      </c>
      <c r="Q643" s="2">
        <f t="shared" si="63"/>
        <v>18.5</v>
      </c>
      <c r="R643" s="7">
        <f t="shared" ref="R643:R706" si="64">IF(Q643="","",IF(P643=M643,1,IF(Q643=0,"na",0)))</f>
        <v>1</v>
      </c>
    </row>
    <row r="644" spans="1:18" ht="15" customHeight="1" x14ac:dyDescent="0.25">
      <c r="A644" s="7">
        <v>643</v>
      </c>
      <c r="B644" s="8" t="s">
        <v>185</v>
      </c>
      <c r="C644" s="8">
        <v>2014</v>
      </c>
      <c r="D644" s="8">
        <v>2015</v>
      </c>
      <c r="E644" s="3">
        <v>42169</v>
      </c>
      <c r="F644" s="4">
        <f t="shared" si="60"/>
        <v>6</v>
      </c>
      <c r="G644" s="4">
        <f t="shared" si="61"/>
        <v>14</v>
      </c>
      <c r="H644" s="4">
        <f t="shared" si="62"/>
        <v>2015</v>
      </c>
      <c r="I644" s="10" t="s">
        <v>157</v>
      </c>
      <c r="J644" s="8" t="s">
        <v>6</v>
      </c>
      <c r="K644" s="8" t="s">
        <v>114</v>
      </c>
      <c r="L644" s="2">
        <v>-8.5</v>
      </c>
      <c r="M644" s="8" t="s">
        <v>6</v>
      </c>
      <c r="N644" s="2">
        <v>91</v>
      </c>
      <c r="O644" s="2">
        <v>104</v>
      </c>
      <c r="P644" s="2" t="str">
        <f t="shared" si="59"/>
        <v>GS</v>
      </c>
      <c r="Q644" s="2">
        <f t="shared" si="63"/>
        <v>-4.5</v>
      </c>
      <c r="R644" s="7">
        <f t="shared" si="64"/>
        <v>0</v>
      </c>
    </row>
    <row r="645" spans="1:18" ht="15" customHeight="1" x14ac:dyDescent="0.25">
      <c r="A645" s="7">
        <v>644</v>
      </c>
      <c r="B645" s="8" t="s">
        <v>185</v>
      </c>
      <c r="C645" s="8">
        <v>2014</v>
      </c>
      <c r="D645" s="8">
        <v>2015</v>
      </c>
      <c r="E645" s="3">
        <v>42171</v>
      </c>
      <c r="F645" s="4">
        <f t="shared" si="60"/>
        <v>6</v>
      </c>
      <c r="G645" s="4">
        <f t="shared" si="61"/>
        <v>16</v>
      </c>
      <c r="H645" s="4">
        <f t="shared" si="62"/>
        <v>2015</v>
      </c>
      <c r="I645" s="10" t="s">
        <v>157</v>
      </c>
      <c r="J645" s="8" t="s">
        <v>114</v>
      </c>
      <c r="K645" s="8" t="s">
        <v>6</v>
      </c>
      <c r="L645" s="2">
        <v>4</v>
      </c>
      <c r="M645" s="8" t="s">
        <v>6</v>
      </c>
      <c r="N645" s="2">
        <v>105</v>
      </c>
      <c r="O645" s="2">
        <v>97</v>
      </c>
      <c r="P645" s="2" t="str">
        <f t="shared" si="59"/>
        <v>GS</v>
      </c>
      <c r="Q645" s="2">
        <f t="shared" si="63"/>
        <v>-4</v>
      </c>
      <c r="R645" s="7">
        <f t="shared" si="64"/>
        <v>0</v>
      </c>
    </row>
    <row r="646" spans="1:18" ht="15" customHeight="1" x14ac:dyDescent="0.25">
      <c r="A646" s="7">
        <v>645</v>
      </c>
      <c r="B646" s="8" t="s">
        <v>151</v>
      </c>
      <c r="C646" s="8">
        <v>2015</v>
      </c>
      <c r="D646" s="8">
        <v>2016</v>
      </c>
      <c r="E646" s="3">
        <v>42304</v>
      </c>
      <c r="F646" s="4">
        <f t="shared" si="60"/>
        <v>10</v>
      </c>
      <c r="G646" s="4">
        <f t="shared" si="61"/>
        <v>27</v>
      </c>
      <c r="H646" s="4">
        <f t="shared" si="62"/>
        <v>2015</v>
      </c>
      <c r="I646" s="10" t="s">
        <v>157</v>
      </c>
      <c r="J646" s="8" t="s">
        <v>7</v>
      </c>
      <c r="K646" s="8" t="s">
        <v>5</v>
      </c>
      <c r="L646" s="7">
        <v>-7</v>
      </c>
      <c r="M646" s="8" t="s">
        <v>5</v>
      </c>
      <c r="N646" s="7">
        <v>106</v>
      </c>
      <c r="O646" s="7">
        <v>94</v>
      </c>
      <c r="P646" s="7" t="str">
        <f t="shared" ref="P646:P709" si="65">IF(OR(N646="",O646=""),"",IF((O646+L646)&gt;N646,K646,IF((O646+L646)=N646,"N/A",J646)))</f>
        <v>DET</v>
      </c>
      <c r="Q646" s="7">
        <f t="shared" si="63"/>
        <v>-19</v>
      </c>
      <c r="R646" s="7">
        <f t="shared" si="64"/>
        <v>0</v>
      </c>
    </row>
    <row r="647" spans="1:18" ht="15" customHeight="1" x14ac:dyDescent="0.25">
      <c r="A647" s="7">
        <v>646</v>
      </c>
      <c r="B647" s="8" t="s">
        <v>151</v>
      </c>
      <c r="C647" s="8">
        <v>2015</v>
      </c>
      <c r="D647" s="8">
        <v>2016</v>
      </c>
      <c r="E647" s="3">
        <v>42305</v>
      </c>
      <c r="F647" s="4">
        <f t="shared" si="60"/>
        <v>10</v>
      </c>
      <c r="G647" s="4">
        <f t="shared" si="61"/>
        <v>28</v>
      </c>
      <c r="H647" s="4">
        <f t="shared" si="62"/>
        <v>2015</v>
      </c>
      <c r="I647" s="10" t="s">
        <v>157</v>
      </c>
      <c r="J647" s="8" t="s">
        <v>23</v>
      </c>
      <c r="K647" s="8" t="s">
        <v>4</v>
      </c>
      <c r="L647" s="8">
        <v>-10.5</v>
      </c>
      <c r="M647" s="8" t="s">
        <v>23</v>
      </c>
      <c r="N647" s="8">
        <v>105</v>
      </c>
      <c r="O647" s="8">
        <v>85</v>
      </c>
      <c r="P647" s="7" t="str">
        <f t="shared" si="65"/>
        <v>DEN</v>
      </c>
      <c r="Q647" s="7">
        <f t="shared" si="63"/>
        <v>30.5</v>
      </c>
      <c r="R647" s="7">
        <f t="shared" si="64"/>
        <v>1</v>
      </c>
    </row>
    <row r="648" spans="1:18" ht="15" customHeight="1" x14ac:dyDescent="0.25">
      <c r="A648" s="7">
        <v>647</v>
      </c>
      <c r="B648" s="8" t="s">
        <v>151</v>
      </c>
      <c r="C648" s="8">
        <v>2015</v>
      </c>
      <c r="D648" s="8">
        <v>2016</v>
      </c>
      <c r="E648" s="3">
        <v>42306</v>
      </c>
      <c r="F648" s="4">
        <f t="shared" si="60"/>
        <v>10</v>
      </c>
      <c r="G648" s="4">
        <f t="shared" si="61"/>
        <v>29</v>
      </c>
      <c r="H648" s="4">
        <f t="shared" si="62"/>
        <v>2015</v>
      </c>
      <c r="I648" s="10" t="s">
        <v>157</v>
      </c>
      <c r="J648" s="8" t="s">
        <v>9</v>
      </c>
      <c r="K648" s="8" t="s">
        <v>13</v>
      </c>
      <c r="L648" s="8">
        <v>2.5</v>
      </c>
      <c r="M648" s="8" t="s">
        <v>9</v>
      </c>
      <c r="N648" s="8">
        <v>112</v>
      </c>
      <c r="O648" s="8">
        <v>103</v>
      </c>
      <c r="P648" s="7" t="str">
        <f t="shared" si="65"/>
        <v>MEM</v>
      </c>
      <c r="Q648" s="7">
        <f t="shared" si="63"/>
        <v>6.5</v>
      </c>
      <c r="R648" s="7">
        <f t="shared" si="64"/>
        <v>1</v>
      </c>
    </row>
    <row r="649" spans="1:18" ht="15" customHeight="1" x14ac:dyDescent="0.25">
      <c r="A649" s="7">
        <v>648</v>
      </c>
      <c r="B649" s="8" t="s">
        <v>151</v>
      </c>
      <c r="C649" s="8">
        <v>2015</v>
      </c>
      <c r="D649" s="8">
        <v>2016</v>
      </c>
      <c r="E649" s="3">
        <v>42307</v>
      </c>
      <c r="F649" s="4">
        <f t="shared" si="60"/>
        <v>10</v>
      </c>
      <c r="G649" s="4">
        <f t="shared" si="61"/>
        <v>30</v>
      </c>
      <c r="H649" s="4">
        <f t="shared" si="62"/>
        <v>2015</v>
      </c>
      <c r="I649" s="10" t="s">
        <v>157</v>
      </c>
      <c r="J649" s="8" t="s">
        <v>139</v>
      </c>
      <c r="K649" s="8" t="s">
        <v>10</v>
      </c>
      <c r="L649" s="8">
        <v>2</v>
      </c>
      <c r="M649" s="8" t="s">
        <v>139</v>
      </c>
      <c r="N649" s="8">
        <v>118</v>
      </c>
      <c r="O649" s="8">
        <v>113</v>
      </c>
      <c r="P649" s="7" t="str">
        <f t="shared" si="65"/>
        <v>WSH</v>
      </c>
      <c r="Q649" s="7">
        <f t="shared" si="63"/>
        <v>3</v>
      </c>
      <c r="R649" s="7">
        <f t="shared" si="64"/>
        <v>1</v>
      </c>
    </row>
    <row r="650" spans="1:18" ht="15" customHeight="1" x14ac:dyDescent="0.25">
      <c r="A650" s="7">
        <v>649</v>
      </c>
      <c r="B650" s="8" t="s">
        <v>151</v>
      </c>
      <c r="C650" s="8">
        <v>2015</v>
      </c>
      <c r="D650" s="8">
        <v>2016</v>
      </c>
      <c r="E650" s="3">
        <v>42308</v>
      </c>
      <c r="F650" s="4">
        <f t="shared" si="60"/>
        <v>10</v>
      </c>
      <c r="G650" s="4">
        <f t="shared" si="61"/>
        <v>31</v>
      </c>
      <c r="H650" s="4">
        <f t="shared" si="62"/>
        <v>2015</v>
      </c>
      <c r="I650" s="10" t="s">
        <v>157</v>
      </c>
      <c r="J650" s="8" t="s">
        <v>19</v>
      </c>
      <c r="K650" s="8" t="s">
        <v>1</v>
      </c>
      <c r="L650" s="8">
        <v>3</v>
      </c>
      <c r="M650" s="8" t="s">
        <v>19</v>
      </c>
      <c r="N650" s="8">
        <v>101</v>
      </c>
      <c r="O650" s="8">
        <v>90</v>
      </c>
      <c r="P650" s="7" t="str">
        <f t="shared" si="65"/>
        <v>PHX</v>
      </c>
      <c r="Q650" s="7">
        <f t="shared" si="63"/>
        <v>8</v>
      </c>
      <c r="R650" s="7">
        <f t="shared" si="64"/>
        <v>1</v>
      </c>
    </row>
    <row r="651" spans="1:18" ht="15" customHeight="1" x14ac:dyDescent="0.25">
      <c r="A651" s="7">
        <v>650</v>
      </c>
      <c r="B651" s="8" t="s">
        <v>151</v>
      </c>
      <c r="C651" s="8">
        <v>2015</v>
      </c>
      <c r="D651" s="8">
        <v>2016</v>
      </c>
      <c r="E651" s="3">
        <v>42309</v>
      </c>
      <c r="F651" s="4">
        <f t="shared" si="60"/>
        <v>11</v>
      </c>
      <c r="G651" s="4">
        <f t="shared" si="61"/>
        <v>1</v>
      </c>
      <c r="H651" s="4">
        <f t="shared" si="62"/>
        <v>2015</v>
      </c>
      <c r="I651" s="10" t="s">
        <v>157</v>
      </c>
      <c r="J651" s="8" t="s">
        <v>10</v>
      </c>
      <c r="K651" s="8" t="s">
        <v>2</v>
      </c>
      <c r="L651" s="8">
        <v>-7</v>
      </c>
      <c r="M651" s="8" t="s">
        <v>10</v>
      </c>
      <c r="N651" s="8">
        <v>87</v>
      </c>
      <c r="O651" s="8">
        <v>106</v>
      </c>
      <c r="P651" s="7" t="str">
        <f t="shared" si="65"/>
        <v>TOR</v>
      </c>
      <c r="Q651" s="7">
        <f t="shared" si="63"/>
        <v>-12</v>
      </c>
      <c r="R651" s="7">
        <f t="shared" si="64"/>
        <v>0</v>
      </c>
    </row>
    <row r="652" spans="1:18" ht="15" customHeight="1" x14ac:dyDescent="0.25">
      <c r="A652" s="7">
        <v>651</v>
      </c>
      <c r="B652" s="8" t="s">
        <v>151</v>
      </c>
      <c r="C652" s="8">
        <v>2015</v>
      </c>
      <c r="D652" s="8">
        <v>2016</v>
      </c>
      <c r="E652" s="3">
        <v>42310</v>
      </c>
      <c r="F652" s="4">
        <f t="shared" si="60"/>
        <v>11</v>
      </c>
      <c r="G652" s="4">
        <f t="shared" si="61"/>
        <v>2</v>
      </c>
      <c r="H652" s="4">
        <f t="shared" si="62"/>
        <v>2015</v>
      </c>
      <c r="I652" s="10" t="s">
        <v>157</v>
      </c>
      <c r="J652" s="8" t="s">
        <v>134</v>
      </c>
      <c r="K652" s="8" t="s">
        <v>126</v>
      </c>
      <c r="L652" s="8">
        <v>7.5</v>
      </c>
      <c r="M652" s="8" t="s">
        <v>134</v>
      </c>
      <c r="N652" s="8">
        <v>94</v>
      </c>
      <c r="O652" s="8">
        <v>84</v>
      </c>
      <c r="P652" s="7" t="str">
        <f t="shared" si="65"/>
        <v>SA</v>
      </c>
      <c r="Q652" s="7">
        <f t="shared" si="63"/>
        <v>2.5</v>
      </c>
      <c r="R652" s="7">
        <f t="shared" si="64"/>
        <v>1</v>
      </c>
    </row>
    <row r="653" spans="1:18" ht="15" customHeight="1" x14ac:dyDescent="0.25">
      <c r="A653" s="7">
        <v>652</v>
      </c>
      <c r="B653" s="8" t="s">
        <v>151</v>
      </c>
      <c r="C653" s="8">
        <v>2015</v>
      </c>
      <c r="D653" s="8">
        <v>2016</v>
      </c>
      <c r="E653" s="3">
        <v>42311</v>
      </c>
      <c r="F653" s="4">
        <f t="shared" si="60"/>
        <v>11</v>
      </c>
      <c r="G653" s="4">
        <f t="shared" si="61"/>
        <v>3</v>
      </c>
      <c r="H653" s="4">
        <f t="shared" si="62"/>
        <v>2015</v>
      </c>
      <c r="I653" s="10" t="s">
        <v>157</v>
      </c>
      <c r="J653" s="8" t="s">
        <v>23</v>
      </c>
      <c r="K653" s="8" t="s">
        <v>18</v>
      </c>
      <c r="L653" s="8">
        <v>1</v>
      </c>
      <c r="M653" s="8" t="s">
        <v>23</v>
      </c>
      <c r="N653" s="8">
        <v>120</v>
      </c>
      <c r="O653" s="8">
        <v>109</v>
      </c>
      <c r="P653" s="7" t="str">
        <f t="shared" si="65"/>
        <v>DEN</v>
      </c>
      <c r="Q653" s="7">
        <f t="shared" si="63"/>
        <v>10</v>
      </c>
      <c r="R653" s="7">
        <f t="shared" si="64"/>
        <v>1</v>
      </c>
    </row>
    <row r="654" spans="1:18" ht="15" customHeight="1" x14ac:dyDescent="0.25">
      <c r="A654" s="7">
        <v>653</v>
      </c>
      <c r="B654" s="8" t="s">
        <v>151</v>
      </c>
      <c r="C654" s="8">
        <v>2015</v>
      </c>
      <c r="D654" s="8">
        <v>2016</v>
      </c>
      <c r="E654" s="3">
        <v>42312</v>
      </c>
      <c r="F654" s="4">
        <f t="shared" si="60"/>
        <v>11</v>
      </c>
      <c r="G654" s="4">
        <f t="shared" si="61"/>
        <v>4</v>
      </c>
      <c r="H654" s="4">
        <f t="shared" si="62"/>
        <v>2015</v>
      </c>
      <c r="I654" s="10" t="s">
        <v>157</v>
      </c>
      <c r="J654" s="8" t="s">
        <v>11</v>
      </c>
      <c r="K654" s="8" t="s">
        <v>4</v>
      </c>
      <c r="L654" s="8">
        <v>-8.5</v>
      </c>
      <c r="M654" s="8" t="s">
        <v>11</v>
      </c>
      <c r="N654" s="8">
        <v>114</v>
      </c>
      <c r="O654" s="8">
        <v>119</v>
      </c>
      <c r="P654" s="7" t="str">
        <f t="shared" si="65"/>
        <v>ORL</v>
      </c>
      <c r="Q654" s="7">
        <f t="shared" si="63"/>
        <v>3.5</v>
      </c>
      <c r="R654" s="7">
        <f t="shared" si="64"/>
        <v>1</v>
      </c>
    </row>
    <row r="655" spans="1:18" ht="15" customHeight="1" x14ac:dyDescent="0.25">
      <c r="A655" s="7">
        <v>654</v>
      </c>
      <c r="B655" s="8" t="s">
        <v>151</v>
      </c>
      <c r="C655" s="8">
        <v>2015</v>
      </c>
      <c r="D655" s="8">
        <v>2016</v>
      </c>
      <c r="E655" s="3">
        <v>42313</v>
      </c>
      <c r="F655" s="4">
        <f t="shared" si="60"/>
        <v>11</v>
      </c>
      <c r="G655" s="4">
        <f t="shared" si="61"/>
        <v>5</v>
      </c>
      <c r="H655" s="4">
        <f t="shared" si="62"/>
        <v>2015</v>
      </c>
      <c r="I655" s="10" t="s">
        <v>157</v>
      </c>
      <c r="J655" s="8" t="s">
        <v>15</v>
      </c>
      <c r="K655" s="8" t="s">
        <v>3</v>
      </c>
      <c r="L655" s="8">
        <v>3</v>
      </c>
      <c r="M655" s="8" t="s">
        <v>3</v>
      </c>
      <c r="N655" s="8">
        <v>96</v>
      </c>
      <c r="O655" s="8">
        <v>84</v>
      </c>
      <c r="P655" s="7" t="str">
        <f t="shared" si="65"/>
        <v>MIA</v>
      </c>
      <c r="Q655" s="7">
        <f t="shared" si="63"/>
        <v>-9</v>
      </c>
      <c r="R655" s="7">
        <f t="shared" si="64"/>
        <v>0</v>
      </c>
    </row>
    <row r="656" spans="1:18" ht="15" customHeight="1" x14ac:dyDescent="0.25">
      <c r="A656" s="7">
        <v>655</v>
      </c>
      <c r="B656" s="8" t="s">
        <v>151</v>
      </c>
      <c r="C656" s="8">
        <v>2015</v>
      </c>
      <c r="D656" s="8">
        <v>2016</v>
      </c>
      <c r="E656" s="3">
        <v>42314</v>
      </c>
      <c r="F656" s="4">
        <f t="shared" si="60"/>
        <v>11</v>
      </c>
      <c r="G656" s="4">
        <f t="shared" si="61"/>
        <v>6</v>
      </c>
      <c r="H656" s="4">
        <f t="shared" si="62"/>
        <v>2015</v>
      </c>
      <c r="I656" s="10" t="s">
        <v>157</v>
      </c>
      <c r="J656" s="8" t="s">
        <v>15</v>
      </c>
      <c r="K656" s="8" t="s">
        <v>13</v>
      </c>
      <c r="L656" s="8">
        <v>1</v>
      </c>
      <c r="M656" s="8" t="s">
        <v>15</v>
      </c>
      <c r="N656" s="8">
        <v>87</v>
      </c>
      <c r="O656" s="8">
        <v>90</v>
      </c>
      <c r="P656" s="8" t="str">
        <f t="shared" si="65"/>
        <v>IND</v>
      </c>
      <c r="Q656" s="8">
        <f t="shared" si="63"/>
        <v>-4</v>
      </c>
      <c r="R656" s="7">
        <f t="shared" si="64"/>
        <v>0</v>
      </c>
    </row>
    <row r="657" spans="1:18" ht="15" customHeight="1" x14ac:dyDescent="0.25">
      <c r="A657" s="7">
        <v>656</v>
      </c>
      <c r="B657" s="8" t="s">
        <v>151</v>
      </c>
      <c r="C657" s="8">
        <v>2015</v>
      </c>
      <c r="D657" s="8">
        <v>2016</v>
      </c>
      <c r="E657" s="3">
        <v>42315</v>
      </c>
      <c r="F657" s="4">
        <f t="shared" si="60"/>
        <v>11</v>
      </c>
      <c r="G657" s="4">
        <f t="shared" si="61"/>
        <v>7</v>
      </c>
      <c r="H657" s="4">
        <f t="shared" si="62"/>
        <v>2015</v>
      </c>
      <c r="I657" s="10" t="s">
        <v>157</v>
      </c>
      <c r="J657" s="8" t="s">
        <v>124</v>
      </c>
      <c r="K657" s="8" t="s">
        <v>16</v>
      </c>
      <c r="L657" s="8">
        <v>-5</v>
      </c>
      <c r="M657" s="8" t="s">
        <v>124</v>
      </c>
      <c r="N657" s="8">
        <v>98</v>
      </c>
      <c r="O657" s="8">
        <v>107</v>
      </c>
      <c r="P657" s="8" t="str">
        <f t="shared" si="65"/>
        <v>DAL</v>
      </c>
      <c r="Q657" s="8">
        <f t="shared" si="63"/>
        <v>-4</v>
      </c>
      <c r="R657" s="7">
        <f t="shared" si="64"/>
        <v>0</v>
      </c>
    </row>
    <row r="658" spans="1:18" ht="15" customHeight="1" x14ac:dyDescent="0.25">
      <c r="A658" s="7">
        <v>657</v>
      </c>
      <c r="B658" s="8" t="s">
        <v>151</v>
      </c>
      <c r="C658" s="8">
        <v>2015</v>
      </c>
      <c r="D658" s="8">
        <v>2016</v>
      </c>
      <c r="E658" s="3">
        <v>42316</v>
      </c>
      <c r="F658" s="4">
        <f t="shared" si="60"/>
        <v>11</v>
      </c>
      <c r="G658" s="4">
        <f t="shared" si="61"/>
        <v>8</v>
      </c>
      <c r="H658" s="4">
        <f t="shared" si="62"/>
        <v>2015</v>
      </c>
      <c r="I658" s="10" t="s">
        <v>157</v>
      </c>
      <c r="J658" s="8" t="s">
        <v>18</v>
      </c>
      <c r="K658" s="8" t="s">
        <v>126</v>
      </c>
      <c r="L658" s="8">
        <v>-4.5</v>
      </c>
      <c r="M658" s="8" t="s">
        <v>126</v>
      </c>
      <c r="N658" s="8">
        <v>95</v>
      </c>
      <c r="O658" s="8">
        <v>99</v>
      </c>
      <c r="P658" s="8" t="str">
        <f t="shared" si="65"/>
        <v>LAL</v>
      </c>
      <c r="Q658" s="8">
        <f t="shared" si="63"/>
        <v>-0.5</v>
      </c>
      <c r="R658" s="7">
        <f t="shared" si="64"/>
        <v>0</v>
      </c>
    </row>
    <row r="659" spans="1:18" ht="15" customHeight="1" x14ac:dyDescent="0.25">
      <c r="A659" s="7">
        <v>658</v>
      </c>
      <c r="B659" s="8" t="s">
        <v>151</v>
      </c>
      <c r="C659" s="8">
        <v>2015</v>
      </c>
      <c r="D659" s="8">
        <v>2016</v>
      </c>
      <c r="E659" s="3">
        <v>42317</v>
      </c>
      <c r="F659" s="4">
        <f t="shared" si="60"/>
        <v>11</v>
      </c>
      <c r="G659" s="4">
        <f t="shared" si="61"/>
        <v>9</v>
      </c>
      <c r="H659" s="4">
        <f t="shared" si="62"/>
        <v>2015</v>
      </c>
      <c r="I659" s="10" t="s">
        <v>157</v>
      </c>
      <c r="J659" s="8" t="s">
        <v>11</v>
      </c>
      <c r="K659" s="8" t="s">
        <v>13</v>
      </c>
      <c r="L659" s="8">
        <v>-3.5</v>
      </c>
      <c r="M659" s="8" t="s">
        <v>11</v>
      </c>
      <c r="N659" s="8">
        <v>84</v>
      </c>
      <c r="O659" s="8">
        <v>97</v>
      </c>
      <c r="P659" s="8" t="str">
        <f t="shared" si="65"/>
        <v>IND</v>
      </c>
      <c r="Q659" s="8">
        <f t="shared" si="63"/>
        <v>-9.5</v>
      </c>
      <c r="R659" s="7">
        <f t="shared" si="64"/>
        <v>0</v>
      </c>
    </row>
    <row r="660" spans="1:18" ht="15" customHeight="1" x14ac:dyDescent="0.25">
      <c r="A660" s="7">
        <v>659</v>
      </c>
      <c r="B660" s="8" t="s">
        <v>151</v>
      </c>
      <c r="C660" s="8">
        <v>2015</v>
      </c>
      <c r="D660" s="8">
        <v>2016</v>
      </c>
      <c r="E660" s="3">
        <v>42318</v>
      </c>
      <c r="F660" s="4">
        <f t="shared" si="60"/>
        <v>11</v>
      </c>
      <c r="G660" s="4">
        <f t="shared" si="61"/>
        <v>10</v>
      </c>
      <c r="H660" s="4">
        <f t="shared" si="62"/>
        <v>2015</v>
      </c>
      <c r="I660" s="10" t="s">
        <v>157</v>
      </c>
      <c r="J660" s="8" t="s">
        <v>126</v>
      </c>
      <c r="K660" s="8" t="s">
        <v>2</v>
      </c>
      <c r="L660" s="8">
        <v>-8</v>
      </c>
      <c r="M660" s="8" t="s">
        <v>2</v>
      </c>
      <c r="N660" s="8">
        <v>111</v>
      </c>
      <c r="O660" s="8">
        <v>109</v>
      </c>
      <c r="P660" s="8" t="str">
        <f t="shared" si="65"/>
        <v>NY</v>
      </c>
      <c r="Q660" s="8">
        <f t="shared" si="63"/>
        <v>-10</v>
      </c>
      <c r="R660" s="7">
        <f t="shared" si="64"/>
        <v>0</v>
      </c>
    </row>
    <row r="661" spans="1:18" ht="15" customHeight="1" x14ac:dyDescent="0.25">
      <c r="A661" s="7">
        <v>660</v>
      </c>
      <c r="B661" s="8" t="s">
        <v>151</v>
      </c>
      <c r="C661" s="8">
        <v>2015</v>
      </c>
      <c r="D661" s="8">
        <v>2016</v>
      </c>
      <c r="E661" s="3">
        <v>42319</v>
      </c>
      <c r="F661" s="4">
        <f t="shared" si="60"/>
        <v>11</v>
      </c>
      <c r="G661" s="4">
        <f t="shared" si="61"/>
        <v>11</v>
      </c>
      <c r="H661" s="4">
        <f t="shared" si="62"/>
        <v>2015</v>
      </c>
      <c r="I661" s="10" t="s">
        <v>157</v>
      </c>
      <c r="J661" s="8" t="s">
        <v>13</v>
      </c>
      <c r="K661" s="8" t="s">
        <v>17</v>
      </c>
      <c r="L661" s="8">
        <v>-3</v>
      </c>
      <c r="M661" s="8" t="s">
        <v>17</v>
      </c>
      <c r="N661" s="8">
        <v>102</v>
      </c>
      <c r="O661" s="8">
        <v>91</v>
      </c>
      <c r="P661" s="8" t="str">
        <f t="shared" si="65"/>
        <v>IND</v>
      </c>
      <c r="Q661" s="8">
        <f t="shared" si="63"/>
        <v>-14</v>
      </c>
      <c r="R661" s="7">
        <f t="shared" si="64"/>
        <v>0</v>
      </c>
    </row>
    <row r="662" spans="1:18" ht="15" customHeight="1" x14ac:dyDescent="0.25">
      <c r="A662" s="7">
        <v>661</v>
      </c>
      <c r="B662" s="8" t="s">
        <v>151</v>
      </c>
      <c r="C662" s="8">
        <v>2015</v>
      </c>
      <c r="D662" s="8">
        <v>2016</v>
      </c>
      <c r="E662" s="3">
        <v>42320</v>
      </c>
      <c r="F662" s="4">
        <f t="shared" si="60"/>
        <v>11</v>
      </c>
      <c r="G662" s="4">
        <f t="shared" si="61"/>
        <v>12</v>
      </c>
      <c r="H662" s="4">
        <f t="shared" si="62"/>
        <v>2015</v>
      </c>
      <c r="I662" s="10" t="s">
        <v>157</v>
      </c>
      <c r="J662" s="8" t="s">
        <v>14</v>
      </c>
      <c r="K662" s="8" t="s">
        <v>19</v>
      </c>
      <c r="L662" s="8">
        <v>2.5</v>
      </c>
      <c r="M662" s="8" t="s">
        <v>14</v>
      </c>
      <c r="N662" s="8">
        <v>104</v>
      </c>
      <c r="O662" s="8">
        <v>118</v>
      </c>
      <c r="P662" s="8" t="str">
        <f t="shared" si="65"/>
        <v>PHX</v>
      </c>
      <c r="Q662" s="8">
        <f t="shared" si="63"/>
        <v>-16.5</v>
      </c>
      <c r="R662" s="7">
        <f t="shared" si="64"/>
        <v>0</v>
      </c>
    </row>
    <row r="663" spans="1:18" ht="15" customHeight="1" x14ac:dyDescent="0.25">
      <c r="A663" s="7">
        <v>662</v>
      </c>
      <c r="B663" s="8" t="s">
        <v>151</v>
      </c>
      <c r="C663" s="8">
        <v>2015</v>
      </c>
      <c r="D663" s="8">
        <v>2016</v>
      </c>
      <c r="E663" s="3">
        <v>42321</v>
      </c>
      <c r="F663" s="4">
        <f t="shared" si="60"/>
        <v>11</v>
      </c>
      <c r="G663" s="4">
        <f t="shared" si="61"/>
        <v>13</v>
      </c>
      <c r="H663" s="4">
        <f t="shared" si="62"/>
        <v>2015</v>
      </c>
      <c r="I663" s="10" t="s">
        <v>157</v>
      </c>
      <c r="J663" s="8" t="s">
        <v>8</v>
      </c>
      <c r="K663" s="8" t="s">
        <v>0</v>
      </c>
      <c r="L663" s="8">
        <v>-7</v>
      </c>
      <c r="M663" s="8" t="s">
        <v>0</v>
      </c>
      <c r="N663" s="8">
        <v>97</v>
      </c>
      <c r="O663" s="8">
        <v>102</v>
      </c>
      <c r="P663" s="8" t="str">
        <f t="shared" si="65"/>
        <v>CHA</v>
      </c>
      <c r="Q663" s="8">
        <f t="shared" si="63"/>
        <v>-2</v>
      </c>
      <c r="R663" s="7">
        <f t="shared" si="64"/>
        <v>0</v>
      </c>
    </row>
    <row r="664" spans="1:18" ht="15" customHeight="1" x14ac:dyDescent="0.25">
      <c r="A664" s="7">
        <v>663</v>
      </c>
      <c r="B664" s="8" t="s">
        <v>151</v>
      </c>
      <c r="C664" s="8">
        <v>2015</v>
      </c>
      <c r="D664" s="8">
        <v>2016</v>
      </c>
      <c r="E664" s="3">
        <v>42322</v>
      </c>
      <c r="F664" s="4">
        <f t="shared" si="60"/>
        <v>11</v>
      </c>
      <c r="G664" s="4">
        <f t="shared" si="61"/>
        <v>14</v>
      </c>
      <c r="H664" s="4">
        <f t="shared" si="62"/>
        <v>2015</v>
      </c>
      <c r="I664" s="10" t="s">
        <v>157</v>
      </c>
      <c r="J664" s="8" t="s">
        <v>16</v>
      </c>
      <c r="K664" s="8" t="s">
        <v>4</v>
      </c>
      <c r="L664" s="8">
        <v>-5.5</v>
      </c>
      <c r="M664" s="8" t="s">
        <v>4</v>
      </c>
      <c r="N664" s="8">
        <v>110</v>
      </c>
      <c r="O664" s="8">
        <v>98</v>
      </c>
      <c r="P664" s="8" t="str">
        <f t="shared" si="65"/>
        <v>DAL</v>
      </c>
      <c r="Q664" s="8">
        <f t="shared" si="63"/>
        <v>-17.5</v>
      </c>
      <c r="R664" s="7">
        <f t="shared" si="64"/>
        <v>0</v>
      </c>
    </row>
    <row r="665" spans="1:18" ht="15" customHeight="1" x14ac:dyDescent="0.25">
      <c r="A665" s="7">
        <v>664</v>
      </c>
      <c r="B665" s="8" t="s">
        <v>151</v>
      </c>
      <c r="C665" s="8">
        <v>2015</v>
      </c>
      <c r="D665" s="8">
        <v>2016</v>
      </c>
      <c r="E665" s="3">
        <v>42323</v>
      </c>
      <c r="F665" s="4">
        <f t="shared" si="60"/>
        <v>11</v>
      </c>
      <c r="G665" s="4">
        <f t="shared" si="61"/>
        <v>15</v>
      </c>
      <c r="H665" s="4">
        <f t="shared" si="62"/>
        <v>2015</v>
      </c>
      <c r="I665" s="10" t="s">
        <v>157</v>
      </c>
      <c r="J665" s="8" t="s">
        <v>1</v>
      </c>
      <c r="K665" s="8" t="s">
        <v>8</v>
      </c>
      <c r="L665" s="8">
        <v>-4.5</v>
      </c>
      <c r="M665" s="8" t="s">
        <v>1</v>
      </c>
      <c r="N665" s="8">
        <v>94</v>
      </c>
      <c r="O665" s="8">
        <v>106</v>
      </c>
      <c r="P665" s="8" t="str">
        <f t="shared" si="65"/>
        <v>CHA</v>
      </c>
      <c r="Q665" s="8">
        <f t="shared" si="63"/>
        <v>-7.5</v>
      </c>
      <c r="R665" s="7">
        <f t="shared" si="64"/>
        <v>0</v>
      </c>
    </row>
    <row r="666" spans="1:18" ht="15" customHeight="1" x14ac:dyDescent="0.25">
      <c r="A666" s="7">
        <v>665</v>
      </c>
      <c r="B666" s="8" t="s">
        <v>151</v>
      </c>
      <c r="C666" s="8">
        <v>2015</v>
      </c>
      <c r="D666" s="8">
        <v>2016</v>
      </c>
      <c r="E666" s="3">
        <v>42324</v>
      </c>
      <c r="F666" s="4">
        <f t="shared" si="60"/>
        <v>11</v>
      </c>
      <c r="G666" s="4">
        <f t="shared" si="61"/>
        <v>16</v>
      </c>
      <c r="H666" s="4">
        <f t="shared" si="62"/>
        <v>2015</v>
      </c>
      <c r="I666" s="10" t="s">
        <v>157</v>
      </c>
      <c r="J666" s="8" t="s">
        <v>12</v>
      </c>
      <c r="K666" s="8" t="s">
        <v>9</v>
      </c>
      <c r="L666" s="8">
        <v>-1.5</v>
      </c>
      <c r="M666" s="8" t="s">
        <v>9</v>
      </c>
      <c r="N666" s="8">
        <v>114</v>
      </c>
      <c r="O666" s="8">
        <v>122</v>
      </c>
      <c r="P666" s="8" t="str">
        <f t="shared" si="65"/>
        <v>MEM</v>
      </c>
      <c r="Q666" s="8">
        <f t="shared" si="63"/>
        <v>6.5</v>
      </c>
      <c r="R666" s="7">
        <f t="shared" si="64"/>
        <v>1</v>
      </c>
    </row>
    <row r="667" spans="1:18" ht="15" customHeight="1" x14ac:dyDescent="0.25">
      <c r="A667" s="7">
        <v>666</v>
      </c>
      <c r="B667" s="8" t="s">
        <v>151</v>
      </c>
      <c r="C667" s="8">
        <v>2015</v>
      </c>
      <c r="D667" s="8">
        <v>2016</v>
      </c>
      <c r="E667" s="3">
        <v>42325</v>
      </c>
      <c r="F667" s="4">
        <f t="shared" si="60"/>
        <v>11</v>
      </c>
      <c r="G667" s="4">
        <f t="shared" si="61"/>
        <v>17</v>
      </c>
      <c r="H667" s="4">
        <f t="shared" si="62"/>
        <v>2015</v>
      </c>
      <c r="I667" s="10" t="s">
        <v>157</v>
      </c>
      <c r="J667" s="8" t="s">
        <v>23</v>
      </c>
      <c r="K667" s="8" t="s">
        <v>124</v>
      </c>
      <c r="L667" s="8">
        <v>-6</v>
      </c>
      <c r="M667" s="8" t="s">
        <v>23</v>
      </c>
      <c r="N667" s="8">
        <v>115</v>
      </c>
      <c r="O667" s="8">
        <v>98</v>
      </c>
      <c r="P667" s="8" t="str">
        <f t="shared" si="65"/>
        <v>DEN</v>
      </c>
      <c r="Q667" s="8">
        <f t="shared" si="63"/>
        <v>23</v>
      </c>
      <c r="R667" s="7">
        <f t="shared" si="64"/>
        <v>1</v>
      </c>
    </row>
    <row r="668" spans="1:18" ht="15" customHeight="1" x14ac:dyDescent="0.25">
      <c r="A668" s="7">
        <v>667</v>
      </c>
      <c r="B668" s="8" t="s">
        <v>151</v>
      </c>
      <c r="C668" s="8">
        <v>2015</v>
      </c>
      <c r="D668" s="8">
        <v>2016</v>
      </c>
      <c r="E668" s="3">
        <v>42326</v>
      </c>
      <c r="F668" s="4">
        <f t="shared" si="60"/>
        <v>11</v>
      </c>
      <c r="G668" s="4">
        <f t="shared" si="61"/>
        <v>18</v>
      </c>
      <c r="H668" s="4">
        <f t="shared" si="62"/>
        <v>2015</v>
      </c>
      <c r="I668" s="10" t="s">
        <v>157</v>
      </c>
      <c r="J668" s="8" t="s">
        <v>2</v>
      </c>
      <c r="K668" s="8" t="s">
        <v>137</v>
      </c>
      <c r="L668" s="8">
        <v>-4.5</v>
      </c>
      <c r="M668" s="8" t="s">
        <v>137</v>
      </c>
      <c r="N668" s="8">
        <v>89</v>
      </c>
      <c r="O668" s="8">
        <v>93</v>
      </c>
      <c r="P668" s="8" t="str">
        <f t="shared" si="65"/>
        <v>TOR</v>
      </c>
      <c r="Q668" s="8">
        <f t="shared" si="63"/>
        <v>-0.5</v>
      </c>
      <c r="R668" s="7">
        <f t="shared" si="64"/>
        <v>0</v>
      </c>
    </row>
    <row r="669" spans="1:18" ht="15" customHeight="1" x14ac:dyDescent="0.25">
      <c r="A669" s="7">
        <v>668</v>
      </c>
      <c r="B669" s="8" t="s">
        <v>151</v>
      </c>
      <c r="C669" s="8">
        <v>2015</v>
      </c>
      <c r="D669" s="8">
        <v>2016</v>
      </c>
      <c r="E669" s="3">
        <v>42327</v>
      </c>
      <c r="F669" s="4">
        <f t="shared" si="60"/>
        <v>11</v>
      </c>
      <c r="G669" s="4">
        <f t="shared" si="61"/>
        <v>19</v>
      </c>
      <c r="H669" s="4">
        <f t="shared" si="62"/>
        <v>2015</v>
      </c>
      <c r="I669" s="10" t="s">
        <v>157</v>
      </c>
      <c r="J669" s="8" t="s">
        <v>10</v>
      </c>
      <c r="K669" s="8" t="s">
        <v>6</v>
      </c>
      <c r="L669" s="8">
        <v>-9.5</v>
      </c>
      <c r="M669" s="8" t="s">
        <v>10</v>
      </c>
      <c r="N669" s="8">
        <v>100</v>
      </c>
      <c r="O669" s="8">
        <v>115</v>
      </c>
      <c r="P669" s="8" t="str">
        <f t="shared" si="65"/>
        <v>CLE</v>
      </c>
      <c r="Q669" s="8">
        <f t="shared" si="63"/>
        <v>-5.5</v>
      </c>
      <c r="R669" s="7">
        <f t="shared" si="64"/>
        <v>0</v>
      </c>
    </row>
    <row r="670" spans="1:18" ht="15" customHeight="1" x14ac:dyDescent="0.25">
      <c r="A670" s="7">
        <v>669</v>
      </c>
      <c r="B670" s="8" t="s">
        <v>151</v>
      </c>
      <c r="C670" s="8">
        <v>2015</v>
      </c>
      <c r="D670" s="8">
        <v>2016</v>
      </c>
      <c r="E670" s="3">
        <v>42328</v>
      </c>
      <c r="F670" s="4">
        <f t="shared" si="60"/>
        <v>11</v>
      </c>
      <c r="G670" s="4">
        <f t="shared" si="61"/>
        <v>20</v>
      </c>
      <c r="H670" s="4">
        <f t="shared" si="62"/>
        <v>2015</v>
      </c>
      <c r="I670" s="10" t="s">
        <v>157</v>
      </c>
      <c r="J670" s="8" t="s">
        <v>20</v>
      </c>
      <c r="K670" s="8" t="s">
        <v>8</v>
      </c>
      <c r="L670" s="8">
        <v>-10.5</v>
      </c>
      <c r="M670" s="8" t="s">
        <v>8</v>
      </c>
      <c r="N670" s="8">
        <v>88</v>
      </c>
      <c r="O670" s="8">
        <v>113</v>
      </c>
      <c r="P670" s="8" t="str">
        <f t="shared" si="65"/>
        <v>CHA</v>
      </c>
      <c r="Q670" s="8">
        <f t="shared" si="63"/>
        <v>14.5</v>
      </c>
      <c r="R670" s="7">
        <f t="shared" si="64"/>
        <v>1</v>
      </c>
    </row>
    <row r="671" spans="1:18" ht="15" customHeight="1" x14ac:dyDescent="0.25">
      <c r="A671" s="7">
        <v>670</v>
      </c>
      <c r="B671" s="8" t="s">
        <v>151</v>
      </c>
      <c r="C671" s="8">
        <v>2015</v>
      </c>
      <c r="D671" s="8">
        <v>2016</v>
      </c>
      <c r="E671" s="3">
        <v>42329</v>
      </c>
      <c r="F671" s="4">
        <f t="shared" si="60"/>
        <v>11</v>
      </c>
      <c r="G671" s="4">
        <f t="shared" si="61"/>
        <v>21</v>
      </c>
      <c r="H671" s="4">
        <f t="shared" si="62"/>
        <v>2015</v>
      </c>
      <c r="I671" s="10" t="s">
        <v>157</v>
      </c>
      <c r="J671" s="8" t="s">
        <v>21</v>
      </c>
      <c r="K671" s="8" t="s">
        <v>11</v>
      </c>
      <c r="L671" s="8">
        <v>-2</v>
      </c>
      <c r="M671" s="8" t="s">
        <v>11</v>
      </c>
      <c r="N671" s="8">
        <v>97</v>
      </c>
      <c r="O671" s="8">
        <v>91</v>
      </c>
      <c r="P671" s="8" t="str">
        <f t="shared" si="65"/>
        <v>SAC</v>
      </c>
      <c r="Q671" s="8">
        <f t="shared" si="63"/>
        <v>-8</v>
      </c>
      <c r="R671" s="7">
        <f t="shared" si="64"/>
        <v>0</v>
      </c>
    </row>
    <row r="672" spans="1:18" ht="15" customHeight="1" x14ac:dyDescent="0.25">
      <c r="A672" s="7">
        <v>671</v>
      </c>
      <c r="B672" s="8" t="s">
        <v>151</v>
      </c>
      <c r="C672" s="8">
        <v>2015</v>
      </c>
      <c r="D672" s="8">
        <v>2016</v>
      </c>
      <c r="E672" s="3">
        <v>42330</v>
      </c>
      <c r="F672" s="4">
        <f t="shared" si="60"/>
        <v>11</v>
      </c>
      <c r="G672" s="4">
        <f t="shared" si="61"/>
        <v>22</v>
      </c>
      <c r="H672" s="4">
        <f t="shared" si="62"/>
        <v>2015</v>
      </c>
      <c r="I672" s="10" t="s">
        <v>157</v>
      </c>
      <c r="J672" s="8" t="s">
        <v>19</v>
      </c>
      <c r="K672" s="8" t="s">
        <v>124</v>
      </c>
      <c r="L672" s="8">
        <v>-1</v>
      </c>
      <c r="M672" s="8" t="s">
        <v>19</v>
      </c>
      <c r="N672" s="8">
        <v>116</v>
      </c>
      <c r="O672" s="8">
        <v>122</v>
      </c>
      <c r="P672" s="8" t="str">
        <f t="shared" si="65"/>
        <v>NO</v>
      </c>
      <c r="Q672" s="8">
        <f t="shared" si="63"/>
        <v>-5</v>
      </c>
      <c r="R672" s="7">
        <f t="shared" si="64"/>
        <v>0</v>
      </c>
    </row>
    <row r="673" spans="1:18" ht="15" customHeight="1" x14ac:dyDescent="0.25">
      <c r="A673" s="7">
        <v>672</v>
      </c>
      <c r="B673" s="8" t="s">
        <v>151</v>
      </c>
      <c r="C673" s="8">
        <v>2015</v>
      </c>
      <c r="D673" s="8">
        <v>2016</v>
      </c>
      <c r="E673" s="3">
        <v>42331</v>
      </c>
      <c r="F673" s="4">
        <f t="shared" si="60"/>
        <v>11</v>
      </c>
      <c r="G673" s="4">
        <f t="shared" si="61"/>
        <v>23</v>
      </c>
      <c r="H673" s="4">
        <f t="shared" si="62"/>
        <v>2015</v>
      </c>
      <c r="I673" s="10" t="s">
        <v>157</v>
      </c>
      <c r="J673" s="8" t="s">
        <v>21</v>
      </c>
      <c r="K673" s="8" t="s">
        <v>8</v>
      </c>
      <c r="L673" s="8">
        <v>-5</v>
      </c>
      <c r="M673" s="8" t="s">
        <v>21</v>
      </c>
      <c r="N673" s="8">
        <v>122</v>
      </c>
      <c r="O673" s="8">
        <v>127</v>
      </c>
      <c r="P673" s="8" t="str">
        <f t="shared" si="65"/>
        <v>N/A</v>
      </c>
      <c r="Q673" s="8">
        <f t="shared" si="63"/>
        <v>0</v>
      </c>
      <c r="R673" s="7" t="str">
        <f t="shared" si="64"/>
        <v>na</v>
      </c>
    </row>
    <row r="674" spans="1:18" ht="15" customHeight="1" x14ac:dyDescent="0.25">
      <c r="A674" s="7">
        <v>673</v>
      </c>
      <c r="B674" s="8" t="s">
        <v>151</v>
      </c>
      <c r="C674" s="8">
        <v>2015</v>
      </c>
      <c r="D674" s="8">
        <v>2016</v>
      </c>
      <c r="E674" s="3">
        <v>42332</v>
      </c>
      <c r="F674" s="4">
        <f t="shared" si="60"/>
        <v>11</v>
      </c>
      <c r="G674" s="4">
        <f t="shared" si="61"/>
        <v>24</v>
      </c>
      <c r="H674" s="4">
        <f t="shared" si="62"/>
        <v>2015</v>
      </c>
      <c r="I674" s="10" t="s">
        <v>157</v>
      </c>
      <c r="J674" s="8" t="s">
        <v>16</v>
      </c>
      <c r="K674" s="8" t="s">
        <v>9</v>
      </c>
      <c r="L674" s="8">
        <v>-3</v>
      </c>
      <c r="M674" s="8" t="s">
        <v>16</v>
      </c>
      <c r="N674" s="8">
        <v>96</v>
      </c>
      <c r="O674" s="8">
        <v>110</v>
      </c>
      <c r="P674" s="8" t="str">
        <f t="shared" si="65"/>
        <v>MEM</v>
      </c>
      <c r="Q674" s="8">
        <f t="shared" si="63"/>
        <v>-11</v>
      </c>
      <c r="R674" s="7">
        <f t="shared" si="64"/>
        <v>0</v>
      </c>
    </row>
    <row r="675" spans="1:18" ht="15" customHeight="1" x14ac:dyDescent="0.25">
      <c r="A675" s="7">
        <v>674</v>
      </c>
      <c r="B675" s="8" t="s">
        <v>151</v>
      </c>
      <c r="C675" s="8">
        <v>2015</v>
      </c>
      <c r="D675" s="8">
        <v>2016</v>
      </c>
      <c r="E675" s="3">
        <v>42333</v>
      </c>
      <c r="F675" s="4">
        <f t="shared" si="60"/>
        <v>11</v>
      </c>
      <c r="G675" s="4">
        <f t="shared" si="61"/>
        <v>25</v>
      </c>
      <c r="H675" s="4">
        <f t="shared" si="62"/>
        <v>2015</v>
      </c>
      <c r="I675" s="10" t="s">
        <v>157</v>
      </c>
      <c r="J675" s="8" t="s">
        <v>137</v>
      </c>
      <c r="K675" s="8" t="s">
        <v>14</v>
      </c>
      <c r="L675" s="8">
        <v>-4.5</v>
      </c>
      <c r="M675" s="8" t="s">
        <v>137</v>
      </c>
      <c r="N675" s="8">
        <v>102</v>
      </c>
      <c r="O675" s="8">
        <v>91</v>
      </c>
      <c r="P675" s="8" t="str">
        <f t="shared" si="65"/>
        <v>UTAH</v>
      </c>
      <c r="Q675" s="8">
        <f t="shared" si="63"/>
        <v>15.5</v>
      </c>
      <c r="R675" s="7">
        <f t="shared" si="64"/>
        <v>1</v>
      </c>
    </row>
    <row r="676" spans="1:18" ht="15" customHeight="1" x14ac:dyDescent="0.25">
      <c r="A676" s="7">
        <v>675</v>
      </c>
      <c r="B676" s="8" t="s">
        <v>151</v>
      </c>
      <c r="C676" s="8">
        <v>2015</v>
      </c>
      <c r="D676" s="8">
        <v>2016</v>
      </c>
      <c r="E676" s="3">
        <v>42335</v>
      </c>
      <c r="F676" s="4">
        <f t="shared" si="60"/>
        <v>11</v>
      </c>
      <c r="G676" s="4">
        <f t="shared" si="61"/>
        <v>27</v>
      </c>
      <c r="H676" s="4">
        <f t="shared" si="62"/>
        <v>2015</v>
      </c>
      <c r="I676" s="10" t="s">
        <v>157</v>
      </c>
      <c r="J676" s="8" t="s">
        <v>15</v>
      </c>
      <c r="K676" s="8" t="s">
        <v>126</v>
      </c>
      <c r="L676" s="8">
        <v>1.5</v>
      </c>
      <c r="M676" s="8" t="s">
        <v>126</v>
      </c>
      <c r="N676" s="8">
        <v>97</v>
      </c>
      <c r="O676" s="8">
        <v>78</v>
      </c>
      <c r="P676" s="8" t="str">
        <f t="shared" si="65"/>
        <v>MIA</v>
      </c>
      <c r="Q676" s="8">
        <f t="shared" si="63"/>
        <v>-17.5</v>
      </c>
      <c r="R676" s="7">
        <f t="shared" si="64"/>
        <v>0</v>
      </c>
    </row>
    <row r="677" spans="1:18" ht="15" customHeight="1" x14ac:dyDescent="0.25">
      <c r="A677" s="7">
        <v>676</v>
      </c>
      <c r="B677" s="8" t="s">
        <v>151</v>
      </c>
      <c r="C677" s="8">
        <v>2015</v>
      </c>
      <c r="D677" s="8">
        <v>2016</v>
      </c>
      <c r="E677" s="3">
        <v>42336</v>
      </c>
      <c r="F677" s="4">
        <f t="shared" si="60"/>
        <v>11</v>
      </c>
      <c r="G677" s="4">
        <f t="shared" si="61"/>
        <v>28</v>
      </c>
      <c r="H677" s="4">
        <f t="shared" si="62"/>
        <v>2015</v>
      </c>
      <c r="I677" s="10" t="s">
        <v>157</v>
      </c>
      <c r="J677" s="8" t="s">
        <v>124</v>
      </c>
      <c r="K677" s="8" t="s">
        <v>137</v>
      </c>
      <c r="L677" s="8">
        <v>-6</v>
      </c>
      <c r="M677" s="8" t="s">
        <v>137</v>
      </c>
      <c r="N677" s="8">
        <v>87</v>
      </c>
      <c r="O677" s="8">
        <v>101</v>
      </c>
      <c r="P677" s="8" t="str">
        <f t="shared" si="65"/>
        <v>UTAH</v>
      </c>
      <c r="Q677" s="8">
        <f t="shared" si="63"/>
        <v>8</v>
      </c>
      <c r="R677" s="7">
        <f t="shared" si="64"/>
        <v>1</v>
      </c>
    </row>
    <row r="678" spans="1:18" ht="15" customHeight="1" x14ac:dyDescent="0.25">
      <c r="A678" s="7">
        <v>677</v>
      </c>
      <c r="B678" s="8" t="s">
        <v>151</v>
      </c>
      <c r="C678" s="8">
        <v>2015</v>
      </c>
      <c r="D678" s="8">
        <v>2016</v>
      </c>
      <c r="E678" s="3">
        <v>42337</v>
      </c>
      <c r="F678" s="4">
        <f t="shared" si="60"/>
        <v>11</v>
      </c>
      <c r="G678" s="4">
        <f t="shared" si="61"/>
        <v>29</v>
      </c>
      <c r="H678" s="4">
        <f t="shared" si="62"/>
        <v>2015</v>
      </c>
      <c r="I678" s="10" t="s">
        <v>157</v>
      </c>
      <c r="J678" s="8" t="s">
        <v>4</v>
      </c>
      <c r="K678" s="8" t="s">
        <v>126</v>
      </c>
      <c r="L678" s="8">
        <v>1.5</v>
      </c>
      <c r="M678" s="8" t="s">
        <v>126</v>
      </c>
      <c r="N678" s="8">
        <v>116</v>
      </c>
      <c r="O678" s="8">
        <v>111</v>
      </c>
      <c r="P678" s="8" t="str">
        <f t="shared" si="65"/>
        <v>HOU</v>
      </c>
      <c r="Q678" s="8">
        <f t="shared" si="63"/>
        <v>-3.5</v>
      </c>
      <c r="R678" s="7">
        <f t="shared" si="64"/>
        <v>0</v>
      </c>
    </row>
    <row r="679" spans="1:18" ht="15" customHeight="1" x14ac:dyDescent="0.25">
      <c r="A679" s="7">
        <v>678</v>
      </c>
      <c r="B679" s="8" t="s">
        <v>151</v>
      </c>
      <c r="C679" s="8">
        <v>2015</v>
      </c>
      <c r="D679" s="8">
        <v>2016</v>
      </c>
      <c r="E679" s="3">
        <v>42338</v>
      </c>
      <c r="F679" s="4">
        <f t="shared" si="60"/>
        <v>11</v>
      </c>
      <c r="G679" s="4">
        <f t="shared" si="61"/>
        <v>30</v>
      </c>
      <c r="H679" s="4">
        <f t="shared" si="62"/>
        <v>2015</v>
      </c>
      <c r="I679" s="10" t="s">
        <v>157</v>
      </c>
      <c r="J679" s="8" t="s">
        <v>23</v>
      </c>
      <c r="K679" s="8" t="s">
        <v>10</v>
      </c>
      <c r="L679" s="8">
        <v>-3</v>
      </c>
      <c r="M679" s="8" t="s">
        <v>10</v>
      </c>
      <c r="N679" s="8">
        <v>74</v>
      </c>
      <c r="O679" s="8">
        <v>92</v>
      </c>
      <c r="P679" s="8" t="str">
        <f t="shared" si="65"/>
        <v>MIL</v>
      </c>
      <c r="Q679" s="8">
        <f t="shared" si="63"/>
        <v>15</v>
      </c>
      <c r="R679" s="7">
        <f t="shared" si="64"/>
        <v>1</v>
      </c>
    </row>
    <row r="680" spans="1:18" ht="15" customHeight="1" x14ac:dyDescent="0.25">
      <c r="A680" s="7">
        <v>679</v>
      </c>
      <c r="B680" s="8" t="s">
        <v>151</v>
      </c>
      <c r="C680" s="8">
        <v>2015</v>
      </c>
      <c r="D680" s="8">
        <v>2016</v>
      </c>
      <c r="E680" s="3">
        <v>42339</v>
      </c>
      <c r="F680" s="4">
        <f t="shared" si="60"/>
        <v>12</v>
      </c>
      <c r="G680" s="4">
        <f t="shared" si="61"/>
        <v>1</v>
      </c>
      <c r="H680" s="4">
        <f t="shared" si="62"/>
        <v>2015</v>
      </c>
      <c r="I680" s="10" t="s">
        <v>157</v>
      </c>
      <c r="J680" s="8" t="s">
        <v>16</v>
      </c>
      <c r="K680" s="8" t="s">
        <v>1</v>
      </c>
      <c r="L680" s="8">
        <v>-1.5</v>
      </c>
      <c r="M680" s="8" t="s">
        <v>16</v>
      </c>
      <c r="N680" s="8">
        <v>115</v>
      </c>
      <c r="O680" s="8">
        <v>112</v>
      </c>
      <c r="P680" s="8" t="str">
        <f t="shared" si="65"/>
        <v>DAL</v>
      </c>
      <c r="Q680" s="8">
        <f t="shared" si="63"/>
        <v>4.5</v>
      </c>
      <c r="R680" s="7">
        <f t="shared" si="64"/>
        <v>1</v>
      </c>
    </row>
    <row r="681" spans="1:18" ht="15" customHeight="1" x14ac:dyDescent="0.25">
      <c r="A681" s="7">
        <v>680</v>
      </c>
      <c r="B681" s="8" t="s">
        <v>151</v>
      </c>
      <c r="C681" s="8">
        <v>2015</v>
      </c>
      <c r="D681" s="8">
        <v>2016</v>
      </c>
      <c r="E681" s="3">
        <v>42340</v>
      </c>
      <c r="F681" s="4">
        <f t="shared" si="60"/>
        <v>12</v>
      </c>
      <c r="G681" s="4">
        <f t="shared" si="61"/>
        <v>2</v>
      </c>
      <c r="H681" s="4">
        <f t="shared" si="62"/>
        <v>2015</v>
      </c>
      <c r="I681" s="10" t="s">
        <v>157</v>
      </c>
      <c r="J681" s="8" t="s">
        <v>2</v>
      </c>
      <c r="K681" s="8" t="s">
        <v>5</v>
      </c>
      <c r="L681" s="8">
        <v>-3</v>
      </c>
      <c r="M681" s="8" t="s">
        <v>2</v>
      </c>
      <c r="N681" s="8">
        <v>96</v>
      </c>
      <c r="O681" s="8">
        <v>86</v>
      </c>
      <c r="P681" s="8" t="str">
        <f t="shared" si="65"/>
        <v>TOR</v>
      </c>
      <c r="Q681" s="8">
        <f t="shared" si="63"/>
        <v>13</v>
      </c>
      <c r="R681" s="7">
        <f t="shared" si="64"/>
        <v>1</v>
      </c>
    </row>
    <row r="682" spans="1:18" ht="15" customHeight="1" x14ac:dyDescent="0.25">
      <c r="A682" s="7">
        <v>681</v>
      </c>
      <c r="B682" s="8" t="s">
        <v>151</v>
      </c>
      <c r="C682" s="8">
        <v>2015</v>
      </c>
      <c r="D682" s="8">
        <v>2016</v>
      </c>
      <c r="E682" s="3">
        <v>42341</v>
      </c>
      <c r="F682" s="4">
        <f t="shared" si="60"/>
        <v>12</v>
      </c>
      <c r="G682" s="4">
        <f t="shared" si="61"/>
        <v>3</v>
      </c>
      <c r="H682" s="4">
        <f t="shared" si="62"/>
        <v>2015</v>
      </c>
      <c r="I682" s="10" t="s">
        <v>157</v>
      </c>
      <c r="J682" s="8" t="s">
        <v>23</v>
      </c>
      <c r="K682" s="8" t="s">
        <v>2</v>
      </c>
      <c r="L682" s="8">
        <v>-10</v>
      </c>
      <c r="M682" s="8" t="s">
        <v>23</v>
      </c>
      <c r="N682" s="8">
        <v>106</v>
      </c>
      <c r="O682" s="8">
        <v>105</v>
      </c>
      <c r="P682" s="8" t="str">
        <f t="shared" si="65"/>
        <v>DEN</v>
      </c>
      <c r="Q682" s="8">
        <f t="shared" si="63"/>
        <v>11</v>
      </c>
      <c r="R682" s="7">
        <f t="shared" si="64"/>
        <v>1</v>
      </c>
    </row>
    <row r="683" spans="1:18" ht="15" customHeight="1" x14ac:dyDescent="0.25">
      <c r="A683" s="7">
        <v>682</v>
      </c>
      <c r="B683" s="8" t="s">
        <v>151</v>
      </c>
      <c r="C683" s="8">
        <v>2015</v>
      </c>
      <c r="D683" s="8">
        <v>2016</v>
      </c>
      <c r="E683" s="3">
        <v>42342</v>
      </c>
      <c r="F683" s="4">
        <f t="shared" si="60"/>
        <v>12</v>
      </c>
      <c r="G683" s="4">
        <f t="shared" si="61"/>
        <v>4</v>
      </c>
      <c r="H683" s="4">
        <f t="shared" si="62"/>
        <v>2015</v>
      </c>
      <c r="I683" s="10" t="s">
        <v>157</v>
      </c>
      <c r="J683" s="8" t="s">
        <v>22</v>
      </c>
      <c r="K683" s="8" t="s">
        <v>126</v>
      </c>
      <c r="L683" s="8">
        <v>-3.5</v>
      </c>
      <c r="M683" s="8" t="s">
        <v>22</v>
      </c>
      <c r="N683" s="8">
        <v>91</v>
      </c>
      <c r="O683" s="8">
        <v>108</v>
      </c>
      <c r="P683" s="8" t="str">
        <f t="shared" si="65"/>
        <v>NY</v>
      </c>
      <c r="Q683" s="8">
        <f t="shared" si="63"/>
        <v>-13.5</v>
      </c>
      <c r="R683" s="7">
        <f t="shared" si="64"/>
        <v>0</v>
      </c>
    </row>
    <row r="684" spans="1:18" ht="15" customHeight="1" x14ac:dyDescent="0.25">
      <c r="A684" s="7">
        <v>683</v>
      </c>
      <c r="B684" s="8" t="s">
        <v>151</v>
      </c>
      <c r="C684" s="8">
        <v>2015</v>
      </c>
      <c r="D684" s="8">
        <v>2016</v>
      </c>
      <c r="E684" s="3">
        <v>42343</v>
      </c>
      <c r="F684" s="4">
        <f t="shared" si="60"/>
        <v>12</v>
      </c>
      <c r="G684" s="4">
        <f t="shared" si="61"/>
        <v>5</v>
      </c>
      <c r="H684" s="4">
        <f t="shared" si="62"/>
        <v>2015</v>
      </c>
      <c r="I684" s="10" t="s">
        <v>157</v>
      </c>
      <c r="J684" s="8" t="s">
        <v>21</v>
      </c>
      <c r="K684" s="8" t="s">
        <v>4</v>
      </c>
      <c r="L684" s="8">
        <v>-2.5</v>
      </c>
      <c r="M684" s="8" t="s">
        <v>21</v>
      </c>
      <c r="N684" s="8">
        <v>113</v>
      </c>
      <c r="O684" s="8">
        <v>120</v>
      </c>
      <c r="P684" s="8" t="str">
        <f t="shared" si="65"/>
        <v>HOU</v>
      </c>
      <c r="Q684" s="8">
        <f t="shared" si="63"/>
        <v>-4.5</v>
      </c>
      <c r="R684" s="7">
        <f t="shared" si="64"/>
        <v>0</v>
      </c>
    </row>
    <row r="685" spans="1:18" ht="15" customHeight="1" x14ac:dyDescent="0.25">
      <c r="A685" s="7">
        <v>684</v>
      </c>
      <c r="B685" s="8" t="s">
        <v>151</v>
      </c>
      <c r="C685" s="8">
        <v>2015</v>
      </c>
      <c r="D685" s="8">
        <v>2016</v>
      </c>
      <c r="E685" s="3">
        <v>42344</v>
      </c>
      <c r="F685" s="4">
        <f t="shared" si="60"/>
        <v>12</v>
      </c>
      <c r="G685" s="4">
        <f t="shared" si="61"/>
        <v>6</v>
      </c>
      <c r="H685" s="4">
        <f t="shared" si="62"/>
        <v>2015</v>
      </c>
      <c r="I685" s="10" t="s">
        <v>157</v>
      </c>
      <c r="J685" s="8" t="s">
        <v>18</v>
      </c>
      <c r="K685" s="8" t="s">
        <v>7</v>
      </c>
      <c r="L685" s="8">
        <v>-9</v>
      </c>
      <c r="M685" s="8" t="s">
        <v>7</v>
      </c>
      <c r="N685" s="8">
        <v>91</v>
      </c>
      <c r="O685" s="8">
        <v>1111</v>
      </c>
      <c r="P685" s="8" t="str">
        <f t="shared" si="65"/>
        <v>DET</v>
      </c>
      <c r="Q685" s="8">
        <f t="shared" si="63"/>
        <v>1011</v>
      </c>
      <c r="R685" s="7">
        <f t="shared" si="64"/>
        <v>1</v>
      </c>
    </row>
    <row r="686" spans="1:18" ht="15" customHeight="1" x14ac:dyDescent="0.25">
      <c r="A686" s="7">
        <v>685</v>
      </c>
      <c r="B686" s="8" t="s">
        <v>151</v>
      </c>
      <c r="C686" s="8">
        <v>2015</v>
      </c>
      <c r="D686" s="8">
        <v>2016</v>
      </c>
      <c r="E686" s="3">
        <v>42345</v>
      </c>
      <c r="F686" s="4">
        <f t="shared" si="60"/>
        <v>12</v>
      </c>
      <c r="G686" s="4">
        <f t="shared" si="61"/>
        <v>7</v>
      </c>
      <c r="H686" s="4">
        <f t="shared" si="62"/>
        <v>2015</v>
      </c>
      <c r="I686" s="10" t="s">
        <v>157</v>
      </c>
      <c r="J686" s="8" t="s">
        <v>14</v>
      </c>
      <c r="K686" s="8" t="s">
        <v>3</v>
      </c>
      <c r="L686" s="8">
        <v>1</v>
      </c>
      <c r="M686" s="8" t="s">
        <v>3</v>
      </c>
      <c r="N686" s="8">
        <v>110</v>
      </c>
      <c r="O686" s="8">
        <v>106</v>
      </c>
      <c r="P686" s="8" t="str">
        <f t="shared" si="65"/>
        <v>LAC</v>
      </c>
      <c r="Q686" s="8">
        <f t="shared" si="63"/>
        <v>-3</v>
      </c>
      <c r="R686" s="7">
        <f t="shared" si="64"/>
        <v>0</v>
      </c>
    </row>
    <row r="687" spans="1:18" ht="15" customHeight="1" x14ac:dyDescent="0.25">
      <c r="A687" s="7">
        <v>686</v>
      </c>
      <c r="B687" s="8" t="s">
        <v>151</v>
      </c>
      <c r="C687" s="8">
        <v>2015</v>
      </c>
      <c r="D687" s="8">
        <v>2016</v>
      </c>
      <c r="E687" s="3">
        <v>42346</v>
      </c>
      <c r="F687" s="4">
        <f t="shared" si="60"/>
        <v>12</v>
      </c>
      <c r="G687" s="4">
        <f t="shared" si="61"/>
        <v>8</v>
      </c>
      <c r="H687" s="4">
        <f t="shared" si="62"/>
        <v>2015</v>
      </c>
      <c r="I687" s="10" t="s">
        <v>157</v>
      </c>
      <c r="J687" s="8" t="s">
        <v>11</v>
      </c>
      <c r="K687" s="8" t="s">
        <v>23</v>
      </c>
      <c r="L687" s="8">
        <v>2.5</v>
      </c>
      <c r="M687" s="8" t="s">
        <v>11</v>
      </c>
      <c r="N687" s="8">
        <v>85</v>
      </c>
      <c r="O687" s="8">
        <v>74</v>
      </c>
      <c r="P687" s="8" t="str">
        <f t="shared" si="65"/>
        <v>ORL</v>
      </c>
      <c r="Q687" s="8">
        <f t="shared" si="63"/>
        <v>8.5</v>
      </c>
      <c r="R687" s="7">
        <f t="shared" si="64"/>
        <v>1</v>
      </c>
    </row>
    <row r="688" spans="1:18" ht="15" customHeight="1" x14ac:dyDescent="0.25">
      <c r="A688" s="7">
        <v>687</v>
      </c>
      <c r="B688" s="8" t="s">
        <v>151</v>
      </c>
      <c r="C688" s="8">
        <v>2015</v>
      </c>
      <c r="D688" s="8">
        <v>2016</v>
      </c>
      <c r="E688" s="3">
        <v>42347</v>
      </c>
      <c r="F688" s="4">
        <f t="shared" si="60"/>
        <v>12</v>
      </c>
      <c r="G688" s="4">
        <f t="shared" si="61"/>
        <v>9</v>
      </c>
      <c r="H688" s="4">
        <f t="shared" si="62"/>
        <v>2015</v>
      </c>
      <c r="I688" s="10" t="s">
        <v>157</v>
      </c>
      <c r="J688" s="8" t="s">
        <v>15</v>
      </c>
      <c r="K688" s="8" t="s">
        <v>8</v>
      </c>
      <c r="L688" s="8">
        <v>1</v>
      </c>
      <c r="M688" s="8" t="s">
        <v>8</v>
      </c>
      <c r="N688" s="8">
        <v>81</v>
      </c>
      <c r="O688" s="8">
        <v>99</v>
      </c>
      <c r="P688" s="8" t="str">
        <f t="shared" si="65"/>
        <v>CHA</v>
      </c>
      <c r="Q688" s="8">
        <f t="shared" si="63"/>
        <v>19</v>
      </c>
      <c r="R688" s="7">
        <f t="shared" si="64"/>
        <v>1</v>
      </c>
    </row>
    <row r="689" spans="1:18" ht="15" customHeight="1" x14ac:dyDescent="0.25">
      <c r="A689" s="7">
        <v>688</v>
      </c>
      <c r="B689" s="8" t="s">
        <v>151</v>
      </c>
      <c r="C689" s="8">
        <v>2015</v>
      </c>
      <c r="D689" s="8">
        <v>2016</v>
      </c>
      <c r="E689" s="3">
        <v>42348</v>
      </c>
      <c r="F689" s="4">
        <f t="shared" si="60"/>
        <v>12</v>
      </c>
      <c r="G689" s="4">
        <f t="shared" si="61"/>
        <v>10</v>
      </c>
      <c r="H689" s="4">
        <f t="shared" si="62"/>
        <v>2015</v>
      </c>
      <c r="I689" s="10" t="s">
        <v>157</v>
      </c>
      <c r="J689" s="8" t="s">
        <v>5</v>
      </c>
      <c r="K689" s="8" t="s">
        <v>12</v>
      </c>
      <c r="L689" s="8">
        <v>-7.5</v>
      </c>
      <c r="M689" s="8" t="s">
        <v>5</v>
      </c>
      <c r="N689" s="8">
        <v>94</v>
      </c>
      <c r="O689" s="8">
        <v>107</v>
      </c>
      <c r="P689" s="8" t="str">
        <f t="shared" si="65"/>
        <v>OKC</v>
      </c>
      <c r="Q689" s="8">
        <f t="shared" si="63"/>
        <v>-5.5</v>
      </c>
      <c r="R689" s="7">
        <f t="shared" si="64"/>
        <v>0</v>
      </c>
    </row>
    <row r="690" spans="1:18" ht="15" customHeight="1" x14ac:dyDescent="0.25">
      <c r="A690" s="7">
        <v>689</v>
      </c>
      <c r="B690" s="8" t="s">
        <v>151</v>
      </c>
      <c r="C690" s="8">
        <v>2015</v>
      </c>
      <c r="D690" s="8">
        <v>2016</v>
      </c>
      <c r="E690" s="3">
        <v>42349</v>
      </c>
      <c r="F690" s="4">
        <f t="shared" si="60"/>
        <v>12</v>
      </c>
      <c r="G690" s="4">
        <f t="shared" si="61"/>
        <v>11</v>
      </c>
      <c r="H690" s="4">
        <f t="shared" si="62"/>
        <v>2015</v>
      </c>
      <c r="I690" s="10" t="s">
        <v>157</v>
      </c>
      <c r="J690" s="8" t="s">
        <v>10</v>
      </c>
      <c r="K690" s="8" t="s">
        <v>2</v>
      </c>
      <c r="L690" s="8">
        <v>-7.5</v>
      </c>
      <c r="M690" s="8" t="s">
        <v>2</v>
      </c>
      <c r="N690" s="8">
        <v>83</v>
      </c>
      <c r="O690" s="8">
        <v>90</v>
      </c>
      <c r="P690" s="8" t="str">
        <f t="shared" si="65"/>
        <v>MIL</v>
      </c>
      <c r="Q690" s="8">
        <f t="shared" si="63"/>
        <v>-0.5</v>
      </c>
      <c r="R690" s="7">
        <f t="shared" si="64"/>
        <v>0</v>
      </c>
    </row>
    <row r="691" spans="1:18" ht="15" customHeight="1" x14ac:dyDescent="0.25">
      <c r="A691" s="7">
        <v>690</v>
      </c>
      <c r="B691" s="8" t="s">
        <v>151</v>
      </c>
      <c r="C691" s="8">
        <v>2015</v>
      </c>
      <c r="D691" s="8">
        <v>2016</v>
      </c>
      <c r="E691" s="3">
        <v>42350</v>
      </c>
      <c r="F691" s="4">
        <f t="shared" si="60"/>
        <v>12</v>
      </c>
      <c r="G691" s="4">
        <f t="shared" si="61"/>
        <v>12</v>
      </c>
      <c r="H691" s="4">
        <f t="shared" si="62"/>
        <v>2015</v>
      </c>
      <c r="I691" s="10" t="s">
        <v>157</v>
      </c>
      <c r="J691" s="8" t="s">
        <v>13</v>
      </c>
      <c r="K691" s="8" t="s">
        <v>7</v>
      </c>
      <c r="L691" s="8">
        <v>-1</v>
      </c>
      <c r="M691" s="8" t="s">
        <v>13</v>
      </c>
      <c r="N691" s="8">
        <v>96</v>
      </c>
      <c r="O691" s="8">
        <v>118</v>
      </c>
      <c r="P691" s="8" t="str">
        <f t="shared" si="65"/>
        <v>DET</v>
      </c>
      <c r="Q691" s="8">
        <f t="shared" si="63"/>
        <v>-21</v>
      </c>
      <c r="R691" s="7">
        <f t="shared" si="64"/>
        <v>0</v>
      </c>
    </row>
    <row r="692" spans="1:18" ht="15" customHeight="1" x14ac:dyDescent="0.25">
      <c r="A692" s="7">
        <v>691</v>
      </c>
      <c r="B692" s="8" t="s">
        <v>151</v>
      </c>
      <c r="C692" s="8">
        <v>2015</v>
      </c>
      <c r="D692" s="8">
        <v>2016</v>
      </c>
      <c r="E692" s="3">
        <v>42351</v>
      </c>
      <c r="F692" s="4">
        <f t="shared" si="60"/>
        <v>12</v>
      </c>
      <c r="G692" s="4">
        <f t="shared" si="61"/>
        <v>13</v>
      </c>
      <c r="H692" s="4">
        <f t="shared" si="62"/>
        <v>2015</v>
      </c>
      <c r="I692" s="10" t="s">
        <v>157</v>
      </c>
      <c r="J692" s="8" t="s">
        <v>3</v>
      </c>
      <c r="K692" s="8" t="s">
        <v>19</v>
      </c>
      <c r="L692" s="8">
        <v>-5</v>
      </c>
      <c r="M692" s="8" t="s">
        <v>19</v>
      </c>
      <c r="N692" s="8">
        <v>101</v>
      </c>
      <c r="O692" s="8">
        <v>108</v>
      </c>
      <c r="P692" s="8" t="str">
        <f t="shared" si="65"/>
        <v>PHX</v>
      </c>
      <c r="Q692" s="8">
        <f t="shared" si="63"/>
        <v>2</v>
      </c>
      <c r="R692" s="7">
        <f t="shared" si="64"/>
        <v>1</v>
      </c>
    </row>
    <row r="693" spans="1:18" ht="15" customHeight="1" x14ac:dyDescent="0.25">
      <c r="A693" s="7">
        <v>692</v>
      </c>
      <c r="B693" s="8" t="s">
        <v>151</v>
      </c>
      <c r="C693" s="8">
        <v>2015</v>
      </c>
      <c r="D693" s="8">
        <v>2016</v>
      </c>
      <c r="E693" s="3">
        <v>42352</v>
      </c>
      <c r="F693" s="4">
        <f t="shared" si="60"/>
        <v>12</v>
      </c>
      <c r="G693" s="4">
        <f t="shared" si="61"/>
        <v>14</v>
      </c>
      <c r="H693" s="4">
        <f t="shared" si="62"/>
        <v>2015</v>
      </c>
      <c r="I693" s="10" t="s">
        <v>157</v>
      </c>
      <c r="J693" s="8" t="s">
        <v>19</v>
      </c>
      <c r="K693" s="8" t="s">
        <v>16</v>
      </c>
      <c r="L693" s="8">
        <v>-4</v>
      </c>
      <c r="M693" s="8" t="s">
        <v>16</v>
      </c>
      <c r="N693" s="8">
        <v>94</v>
      </c>
      <c r="O693" s="8">
        <v>104</v>
      </c>
      <c r="P693" s="8" t="str">
        <f t="shared" si="65"/>
        <v>DAL</v>
      </c>
      <c r="Q693" s="8">
        <f t="shared" si="63"/>
        <v>6</v>
      </c>
      <c r="R693" s="7">
        <f t="shared" si="64"/>
        <v>1</v>
      </c>
    </row>
    <row r="694" spans="1:18" ht="15" customHeight="1" x14ac:dyDescent="0.25">
      <c r="A694" s="7">
        <v>693</v>
      </c>
      <c r="B694" s="8" t="s">
        <v>151</v>
      </c>
      <c r="C694" s="8">
        <v>2015</v>
      </c>
      <c r="D694" s="8">
        <v>2016</v>
      </c>
      <c r="E694" s="3">
        <v>42353</v>
      </c>
      <c r="F694" s="4">
        <f t="shared" si="60"/>
        <v>12</v>
      </c>
      <c r="G694" s="4">
        <f t="shared" si="61"/>
        <v>15</v>
      </c>
      <c r="H694" s="4">
        <f t="shared" si="62"/>
        <v>2015</v>
      </c>
      <c r="I694" s="10" t="s">
        <v>157</v>
      </c>
      <c r="J694" s="8" t="s">
        <v>10</v>
      </c>
      <c r="K694" s="8" t="s">
        <v>18</v>
      </c>
      <c r="L694" s="8">
        <v>4</v>
      </c>
      <c r="M694" s="8" t="s">
        <v>18</v>
      </c>
      <c r="N694" s="8">
        <v>95</v>
      </c>
      <c r="O694" s="8">
        <v>113</v>
      </c>
      <c r="P694" s="8" t="str">
        <f t="shared" si="65"/>
        <v>LAL</v>
      </c>
      <c r="Q694" s="8">
        <f t="shared" si="63"/>
        <v>22</v>
      </c>
      <c r="R694" s="7">
        <f t="shared" si="64"/>
        <v>1</v>
      </c>
    </row>
    <row r="695" spans="1:18" ht="15" customHeight="1" x14ac:dyDescent="0.25">
      <c r="A695" s="7">
        <v>694</v>
      </c>
      <c r="B695" s="8" t="s">
        <v>151</v>
      </c>
      <c r="C695" s="8">
        <v>2015</v>
      </c>
      <c r="D695" s="8">
        <v>2016</v>
      </c>
      <c r="E695" s="3">
        <v>42354</v>
      </c>
      <c r="F695" s="4">
        <f t="shared" si="60"/>
        <v>12</v>
      </c>
      <c r="G695" s="4">
        <f t="shared" si="61"/>
        <v>16</v>
      </c>
      <c r="H695" s="4">
        <f t="shared" si="62"/>
        <v>2015</v>
      </c>
      <c r="I695" s="10" t="s">
        <v>157</v>
      </c>
      <c r="J695" s="8" t="s">
        <v>124</v>
      </c>
      <c r="K695" s="8" t="s">
        <v>137</v>
      </c>
      <c r="L695" s="8">
        <v>-4</v>
      </c>
      <c r="M695" s="8" t="s">
        <v>124</v>
      </c>
      <c r="N695" s="8">
        <v>104</v>
      </c>
      <c r="O695" s="8">
        <v>94</v>
      </c>
      <c r="P695" s="8" t="str">
        <f t="shared" si="65"/>
        <v>NO</v>
      </c>
      <c r="Q695" s="8">
        <f t="shared" si="63"/>
        <v>14</v>
      </c>
      <c r="R695" s="7">
        <f t="shared" si="64"/>
        <v>1</v>
      </c>
    </row>
    <row r="696" spans="1:18" ht="15" customHeight="1" x14ac:dyDescent="0.25">
      <c r="A696" s="7">
        <v>695</v>
      </c>
      <c r="B696" s="8" t="s">
        <v>151</v>
      </c>
      <c r="C696" s="8">
        <v>2015</v>
      </c>
      <c r="D696" s="8">
        <v>2016</v>
      </c>
      <c r="E696" s="3">
        <v>42355</v>
      </c>
      <c r="F696" s="4">
        <f t="shared" si="60"/>
        <v>12</v>
      </c>
      <c r="G696" s="4">
        <f t="shared" si="61"/>
        <v>17</v>
      </c>
      <c r="H696" s="4">
        <f t="shared" si="62"/>
        <v>2015</v>
      </c>
      <c r="I696" s="10" t="s">
        <v>157</v>
      </c>
      <c r="J696" s="8" t="s">
        <v>12</v>
      </c>
      <c r="K696" s="8" t="s">
        <v>6</v>
      </c>
      <c r="L696" s="8">
        <v>-3</v>
      </c>
      <c r="M696" s="8" t="s">
        <v>12</v>
      </c>
      <c r="N696" s="8">
        <v>100</v>
      </c>
      <c r="O696" s="8">
        <v>104</v>
      </c>
      <c r="P696" s="8" t="str">
        <f t="shared" si="65"/>
        <v>CLE</v>
      </c>
      <c r="Q696" s="8">
        <f t="shared" si="63"/>
        <v>-1</v>
      </c>
      <c r="R696" s="7">
        <f t="shared" si="64"/>
        <v>0</v>
      </c>
    </row>
    <row r="697" spans="1:18" ht="15" customHeight="1" x14ac:dyDescent="0.25">
      <c r="A697" s="7">
        <v>696</v>
      </c>
      <c r="B697" s="8" t="s">
        <v>151</v>
      </c>
      <c r="C697" s="8">
        <v>2015</v>
      </c>
      <c r="D697" s="8">
        <v>2016</v>
      </c>
      <c r="E697" s="3">
        <v>42356</v>
      </c>
      <c r="F697" s="4">
        <f t="shared" si="60"/>
        <v>12</v>
      </c>
      <c r="G697" s="4">
        <f t="shared" si="61"/>
        <v>18</v>
      </c>
      <c r="H697" s="4">
        <f t="shared" si="62"/>
        <v>2015</v>
      </c>
      <c r="I697" s="10" t="s">
        <v>157</v>
      </c>
      <c r="J697" s="8" t="s">
        <v>1</v>
      </c>
      <c r="K697" s="8" t="s">
        <v>11</v>
      </c>
      <c r="L697" s="8">
        <v>-5</v>
      </c>
      <c r="M697" s="8" t="s">
        <v>11</v>
      </c>
      <c r="N697" s="8">
        <v>94</v>
      </c>
      <c r="O697" s="8">
        <v>102</v>
      </c>
      <c r="P697" s="8" t="str">
        <f t="shared" si="65"/>
        <v>ORL</v>
      </c>
      <c r="Q697" s="8">
        <f t="shared" si="63"/>
        <v>3</v>
      </c>
      <c r="R697" s="7">
        <f t="shared" si="64"/>
        <v>1</v>
      </c>
    </row>
    <row r="698" spans="1:18" ht="15" customHeight="1" x14ac:dyDescent="0.25">
      <c r="A698" s="7">
        <v>697</v>
      </c>
      <c r="B698" s="8" t="s">
        <v>151</v>
      </c>
      <c r="C698" s="8">
        <v>2015</v>
      </c>
      <c r="D698" s="8">
        <v>2016</v>
      </c>
      <c r="E698" s="3">
        <v>42357</v>
      </c>
      <c r="F698" s="4">
        <f t="shared" si="60"/>
        <v>12</v>
      </c>
      <c r="G698" s="4">
        <f t="shared" si="61"/>
        <v>19</v>
      </c>
      <c r="H698" s="4">
        <f t="shared" si="62"/>
        <v>2015</v>
      </c>
      <c r="I698" s="10" t="s">
        <v>157</v>
      </c>
      <c r="J698" s="8" t="s">
        <v>0</v>
      </c>
      <c r="K698" s="8" t="s">
        <v>126</v>
      </c>
      <c r="L698" s="8">
        <v>1.5</v>
      </c>
      <c r="M698" s="8" t="s">
        <v>126</v>
      </c>
      <c r="N698" s="8">
        <v>91</v>
      </c>
      <c r="O698" s="8">
        <v>107</v>
      </c>
      <c r="P698" s="8" t="str">
        <f t="shared" si="65"/>
        <v>NY</v>
      </c>
      <c r="Q698" s="8">
        <f t="shared" si="63"/>
        <v>17.5</v>
      </c>
      <c r="R698" s="7">
        <f t="shared" si="64"/>
        <v>1</v>
      </c>
    </row>
    <row r="699" spans="1:18" ht="15" customHeight="1" x14ac:dyDescent="0.25">
      <c r="A699" s="7">
        <v>698</v>
      </c>
      <c r="B699" s="8" t="s">
        <v>151</v>
      </c>
      <c r="C699" s="8">
        <v>2015</v>
      </c>
      <c r="D699" s="8">
        <v>2016</v>
      </c>
      <c r="E699" s="3">
        <v>42358</v>
      </c>
      <c r="F699" s="4">
        <f t="shared" si="60"/>
        <v>12</v>
      </c>
      <c r="G699" s="4">
        <f t="shared" si="61"/>
        <v>20</v>
      </c>
      <c r="H699" s="4">
        <f t="shared" si="62"/>
        <v>2015</v>
      </c>
      <c r="I699" s="10" t="s">
        <v>157</v>
      </c>
      <c r="J699" s="8" t="s">
        <v>5</v>
      </c>
      <c r="K699" s="8" t="s">
        <v>11</v>
      </c>
      <c r="L699" s="8">
        <v>-1</v>
      </c>
      <c r="M699" s="8" t="s">
        <v>11</v>
      </c>
      <c r="N699" s="8">
        <v>103</v>
      </c>
      <c r="O699" s="8">
        <v>100</v>
      </c>
      <c r="P699" s="8" t="str">
        <f t="shared" si="65"/>
        <v>ATL</v>
      </c>
      <c r="Q699" s="8">
        <f t="shared" si="63"/>
        <v>-4</v>
      </c>
      <c r="R699" s="7">
        <f t="shared" si="64"/>
        <v>0</v>
      </c>
    </row>
    <row r="700" spans="1:18" ht="15" customHeight="1" x14ac:dyDescent="0.25">
      <c r="A700" s="7">
        <v>699</v>
      </c>
      <c r="B700" s="8" t="s">
        <v>151</v>
      </c>
      <c r="C700" s="8">
        <v>2015</v>
      </c>
      <c r="D700" s="8">
        <v>2016</v>
      </c>
      <c r="E700" s="3">
        <v>42359</v>
      </c>
      <c r="F700" s="4">
        <f t="shared" si="60"/>
        <v>12</v>
      </c>
      <c r="G700" s="4">
        <f t="shared" si="61"/>
        <v>21</v>
      </c>
      <c r="H700" s="4">
        <f t="shared" si="62"/>
        <v>2015</v>
      </c>
      <c r="I700" s="10" t="s">
        <v>157</v>
      </c>
      <c r="J700" s="8" t="s">
        <v>8</v>
      </c>
      <c r="K700" s="8" t="s">
        <v>4</v>
      </c>
      <c r="L700" s="8">
        <v>-3</v>
      </c>
      <c r="M700" s="8" t="s">
        <v>8</v>
      </c>
      <c r="N700" s="8">
        <v>95</v>
      </c>
      <c r="O700" s="8">
        <v>102</v>
      </c>
      <c r="P700" s="8" t="str">
        <f t="shared" si="65"/>
        <v>HOU</v>
      </c>
      <c r="Q700" s="8">
        <f t="shared" si="63"/>
        <v>-4</v>
      </c>
      <c r="R700" s="7">
        <f t="shared" si="64"/>
        <v>0</v>
      </c>
    </row>
    <row r="701" spans="1:18" ht="15" customHeight="1" x14ac:dyDescent="0.25">
      <c r="A701" s="7">
        <v>700</v>
      </c>
      <c r="B701" s="8" t="s">
        <v>151</v>
      </c>
      <c r="C701" s="8">
        <v>2015</v>
      </c>
      <c r="D701" s="8">
        <v>2016</v>
      </c>
      <c r="E701" s="3">
        <v>42360</v>
      </c>
      <c r="F701" s="4">
        <f t="shared" si="60"/>
        <v>12</v>
      </c>
      <c r="G701" s="4">
        <f t="shared" si="61"/>
        <v>22</v>
      </c>
      <c r="H701" s="4">
        <f t="shared" si="62"/>
        <v>2015</v>
      </c>
      <c r="I701" s="10" t="s">
        <v>157</v>
      </c>
      <c r="J701" s="8" t="s">
        <v>18</v>
      </c>
      <c r="K701" s="8" t="s">
        <v>23</v>
      </c>
      <c r="L701" s="8">
        <v>-6</v>
      </c>
      <c r="M701" s="8" t="s">
        <v>23</v>
      </c>
      <c r="N701" s="8">
        <v>111</v>
      </c>
      <c r="O701" s="8">
        <v>107</v>
      </c>
      <c r="P701" s="8" t="str">
        <f t="shared" si="65"/>
        <v>LAL</v>
      </c>
      <c r="Q701" s="8">
        <f t="shared" si="63"/>
        <v>-10</v>
      </c>
      <c r="R701" s="7">
        <f t="shared" si="64"/>
        <v>0</v>
      </c>
    </row>
    <row r="702" spans="1:18" ht="15" customHeight="1" x14ac:dyDescent="0.25">
      <c r="A702" s="7">
        <v>701</v>
      </c>
      <c r="B702" s="8" t="s">
        <v>151</v>
      </c>
      <c r="C702" s="8">
        <v>2015</v>
      </c>
      <c r="D702" s="8">
        <v>2016</v>
      </c>
      <c r="E702" s="3">
        <v>42361</v>
      </c>
      <c r="F702" s="4">
        <f t="shared" si="60"/>
        <v>12</v>
      </c>
      <c r="G702" s="4">
        <f t="shared" si="61"/>
        <v>23</v>
      </c>
      <c r="H702" s="4">
        <f t="shared" si="62"/>
        <v>2015</v>
      </c>
      <c r="I702" s="10" t="s">
        <v>157</v>
      </c>
      <c r="J702" s="8" t="s">
        <v>1</v>
      </c>
      <c r="K702" s="8" t="s">
        <v>124</v>
      </c>
      <c r="L702" s="8">
        <v>-8</v>
      </c>
      <c r="M702" s="8" t="s">
        <v>1</v>
      </c>
      <c r="N702" s="8">
        <v>89</v>
      </c>
      <c r="O702" s="8">
        <v>115</v>
      </c>
      <c r="P702" s="8" t="str">
        <f t="shared" si="65"/>
        <v>NO</v>
      </c>
      <c r="Q702" s="8">
        <f t="shared" si="63"/>
        <v>-18</v>
      </c>
      <c r="R702" s="7">
        <f t="shared" si="64"/>
        <v>0</v>
      </c>
    </row>
    <row r="703" spans="1:18" ht="15" customHeight="1" x14ac:dyDescent="0.25">
      <c r="A703" s="7">
        <v>702</v>
      </c>
      <c r="B703" s="8" t="s">
        <v>151</v>
      </c>
      <c r="C703" s="8">
        <v>2015</v>
      </c>
      <c r="D703" s="8">
        <v>2016</v>
      </c>
      <c r="E703" s="3">
        <v>42363</v>
      </c>
      <c r="F703" s="4">
        <f t="shared" si="60"/>
        <v>12</v>
      </c>
      <c r="G703" s="4">
        <f t="shared" si="61"/>
        <v>25</v>
      </c>
      <c r="H703" s="4">
        <f t="shared" si="62"/>
        <v>2015</v>
      </c>
      <c r="I703" s="10" t="s">
        <v>157</v>
      </c>
      <c r="J703" s="8" t="s">
        <v>0</v>
      </c>
      <c r="K703" s="8" t="s">
        <v>12</v>
      </c>
      <c r="L703" s="8">
        <v>-9</v>
      </c>
      <c r="M703" s="8" t="s">
        <v>0</v>
      </c>
      <c r="N703" s="8">
        <v>105</v>
      </c>
      <c r="O703" s="8">
        <v>96</v>
      </c>
      <c r="P703" s="8" t="str">
        <f t="shared" si="65"/>
        <v>CHI</v>
      </c>
      <c r="Q703" s="8">
        <f t="shared" si="63"/>
        <v>18</v>
      </c>
      <c r="R703" s="7">
        <f t="shared" si="64"/>
        <v>1</v>
      </c>
    </row>
    <row r="704" spans="1:18" ht="15" customHeight="1" x14ac:dyDescent="0.25">
      <c r="A704" s="7">
        <v>703</v>
      </c>
      <c r="B704" s="8" t="s">
        <v>151</v>
      </c>
      <c r="C704" s="8">
        <v>2015</v>
      </c>
      <c r="D704" s="8">
        <v>2016</v>
      </c>
      <c r="E704" s="3">
        <v>42364</v>
      </c>
      <c r="F704" s="4">
        <f t="shared" si="60"/>
        <v>12</v>
      </c>
      <c r="G704" s="4">
        <f t="shared" si="61"/>
        <v>26</v>
      </c>
      <c r="H704" s="4">
        <f t="shared" si="62"/>
        <v>2015</v>
      </c>
      <c r="I704" s="10" t="s">
        <v>157</v>
      </c>
      <c r="J704" s="8" t="s">
        <v>2</v>
      </c>
      <c r="K704" s="8" t="s">
        <v>10</v>
      </c>
      <c r="L704" s="8">
        <v>3</v>
      </c>
      <c r="M704" s="8" t="s">
        <v>2</v>
      </c>
      <c r="N704" s="8">
        <v>111</v>
      </c>
      <c r="O704" s="8">
        <v>90</v>
      </c>
      <c r="P704" s="8" t="str">
        <f t="shared" si="65"/>
        <v>TOR</v>
      </c>
      <c r="Q704" s="8">
        <f t="shared" si="63"/>
        <v>18</v>
      </c>
      <c r="R704" s="7">
        <f t="shared" si="64"/>
        <v>1</v>
      </c>
    </row>
    <row r="705" spans="1:18" ht="15" customHeight="1" x14ac:dyDescent="0.25">
      <c r="A705" s="7">
        <v>704</v>
      </c>
      <c r="B705" s="8" t="s">
        <v>151</v>
      </c>
      <c r="C705" s="8">
        <v>2015</v>
      </c>
      <c r="D705" s="8">
        <v>2016</v>
      </c>
      <c r="E705" s="3">
        <v>42365</v>
      </c>
      <c r="F705" s="4">
        <f t="shared" si="60"/>
        <v>12</v>
      </c>
      <c r="G705" s="4">
        <f t="shared" si="61"/>
        <v>27</v>
      </c>
      <c r="H705" s="4">
        <f t="shared" si="62"/>
        <v>2015</v>
      </c>
      <c r="I705" s="10" t="s">
        <v>157</v>
      </c>
      <c r="J705" s="8" t="s">
        <v>1</v>
      </c>
      <c r="K705" s="8" t="s">
        <v>21</v>
      </c>
      <c r="L705" s="8">
        <v>-7.5</v>
      </c>
      <c r="M705" s="8" t="s">
        <v>21</v>
      </c>
      <c r="N705" s="8">
        <v>98</v>
      </c>
      <c r="O705" s="8">
        <v>94</v>
      </c>
      <c r="P705" s="8" t="str">
        <f t="shared" si="65"/>
        <v>POR</v>
      </c>
      <c r="Q705" s="8">
        <f t="shared" si="63"/>
        <v>-11.5</v>
      </c>
      <c r="R705" s="7">
        <f t="shared" si="64"/>
        <v>0</v>
      </c>
    </row>
    <row r="706" spans="1:18" ht="15" customHeight="1" x14ac:dyDescent="0.25">
      <c r="A706" s="7">
        <v>705</v>
      </c>
      <c r="B706" s="8" t="s">
        <v>151</v>
      </c>
      <c r="C706" s="8">
        <v>2015</v>
      </c>
      <c r="D706" s="8">
        <v>2016</v>
      </c>
      <c r="E706" s="3">
        <v>42366</v>
      </c>
      <c r="F706" s="4">
        <f t="shared" ref="F706:F769" si="66">MONTH(E706)</f>
        <v>12</v>
      </c>
      <c r="G706" s="4">
        <f t="shared" ref="G706:G769" si="67">DAY(E706)</f>
        <v>28</v>
      </c>
      <c r="H706" s="4">
        <f t="shared" ref="H706:H769" si="68">YEAR(E706)</f>
        <v>2015</v>
      </c>
      <c r="I706" s="10" t="s">
        <v>157</v>
      </c>
      <c r="J706" s="8" t="s">
        <v>6</v>
      </c>
      <c r="K706" s="8" t="s">
        <v>19</v>
      </c>
      <c r="L706" s="8">
        <v>-8.5</v>
      </c>
      <c r="M706" s="8" t="s">
        <v>6</v>
      </c>
      <c r="N706" s="8">
        <v>101</v>
      </c>
      <c r="O706" s="8">
        <v>97</v>
      </c>
      <c r="P706" s="8" t="str">
        <f t="shared" si="65"/>
        <v>CLE</v>
      </c>
      <c r="Q706" s="8">
        <f t="shared" ref="Q706:Q769" si="69">IF(AND(N706&gt;0,O706&gt;0,(O706+L706)=N706),0,IF(P706="","",IF(P706=M706,ABS((O706+L706)-N706),-ABS((O706+L706)-N706))))</f>
        <v>12.5</v>
      </c>
      <c r="R706" s="7">
        <f t="shared" si="64"/>
        <v>1</v>
      </c>
    </row>
    <row r="707" spans="1:18" ht="15" customHeight="1" x14ac:dyDescent="0.25">
      <c r="A707" s="7">
        <v>706</v>
      </c>
      <c r="B707" s="8" t="s">
        <v>151</v>
      </c>
      <c r="C707" s="8">
        <v>2015</v>
      </c>
      <c r="D707" s="8">
        <v>2016</v>
      </c>
      <c r="E707" s="3">
        <v>42367</v>
      </c>
      <c r="F707" s="4">
        <f t="shared" si="66"/>
        <v>12</v>
      </c>
      <c r="G707" s="4">
        <f t="shared" si="67"/>
        <v>29</v>
      </c>
      <c r="H707" s="4">
        <f t="shared" si="68"/>
        <v>2015</v>
      </c>
      <c r="I707" s="10" t="s">
        <v>157</v>
      </c>
      <c r="J707" s="8" t="s">
        <v>7</v>
      </c>
      <c r="K707" s="8" t="s">
        <v>126</v>
      </c>
      <c r="L707" s="8">
        <v>1.5</v>
      </c>
      <c r="M707" s="8" t="s">
        <v>126</v>
      </c>
      <c r="N707" s="8">
        <v>96</v>
      </c>
      <c r="O707" s="8">
        <v>108</v>
      </c>
      <c r="P707" s="8" t="str">
        <f t="shared" si="65"/>
        <v>NY</v>
      </c>
      <c r="Q707" s="8">
        <f t="shared" si="69"/>
        <v>13.5</v>
      </c>
      <c r="R707" s="7">
        <f t="shared" ref="R707:R770" si="70">IF(Q707="","",IF(P707=M707,1,IF(Q707=0,"na",0)))</f>
        <v>1</v>
      </c>
    </row>
    <row r="708" spans="1:18" ht="15" customHeight="1" x14ac:dyDescent="0.25">
      <c r="A708" s="7">
        <v>707</v>
      </c>
      <c r="B708" s="8" t="s">
        <v>151</v>
      </c>
      <c r="C708" s="8">
        <v>2015</v>
      </c>
      <c r="D708" s="8">
        <v>2016</v>
      </c>
      <c r="E708" s="3">
        <v>42368</v>
      </c>
      <c r="F708" s="4">
        <f t="shared" si="66"/>
        <v>12</v>
      </c>
      <c r="G708" s="4">
        <f t="shared" si="67"/>
        <v>30</v>
      </c>
      <c r="H708" s="4">
        <f t="shared" si="68"/>
        <v>2015</v>
      </c>
      <c r="I708" s="10" t="s">
        <v>157</v>
      </c>
      <c r="J708" s="8" t="s">
        <v>23</v>
      </c>
      <c r="K708" s="8" t="s">
        <v>1</v>
      </c>
      <c r="L708" s="8">
        <v>-6.5</v>
      </c>
      <c r="M708" s="8" t="s">
        <v>23</v>
      </c>
      <c r="N708" s="8">
        <v>103</v>
      </c>
      <c r="O708" s="8">
        <v>110</v>
      </c>
      <c r="P708" s="8" t="str">
        <f t="shared" si="65"/>
        <v>POR</v>
      </c>
      <c r="Q708" s="8">
        <f t="shared" si="69"/>
        <v>-0.5</v>
      </c>
      <c r="R708" s="7">
        <f t="shared" si="70"/>
        <v>0</v>
      </c>
    </row>
    <row r="709" spans="1:18" ht="15" customHeight="1" x14ac:dyDescent="0.25">
      <c r="A709" s="7">
        <v>708</v>
      </c>
      <c r="B709" s="8" t="s">
        <v>151</v>
      </c>
      <c r="C709" s="8">
        <v>2015</v>
      </c>
      <c r="D709" s="8">
        <v>2016</v>
      </c>
      <c r="E709" s="3">
        <v>42369</v>
      </c>
      <c r="F709" s="4">
        <f t="shared" si="66"/>
        <v>12</v>
      </c>
      <c r="G709" s="4">
        <f t="shared" si="67"/>
        <v>31</v>
      </c>
      <c r="H709" s="4">
        <f t="shared" si="68"/>
        <v>2015</v>
      </c>
      <c r="I709" s="10" t="s">
        <v>157</v>
      </c>
      <c r="J709" s="8" t="s">
        <v>14</v>
      </c>
      <c r="K709" s="8" t="s">
        <v>124</v>
      </c>
      <c r="L709" s="8">
        <v>-2</v>
      </c>
      <c r="M709" s="8" t="s">
        <v>124</v>
      </c>
      <c r="N709" s="8">
        <v>95</v>
      </c>
      <c r="O709" s="8">
        <v>89</v>
      </c>
      <c r="P709" s="8" t="str">
        <f t="shared" si="65"/>
        <v>LAC</v>
      </c>
      <c r="Q709" s="8">
        <f t="shared" si="69"/>
        <v>-8</v>
      </c>
      <c r="R709" s="7">
        <f t="shared" si="70"/>
        <v>0</v>
      </c>
    </row>
    <row r="710" spans="1:18" ht="15" customHeight="1" x14ac:dyDescent="0.25">
      <c r="A710" s="7">
        <v>709</v>
      </c>
      <c r="B710" s="8" t="s">
        <v>151</v>
      </c>
      <c r="C710" s="8">
        <v>2015</v>
      </c>
      <c r="D710" s="8">
        <v>2016</v>
      </c>
      <c r="E710" s="3">
        <v>42370</v>
      </c>
      <c r="F710" s="4">
        <f t="shared" si="66"/>
        <v>1</v>
      </c>
      <c r="G710" s="4">
        <f t="shared" si="67"/>
        <v>1</v>
      </c>
      <c r="H710" s="4">
        <f t="shared" si="68"/>
        <v>2016</v>
      </c>
      <c r="I710" s="10" t="s">
        <v>157</v>
      </c>
      <c r="J710" s="8" t="s">
        <v>16</v>
      </c>
      <c r="K710" s="8" t="s">
        <v>15</v>
      </c>
      <c r="L710" s="8">
        <v>-3.5</v>
      </c>
      <c r="M710" s="8" t="s">
        <v>16</v>
      </c>
      <c r="N710" s="8">
        <v>82</v>
      </c>
      <c r="O710" s="8">
        <v>106</v>
      </c>
      <c r="P710" s="8" t="str">
        <f t="shared" ref="P710:P773" si="71">IF(OR(N710="",O710=""),"",IF((O710+L710)&gt;N710,K710,IF((O710+L710)=N710,"N/A",J710)))</f>
        <v>MIA</v>
      </c>
      <c r="Q710" s="8">
        <f t="shared" si="69"/>
        <v>-20.5</v>
      </c>
      <c r="R710" s="7">
        <f t="shared" si="70"/>
        <v>0</v>
      </c>
    </row>
    <row r="711" spans="1:18" ht="15" customHeight="1" x14ac:dyDescent="0.25">
      <c r="A711" s="7">
        <v>710</v>
      </c>
      <c r="B711" s="8" t="s">
        <v>151</v>
      </c>
      <c r="C711" s="8">
        <v>2015</v>
      </c>
      <c r="D711" s="8">
        <v>2016</v>
      </c>
      <c r="E711" s="3">
        <v>42371</v>
      </c>
      <c r="F711" s="4">
        <f t="shared" si="66"/>
        <v>1</v>
      </c>
      <c r="G711" s="4">
        <f t="shared" si="67"/>
        <v>2</v>
      </c>
      <c r="H711" s="4">
        <f t="shared" si="68"/>
        <v>2016</v>
      </c>
      <c r="I711" s="10" t="s">
        <v>157</v>
      </c>
      <c r="J711" s="8" t="s">
        <v>11</v>
      </c>
      <c r="K711" s="8" t="s">
        <v>6</v>
      </c>
      <c r="L711" s="8">
        <v>-8.5</v>
      </c>
      <c r="M711" s="8" t="s">
        <v>11</v>
      </c>
      <c r="N711" s="8">
        <v>79</v>
      </c>
      <c r="O711" s="8">
        <v>194</v>
      </c>
      <c r="P711" s="8" t="str">
        <f t="shared" si="71"/>
        <v>CLE</v>
      </c>
      <c r="Q711" s="8">
        <f t="shared" si="69"/>
        <v>-106.5</v>
      </c>
      <c r="R711" s="7">
        <f t="shared" si="70"/>
        <v>0</v>
      </c>
    </row>
    <row r="712" spans="1:18" ht="15" customHeight="1" x14ac:dyDescent="0.25">
      <c r="A712" s="7">
        <v>711</v>
      </c>
      <c r="B712" s="8" t="s">
        <v>151</v>
      </c>
      <c r="C712" s="8">
        <v>2015</v>
      </c>
      <c r="D712" s="8">
        <v>2016</v>
      </c>
      <c r="E712" s="3">
        <v>42372</v>
      </c>
      <c r="F712" s="4">
        <f t="shared" si="66"/>
        <v>1</v>
      </c>
      <c r="G712" s="4">
        <f t="shared" si="67"/>
        <v>3</v>
      </c>
      <c r="H712" s="4">
        <f t="shared" si="68"/>
        <v>2016</v>
      </c>
      <c r="I712" s="10" t="s">
        <v>157</v>
      </c>
      <c r="J712" s="8" t="s">
        <v>15</v>
      </c>
      <c r="K712" s="8" t="s">
        <v>139</v>
      </c>
      <c r="L712" s="8">
        <v>-1.5</v>
      </c>
      <c r="M712" s="8" t="s">
        <v>139</v>
      </c>
      <c r="N712" s="8">
        <v>97</v>
      </c>
      <c r="O712" s="8">
        <v>75</v>
      </c>
      <c r="P712" s="8" t="str">
        <f t="shared" si="71"/>
        <v>MIA</v>
      </c>
      <c r="Q712" s="8">
        <f t="shared" si="69"/>
        <v>-23.5</v>
      </c>
      <c r="R712" s="7">
        <f t="shared" si="70"/>
        <v>0</v>
      </c>
    </row>
    <row r="713" spans="1:18" ht="15" customHeight="1" x14ac:dyDescent="0.25">
      <c r="A713" s="7">
        <v>712</v>
      </c>
      <c r="B713" s="8" t="s">
        <v>151</v>
      </c>
      <c r="C713" s="8">
        <v>2015</v>
      </c>
      <c r="D713" s="8">
        <v>2016</v>
      </c>
      <c r="E713" s="3">
        <v>42373</v>
      </c>
      <c r="F713" s="4">
        <f t="shared" si="66"/>
        <v>1</v>
      </c>
      <c r="G713" s="4">
        <f t="shared" si="67"/>
        <v>4</v>
      </c>
      <c r="H713" s="4">
        <f t="shared" si="68"/>
        <v>2016</v>
      </c>
      <c r="I713" s="10" t="s">
        <v>157</v>
      </c>
      <c r="J713" s="8" t="s">
        <v>13</v>
      </c>
      <c r="K713" s="8" t="s">
        <v>15</v>
      </c>
      <c r="L713" s="8">
        <v>-2</v>
      </c>
      <c r="M713" s="8" t="s">
        <v>13</v>
      </c>
      <c r="N713" s="8">
        <v>100</v>
      </c>
      <c r="O713" s="8">
        <v>103</v>
      </c>
      <c r="P713" s="8" t="str">
        <f t="shared" si="71"/>
        <v>MIA</v>
      </c>
      <c r="Q713" s="8">
        <f t="shared" si="69"/>
        <v>-1</v>
      </c>
      <c r="R713" s="7">
        <f t="shared" si="70"/>
        <v>0</v>
      </c>
    </row>
    <row r="714" spans="1:18" ht="15" customHeight="1" x14ac:dyDescent="0.25">
      <c r="A714" s="7">
        <v>713</v>
      </c>
      <c r="B714" s="8" t="s">
        <v>151</v>
      </c>
      <c r="C714" s="8">
        <v>2015</v>
      </c>
      <c r="D714" s="8">
        <v>2016</v>
      </c>
      <c r="E714" s="3">
        <v>42374</v>
      </c>
      <c r="F714" s="4">
        <f t="shared" si="66"/>
        <v>1</v>
      </c>
      <c r="G714" s="4">
        <f t="shared" si="67"/>
        <v>5</v>
      </c>
      <c r="H714" s="4">
        <f t="shared" si="68"/>
        <v>2016</v>
      </c>
      <c r="I714" s="10" t="s">
        <v>157</v>
      </c>
      <c r="J714" s="8" t="s">
        <v>10</v>
      </c>
      <c r="K714" s="8" t="s">
        <v>0</v>
      </c>
      <c r="L714" s="8">
        <v>-8</v>
      </c>
      <c r="M714" s="8" t="s">
        <v>0</v>
      </c>
      <c r="N714" s="8">
        <v>106</v>
      </c>
      <c r="O714" s="8">
        <v>117</v>
      </c>
      <c r="P714" s="8" t="str">
        <f t="shared" si="71"/>
        <v>CHI</v>
      </c>
      <c r="Q714" s="8">
        <f t="shared" si="69"/>
        <v>3</v>
      </c>
      <c r="R714" s="7">
        <f t="shared" si="70"/>
        <v>1</v>
      </c>
    </row>
    <row r="715" spans="1:18" ht="15" customHeight="1" x14ac:dyDescent="0.25">
      <c r="A715" s="7">
        <v>714</v>
      </c>
      <c r="B715" s="8" t="s">
        <v>151</v>
      </c>
      <c r="C715" s="8">
        <v>2015</v>
      </c>
      <c r="D715" s="8">
        <v>2016</v>
      </c>
      <c r="E715" s="3">
        <v>42375</v>
      </c>
      <c r="F715" s="4">
        <f t="shared" si="66"/>
        <v>1</v>
      </c>
      <c r="G715" s="4">
        <f t="shared" si="67"/>
        <v>6</v>
      </c>
      <c r="H715" s="4">
        <f t="shared" si="68"/>
        <v>2016</v>
      </c>
      <c r="I715" s="10" t="s">
        <v>157</v>
      </c>
      <c r="J715" s="8" t="s">
        <v>7</v>
      </c>
      <c r="K715" s="8" t="s">
        <v>17</v>
      </c>
      <c r="L715" s="8">
        <v>-3.5</v>
      </c>
      <c r="M715" s="8" t="s">
        <v>7</v>
      </c>
      <c r="N715" s="8">
        <v>99</v>
      </c>
      <c r="O715" s="8">
        <v>94</v>
      </c>
      <c r="P715" s="8" t="str">
        <f t="shared" si="71"/>
        <v>DET</v>
      </c>
      <c r="Q715" s="8">
        <f t="shared" si="69"/>
        <v>8.5</v>
      </c>
      <c r="R715" s="7">
        <f t="shared" si="70"/>
        <v>1</v>
      </c>
    </row>
    <row r="716" spans="1:18" ht="15" customHeight="1" x14ac:dyDescent="0.25">
      <c r="A716" s="7">
        <v>715</v>
      </c>
      <c r="B716" s="8" t="s">
        <v>151</v>
      </c>
      <c r="C716" s="8">
        <v>2015</v>
      </c>
      <c r="D716" s="8">
        <v>2016</v>
      </c>
      <c r="E716" s="3">
        <v>42376</v>
      </c>
      <c r="F716" s="4">
        <f t="shared" si="66"/>
        <v>1</v>
      </c>
      <c r="G716" s="4">
        <f t="shared" si="67"/>
        <v>7</v>
      </c>
      <c r="H716" s="4">
        <f t="shared" si="68"/>
        <v>2016</v>
      </c>
      <c r="I716" s="10" t="s">
        <v>157</v>
      </c>
      <c r="J716" s="8" t="s">
        <v>17</v>
      </c>
      <c r="K716" s="8" t="s">
        <v>0</v>
      </c>
      <c r="L716" s="8">
        <v>-5</v>
      </c>
      <c r="M716" s="8" t="s">
        <v>0</v>
      </c>
      <c r="N716" s="8">
        <v>92</v>
      </c>
      <c r="O716" s="8">
        <v>101</v>
      </c>
      <c r="P716" s="8" t="str">
        <f t="shared" si="71"/>
        <v>CHI</v>
      </c>
      <c r="Q716" s="8">
        <f t="shared" si="69"/>
        <v>4</v>
      </c>
      <c r="R716" s="7">
        <f t="shared" si="70"/>
        <v>1</v>
      </c>
    </row>
    <row r="717" spans="1:18" ht="15" customHeight="1" x14ac:dyDescent="0.25">
      <c r="A717" s="7">
        <v>716</v>
      </c>
      <c r="B717" s="8" t="s">
        <v>151</v>
      </c>
      <c r="C717" s="8">
        <v>2015</v>
      </c>
      <c r="D717" s="8">
        <v>2016</v>
      </c>
      <c r="E717" s="3">
        <v>42377</v>
      </c>
      <c r="F717" s="4">
        <f t="shared" si="66"/>
        <v>1</v>
      </c>
      <c r="G717" s="4">
        <f t="shared" si="67"/>
        <v>8</v>
      </c>
      <c r="H717" s="4">
        <f t="shared" si="68"/>
        <v>2016</v>
      </c>
      <c r="I717" s="10" t="s">
        <v>157</v>
      </c>
      <c r="J717" s="8" t="s">
        <v>16</v>
      </c>
      <c r="K717" s="8" t="s">
        <v>10</v>
      </c>
      <c r="L717" s="8">
        <v>2.5</v>
      </c>
      <c r="M717" s="8" t="s">
        <v>16</v>
      </c>
      <c r="N717" s="8">
        <v>95</v>
      </c>
      <c r="O717" s="8">
        <v>96</v>
      </c>
      <c r="P717" s="8" t="str">
        <f t="shared" si="71"/>
        <v>MIL</v>
      </c>
      <c r="Q717" s="8">
        <f t="shared" si="69"/>
        <v>-3.5</v>
      </c>
      <c r="R717" s="7">
        <f t="shared" si="70"/>
        <v>0</v>
      </c>
    </row>
    <row r="718" spans="1:18" ht="15" customHeight="1" x14ac:dyDescent="0.25">
      <c r="A718" s="7">
        <v>717</v>
      </c>
      <c r="B718" s="8" t="s">
        <v>151</v>
      </c>
      <c r="C718" s="8">
        <v>2015</v>
      </c>
      <c r="D718" s="8">
        <v>2016</v>
      </c>
      <c r="E718" s="3">
        <v>42378</v>
      </c>
      <c r="F718" s="4">
        <f t="shared" si="66"/>
        <v>1</v>
      </c>
      <c r="G718" s="4">
        <f t="shared" si="67"/>
        <v>9</v>
      </c>
      <c r="H718" s="4">
        <f t="shared" si="68"/>
        <v>2016</v>
      </c>
      <c r="I718" s="10" t="s">
        <v>157</v>
      </c>
      <c r="J718" s="8" t="s">
        <v>139</v>
      </c>
      <c r="K718" s="8" t="s">
        <v>11</v>
      </c>
      <c r="L718" s="8">
        <v>-2.5</v>
      </c>
      <c r="M718" s="8" t="s">
        <v>11</v>
      </c>
      <c r="N718" s="8">
        <v>105</v>
      </c>
      <c r="O718" s="8">
        <v>99</v>
      </c>
      <c r="P718" s="8" t="str">
        <f t="shared" si="71"/>
        <v>WSH</v>
      </c>
      <c r="Q718" s="8">
        <f t="shared" si="69"/>
        <v>-8.5</v>
      </c>
      <c r="R718" s="7">
        <f t="shared" si="70"/>
        <v>0</v>
      </c>
    </row>
    <row r="719" spans="1:18" ht="15" customHeight="1" x14ac:dyDescent="0.25">
      <c r="A719" s="7">
        <v>718</v>
      </c>
      <c r="B719" s="8" t="s">
        <v>151</v>
      </c>
      <c r="C719" s="8">
        <v>2015</v>
      </c>
      <c r="D719" s="8">
        <v>2016</v>
      </c>
      <c r="E719" s="3">
        <v>42379</v>
      </c>
      <c r="F719" s="4">
        <f t="shared" si="66"/>
        <v>1</v>
      </c>
      <c r="G719" s="4">
        <f t="shared" si="67"/>
        <v>10</v>
      </c>
      <c r="H719" s="4">
        <f t="shared" si="68"/>
        <v>2016</v>
      </c>
      <c r="I719" s="10" t="s">
        <v>157</v>
      </c>
      <c r="J719" s="8" t="s">
        <v>12</v>
      </c>
      <c r="K719" s="8" t="s">
        <v>1</v>
      </c>
      <c r="L719" s="8">
        <v>7.5</v>
      </c>
      <c r="M719" s="8" t="s">
        <v>12</v>
      </c>
      <c r="N719" s="8">
        <v>110</v>
      </c>
      <c r="O719" s="8">
        <v>115</v>
      </c>
      <c r="P719" s="8" t="str">
        <f t="shared" si="71"/>
        <v>POR</v>
      </c>
      <c r="Q719" s="8">
        <f t="shared" si="69"/>
        <v>-12.5</v>
      </c>
      <c r="R719" s="7">
        <f t="shared" si="70"/>
        <v>0</v>
      </c>
    </row>
    <row r="720" spans="1:18" ht="15" customHeight="1" x14ac:dyDescent="0.25">
      <c r="A720" s="7">
        <v>719</v>
      </c>
      <c r="B720" s="8" t="s">
        <v>151</v>
      </c>
      <c r="C720" s="8">
        <v>2015</v>
      </c>
      <c r="D720" s="8">
        <v>2016</v>
      </c>
      <c r="E720" s="3">
        <v>42380</v>
      </c>
      <c r="F720" s="4">
        <f t="shared" si="66"/>
        <v>1</v>
      </c>
      <c r="G720" s="4">
        <f t="shared" si="67"/>
        <v>11</v>
      </c>
      <c r="H720" s="4">
        <f t="shared" si="68"/>
        <v>2016</v>
      </c>
      <c r="I720" s="10" t="s">
        <v>157</v>
      </c>
      <c r="J720" s="8" t="s">
        <v>134</v>
      </c>
      <c r="K720" s="8" t="s">
        <v>80</v>
      </c>
      <c r="L720" s="8">
        <v>15</v>
      </c>
      <c r="M720" s="8" t="s">
        <v>134</v>
      </c>
      <c r="N720" s="8">
        <v>106</v>
      </c>
      <c r="O720" s="8">
        <v>79</v>
      </c>
      <c r="P720" s="8" t="str">
        <f t="shared" si="71"/>
        <v>SA</v>
      </c>
      <c r="Q720" s="8">
        <f t="shared" si="69"/>
        <v>12</v>
      </c>
      <c r="R720" s="7">
        <f t="shared" si="70"/>
        <v>1</v>
      </c>
    </row>
    <row r="721" spans="1:18" ht="15" customHeight="1" x14ac:dyDescent="0.25">
      <c r="A721" s="7">
        <v>720</v>
      </c>
      <c r="B721" s="8" t="s">
        <v>151</v>
      </c>
      <c r="C721" s="8">
        <v>2015</v>
      </c>
      <c r="D721" s="8">
        <v>2016</v>
      </c>
      <c r="E721" s="3">
        <v>42381</v>
      </c>
      <c r="F721" s="4">
        <f t="shared" si="66"/>
        <v>1</v>
      </c>
      <c r="G721" s="4">
        <f t="shared" si="67"/>
        <v>12</v>
      </c>
      <c r="H721" s="4">
        <f t="shared" si="68"/>
        <v>2016</v>
      </c>
      <c r="I721" s="10" t="s">
        <v>157</v>
      </c>
      <c r="J721" s="8" t="s">
        <v>4</v>
      </c>
      <c r="K721" s="8" t="s">
        <v>9</v>
      </c>
      <c r="L721" s="8">
        <v>-1.5</v>
      </c>
      <c r="M721" s="8" t="s">
        <v>9</v>
      </c>
      <c r="N721" s="8">
        <v>107</v>
      </c>
      <c r="O721" s="8">
        <v>91</v>
      </c>
      <c r="P721" s="8" t="str">
        <f t="shared" si="71"/>
        <v>HOU</v>
      </c>
      <c r="Q721" s="8">
        <f t="shared" si="69"/>
        <v>-17.5</v>
      </c>
      <c r="R721" s="7">
        <f t="shared" si="70"/>
        <v>0</v>
      </c>
    </row>
    <row r="722" spans="1:18" ht="15" customHeight="1" x14ac:dyDescent="0.25">
      <c r="A722" s="7">
        <v>721</v>
      </c>
      <c r="B722" s="8" t="s">
        <v>151</v>
      </c>
      <c r="C722" s="8">
        <v>2015</v>
      </c>
      <c r="D722" s="8">
        <v>2016</v>
      </c>
      <c r="E722" s="3">
        <v>42382</v>
      </c>
      <c r="F722" s="4">
        <f t="shared" si="66"/>
        <v>1</v>
      </c>
      <c r="G722" s="4">
        <f t="shared" si="67"/>
        <v>13</v>
      </c>
      <c r="H722" s="4">
        <f t="shared" si="68"/>
        <v>2016</v>
      </c>
      <c r="I722" s="10" t="s">
        <v>157</v>
      </c>
      <c r="J722" s="8" t="s">
        <v>137</v>
      </c>
      <c r="K722" s="8" t="s">
        <v>1</v>
      </c>
      <c r="L722" s="8">
        <v>-2</v>
      </c>
      <c r="M722" s="8" t="s">
        <v>137</v>
      </c>
      <c r="N722" s="8">
        <v>85</v>
      </c>
      <c r="O722" s="8">
        <v>99</v>
      </c>
      <c r="P722" s="8" t="str">
        <f t="shared" si="71"/>
        <v>POR</v>
      </c>
      <c r="Q722" s="8">
        <f t="shared" si="69"/>
        <v>-12</v>
      </c>
      <c r="R722" s="7">
        <f t="shared" si="70"/>
        <v>0</v>
      </c>
    </row>
    <row r="723" spans="1:18" ht="15" customHeight="1" x14ac:dyDescent="0.25">
      <c r="A723" s="7">
        <v>722</v>
      </c>
      <c r="B723" s="8" t="s">
        <v>151</v>
      </c>
      <c r="C723" s="8">
        <v>2015</v>
      </c>
      <c r="D723" s="8">
        <v>2016</v>
      </c>
      <c r="E723" s="3">
        <v>42383</v>
      </c>
      <c r="F723" s="4">
        <f t="shared" si="66"/>
        <v>1</v>
      </c>
      <c r="G723" s="4">
        <f t="shared" si="67"/>
        <v>14</v>
      </c>
      <c r="H723" s="4">
        <f t="shared" si="68"/>
        <v>2016</v>
      </c>
      <c r="I723" s="10" t="s">
        <v>157</v>
      </c>
      <c r="J723" s="8" t="s">
        <v>6</v>
      </c>
      <c r="K723" s="8" t="s">
        <v>134</v>
      </c>
      <c r="L723" s="8">
        <v>-5.5</v>
      </c>
      <c r="M723" s="8" t="s">
        <v>6</v>
      </c>
      <c r="N723" s="8">
        <v>95</v>
      </c>
      <c r="O723" s="8">
        <v>99</v>
      </c>
      <c r="P723" s="8" t="str">
        <f t="shared" si="71"/>
        <v>CLE</v>
      </c>
      <c r="Q723" s="8">
        <f t="shared" si="69"/>
        <v>1.5</v>
      </c>
      <c r="R723" s="7">
        <f t="shared" si="70"/>
        <v>1</v>
      </c>
    </row>
    <row r="724" spans="1:18" ht="15" customHeight="1" x14ac:dyDescent="0.25">
      <c r="A724" s="7">
        <v>723</v>
      </c>
      <c r="B724" s="8" t="s">
        <v>151</v>
      </c>
      <c r="C724" s="8">
        <v>2015</v>
      </c>
      <c r="D724" s="8">
        <v>2016</v>
      </c>
      <c r="E724" s="3">
        <v>42384</v>
      </c>
      <c r="F724" s="4">
        <f t="shared" si="66"/>
        <v>1</v>
      </c>
      <c r="G724" s="4">
        <f t="shared" si="67"/>
        <v>15</v>
      </c>
      <c r="H724" s="4">
        <f t="shared" si="68"/>
        <v>2016</v>
      </c>
      <c r="I724" s="10" t="s">
        <v>157</v>
      </c>
      <c r="J724" s="8" t="s">
        <v>6</v>
      </c>
      <c r="K724" s="8" t="s">
        <v>4</v>
      </c>
      <c r="L724" s="8">
        <v>2</v>
      </c>
      <c r="M724" s="8" t="s">
        <v>4</v>
      </c>
      <c r="N724" s="8">
        <v>91</v>
      </c>
      <c r="O724" s="8">
        <v>77</v>
      </c>
      <c r="P724" s="8" t="str">
        <f t="shared" si="71"/>
        <v>CLE</v>
      </c>
      <c r="Q724" s="8">
        <f t="shared" si="69"/>
        <v>-12</v>
      </c>
      <c r="R724" s="7">
        <f t="shared" si="70"/>
        <v>0</v>
      </c>
    </row>
    <row r="725" spans="1:18" ht="15" customHeight="1" x14ac:dyDescent="0.25">
      <c r="A725" s="7">
        <v>724</v>
      </c>
      <c r="B725" s="8" t="s">
        <v>151</v>
      </c>
      <c r="C725" s="8">
        <v>2015</v>
      </c>
      <c r="D725" s="8">
        <v>2016</v>
      </c>
      <c r="E725" s="3">
        <v>42385</v>
      </c>
      <c r="F725" s="4">
        <f t="shared" si="66"/>
        <v>1</v>
      </c>
      <c r="G725" s="4">
        <f t="shared" si="67"/>
        <v>16</v>
      </c>
      <c r="H725" s="4">
        <f t="shared" si="68"/>
        <v>2016</v>
      </c>
      <c r="I725" s="10" t="s">
        <v>157</v>
      </c>
      <c r="J725" s="8" t="s">
        <v>114</v>
      </c>
      <c r="K725" s="8" t="s">
        <v>7</v>
      </c>
      <c r="L725" s="8">
        <v>7</v>
      </c>
      <c r="M725" s="8" t="s">
        <v>114</v>
      </c>
      <c r="N725" s="8">
        <v>95</v>
      </c>
      <c r="O725" s="8">
        <v>113</v>
      </c>
      <c r="P725" s="8" t="str">
        <f t="shared" si="71"/>
        <v>DET</v>
      </c>
      <c r="Q725" s="8">
        <f t="shared" si="69"/>
        <v>-25</v>
      </c>
      <c r="R725" s="7">
        <f t="shared" si="70"/>
        <v>0</v>
      </c>
    </row>
    <row r="726" spans="1:18" ht="15" customHeight="1" x14ac:dyDescent="0.25">
      <c r="A726" s="7">
        <v>725</v>
      </c>
      <c r="B726" s="8" t="s">
        <v>151</v>
      </c>
      <c r="C726" s="8">
        <v>2015</v>
      </c>
      <c r="D726" s="8">
        <v>2016</v>
      </c>
      <c r="E726" s="3">
        <v>42386</v>
      </c>
      <c r="F726" s="4">
        <f t="shared" si="66"/>
        <v>1</v>
      </c>
      <c r="G726" s="4">
        <f t="shared" si="67"/>
        <v>17</v>
      </c>
      <c r="H726" s="4">
        <f t="shared" si="68"/>
        <v>2016</v>
      </c>
      <c r="I726" s="10" t="s">
        <v>157</v>
      </c>
      <c r="J726" s="8" t="s">
        <v>19</v>
      </c>
      <c r="K726" s="8" t="s">
        <v>3</v>
      </c>
      <c r="L726" s="8">
        <v>-3.5</v>
      </c>
      <c r="M726" s="8" t="s">
        <v>3</v>
      </c>
      <c r="N726" s="8">
        <v>87</v>
      </c>
      <c r="O726" s="8">
        <v>117</v>
      </c>
      <c r="P726" s="8" t="str">
        <f t="shared" si="71"/>
        <v>MIN</v>
      </c>
      <c r="Q726" s="8">
        <f t="shared" si="69"/>
        <v>26.5</v>
      </c>
      <c r="R726" s="7">
        <f t="shared" si="70"/>
        <v>1</v>
      </c>
    </row>
    <row r="727" spans="1:18" ht="15" customHeight="1" x14ac:dyDescent="0.25">
      <c r="A727" s="7">
        <v>726</v>
      </c>
      <c r="B727" s="8" t="s">
        <v>151</v>
      </c>
      <c r="C727" s="8">
        <v>2015</v>
      </c>
      <c r="D727" s="8">
        <v>2016</v>
      </c>
      <c r="E727" s="3">
        <v>42387</v>
      </c>
      <c r="F727" s="4">
        <f t="shared" si="66"/>
        <v>1</v>
      </c>
      <c r="G727" s="4">
        <f t="shared" si="67"/>
        <v>18</v>
      </c>
      <c r="H727" s="4">
        <f t="shared" si="68"/>
        <v>2016</v>
      </c>
      <c r="I727" s="10" t="s">
        <v>157</v>
      </c>
      <c r="J727" s="8" t="s">
        <v>0</v>
      </c>
      <c r="K727" s="8" t="s">
        <v>7</v>
      </c>
      <c r="L727" s="8">
        <v>-3</v>
      </c>
      <c r="M727" s="8" t="s">
        <v>7</v>
      </c>
      <c r="N727" s="8">
        <v>111</v>
      </c>
      <c r="O727" s="8">
        <v>101</v>
      </c>
      <c r="P727" s="8" t="str">
        <f t="shared" si="71"/>
        <v>CHI</v>
      </c>
      <c r="Q727" s="8">
        <f t="shared" si="69"/>
        <v>-13</v>
      </c>
      <c r="R727" s="7">
        <f t="shared" si="70"/>
        <v>0</v>
      </c>
    </row>
    <row r="728" spans="1:18" ht="15" customHeight="1" x14ac:dyDescent="0.25">
      <c r="A728" s="7">
        <v>727</v>
      </c>
      <c r="B728" s="8" t="s">
        <v>151</v>
      </c>
      <c r="C728" s="8">
        <v>2015</v>
      </c>
      <c r="D728" s="8">
        <v>2016</v>
      </c>
      <c r="E728" s="3">
        <v>42388</v>
      </c>
      <c r="F728" s="4">
        <f t="shared" si="66"/>
        <v>1</v>
      </c>
      <c r="G728" s="4">
        <f t="shared" si="67"/>
        <v>19</v>
      </c>
      <c r="H728" s="4">
        <f t="shared" si="68"/>
        <v>2016</v>
      </c>
      <c r="I728" s="10" t="s">
        <v>157</v>
      </c>
      <c r="J728" s="8" t="s">
        <v>12</v>
      </c>
      <c r="K728" s="8" t="s">
        <v>23</v>
      </c>
      <c r="L728" s="8">
        <v>8.5</v>
      </c>
      <c r="M728" s="8" t="s">
        <v>23</v>
      </c>
      <c r="N728" s="8">
        <v>110</v>
      </c>
      <c r="O728" s="8">
        <v>104</v>
      </c>
      <c r="P728" s="8" t="str">
        <f t="shared" si="71"/>
        <v>DEN</v>
      </c>
      <c r="Q728" s="8">
        <f t="shared" si="69"/>
        <v>2.5</v>
      </c>
      <c r="R728" s="7">
        <f t="shared" si="70"/>
        <v>1</v>
      </c>
    </row>
    <row r="729" spans="1:18" ht="15" customHeight="1" x14ac:dyDescent="0.25">
      <c r="A729" s="7">
        <v>728</v>
      </c>
      <c r="B729" s="8" t="s">
        <v>151</v>
      </c>
      <c r="C729" s="8">
        <v>2015</v>
      </c>
      <c r="D729" s="8">
        <v>2016</v>
      </c>
      <c r="E729" s="3">
        <v>42389</v>
      </c>
      <c r="F729" s="4">
        <f t="shared" si="66"/>
        <v>1</v>
      </c>
      <c r="G729" s="4">
        <f t="shared" si="67"/>
        <v>20</v>
      </c>
      <c r="H729" s="4">
        <f t="shared" si="68"/>
        <v>2016</v>
      </c>
      <c r="I729" s="10" t="s">
        <v>157</v>
      </c>
      <c r="J729" s="8" t="s">
        <v>7</v>
      </c>
      <c r="K729" s="8" t="s">
        <v>4</v>
      </c>
      <c r="L729" s="8">
        <v>-3</v>
      </c>
      <c r="M729" s="8" t="s">
        <v>7</v>
      </c>
      <c r="N729" s="8">
        <v>123</v>
      </c>
      <c r="O729" s="8">
        <v>114</v>
      </c>
      <c r="P729" s="8" t="str">
        <f t="shared" si="71"/>
        <v>DET</v>
      </c>
      <c r="Q729" s="8">
        <f t="shared" si="69"/>
        <v>12</v>
      </c>
      <c r="R729" s="7">
        <f t="shared" si="70"/>
        <v>1</v>
      </c>
    </row>
    <row r="730" spans="1:18" ht="15" customHeight="1" x14ac:dyDescent="0.25">
      <c r="A730" s="7">
        <v>729</v>
      </c>
      <c r="B730" s="8" t="s">
        <v>151</v>
      </c>
      <c r="C730" s="8">
        <v>2015</v>
      </c>
      <c r="D730" s="8">
        <v>2016</v>
      </c>
      <c r="E730" s="3">
        <v>42390</v>
      </c>
      <c r="F730" s="4">
        <f t="shared" si="66"/>
        <v>1</v>
      </c>
      <c r="G730" s="4">
        <f t="shared" si="67"/>
        <v>21</v>
      </c>
      <c r="H730" s="4">
        <f t="shared" si="68"/>
        <v>2016</v>
      </c>
      <c r="I730" s="10" t="s">
        <v>157</v>
      </c>
      <c r="J730" s="8" t="s">
        <v>9</v>
      </c>
      <c r="K730" s="8" t="s">
        <v>23</v>
      </c>
      <c r="L730" s="8">
        <v>2</v>
      </c>
      <c r="M730" s="8" t="s">
        <v>23</v>
      </c>
      <c r="N730" s="8">
        <v>102</v>
      </c>
      <c r="O730" s="8">
        <v>101</v>
      </c>
      <c r="P730" s="8" t="str">
        <f t="shared" si="71"/>
        <v>DEN</v>
      </c>
      <c r="Q730" s="8">
        <f t="shared" si="69"/>
        <v>1</v>
      </c>
      <c r="R730" s="7">
        <f t="shared" si="70"/>
        <v>1</v>
      </c>
    </row>
    <row r="731" spans="1:18" ht="15" customHeight="1" x14ac:dyDescent="0.25">
      <c r="A731" s="7">
        <v>730</v>
      </c>
      <c r="B731" s="8" t="s">
        <v>151</v>
      </c>
      <c r="C731" s="8">
        <v>2015</v>
      </c>
      <c r="D731" s="8">
        <v>2016</v>
      </c>
      <c r="E731" s="3">
        <v>42391</v>
      </c>
      <c r="F731" s="4">
        <f t="shared" si="66"/>
        <v>1</v>
      </c>
      <c r="G731" s="4">
        <f t="shared" si="67"/>
        <v>22</v>
      </c>
      <c r="H731" s="4">
        <f t="shared" si="68"/>
        <v>2016</v>
      </c>
      <c r="I731" s="10" t="s">
        <v>157</v>
      </c>
      <c r="J731" s="8" t="s">
        <v>12</v>
      </c>
      <c r="K731" s="8" t="s">
        <v>16</v>
      </c>
      <c r="L731" s="8">
        <v>6</v>
      </c>
      <c r="M731" s="8" t="s">
        <v>16</v>
      </c>
      <c r="N731" s="8">
        <v>109</v>
      </c>
      <c r="O731" s="8">
        <v>106</v>
      </c>
      <c r="P731" s="8" t="str">
        <f t="shared" si="71"/>
        <v>DAL</v>
      </c>
      <c r="Q731" s="8">
        <f t="shared" si="69"/>
        <v>3</v>
      </c>
      <c r="R731" s="7">
        <f t="shared" si="70"/>
        <v>1</v>
      </c>
    </row>
    <row r="732" spans="1:18" ht="15" customHeight="1" x14ac:dyDescent="0.25">
      <c r="A732" s="7">
        <v>731</v>
      </c>
      <c r="B732" s="8" t="s">
        <v>151</v>
      </c>
      <c r="C732" s="8">
        <v>2015</v>
      </c>
      <c r="D732" s="8">
        <v>2016</v>
      </c>
      <c r="E732" s="3">
        <v>42392</v>
      </c>
      <c r="F732" s="4">
        <f t="shared" si="66"/>
        <v>1</v>
      </c>
      <c r="G732" s="4">
        <f t="shared" si="67"/>
        <v>23</v>
      </c>
      <c r="H732" s="4">
        <f t="shared" si="68"/>
        <v>2016</v>
      </c>
      <c r="I732" s="10" t="s">
        <v>157</v>
      </c>
      <c r="J732" s="8" t="s">
        <v>13</v>
      </c>
      <c r="K732" s="8" t="s">
        <v>21</v>
      </c>
      <c r="L732" s="8">
        <v>-3</v>
      </c>
      <c r="M732" s="8" t="s">
        <v>21</v>
      </c>
      <c r="N732" s="8">
        <v>97</v>
      </c>
      <c r="O732" s="8">
        <v>108</v>
      </c>
      <c r="P732" s="8" t="str">
        <f t="shared" si="71"/>
        <v>SAC</v>
      </c>
      <c r="Q732" s="8">
        <f t="shared" si="69"/>
        <v>8</v>
      </c>
      <c r="R732" s="7">
        <f t="shared" si="70"/>
        <v>1</v>
      </c>
    </row>
    <row r="733" spans="1:18" ht="15" customHeight="1" x14ac:dyDescent="0.25">
      <c r="A733" s="7">
        <v>732</v>
      </c>
      <c r="B733" s="8" t="s">
        <v>151</v>
      </c>
      <c r="C733" s="8">
        <v>2015</v>
      </c>
      <c r="D733" s="8">
        <v>2016</v>
      </c>
      <c r="E733" s="3">
        <v>42393</v>
      </c>
      <c r="F733" s="4">
        <f t="shared" si="66"/>
        <v>1</v>
      </c>
      <c r="G733" s="4">
        <f t="shared" si="67"/>
        <v>24</v>
      </c>
      <c r="H733" s="4">
        <f t="shared" si="68"/>
        <v>2016</v>
      </c>
      <c r="I733" s="10" t="s">
        <v>157</v>
      </c>
      <c r="J733" s="8" t="s">
        <v>14</v>
      </c>
      <c r="K733" s="8" t="s">
        <v>2</v>
      </c>
      <c r="L733" s="8">
        <v>-2.5</v>
      </c>
      <c r="M733" s="8" t="s">
        <v>2</v>
      </c>
      <c r="N733" s="8">
        <v>94</v>
      </c>
      <c r="O733" s="8">
        <v>112</v>
      </c>
      <c r="P733" s="8" t="str">
        <f t="shared" si="71"/>
        <v>TOR</v>
      </c>
      <c r="Q733" s="8">
        <f t="shared" si="69"/>
        <v>15.5</v>
      </c>
      <c r="R733" s="7">
        <f t="shared" si="70"/>
        <v>1</v>
      </c>
    </row>
    <row r="734" spans="1:18" ht="15" customHeight="1" x14ac:dyDescent="0.25">
      <c r="A734" s="7">
        <v>733</v>
      </c>
      <c r="B734" s="8" t="s">
        <v>151</v>
      </c>
      <c r="C734" s="8">
        <v>2015</v>
      </c>
      <c r="D734" s="8">
        <v>2016</v>
      </c>
      <c r="E734" s="3">
        <v>42394</v>
      </c>
      <c r="F734" s="4">
        <f t="shared" si="66"/>
        <v>1</v>
      </c>
      <c r="G734" s="4">
        <f t="shared" si="67"/>
        <v>25</v>
      </c>
      <c r="H734" s="4">
        <f t="shared" si="68"/>
        <v>2016</v>
      </c>
      <c r="I734" s="10" t="s">
        <v>157</v>
      </c>
      <c r="J734" s="8" t="s">
        <v>3</v>
      </c>
      <c r="K734" s="8" t="s">
        <v>6</v>
      </c>
      <c r="L734" s="8">
        <v>-13.5</v>
      </c>
      <c r="M734" s="8" t="s">
        <v>3</v>
      </c>
      <c r="N734" s="8">
        <v>107</v>
      </c>
      <c r="O734" s="8">
        <v>114</v>
      </c>
      <c r="P734" s="8" t="str">
        <f t="shared" si="71"/>
        <v>MIN</v>
      </c>
      <c r="Q734" s="8">
        <f t="shared" si="69"/>
        <v>6.5</v>
      </c>
      <c r="R734" s="7">
        <f t="shared" si="70"/>
        <v>1</v>
      </c>
    </row>
    <row r="735" spans="1:18" ht="15" customHeight="1" x14ac:dyDescent="0.25">
      <c r="A735" s="7">
        <v>734</v>
      </c>
      <c r="B735" s="8" t="s">
        <v>151</v>
      </c>
      <c r="C735" s="8">
        <v>2015</v>
      </c>
      <c r="D735" s="8">
        <v>2016</v>
      </c>
      <c r="E735" s="3">
        <v>42395</v>
      </c>
      <c r="F735" s="4">
        <f t="shared" si="66"/>
        <v>1</v>
      </c>
      <c r="G735" s="4">
        <f t="shared" si="67"/>
        <v>26</v>
      </c>
      <c r="H735" s="4">
        <f t="shared" si="68"/>
        <v>2016</v>
      </c>
      <c r="I735" s="10" t="s">
        <v>157</v>
      </c>
      <c r="J735" s="8" t="s">
        <v>19</v>
      </c>
      <c r="K735" s="8" t="s">
        <v>20</v>
      </c>
      <c r="L735" s="8">
        <v>-3</v>
      </c>
      <c r="M735" s="8" t="s">
        <v>20</v>
      </c>
      <c r="N735" s="8">
        <v>103</v>
      </c>
      <c r="O735" s="8">
        <v>113</v>
      </c>
      <c r="P735" s="8" t="str">
        <f t="shared" si="71"/>
        <v>PHI</v>
      </c>
      <c r="Q735" s="8">
        <f t="shared" si="69"/>
        <v>7</v>
      </c>
      <c r="R735" s="7">
        <f t="shared" si="70"/>
        <v>1</v>
      </c>
    </row>
    <row r="736" spans="1:18" ht="15" customHeight="1" x14ac:dyDescent="0.25">
      <c r="A736" s="7">
        <v>735</v>
      </c>
      <c r="B736" s="8" t="s">
        <v>151</v>
      </c>
      <c r="C736" s="8">
        <v>2015</v>
      </c>
      <c r="D736" s="8">
        <v>2016</v>
      </c>
      <c r="E736" s="3">
        <v>42396</v>
      </c>
      <c r="F736" s="4">
        <f t="shared" si="66"/>
        <v>1</v>
      </c>
      <c r="G736" s="4">
        <f t="shared" si="67"/>
        <v>27</v>
      </c>
      <c r="H736" s="4">
        <f t="shared" si="68"/>
        <v>2016</v>
      </c>
      <c r="I736" s="10" t="s">
        <v>157</v>
      </c>
      <c r="J736" s="8" t="s">
        <v>4</v>
      </c>
      <c r="K736" s="8" t="s">
        <v>134</v>
      </c>
      <c r="L736" s="8">
        <v>-10</v>
      </c>
      <c r="M736" s="8" t="s">
        <v>134</v>
      </c>
      <c r="N736" s="8">
        <v>99</v>
      </c>
      <c r="O736" s="8">
        <v>130</v>
      </c>
      <c r="P736" s="8" t="str">
        <f t="shared" si="71"/>
        <v>SA</v>
      </c>
      <c r="Q736" s="8">
        <f t="shared" si="69"/>
        <v>21</v>
      </c>
      <c r="R736" s="7">
        <f t="shared" si="70"/>
        <v>1</v>
      </c>
    </row>
    <row r="737" spans="1:18" ht="15" customHeight="1" x14ac:dyDescent="0.25">
      <c r="A737" s="7">
        <v>736</v>
      </c>
      <c r="B737" s="8" t="s">
        <v>151</v>
      </c>
      <c r="C737" s="8">
        <v>2015</v>
      </c>
      <c r="D737" s="8">
        <v>2016</v>
      </c>
      <c r="E737" s="3">
        <v>42397</v>
      </c>
      <c r="F737" s="4">
        <f t="shared" si="66"/>
        <v>1</v>
      </c>
      <c r="G737" s="4">
        <f t="shared" si="67"/>
        <v>28</v>
      </c>
      <c r="H737" s="4">
        <f t="shared" si="68"/>
        <v>2016</v>
      </c>
      <c r="I737" s="10" t="s">
        <v>157</v>
      </c>
      <c r="J737" s="8" t="s">
        <v>23</v>
      </c>
      <c r="K737" s="8" t="s">
        <v>139</v>
      </c>
      <c r="L737" s="8">
        <v>-7.5</v>
      </c>
      <c r="M737" s="8" t="s">
        <v>23</v>
      </c>
      <c r="N737" s="8">
        <v>117</v>
      </c>
      <c r="O737" s="8">
        <v>113</v>
      </c>
      <c r="P737" s="8" t="str">
        <f t="shared" si="71"/>
        <v>DEN</v>
      </c>
      <c r="Q737" s="8">
        <f t="shared" si="69"/>
        <v>11.5</v>
      </c>
      <c r="R737" s="7">
        <f t="shared" si="70"/>
        <v>1</v>
      </c>
    </row>
    <row r="738" spans="1:18" ht="15" customHeight="1" x14ac:dyDescent="0.25">
      <c r="A738" s="7">
        <v>737</v>
      </c>
      <c r="B738" s="8" t="s">
        <v>151</v>
      </c>
      <c r="C738" s="8">
        <v>2015</v>
      </c>
      <c r="D738" s="8">
        <v>2016</v>
      </c>
      <c r="E738" s="3">
        <v>42398</v>
      </c>
      <c r="F738" s="4">
        <f t="shared" si="66"/>
        <v>1</v>
      </c>
      <c r="G738" s="4">
        <f t="shared" si="67"/>
        <v>29</v>
      </c>
      <c r="H738" s="4">
        <f t="shared" si="68"/>
        <v>2016</v>
      </c>
      <c r="I738" s="10" t="s">
        <v>157</v>
      </c>
      <c r="J738" s="8" t="s">
        <v>22</v>
      </c>
      <c r="K738" s="8" t="s">
        <v>16</v>
      </c>
      <c r="L738" s="8">
        <v>-8.5</v>
      </c>
      <c r="M738" s="8" t="s">
        <v>16</v>
      </c>
      <c r="N738" s="8">
        <v>79</v>
      </c>
      <c r="O738" s="8">
        <v>91</v>
      </c>
      <c r="P738" s="8" t="str">
        <f t="shared" si="71"/>
        <v>DAL</v>
      </c>
      <c r="Q738" s="8">
        <f t="shared" si="69"/>
        <v>3.5</v>
      </c>
      <c r="R738" s="7">
        <f t="shared" si="70"/>
        <v>1</v>
      </c>
    </row>
    <row r="739" spans="1:18" ht="15" customHeight="1" x14ac:dyDescent="0.25">
      <c r="A739" s="7">
        <v>738</v>
      </c>
      <c r="B739" s="8" t="s">
        <v>151</v>
      </c>
      <c r="C739" s="8">
        <v>2015</v>
      </c>
      <c r="D739" s="8">
        <v>2016</v>
      </c>
      <c r="E739" s="3">
        <v>42399</v>
      </c>
      <c r="F739" s="4">
        <f t="shared" si="66"/>
        <v>1</v>
      </c>
      <c r="G739" s="4">
        <f t="shared" si="67"/>
        <v>30</v>
      </c>
      <c r="H739" s="4">
        <f t="shared" si="68"/>
        <v>2016</v>
      </c>
      <c r="I739" s="10" t="s">
        <v>157</v>
      </c>
      <c r="J739" s="8" t="s">
        <v>139</v>
      </c>
      <c r="K739" s="8" t="s">
        <v>4</v>
      </c>
      <c r="L739" s="8">
        <v>-4</v>
      </c>
      <c r="M739" s="8" t="s">
        <v>139</v>
      </c>
      <c r="N739" s="8">
        <v>123</v>
      </c>
      <c r="O739" s="8">
        <v>122</v>
      </c>
      <c r="P739" s="8" t="str">
        <f t="shared" si="71"/>
        <v>WSH</v>
      </c>
      <c r="Q739" s="8">
        <f t="shared" si="69"/>
        <v>5</v>
      </c>
      <c r="R739" s="7">
        <f t="shared" si="70"/>
        <v>1</v>
      </c>
    </row>
    <row r="740" spans="1:18" ht="15" customHeight="1" x14ac:dyDescent="0.25">
      <c r="A740" s="7">
        <v>739</v>
      </c>
      <c r="B740" s="8" t="s">
        <v>151</v>
      </c>
      <c r="C740" s="8">
        <v>2015</v>
      </c>
      <c r="D740" s="8">
        <v>2016</v>
      </c>
      <c r="E740" s="3">
        <v>42400</v>
      </c>
      <c r="F740" s="4">
        <f t="shared" si="66"/>
        <v>1</v>
      </c>
      <c r="G740" s="4">
        <f t="shared" si="67"/>
        <v>31</v>
      </c>
      <c r="H740" s="4">
        <f t="shared" si="68"/>
        <v>2016</v>
      </c>
      <c r="I740" s="10" t="s">
        <v>157</v>
      </c>
      <c r="J740" s="8" t="s">
        <v>19</v>
      </c>
      <c r="K740" s="8" t="s">
        <v>16</v>
      </c>
      <c r="L740" s="8">
        <v>-10.5</v>
      </c>
      <c r="M740" s="8" t="s">
        <v>19</v>
      </c>
      <c r="N740" s="8">
        <v>78</v>
      </c>
      <c r="O740" s="8">
        <v>91</v>
      </c>
      <c r="P740" s="8" t="str">
        <f t="shared" si="71"/>
        <v>DAL</v>
      </c>
      <c r="Q740" s="8">
        <f t="shared" si="69"/>
        <v>-2.5</v>
      </c>
      <c r="R740" s="7">
        <f t="shared" si="70"/>
        <v>0</v>
      </c>
    </row>
    <row r="741" spans="1:18" ht="15" customHeight="1" x14ac:dyDescent="0.25">
      <c r="A741" s="7">
        <v>740</v>
      </c>
      <c r="B741" s="8" t="s">
        <v>151</v>
      </c>
      <c r="C741" s="8">
        <v>2015</v>
      </c>
      <c r="D741" s="8">
        <v>2016</v>
      </c>
      <c r="E741" s="3">
        <v>42401</v>
      </c>
      <c r="F741" s="4">
        <f t="shared" si="66"/>
        <v>2</v>
      </c>
      <c r="G741" s="4">
        <f t="shared" si="67"/>
        <v>1</v>
      </c>
      <c r="H741" s="4">
        <f t="shared" si="68"/>
        <v>2016</v>
      </c>
      <c r="I741" s="10" t="s">
        <v>157</v>
      </c>
      <c r="J741" s="8" t="s">
        <v>9</v>
      </c>
      <c r="K741" s="8" t="s">
        <v>124</v>
      </c>
      <c r="L741" s="8">
        <v>-2.5</v>
      </c>
      <c r="M741" s="8" t="s">
        <v>9</v>
      </c>
      <c r="N741" s="8">
        <v>110</v>
      </c>
      <c r="O741" s="8">
        <v>95</v>
      </c>
      <c r="P741" s="8" t="str">
        <f t="shared" si="71"/>
        <v>MEM</v>
      </c>
      <c r="Q741" s="8">
        <f t="shared" si="69"/>
        <v>17.5</v>
      </c>
      <c r="R741" s="7">
        <f t="shared" si="70"/>
        <v>1</v>
      </c>
    </row>
    <row r="742" spans="1:18" ht="15" customHeight="1" x14ac:dyDescent="0.25">
      <c r="A742" s="7">
        <v>741</v>
      </c>
      <c r="B742" s="8" t="s">
        <v>151</v>
      </c>
      <c r="C742" s="8">
        <v>2015</v>
      </c>
      <c r="D742" s="8">
        <v>2016</v>
      </c>
      <c r="E742" s="3">
        <v>42402</v>
      </c>
      <c r="F742" s="4">
        <f t="shared" si="66"/>
        <v>2</v>
      </c>
      <c r="G742" s="4">
        <f t="shared" si="67"/>
        <v>2</v>
      </c>
      <c r="H742" s="4">
        <f t="shared" si="68"/>
        <v>2016</v>
      </c>
      <c r="I742" s="10" t="s">
        <v>157</v>
      </c>
      <c r="J742" s="8" t="s">
        <v>17</v>
      </c>
      <c r="K742" s="8" t="s">
        <v>126</v>
      </c>
      <c r="L742" s="8">
        <v>2.5</v>
      </c>
      <c r="M742" s="8" t="s">
        <v>126</v>
      </c>
      <c r="N742" s="8">
        <v>97</v>
      </c>
      <c r="O742" s="8">
        <v>89</v>
      </c>
      <c r="P742" s="8" t="str">
        <f t="shared" si="71"/>
        <v>BOS</v>
      </c>
      <c r="Q742" s="8">
        <f t="shared" si="69"/>
        <v>-5.5</v>
      </c>
      <c r="R742" s="7">
        <f t="shared" si="70"/>
        <v>0</v>
      </c>
    </row>
    <row r="743" spans="1:18" ht="15" customHeight="1" x14ac:dyDescent="0.25">
      <c r="A743" s="7">
        <v>742</v>
      </c>
      <c r="B743" s="8" t="s">
        <v>151</v>
      </c>
      <c r="C743" s="8">
        <v>2015</v>
      </c>
      <c r="D743" s="8">
        <v>2016</v>
      </c>
      <c r="E743" s="3">
        <v>42403</v>
      </c>
      <c r="F743" s="4">
        <f t="shared" si="66"/>
        <v>2</v>
      </c>
      <c r="G743" s="4">
        <f t="shared" si="67"/>
        <v>3</v>
      </c>
      <c r="H743" s="4">
        <f t="shared" si="68"/>
        <v>2016</v>
      </c>
      <c r="I743" s="10" t="s">
        <v>157</v>
      </c>
      <c r="J743" s="8" t="s">
        <v>7</v>
      </c>
      <c r="K743" s="8" t="s">
        <v>17</v>
      </c>
      <c r="L743" s="8">
        <v>-4</v>
      </c>
      <c r="M743" s="8" t="s">
        <v>7</v>
      </c>
      <c r="N743" s="8">
        <v>95</v>
      </c>
      <c r="O743" s="8">
        <v>102</v>
      </c>
      <c r="P743" s="8" t="str">
        <f t="shared" si="71"/>
        <v>BOS</v>
      </c>
      <c r="Q743" s="8">
        <f t="shared" si="69"/>
        <v>-3</v>
      </c>
      <c r="R743" s="7">
        <f t="shared" si="70"/>
        <v>0</v>
      </c>
    </row>
    <row r="744" spans="1:18" ht="15" customHeight="1" x14ac:dyDescent="0.25">
      <c r="A744" s="7">
        <v>743</v>
      </c>
      <c r="B744" s="8" t="s">
        <v>151</v>
      </c>
      <c r="C744" s="8">
        <v>2015</v>
      </c>
      <c r="D744" s="8">
        <v>2016</v>
      </c>
      <c r="E744" s="3">
        <v>42404</v>
      </c>
      <c r="F744" s="4">
        <f t="shared" si="66"/>
        <v>2</v>
      </c>
      <c r="G744" s="4">
        <f t="shared" si="67"/>
        <v>4</v>
      </c>
      <c r="H744" s="4">
        <f t="shared" si="68"/>
        <v>2016</v>
      </c>
      <c r="I744" s="10" t="s">
        <v>157</v>
      </c>
      <c r="J744" s="8" t="s">
        <v>18</v>
      </c>
      <c r="K744" s="8" t="s">
        <v>124</v>
      </c>
      <c r="L744" s="8">
        <v>-10.5</v>
      </c>
      <c r="M744" s="8" t="s">
        <v>18</v>
      </c>
      <c r="N744" s="8">
        <v>99</v>
      </c>
      <c r="O744" s="8">
        <v>96</v>
      </c>
      <c r="P744" s="8" t="str">
        <f t="shared" si="71"/>
        <v>LAL</v>
      </c>
      <c r="Q744" s="8">
        <f t="shared" si="69"/>
        <v>13.5</v>
      </c>
      <c r="R744" s="7">
        <f t="shared" si="70"/>
        <v>1</v>
      </c>
    </row>
    <row r="745" spans="1:18" ht="15" customHeight="1" x14ac:dyDescent="0.25">
      <c r="A745" s="7">
        <v>744</v>
      </c>
      <c r="B745" s="8" t="s">
        <v>151</v>
      </c>
      <c r="C745" s="8">
        <v>2015</v>
      </c>
      <c r="D745" s="8">
        <v>2016</v>
      </c>
      <c r="E745" s="3">
        <v>42405</v>
      </c>
      <c r="F745" s="4">
        <f t="shared" si="66"/>
        <v>2</v>
      </c>
      <c r="G745" s="4">
        <f t="shared" si="67"/>
        <v>5</v>
      </c>
      <c r="H745" s="4">
        <f t="shared" si="68"/>
        <v>2016</v>
      </c>
      <c r="I745" s="10" t="s">
        <v>157</v>
      </c>
      <c r="J745" s="8" t="s">
        <v>134</v>
      </c>
      <c r="K745" s="8" t="s">
        <v>16</v>
      </c>
      <c r="L745" s="8">
        <v>6.5</v>
      </c>
      <c r="M745" s="8" t="s">
        <v>16</v>
      </c>
      <c r="N745" s="8">
        <v>116</v>
      </c>
      <c r="O745" s="8">
        <v>90</v>
      </c>
      <c r="P745" s="8" t="str">
        <f t="shared" si="71"/>
        <v>SA</v>
      </c>
      <c r="Q745" s="8">
        <f t="shared" si="69"/>
        <v>-19.5</v>
      </c>
      <c r="R745" s="7">
        <f t="shared" si="70"/>
        <v>0</v>
      </c>
    </row>
    <row r="746" spans="1:18" ht="15" customHeight="1" x14ac:dyDescent="0.25">
      <c r="A746" s="7">
        <v>745</v>
      </c>
      <c r="B746" s="8" t="s">
        <v>151</v>
      </c>
      <c r="C746" s="8">
        <v>2015</v>
      </c>
      <c r="D746" s="8">
        <v>2016</v>
      </c>
      <c r="E746" s="3">
        <v>42406</v>
      </c>
      <c r="F746" s="4">
        <f t="shared" si="66"/>
        <v>2</v>
      </c>
      <c r="G746" s="4">
        <f t="shared" si="67"/>
        <v>6</v>
      </c>
      <c r="H746" s="4">
        <f t="shared" si="68"/>
        <v>2016</v>
      </c>
      <c r="I746" s="10" t="s">
        <v>157</v>
      </c>
      <c r="J746" s="8" t="s">
        <v>1</v>
      </c>
      <c r="K746" s="8" t="s">
        <v>4</v>
      </c>
      <c r="L746" s="8">
        <v>-5</v>
      </c>
      <c r="M746" s="8" t="s">
        <v>1</v>
      </c>
      <c r="N746" s="8">
        <v>96</v>
      </c>
      <c r="O746" s="8">
        <v>79</v>
      </c>
      <c r="P746" s="8" t="str">
        <f t="shared" si="71"/>
        <v>POR</v>
      </c>
      <c r="Q746" s="8">
        <f t="shared" si="69"/>
        <v>22</v>
      </c>
      <c r="R746" s="7">
        <f t="shared" si="70"/>
        <v>1</v>
      </c>
    </row>
    <row r="747" spans="1:18" ht="15" customHeight="1" x14ac:dyDescent="0.25">
      <c r="A747" s="7">
        <v>746</v>
      </c>
      <c r="B747" s="8" t="s">
        <v>151</v>
      </c>
      <c r="C747" s="8">
        <v>2015</v>
      </c>
      <c r="D747" s="8">
        <v>2016</v>
      </c>
      <c r="E747" s="3">
        <v>42407</v>
      </c>
      <c r="F747" s="4">
        <f t="shared" si="66"/>
        <v>2</v>
      </c>
      <c r="G747" s="4">
        <f t="shared" si="67"/>
        <v>7</v>
      </c>
      <c r="H747" s="4">
        <f t="shared" si="68"/>
        <v>2016</v>
      </c>
      <c r="I747" s="10" t="s">
        <v>157</v>
      </c>
      <c r="J747" s="8" t="s">
        <v>5</v>
      </c>
      <c r="K747" s="8" t="s">
        <v>11</v>
      </c>
      <c r="L747" s="8">
        <v>3</v>
      </c>
      <c r="M747" s="8" t="s">
        <v>5</v>
      </c>
      <c r="N747" s="8">
        <v>94</v>
      </c>
      <c r="O747" s="8">
        <v>96</v>
      </c>
      <c r="P747" s="8" t="str">
        <f t="shared" si="71"/>
        <v>ORL</v>
      </c>
      <c r="Q747" s="8">
        <f t="shared" si="69"/>
        <v>-5</v>
      </c>
      <c r="R747" s="7">
        <f t="shared" si="70"/>
        <v>0</v>
      </c>
    </row>
    <row r="748" spans="1:18" ht="15" customHeight="1" x14ac:dyDescent="0.25">
      <c r="A748" s="7">
        <v>747</v>
      </c>
      <c r="B748" s="8" t="s">
        <v>151</v>
      </c>
      <c r="C748" s="8">
        <v>2015</v>
      </c>
      <c r="D748" s="8">
        <v>2016</v>
      </c>
      <c r="E748" s="3">
        <v>42408</v>
      </c>
      <c r="F748" s="4">
        <f t="shared" si="66"/>
        <v>2</v>
      </c>
      <c r="G748" s="4">
        <f t="shared" si="67"/>
        <v>8</v>
      </c>
      <c r="H748" s="4">
        <f t="shared" si="68"/>
        <v>2016</v>
      </c>
      <c r="I748" s="10" t="s">
        <v>157</v>
      </c>
      <c r="J748" s="8" t="s">
        <v>12</v>
      </c>
      <c r="K748" s="8" t="s">
        <v>19</v>
      </c>
      <c r="L748" s="8">
        <v>13.5</v>
      </c>
      <c r="M748" s="8" t="s">
        <v>12</v>
      </c>
      <c r="N748" s="8">
        <v>122</v>
      </c>
      <c r="O748" s="8">
        <v>106</v>
      </c>
      <c r="P748" s="8" t="str">
        <f t="shared" si="71"/>
        <v>OKC</v>
      </c>
      <c r="Q748" s="8">
        <f t="shared" si="69"/>
        <v>2.5</v>
      </c>
      <c r="R748" s="7">
        <f t="shared" si="70"/>
        <v>1</v>
      </c>
    </row>
    <row r="749" spans="1:18" ht="15" customHeight="1" x14ac:dyDescent="0.25">
      <c r="A749" s="7">
        <v>748</v>
      </c>
      <c r="B749" s="8" t="s">
        <v>151</v>
      </c>
      <c r="C749" s="8">
        <v>2015</v>
      </c>
      <c r="D749" s="8">
        <v>2016</v>
      </c>
      <c r="E749" s="3">
        <v>42409</v>
      </c>
      <c r="F749" s="4">
        <f t="shared" si="66"/>
        <v>2</v>
      </c>
      <c r="G749" s="4">
        <f t="shared" si="67"/>
        <v>9</v>
      </c>
      <c r="H749" s="4">
        <f t="shared" si="68"/>
        <v>2016</v>
      </c>
      <c r="I749" s="10" t="s">
        <v>157</v>
      </c>
      <c r="J749" s="8" t="s">
        <v>134</v>
      </c>
      <c r="K749" s="8" t="s">
        <v>15</v>
      </c>
      <c r="L749" s="8">
        <v>6.5</v>
      </c>
      <c r="M749" s="8" t="s">
        <v>15</v>
      </c>
      <c r="N749" s="8">
        <v>119</v>
      </c>
      <c r="O749" s="8">
        <v>101</v>
      </c>
      <c r="P749" s="8" t="str">
        <f t="shared" si="71"/>
        <v>SA</v>
      </c>
      <c r="Q749" s="8">
        <f t="shared" si="69"/>
        <v>-11.5</v>
      </c>
      <c r="R749" s="7">
        <f t="shared" si="70"/>
        <v>0</v>
      </c>
    </row>
    <row r="750" spans="1:18" ht="15" customHeight="1" x14ac:dyDescent="0.25">
      <c r="A750" s="7">
        <v>749</v>
      </c>
      <c r="B750" s="8" t="s">
        <v>151</v>
      </c>
      <c r="C750" s="8">
        <v>2015</v>
      </c>
      <c r="D750" s="8">
        <v>2016</v>
      </c>
      <c r="E750" s="3">
        <v>42410</v>
      </c>
      <c r="F750" s="4">
        <f t="shared" si="66"/>
        <v>2</v>
      </c>
      <c r="G750" s="4">
        <f t="shared" si="67"/>
        <v>10</v>
      </c>
      <c r="H750" s="4">
        <f t="shared" si="68"/>
        <v>2016</v>
      </c>
      <c r="I750" s="10" t="s">
        <v>157</v>
      </c>
      <c r="J750" s="8" t="s">
        <v>2</v>
      </c>
      <c r="K750" s="8" t="s">
        <v>3</v>
      </c>
      <c r="L750" s="8">
        <v>6</v>
      </c>
      <c r="M750" s="8" t="s">
        <v>2</v>
      </c>
      <c r="N750" s="8">
        <v>112</v>
      </c>
      <c r="O750" s="8">
        <v>117</v>
      </c>
      <c r="P750" s="8" t="str">
        <f t="shared" si="71"/>
        <v>MIN</v>
      </c>
      <c r="Q750" s="8">
        <f t="shared" si="69"/>
        <v>-11</v>
      </c>
      <c r="R750" s="7">
        <f t="shared" si="70"/>
        <v>0</v>
      </c>
    </row>
    <row r="751" spans="1:18" ht="15" customHeight="1" x14ac:dyDescent="0.25">
      <c r="A751" s="7">
        <v>750</v>
      </c>
      <c r="B751" s="8" t="s">
        <v>151</v>
      </c>
      <c r="C751" s="8">
        <v>2015</v>
      </c>
      <c r="D751" s="8">
        <v>2016</v>
      </c>
      <c r="E751" s="3">
        <v>42411</v>
      </c>
      <c r="F751" s="4">
        <f t="shared" si="66"/>
        <v>2</v>
      </c>
      <c r="G751" s="4">
        <f t="shared" si="67"/>
        <v>11</v>
      </c>
      <c r="H751" s="4">
        <f t="shared" si="68"/>
        <v>2016</v>
      </c>
      <c r="I751" s="10" t="s">
        <v>157</v>
      </c>
      <c r="J751" s="8" t="s">
        <v>124</v>
      </c>
      <c r="K751" s="8" t="s">
        <v>12</v>
      </c>
      <c r="L751" s="8">
        <v>-11.5</v>
      </c>
      <c r="M751" s="8" t="s">
        <v>12</v>
      </c>
      <c r="N751" s="8">
        <v>95</v>
      </c>
      <c r="O751" s="8">
        <v>121</v>
      </c>
      <c r="P751" s="8" t="str">
        <f t="shared" si="71"/>
        <v>OKC</v>
      </c>
      <c r="Q751" s="8">
        <f t="shared" si="69"/>
        <v>14.5</v>
      </c>
      <c r="R751" s="7">
        <f t="shared" si="70"/>
        <v>1</v>
      </c>
    </row>
    <row r="752" spans="1:18" ht="15" customHeight="1" x14ac:dyDescent="0.25">
      <c r="A752" s="7">
        <v>751</v>
      </c>
      <c r="B752" s="8" t="s">
        <v>151</v>
      </c>
      <c r="C752" s="8">
        <v>2015</v>
      </c>
      <c r="D752" s="8">
        <v>2016</v>
      </c>
      <c r="E752" s="3">
        <v>42418</v>
      </c>
      <c r="F752" s="4">
        <f t="shared" si="66"/>
        <v>2</v>
      </c>
      <c r="G752" s="4">
        <f t="shared" si="67"/>
        <v>18</v>
      </c>
      <c r="H752" s="4">
        <f t="shared" si="68"/>
        <v>2016</v>
      </c>
      <c r="I752" s="10" t="s">
        <v>157</v>
      </c>
      <c r="J752" s="8" t="s">
        <v>137</v>
      </c>
      <c r="K752" s="8" t="s">
        <v>139</v>
      </c>
      <c r="L752" s="8">
        <v>-1</v>
      </c>
      <c r="M752" s="8" t="s">
        <v>139</v>
      </c>
      <c r="N752" s="8">
        <v>89</v>
      </c>
      <c r="O752" s="8">
        <v>103</v>
      </c>
      <c r="P752" s="8" t="str">
        <f t="shared" si="71"/>
        <v>WSH</v>
      </c>
      <c r="Q752" s="8">
        <f t="shared" si="69"/>
        <v>13</v>
      </c>
      <c r="R752" s="7">
        <f t="shared" si="70"/>
        <v>1</v>
      </c>
    </row>
    <row r="753" spans="1:18" ht="15" customHeight="1" x14ac:dyDescent="0.25">
      <c r="A753" s="7">
        <v>752</v>
      </c>
      <c r="B753" s="8" t="s">
        <v>151</v>
      </c>
      <c r="C753" s="8">
        <v>2015</v>
      </c>
      <c r="D753" s="8">
        <v>2016</v>
      </c>
      <c r="E753" s="3">
        <v>42419</v>
      </c>
      <c r="F753" s="4">
        <f t="shared" si="66"/>
        <v>2</v>
      </c>
      <c r="G753" s="4">
        <f t="shared" si="67"/>
        <v>19</v>
      </c>
      <c r="H753" s="4">
        <f t="shared" si="68"/>
        <v>2016</v>
      </c>
      <c r="I753" s="10" t="s">
        <v>157</v>
      </c>
      <c r="J753" s="8" t="s">
        <v>134</v>
      </c>
      <c r="K753" s="8" t="s">
        <v>18</v>
      </c>
      <c r="L753" s="2">
        <v>-10</v>
      </c>
      <c r="M753" s="8" t="s">
        <v>134</v>
      </c>
      <c r="N753" s="2">
        <v>119</v>
      </c>
      <c r="O753" s="2">
        <v>113</v>
      </c>
      <c r="P753" s="8" t="str">
        <f t="shared" si="71"/>
        <v>SA</v>
      </c>
      <c r="Q753" s="8">
        <f t="shared" si="69"/>
        <v>16</v>
      </c>
      <c r="R753" s="7">
        <f t="shared" si="70"/>
        <v>1</v>
      </c>
    </row>
    <row r="754" spans="1:18" ht="15" customHeight="1" x14ac:dyDescent="0.25">
      <c r="A754" s="7">
        <v>753</v>
      </c>
      <c r="B754" s="8" t="s">
        <v>151</v>
      </c>
      <c r="C754" s="8">
        <v>2015</v>
      </c>
      <c r="D754" s="8">
        <v>2016</v>
      </c>
      <c r="E754" s="3">
        <v>42420</v>
      </c>
      <c r="F754" s="4">
        <f t="shared" si="66"/>
        <v>2</v>
      </c>
      <c r="G754" s="4">
        <f t="shared" si="67"/>
        <v>20</v>
      </c>
      <c r="H754" s="4">
        <f t="shared" si="68"/>
        <v>2016</v>
      </c>
      <c r="I754" s="10" t="s">
        <v>157</v>
      </c>
      <c r="J754" s="8" t="s">
        <v>10</v>
      </c>
      <c r="K754" s="8" t="s">
        <v>5</v>
      </c>
      <c r="L754" s="7">
        <v>-8</v>
      </c>
      <c r="M754" s="8" t="s">
        <v>10</v>
      </c>
      <c r="N754" s="7">
        <v>117</v>
      </c>
      <c r="O754" s="7">
        <v>109</v>
      </c>
      <c r="P754" s="8" t="str">
        <f t="shared" si="71"/>
        <v>MIL</v>
      </c>
      <c r="Q754" s="8">
        <f t="shared" si="69"/>
        <v>16</v>
      </c>
      <c r="R754" s="7">
        <f t="shared" si="70"/>
        <v>1</v>
      </c>
    </row>
    <row r="755" spans="1:18" ht="15" customHeight="1" x14ac:dyDescent="0.25">
      <c r="A755" s="7">
        <v>754</v>
      </c>
      <c r="B755" s="8" t="s">
        <v>151</v>
      </c>
      <c r="C755" s="8">
        <v>2015</v>
      </c>
      <c r="D755" s="8">
        <v>2016</v>
      </c>
      <c r="E755" s="3">
        <v>42421</v>
      </c>
      <c r="F755" s="4">
        <f t="shared" si="66"/>
        <v>2</v>
      </c>
      <c r="G755" s="4">
        <f t="shared" si="67"/>
        <v>21</v>
      </c>
      <c r="H755" s="4">
        <f t="shared" si="68"/>
        <v>2016</v>
      </c>
      <c r="I755" s="10" t="s">
        <v>157</v>
      </c>
      <c r="J755" s="8" t="s">
        <v>13</v>
      </c>
      <c r="K755" s="8" t="s">
        <v>11</v>
      </c>
      <c r="L755" s="8">
        <v>1</v>
      </c>
      <c r="M755" s="8" t="s">
        <v>13</v>
      </c>
      <c r="N755" s="8">
        <v>105</v>
      </c>
      <c r="O755" s="8">
        <v>102</v>
      </c>
      <c r="P755" s="8" t="str">
        <f t="shared" si="71"/>
        <v>IND</v>
      </c>
      <c r="Q755" s="8">
        <f t="shared" si="69"/>
        <v>2</v>
      </c>
      <c r="R755" s="7">
        <f t="shared" si="70"/>
        <v>1</v>
      </c>
    </row>
    <row r="756" spans="1:18" ht="15" customHeight="1" x14ac:dyDescent="0.25">
      <c r="A756" s="7">
        <v>755</v>
      </c>
      <c r="B756" s="8" t="s">
        <v>151</v>
      </c>
      <c r="C756" s="8">
        <v>2015</v>
      </c>
      <c r="D756" s="8">
        <v>2016</v>
      </c>
      <c r="E756" s="3">
        <v>42422</v>
      </c>
      <c r="F756" s="4">
        <f t="shared" si="66"/>
        <v>2</v>
      </c>
      <c r="G756" s="4">
        <f t="shared" si="67"/>
        <v>22</v>
      </c>
      <c r="H756" s="4">
        <f t="shared" si="68"/>
        <v>2016</v>
      </c>
      <c r="I756" s="10" t="s">
        <v>157</v>
      </c>
      <c r="J756" s="8" t="s">
        <v>17</v>
      </c>
      <c r="K756" s="8" t="s">
        <v>3</v>
      </c>
      <c r="L756" s="8">
        <v>4.5</v>
      </c>
      <c r="M756" s="8" t="s">
        <v>3</v>
      </c>
      <c r="N756" s="8">
        <v>122</v>
      </c>
      <c r="O756" s="8">
        <v>124</v>
      </c>
      <c r="P756" s="8" t="str">
        <f t="shared" si="71"/>
        <v>MIN</v>
      </c>
      <c r="Q756" s="8">
        <f t="shared" si="69"/>
        <v>6.5</v>
      </c>
      <c r="R756" s="7">
        <f t="shared" si="70"/>
        <v>1</v>
      </c>
    </row>
    <row r="757" spans="1:18" ht="15" customHeight="1" x14ac:dyDescent="0.25">
      <c r="A757" s="7">
        <v>756</v>
      </c>
      <c r="B757" s="8" t="s">
        <v>151</v>
      </c>
      <c r="C757" s="8">
        <v>2015</v>
      </c>
      <c r="D757" s="8">
        <v>2016</v>
      </c>
      <c r="E757" s="3">
        <v>42423</v>
      </c>
      <c r="F757" s="4">
        <f t="shared" si="66"/>
        <v>2</v>
      </c>
      <c r="G757" s="4">
        <f t="shared" si="67"/>
        <v>23</v>
      </c>
      <c r="H757" s="4">
        <f t="shared" si="68"/>
        <v>2016</v>
      </c>
      <c r="I757" s="10" t="s">
        <v>157</v>
      </c>
      <c r="J757" s="8" t="s">
        <v>22</v>
      </c>
      <c r="K757" s="8" t="s">
        <v>1</v>
      </c>
      <c r="L757" s="8">
        <v>-11.5</v>
      </c>
      <c r="M757" s="8" t="s">
        <v>1</v>
      </c>
      <c r="N757" s="8">
        <v>104</v>
      </c>
      <c r="O757" s="8">
        <v>112</v>
      </c>
      <c r="P757" s="8" t="str">
        <f t="shared" si="71"/>
        <v>BKN</v>
      </c>
      <c r="Q757" s="8">
        <f t="shared" si="69"/>
        <v>-3.5</v>
      </c>
      <c r="R757" s="7">
        <f t="shared" si="70"/>
        <v>0</v>
      </c>
    </row>
    <row r="758" spans="1:18" ht="15" customHeight="1" x14ac:dyDescent="0.25">
      <c r="A758" s="7">
        <v>757</v>
      </c>
      <c r="B758" s="8" t="s">
        <v>151</v>
      </c>
      <c r="C758" s="8">
        <v>2015</v>
      </c>
      <c r="D758" s="8">
        <v>2016</v>
      </c>
      <c r="E758" s="3">
        <v>42424</v>
      </c>
      <c r="F758" s="4">
        <f t="shared" si="66"/>
        <v>2</v>
      </c>
      <c r="G758" s="4">
        <f t="shared" si="67"/>
        <v>24</v>
      </c>
      <c r="H758" s="4">
        <f t="shared" si="68"/>
        <v>2016</v>
      </c>
      <c r="I758" s="10" t="s">
        <v>157</v>
      </c>
      <c r="J758" s="8" t="s">
        <v>23</v>
      </c>
      <c r="K758" s="8" t="s">
        <v>14</v>
      </c>
      <c r="L758" s="8">
        <v>-10.5</v>
      </c>
      <c r="M758" s="8" t="s">
        <v>14</v>
      </c>
      <c r="N758" s="8">
        <v>87</v>
      </c>
      <c r="O758" s="8">
        <v>81</v>
      </c>
      <c r="P758" s="8" t="str">
        <f t="shared" si="71"/>
        <v>DEN</v>
      </c>
      <c r="Q758" s="8">
        <f t="shared" si="69"/>
        <v>-16.5</v>
      </c>
      <c r="R758" s="7">
        <f t="shared" si="70"/>
        <v>0</v>
      </c>
    </row>
    <row r="759" spans="1:18" ht="15" customHeight="1" x14ac:dyDescent="0.25">
      <c r="A759" s="7">
        <v>758</v>
      </c>
      <c r="B759" s="8" t="s">
        <v>151</v>
      </c>
      <c r="C759" s="8">
        <v>2015</v>
      </c>
      <c r="D759" s="8">
        <v>2016</v>
      </c>
      <c r="E759" s="3">
        <v>42425</v>
      </c>
      <c r="F759" s="4">
        <f t="shared" si="66"/>
        <v>2</v>
      </c>
      <c r="G759" s="4">
        <f t="shared" si="67"/>
        <v>25</v>
      </c>
      <c r="H759" s="4">
        <f t="shared" si="68"/>
        <v>2016</v>
      </c>
      <c r="I759" s="10" t="s">
        <v>157</v>
      </c>
      <c r="J759" s="8" t="s">
        <v>10</v>
      </c>
      <c r="K759" s="8" t="s">
        <v>17</v>
      </c>
      <c r="L759" s="8">
        <v>-8</v>
      </c>
      <c r="M759" s="8" t="s">
        <v>17</v>
      </c>
      <c r="N759" s="8">
        <v>107</v>
      </c>
      <c r="O759" s="8">
        <v>112</v>
      </c>
      <c r="P759" s="8" t="str">
        <f t="shared" si="71"/>
        <v>MIL</v>
      </c>
      <c r="Q759" s="8">
        <f t="shared" si="69"/>
        <v>-3</v>
      </c>
      <c r="R759" s="7">
        <f t="shared" si="70"/>
        <v>0</v>
      </c>
    </row>
    <row r="760" spans="1:18" ht="15" customHeight="1" x14ac:dyDescent="0.25">
      <c r="A760" s="7">
        <v>759</v>
      </c>
      <c r="B760" s="8" t="s">
        <v>151</v>
      </c>
      <c r="C760" s="8">
        <v>2015</v>
      </c>
      <c r="D760" s="8">
        <v>2016</v>
      </c>
      <c r="E760" s="3">
        <v>42426</v>
      </c>
      <c r="F760" s="4">
        <f t="shared" si="66"/>
        <v>2</v>
      </c>
      <c r="G760" s="4">
        <f t="shared" si="67"/>
        <v>26</v>
      </c>
      <c r="H760" s="4">
        <f t="shared" si="68"/>
        <v>2016</v>
      </c>
      <c r="I760" s="10" t="s">
        <v>157</v>
      </c>
      <c r="J760" s="8" t="s">
        <v>6</v>
      </c>
      <c r="K760" s="8" t="s">
        <v>2</v>
      </c>
      <c r="L760" s="8">
        <v>1.5</v>
      </c>
      <c r="M760" s="8" t="s">
        <v>6</v>
      </c>
      <c r="N760" s="8">
        <v>97</v>
      </c>
      <c r="O760" s="8">
        <v>99</v>
      </c>
      <c r="P760" s="8" t="str">
        <f t="shared" si="71"/>
        <v>TOR</v>
      </c>
      <c r="Q760" s="8">
        <f t="shared" si="69"/>
        <v>-3.5</v>
      </c>
      <c r="R760" s="7">
        <f t="shared" si="70"/>
        <v>0</v>
      </c>
    </row>
    <row r="761" spans="1:18" ht="15" customHeight="1" x14ac:dyDescent="0.25">
      <c r="A761" s="7">
        <v>760</v>
      </c>
      <c r="B761" s="8" t="s">
        <v>151</v>
      </c>
      <c r="C761" s="8">
        <v>2015</v>
      </c>
      <c r="D761" s="8">
        <v>2016</v>
      </c>
      <c r="E761" s="3">
        <v>42427</v>
      </c>
      <c r="F761" s="4">
        <f t="shared" si="66"/>
        <v>2</v>
      </c>
      <c r="G761" s="4">
        <f t="shared" si="67"/>
        <v>27</v>
      </c>
      <c r="H761" s="4">
        <f t="shared" si="68"/>
        <v>2016</v>
      </c>
      <c r="I761" s="10" t="s">
        <v>157</v>
      </c>
      <c r="J761" s="8" t="s">
        <v>7</v>
      </c>
      <c r="K761" s="8" t="s">
        <v>10</v>
      </c>
      <c r="L761" s="8">
        <v>-2</v>
      </c>
      <c r="M761" s="8" t="s">
        <v>7</v>
      </c>
      <c r="N761" s="8">
        <v>102</v>
      </c>
      <c r="O761" s="8">
        <v>91</v>
      </c>
      <c r="P761" s="8" t="str">
        <f t="shared" si="71"/>
        <v>DET</v>
      </c>
      <c r="Q761" s="8">
        <f t="shared" si="69"/>
        <v>13</v>
      </c>
      <c r="R761" s="7">
        <f t="shared" si="70"/>
        <v>1</v>
      </c>
    </row>
    <row r="762" spans="1:18" ht="15" customHeight="1" x14ac:dyDescent="0.25">
      <c r="A762" s="7">
        <v>761</v>
      </c>
      <c r="B762" s="8" t="s">
        <v>151</v>
      </c>
      <c r="C762" s="8">
        <v>2015</v>
      </c>
      <c r="D762" s="8">
        <v>2016</v>
      </c>
      <c r="E762" s="3">
        <v>42428</v>
      </c>
      <c r="F762" s="4">
        <f t="shared" si="66"/>
        <v>2</v>
      </c>
      <c r="G762" s="4">
        <f t="shared" si="67"/>
        <v>28</v>
      </c>
      <c r="H762" s="4">
        <f t="shared" si="68"/>
        <v>2016</v>
      </c>
      <c r="I762" s="10" t="s">
        <v>157</v>
      </c>
      <c r="J762" s="8" t="s">
        <v>15</v>
      </c>
      <c r="K762" s="8" t="s">
        <v>126</v>
      </c>
      <c r="L762" s="8">
        <v>-1</v>
      </c>
      <c r="M762" s="8" t="s">
        <v>126</v>
      </c>
      <c r="N762" s="8">
        <v>98</v>
      </c>
      <c r="O762" s="8">
        <v>81</v>
      </c>
      <c r="P762" s="8" t="str">
        <f t="shared" si="71"/>
        <v>MIA</v>
      </c>
      <c r="Q762" s="8">
        <f t="shared" si="69"/>
        <v>-18</v>
      </c>
      <c r="R762" s="7">
        <f t="shared" si="70"/>
        <v>0</v>
      </c>
    </row>
    <row r="763" spans="1:18" ht="15" customHeight="1" x14ac:dyDescent="0.25">
      <c r="A763" s="7">
        <v>762</v>
      </c>
      <c r="B763" s="8" t="s">
        <v>151</v>
      </c>
      <c r="C763" s="8">
        <v>2015</v>
      </c>
      <c r="D763" s="8">
        <v>2016</v>
      </c>
      <c r="E763" s="3">
        <v>42429</v>
      </c>
      <c r="F763" s="4">
        <f t="shared" si="66"/>
        <v>2</v>
      </c>
      <c r="G763" s="4">
        <f t="shared" si="67"/>
        <v>29</v>
      </c>
      <c r="H763" s="4">
        <f t="shared" si="68"/>
        <v>2016</v>
      </c>
      <c r="I763" s="10" t="s">
        <v>157</v>
      </c>
      <c r="J763" s="8" t="s">
        <v>4</v>
      </c>
      <c r="K763" s="8" t="s">
        <v>10</v>
      </c>
      <c r="L763" s="8">
        <v>1</v>
      </c>
      <c r="M763" s="8" t="s">
        <v>10</v>
      </c>
      <c r="N763" s="8">
        <v>121</v>
      </c>
      <c r="O763" s="8">
        <v>128</v>
      </c>
      <c r="P763" s="8" t="str">
        <f t="shared" si="71"/>
        <v>MIL</v>
      </c>
      <c r="Q763" s="8">
        <f t="shared" si="69"/>
        <v>8</v>
      </c>
      <c r="R763" s="7">
        <f t="shared" si="70"/>
        <v>1</v>
      </c>
    </row>
    <row r="764" spans="1:18" ht="15" customHeight="1" x14ac:dyDescent="0.25">
      <c r="A764" s="7">
        <v>763</v>
      </c>
      <c r="B764" s="8" t="s">
        <v>151</v>
      </c>
      <c r="C764" s="8">
        <v>2015</v>
      </c>
      <c r="D764" s="8">
        <v>2016</v>
      </c>
      <c r="E764" s="3">
        <v>42430</v>
      </c>
      <c r="F764" s="4">
        <f t="shared" si="66"/>
        <v>3</v>
      </c>
      <c r="G764" s="4">
        <f t="shared" si="67"/>
        <v>1</v>
      </c>
      <c r="H764" s="4">
        <f t="shared" si="68"/>
        <v>2016</v>
      </c>
      <c r="I764" s="10" t="s">
        <v>157</v>
      </c>
      <c r="J764" s="8" t="s">
        <v>1</v>
      </c>
      <c r="K764" s="8" t="s">
        <v>126</v>
      </c>
      <c r="L764" s="8">
        <v>5</v>
      </c>
      <c r="M764" s="8" t="s">
        <v>1</v>
      </c>
      <c r="N764" s="8">
        <v>104</v>
      </c>
      <c r="O764" s="8">
        <v>85</v>
      </c>
      <c r="P764" s="8" t="str">
        <f t="shared" si="71"/>
        <v>POR</v>
      </c>
      <c r="Q764" s="8">
        <f t="shared" si="69"/>
        <v>14</v>
      </c>
      <c r="R764" s="7">
        <f t="shared" si="70"/>
        <v>1</v>
      </c>
    </row>
    <row r="765" spans="1:18" ht="15" customHeight="1" x14ac:dyDescent="0.25">
      <c r="A765" s="7">
        <v>764</v>
      </c>
      <c r="B765" s="8" t="s">
        <v>151</v>
      </c>
      <c r="C765" s="8">
        <v>2015</v>
      </c>
      <c r="D765" s="8">
        <v>2016</v>
      </c>
      <c r="E765" s="3">
        <v>42431</v>
      </c>
      <c r="F765" s="4">
        <f t="shared" si="66"/>
        <v>3</v>
      </c>
      <c r="G765" s="4">
        <f t="shared" si="67"/>
        <v>2</v>
      </c>
      <c r="H765" s="4">
        <f t="shared" si="68"/>
        <v>2016</v>
      </c>
      <c r="I765" s="10" t="s">
        <v>157</v>
      </c>
      <c r="J765" s="8" t="s">
        <v>137</v>
      </c>
      <c r="K765" s="8" t="s">
        <v>2</v>
      </c>
      <c r="L765" s="8">
        <v>-5.5</v>
      </c>
      <c r="M765" s="8" t="s">
        <v>2</v>
      </c>
      <c r="N765" s="8">
        <v>94</v>
      </c>
      <c r="O765" s="8">
        <v>104</v>
      </c>
      <c r="P765" s="8" t="str">
        <f t="shared" si="71"/>
        <v>TOR</v>
      </c>
      <c r="Q765" s="8">
        <f t="shared" si="69"/>
        <v>4.5</v>
      </c>
      <c r="R765" s="7">
        <f t="shared" si="70"/>
        <v>1</v>
      </c>
    </row>
    <row r="766" spans="1:18" ht="15" customHeight="1" x14ac:dyDescent="0.25">
      <c r="A766" s="7">
        <v>765</v>
      </c>
      <c r="B766" s="8" t="s">
        <v>151</v>
      </c>
      <c r="C766" s="8">
        <v>2015</v>
      </c>
      <c r="D766" s="8">
        <v>2016</v>
      </c>
      <c r="E766" s="3">
        <v>42432</v>
      </c>
      <c r="F766" s="4">
        <f t="shared" si="66"/>
        <v>3</v>
      </c>
      <c r="G766" s="4">
        <f t="shared" si="67"/>
        <v>3</v>
      </c>
      <c r="H766" s="4">
        <f t="shared" si="68"/>
        <v>2016</v>
      </c>
      <c r="I766" s="10" t="s">
        <v>157</v>
      </c>
      <c r="J766" s="8" t="s">
        <v>19</v>
      </c>
      <c r="K766" s="8" t="s">
        <v>15</v>
      </c>
      <c r="L766" s="8">
        <v>-14</v>
      </c>
      <c r="M766" s="8" t="s">
        <v>19</v>
      </c>
      <c r="N766" s="8">
        <v>92</v>
      </c>
      <c r="O766" s="8">
        <v>108</v>
      </c>
      <c r="P766" s="8" t="str">
        <f t="shared" si="71"/>
        <v>MIA</v>
      </c>
      <c r="Q766" s="8">
        <f t="shared" si="69"/>
        <v>-2</v>
      </c>
      <c r="R766" s="7">
        <f t="shared" si="70"/>
        <v>0</v>
      </c>
    </row>
    <row r="767" spans="1:18" ht="15" customHeight="1" x14ac:dyDescent="0.25">
      <c r="A767" s="7">
        <v>766</v>
      </c>
      <c r="B767" s="8" t="s">
        <v>151</v>
      </c>
      <c r="C767" s="8">
        <v>2015</v>
      </c>
      <c r="D767" s="8">
        <v>2016</v>
      </c>
      <c r="E767" s="3">
        <v>42433</v>
      </c>
      <c r="F767" s="4">
        <f t="shared" si="66"/>
        <v>3</v>
      </c>
      <c r="G767" s="4">
        <f t="shared" si="67"/>
        <v>4</v>
      </c>
      <c r="H767" s="4">
        <f t="shared" si="68"/>
        <v>2016</v>
      </c>
      <c r="I767" s="10" t="s">
        <v>157</v>
      </c>
      <c r="J767" s="8" t="s">
        <v>13</v>
      </c>
      <c r="K767" s="8" t="s">
        <v>8</v>
      </c>
      <c r="L767" s="8">
        <v>-2.5</v>
      </c>
      <c r="M767" s="8" t="s">
        <v>8</v>
      </c>
      <c r="N767" s="8">
        <v>101</v>
      </c>
      <c r="O767" s="8">
        <v>108</v>
      </c>
      <c r="P767" s="8" t="str">
        <f t="shared" si="71"/>
        <v>CHA</v>
      </c>
      <c r="Q767" s="8">
        <f t="shared" si="69"/>
        <v>4.5</v>
      </c>
      <c r="R767" s="7">
        <f t="shared" si="70"/>
        <v>1</v>
      </c>
    </row>
    <row r="768" spans="1:18" ht="15" customHeight="1" x14ac:dyDescent="0.25">
      <c r="A768" s="7">
        <v>767</v>
      </c>
      <c r="B768" s="8" t="s">
        <v>151</v>
      </c>
      <c r="C768" s="8">
        <v>2015</v>
      </c>
      <c r="D768" s="8">
        <v>2016</v>
      </c>
      <c r="E768" s="3">
        <v>42434</v>
      </c>
      <c r="F768" s="4">
        <f t="shared" si="66"/>
        <v>3</v>
      </c>
      <c r="G768" s="4">
        <f t="shared" si="67"/>
        <v>5</v>
      </c>
      <c r="H768" s="4">
        <f t="shared" si="68"/>
        <v>2016</v>
      </c>
      <c r="I768" s="10" t="s">
        <v>157</v>
      </c>
      <c r="J768" s="8" t="s">
        <v>17</v>
      </c>
      <c r="K768" s="8" t="s">
        <v>6</v>
      </c>
      <c r="L768" s="8">
        <v>7.5</v>
      </c>
      <c r="M768" s="8" t="s">
        <v>17</v>
      </c>
      <c r="N768" s="8">
        <v>103</v>
      </c>
      <c r="O768" s="8">
        <v>120</v>
      </c>
      <c r="P768" s="8" t="str">
        <f t="shared" si="71"/>
        <v>CLE</v>
      </c>
      <c r="Q768" s="8">
        <f t="shared" si="69"/>
        <v>-24.5</v>
      </c>
      <c r="R768" s="7">
        <f t="shared" si="70"/>
        <v>0</v>
      </c>
    </row>
    <row r="769" spans="1:18" ht="15" customHeight="1" x14ac:dyDescent="0.25">
      <c r="A769" s="7">
        <v>768</v>
      </c>
      <c r="B769" s="8" t="s">
        <v>151</v>
      </c>
      <c r="C769" s="8">
        <v>2015</v>
      </c>
      <c r="D769" s="8">
        <v>2016</v>
      </c>
      <c r="E769" s="3">
        <v>42435</v>
      </c>
      <c r="F769" s="4">
        <f t="shared" si="66"/>
        <v>3</v>
      </c>
      <c r="G769" s="4">
        <f t="shared" si="67"/>
        <v>6</v>
      </c>
      <c r="H769" s="4">
        <f t="shared" si="68"/>
        <v>2016</v>
      </c>
      <c r="I769" s="10" t="s">
        <v>157</v>
      </c>
      <c r="J769" s="8" t="s">
        <v>19</v>
      </c>
      <c r="K769" s="8" t="s">
        <v>9</v>
      </c>
      <c r="L769" s="8">
        <v>-10.5</v>
      </c>
      <c r="M769" s="8" t="s">
        <v>9</v>
      </c>
      <c r="N769" s="8">
        <v>109</v>
      </c>
      <c r="O769" s="8">
        <v>100</v>
      </c>
      <c r="P769" s="8" t="str">
        <f t="shared" si="71"/>
        <v>PHX</v>
      </c>
      <c r="Q769" s="8">
        <f t="shared" si="69"/>
        <v>-19.5</v>
      </c>
      <c r="R769" s="7">
        <f t="shared" si="70"/>
        <v>0</v>
      </c>
    </row>
    <row r="770" spans="1:18" ht="15" customHeight="1" x14ac:dyDescent="0.25">
      <c r="A770" s="7">
        <v>769</v>
      </c>
      <c r="B770" s="8" t="s">
        <v>151</v>
      </c>
      <c r="C770" s="8">
        <v>2015</v>
      </c>
      <c r="D770" s="8">
        <v>2016</v>
      </c>
      <c r="E770" s="3">
        <v>42436</v>
      </c>
      <c r="F770" s="4">
        <f t="shared" ref="F770:F793" si="72">MONTH(E770)</f>
        <v>3</v>
      </c>
      <c r="G770" s="4">
        <f t="shared" ref="G770:G793" si="73">DAY(E770)</f>
        <v>7</v>
      </c>
      <c r="H770" s="4">
        <f t="shared" ref="H770:H793" si="74">YEAR(E770)</f>
        <v>2016</v>
      </c>
      <c r="I770" s="10" t="s">
        <v>157</v>
      </c>
      <c r="J770" s="8" t="s">
        <v>14</v>
      </c>
      <c r="K770" s="8" t="s">
        <v>16</v>
      </c>
      <c r="L770" s="8">
        <v>5.5</v>
      </c>
      <c r="M770" s="8" t="s">
        <v>16</v>
      </c>
      <c r="N770" s="8">
        <v>109</v>
      </c>
      <c r="O770" s="8">
        <v>90</v>
      </c>
      <c r="P770" s="8" t="str">
        <f t="shared" si="71"/>
        <v>LAC</v>
      </c>
      <c r="Q770" s="8">
        <f t="shared" ref="Q770:Q793" si="75">IF(AND(N770&gt;0,O770&gt;0,(O770+L770)=N770),0,IF(P770="","",IF(P770=M770,ABS((O770+L770)-N770),-ABS((O770+L770)-N770))))</f>
        <v>-13.5</v>
      </c>
      <c r="R770" s="7">
        <f t="shared" si="70"/>
        <v>0</v>
      </c>
    </row>
    <row r="771" spans="1:18" ht="15" customHeight="1" x14ac:dyDescent="0.25">
      <c r="A771" s="7">
        <v>770</v>
      </c>
      <c r="B771" s="8" t="s">
        <v>151</v>
      </c>
      <c r="C771" s="8">
        <v>2015</v>
      </c>
      <c r="D771" s="8">
        <v>2016</v>
      </c>
      <c r="E771" s="3">
        <v>42437</v>
      </c>
      <c r="F771" s="4">
        <f t="shared" si="72"/>
        <v>3</v>
      </c>
      <c r="G771" s="4">
        <f t="shared" si="73"/>
        <v>8</v>
      </c>
      <c r="H771" s="4">
        <f t="shared" si="74"/>
        <v>2016</v>
      </c>
      <c r="I771" s="10" t="s">
        <v>157</v>
      </c>
      <c r="J771" s="8" t="s">
        <v>11</v>
      </c>
      <c r="K771" s="8" t="s">
        <v>18</v>
      </c>
      <c r="L771" s="8">
        <v>3</v>
      </c>
      <c r="M771" s="8" t="s">
        <v>18</v>
      </c>
      <c r="N771" s="8">
        <v>98</v>
      </c>
      <c r="O771" s="8">
        <v>107</v>
      </c>
      <c r="P771" s="8" t="str">
        <f t="shared" si="71"/>
        <v>LAL</v>
      </c>
      <c r="Q771" s="8">
        <f t="shared" si="75"/>
        <v>12</v>
      </c>
      <c r="R771" s="7">
        <f t="shared" ref="R771:R793" si="76">IF(Q771="","",IF(P771=M771,1,IF(Q771=0,"na",0)))</f>
        <v>1</v>
      </c>
    </row>
    <row r="772" spans="1:18" ht="15" customHeight="1" x14ac:dyDescent="0.25">
      <c r="A772" s="7">
        <v>771</v>
      </c>
      <c r="B772" s="8" t="s">
        <v>151</v>
      </c>
      <c r="C772" s="8">
        <v>2015</v>
      </c>
      <c r="D772" s="8">
        <v>2016</v>
      </c>
      <c r="E772" s="3">
        <v>42438</v>
      </c>
      <c r="F772" s="4">
        <f t="shared" si="72"/>
        <v>3</v>
      </c>
      <c r="G772" s="4">
        <f t="shared" si="73"/>
        <v>9</v>
      </c>
      <c r="H772" s="4">
        <f t="shared" si="74"/>
        <v>2016</v>
      </c>
      <c r="I772" s="10" t="s">
        <v>157</v>
      </c>
      <c r="J772" s="8" t="s">
        <v>6</v>
      </c>
      <c r="K772" s="8" t="s">
        <v>21</v>
      </c>
      <c r="L772" s="8">
        <v>7</v>
      </c>
      <c r="M772" s="8" t="s">
        <v>21</v>
      </c>
      <c r="N772" s="8">
        <v>120</v>
      </c>
      <c r="O772" s="8">
        <v>111</v>
      </c>
      <c r="P772" s="8" t="str">
        <f t="shared" si="71"/>
        <v>CLE</v>
      </c>
      <c r="Q772" s="8">
        <f t="shared" si="75"/>
        <v>-2</v>
      </c>
      <c r="R772" s="7">
        <f t="shared" si="76"/>
        <v>0</v>
      </c>
    </row>
    <row r="773" spans="1:18" ht="15" customHeight="1" x14ac:dyDescent="0.25">
      <c r="A773" s="7">
        <v>772</v>
      </c>
      <c r="B773" s="8" t="s">
        <v>151</v>
      </c>
      <c r="C773" s="8">
        <v>2015</v>
      </c>
      <c r="D773" s="8">
        <v>2016</v>
      </c>
      <c r="E773" s="3">
        <v>42439</v>
      </c>
      <c r="F773" s="4">
        <f t="shared" si="72"/>
        <v>3</v>
      </c>
      <c r="G773" s="4">
        <f t="shared" si="73"/>
        <v>10</v>
      </c>
      <c r="H773" s="4">
        <f t="shared" si="74"/>
        <v>2016</v>
      </c>
      <c r="I773" s="10" t="s">
        <v>157</v>
      </c>
      <c r="J773" s="8" t="s">
        <v>6</v>
      </c>
      <c r="K773" s="8" t="s">
        <v>18</v>
      </c>
      <c r="L773" s="8">
        <v>9</v>
      </c>
      <c r="M773" s="8" t="s">
        <v>18</v>
      </c>
      <c r="N773" s="8">
        <v>120</v>
      </c>
      <c r="O773" s="8">
        <v>108</v>
      </c>
      <c r="P773" s="8" t="str">
        <f t="shared" si="71"/>
        <v>CLE</v>
      </c>
      <c r="Q773" s="8">
        <f t="shared" si="75"/>
        <v>-3</v>
      </c>
      <c r="R773" s="7">
        <f t="shared" si="76"/>
        <v>0</v>
      </c>
    </row>
    <row r="774" spans="1:18" ht="15" customHeight="1" x14ac:dyDescent="0.25">
      <c r="A774" s="7">
        <v>773</v>
      </c>
      <c r="B774" s="8" t="s">
        <v>151</v>
      </c>
      <c r="C774" s="8">
        <v>2015</v>
      </c>
      <c r="D774" s="8">
        <v>2016</v>
      </c>
      <c r="E774" s="3">
        <v>42440</v>
      </c>
      <c r="F774" s="4">
        <f t="shared" si="72"/>
        <v>3</v>
      </c>
      <c r="G774" s="4">
        <f t="shared" si="73"/>
        <v>11</v>
      </c>
      <c r="H774" s="4">
        <f t="shared" si="74"/>
        <v>2016</v>
      </c>
      <c r="I774" s="10" t="s">
        <v>157</v>
      </c>
      <c r="J774" s="8" t="s">
        <v>15</v>
      </c>
      <c r="K774" s="8" t="s">
        <v>0</v>
      </c>
      <c r="L774" s="8">
        <v>4</v>
      </c>
      <c r="M774" s="8" t="s">
        <v>15</v>
      </c>
      <c r="N774" s="8">
        <v>118</v>
      </c>
      <c r="O774" s="8">
        <v>96</v>
      </c>
      <c r="P774" s="8" t="str">
        <f t="shared" ref="P774:P793" si="77">IF(OR(N774="",O774=""),"",IF((O774+L774)&gt;N774,K774,IF((O774+L774)=N774,"N/A",J774)))</f>
        <v>MIA</v>
      </c>
      <c r="Q774" s="8">
        <f t="shared" si="75"/>
        <v>18</v>
      </c>
      <c r="R774" s="7">
        <f t="shared" si="76"/>
        <v>1</v>
      </c>
    </row>
    <row r="775" spans="1:18" ht="15" customHeight="1" x14ac:dyDescent="0.25">
      <c r="A775" s="7">
        <v>774</v>
      </c>
      <c r="B775" s="8" t="s">
        <v>151</v>
      </c>
      <c r="C775" s="8">
        <v>2015</v>
      </c>
      <c r="D775" s="8">
        <v>2016</v>
      </c>
      <c r="E775" s="3">
        <v>42441</v>
      </c>
      <c r="F775" s="4">
        <f t="shared" si="72"/>
        <v>3</v>
      </c>
      <c r="G775" s="4">
        <f t="shared" si="73"/>
        <v>12</v>
      </c>
      <c r="H775" s="4">
        <f t="shared" si="74"/>
        <v>2016</v>
      </c>
      <c r="I775" s="10" t="s">
        <v>157</v>
      </c>
      <c r="J775" s="8" t="s">
        <v>12</v>
      </c>
      <c r="K775" s="8" t="s">
        <v>134</v>
      </c>
      <c r="L775" s="8">
        <v>8</v>
      </c>
      <c r="M775" s="8" t="s">
        <v>12</v>
      </c>
      <c r="N775" s="8">
        <v>85</v>
      </c>
      <c r="O775" s="8">
        <v>93</v>
      </c>
      <c r="P775" s="8" t="str">
        <f t="shared" si="77"/>
        <v>SA</v>
      </c>
      <c r="Q775" s="8">
        <f t="shared" si="75"/>
        <v>-16</v>
      </c>
      <c r="R775" s="7">
        <f t="shared" si="76"/>
        <v>0</v>
      </c>
    </row>
    <row r="776" spans="1:18" ht="15" customHeight="1" x14ac:dyDescent="0.25">
      <c r="A776" s="7">
        <v>775</v>
      </c>
      <c r="B776" s="8" t="s">
        <v>151</v>
      </c>
      <c r="C776" s="8">
        <v>2015</v>
      </c>
      <c r="D776" s="8">
        <v>2016</v>
      </c>
      <c r="E776" s="3">
        <v>42442</v>
      </c>
      <c r="F776" s="4">
        <f t="shared" si="72"/>
        <v>3</v>
      </c>
      <c r="G776" s="4">
        <f t="shared" si="73"/>
        <v>13</v>
      </c>
      <c r="H776" s="4">
        <f t="shared" si="74"/>
        <v>2016</v>
      </c>
      <c r="I776" s="10" t="s">
        <v>157</v>
      </c>
      <c r="J776" s="8" t="s">
        <v>6</v>
      </c>
      <c r="K776" s="8" t="s">
        <v>14</v>
      </c>
      <c r="L776" s="8">
        <v>2</v>
      </c>
      <c r="M776" s="8" t="s">
        <v>6</v>
      </c>
      <c r="N776" s="8">
        <v>114</v>
      </c>
      <c r="O776" s="8">
        <v>90</v>
      </c>
      <c r="P776" s="8" t="str">
        <f t="shared" si="77"/>
        <v>CLE</v>
      </c>
      <c r="Q776" s="8">
        <f t="shared" si="75"/>
        <v>22</v>
      </c>
      <c r="R776" s="7">
        <f t="shared" si="76"/>
        <v>1</v>
      </c>
    </row>
    <row r="777" spans="1:18" ht="15" customHeight="1" x14ac:dyDescent="0.25">
      <c r="A777" s="7">
        <v>776</v>
      </c>
      <c r="B777" s="8" t="s">
        <v>151</v>
      </c>
      <c r="C777" s="8">
        <v>2015</v>
      </c>
      <c r="D777" s="8">
        <v>2016</v>
      </c>
      <c r="E777" s="3">
        <v>42443</v>
      </c>
      <c r="F777" s="4">
        <f t="shared" si="72"/>
        <v>3</v>
      </c>
      <c r="G777" s="4">
        <f t="shared" si="73"/>
        <v>14</v>
      </c>
      <c r="H777" s="4">
        <f t="shared" si="74"/>
        <v>2016</v>
      </c>
      <c r="I777" s="10" t="s">
        <v>157</v>
      </c>
      <c r="J777" s="8" t="s">
        <v>6</v>
      </c>
      <c r="K777" s="8" t="s">
        <v>137</v>
      </c>
      <c r="L777" s="8">
        <v>4</v>
      </c>
      <c r="M777" s="8" t="s">
        <v>137</v>
      </c>
      <c r="N777" s="8">
        <v>85</v>
      </c>
      <c r="O777" s="8">
        <v>94</v>
      </c>
      <c r="P777" s="8" t="str">
        <f t="shared" si="77"/>
        <v>UTAH</v>
      </c>
      <c r="Q777" s="8">
        <f t="shared" si="75"/>
        <v>13</v>
      </c>
      <c r="R777" s="7">
        <f t="shared" si="76"/>
        <v>1</v>
      </c>
    </row>
    <row r="778" spans="1:18" ht="15" customHeight="1" x14ac:dyDescent="0.25">
      <c r="A778" s="7">
        <v>777</v>
      </c>
      <c r="B778" s="8" t="s">
        <v>151</v>
      </c>
      <c r="C778" s="8">
        <v>2015</v>
      </c>
      <c r="D778" s="8">
        <v>2016</v>
      </c>
      <c r="E778" s="3">
        <v>42444</v>
      </c>
      <c r="F778" s="4">
        <f t="shared" si="72"/>
        <v>3</v>
      </c>
      <c r="G778" s="4">
        <f t="shared" si="73"/>
        <v>15</v>
      </c>
      <c r="H778" s="4">
        <f t="shared" si="74"/>
        <v>2016</v>
      </c>
      <c r="I778" s="10" t="s">
        <v>157</v>
      </c>
      <c r="J778" s="8" t="s">
        <v>14</v>
      </c>
      <c r="K778" s="8" t="s">
        <v>134</v>
      </c>
      <c r="L778" s="8">
        <v>-9</v>
      </c>
      <c r="M778" s="8" t="s">
        <v>134</v>
      </c>
      <c r="N778" s="8">
        <v>87</v>
      </c>
      <c r="O778" s="8">
        <v>108</v>
      </c>
      <c r="P778" s="8" t="str">
        <f t="shared" si="77"/>
        <v>SA</v>
      </c>
      <c r="Q778" s="8">
        <f t="shared" si="75"/>
        <v>12</v>
      </c>
      <c r="R778" s="7">
        <f t="shared" si="76"/>
        <v>1</v>
      </c>
    </row>
    <row r="779" spans="1:18" ht="15" customHeight="1" x14ac:dyDescent="0.25">
      <c r="A779" s="7">
        <v>778</v>
      </c>
      <c r="B779" s="8" t="s">
        <v>151</v>
      </c>
      <c r="C779" s="8">
        <v>2015</v>
      </c>
      <c r="D779" s="8">
        <v>2016</v>
      </c>
      <c r="E779" s="3">
        <v>42445</v>
      </c>
      <c r="F779" s="4">
        <f t="shared" si="72"/>
        <v>3</v>
      </c>
      <c r="G779" s="4">
        <f t="shared" si="73"/>
        <v>16</v>
      </c>
      <c r="H779" s="4">
        <f t="shared" si="74"/>
        <v>2016</v>
      </c>
      <c r="I779" s="10" t="s">
        <v>157</v>
      </c>
      <c r="J779" s="8" t="s">
        <v>124</v>
      </c>
      <c r="K779" s="8" t="s">
        <v>21</v>
      </c>
      <c r="L779" s="8">
        <v>-2.5</v>
      </c>
      <c r="M779" s="8" t="s">
        <v>124</v>
      </c>
      <c r="N779" s="8">
        <v>123</v>
      </c>
      <c r="O779" s="8">
        <v>108</v>
      </c>
      <c r="P779" s="8" t="str">
        <f t="shared" si="77"/>
        <v>NO</v>
      </c>
      <c r="Q779" s="8">
        <f t="shared" si="75"/>
        <v>17.5</v>
      </c>
      <c r="R779" s="7">
        <f t="shared" si="76"/>
        <v>1</v>
      </c>
    </row>
    <row r="780" spans="1:18" ht="15" customHeight="1" x14ac:dyDescent="0.25">
      <c r="A780" s="7">
        <v>779</v>
      </c>
      <c r="B780" s="8" t="s">
        <v>151</v>
      </c>
      <c r="C780" s="8">
        <v>2015</v>
      </c>
      <c r="D780" s="8">
        <v>2016</v>
      </c>
      <c r="E780" s="3">
        <v>42446</v>
      </c>
      <c r="F780" s="4">
        <f t="shared" si="72"/>
        <v>3</v>
      </c>
      <c r="G780" s="4">
        <f t="shared" si="73"/>
        <v>17</v>
      </c>
      <c r="H780" s="4">
        <f t="shared" si="74"/>
        <v>2016</v>
      </c>
      <c r="I780" s="10" t="s">
        <v>157</v>
      </c>
      <c r="J780" s="8" t="s">
        <v>23</v>
      </c>
      <c r="K780" s="8" t="s">
        <v>5</v>
      </c>
      <c r="L780" s="8">
        <v>-8</v>
      </c>
      <c r="M780" s="8" t="s">
        <v>5</v>
      </c>
      <c r="N780" s="8">
        <v>98</v>
      </c>
      <c r="O780" s="8">
        <v>116</v>
      </c>
      <c r="P780" s="8" t="str">
        <f t="shared" si="77"/>
        <v>ATL</v>
      </c>
      <c r="Q780" s="8">
        <f t="shared" si="75"/>
        <v>10</v>
      </c>
      <c r="R780" s="7">
        <f t="shared" si="76"/>
        <v>1</v>
      </c>
    </row>
    <row r="781" spans="1:18" ht="15" customHeight="1" x14ac:dyDescent="0.25">
      <c r="A781" s="7">
        <v>780</v>
      </c>
      <c r="B781" s="8" t="s">
        <v>151</v>
      </c>
      <c r="C781" s="8">
        <v>2015</v>
      </c>
      <c r="D781" s="8">
        <v>2016</v>
      </c>
      <c r="E781" s="3">
        <v>42447</v>
      </c>
      <c r="F781" s="4">
        <f t="shared" si="72"/>
        <v>3</v>
      </c>
      <c r="G781" s="4">
        <f t="shared" si="73"/>
        <v>18</v>
      </c>
      <c r="H781" s="4">
        <f t="shared" si="74"/>
        <v>2016</v>
      </c>
      <c r="I781" s="10" t="s">
        <v>157</v>
      </c>
      <c r="J781" s="8" t="s">
        <v>1</v>
      </c>
      <c r="K781" s="8" t="s">
        <v>124</v>
      </c>
      <c r="L781" s="8">
        <v>2.5</v>
      </c>
      <c r="M781" s="8" t="s">
        <v>1</v>
      </c>
      <c r="N781" s="8">
        <v>117</v>
      </c>
      <c r="O781" s="8">
        <v>112</v>
      </c>
      <c r="P781" s="8" t="str">
        <f t="shared" si="77"/>
        <v>POR</v>
      </c>
      <c r="Q781" s="8">
        <f t="shared" si="75"/>
        <v>2.5</v>
      </c>
      <c r="R781" s="7">
        <f t="shared" si="76"/>
        <v>1</v>
      </c>
    </row>
    <row r="782" spans="1:18" ht="15" customHeight="1" x14ac:dyDescent="0.25">
      <c r="A782" s="7">
        <v>781</v>
      </c>
      <c r="B782" s="8" t="s">
        <v>151</v>
      </c>
      <c r="C782" s="8">
        <v>2015</v>
      </c>
      <c r="D782" s="8">
        <v>2016</v>
      </c>
      <c r="E782" s="3">
        <v>42448</v>
      </c>
      <c r="F782" s="4">
        <f t="shared" si="72"/>
        <v>3</v>
      </c>
      <c r="G782" s="4">
        <f t="shared" si="73"/>
        <v>19</v>
      </c>
      <c r="H782" s="4">
        <f t="shared" si="74"/>
        <v>2016</v>
      </c>
      <c r="I782" s="10" t="s">
        <v>157</v>
      </c>
      <c r="J782" s="8" t="s">
        <v>12</v>
      </c>
      <c r="K782" s="8" t="s">
        <v>13</v>
      </c>
      <c r="L782" s="8">
        <v>3.5</v>
      </c>
      <c r="M782" s="8" t="s">
        <v>13</v>
      </c>
      <c r="N782" s="8">
        <v>115</v>
      </c>
      <c r="O782" s="8">
        <v>111</v>
      </c>
      <c r="P782" s="8" t="str">
        <f t="shared" si="77"/>
        <v>OKC</v>
      </c>
      <c r="Q782" s="8">
        <f t="shared" si="75"/>
        <v>-0.5</v>
      </c>
      <c r="R782" s="7">
        <f t="shared" si="76"/>
        <v>0</v>
      </c>
    </row>
    <row r="783" spans="1:18" ht="15" customHeight="1" x14ac:dyDescent="0.25">
      <c r="A783" s="7">
        <v>782</v>
      </c>
      <c r="B783" s="8" t="s">
        <v>151</v>
      </c>
      <c r="C783" s="8">
        <v>2015</v>
      </c>
      <c r="D783" s="8">
        <v>2016</v>
      </c>
      <c r="E783" s="3">
        <v>42449</v>
      </c>
      <c r="F783" s="4">
        <f t="shared" si="72"/>
        <v>3</v>
      </c>
      <c r="G783" s="4">
        <f t="shared" si="73"/>
        <v>20</v>
      </c>
      <c r="H783" s="4">
        <f t="shared" si="74"/>
        <v>2016</v>
      </c>
      <c r="I783" s="10" t="s">
        <v>157</v>
      </c>
      <c r="J783" s="8" t="s">
        <v>21</v>
      </c>
      <c r="K783" s="8" t="s">
        <v>126</v>
      </c>
      <c r="L783" s="8">
        <v>-1</v>
      </c>
      <c r="M783" s="8" t="s">
        <v>126</v>
      </c>
      <c r="N783" s="8">
        <v>88</v>
      </c>
      <c r="O783" s="8">
        <v>80</v>
      </c>
      <c r="P783" s="8" t="str">
        <f t="shared" si="77"/>
        <v>SAC</v>
      </c>
      <c r="Q783" s="8">
        <f t="shared" si="75"/>
        <v>-9</v>
      </c>
      <c r="R783" s="7">
        <f t="shared" si="76"/>
        <v>0</v>
      </c>
    </row>
    <row r="784" spans="1:18" ht="15" customHeight="1" x14ac:dyDescent="0.25">
      <c r="A784" s="7">
        <v>783</v>
      </c>
      <c r="B784" s="8" t="s">
        <v>151</v>
      </c>
      <c r="C784" s="8">
        <v>2015</v>
      </c>
      <c r="D784" s="8">
        <v>2016</v>
      </c>
      <c r="E784" s="3">
        <v>42450</v>
      </c>
      <c r="F784" s="4">
        <f t="shared" si="72"/>
        <v>3</v>
      </c>
      <c r="G784" s="4">
        <f t="shared" si="73"/>
        <v>21</v>
      </c>
      <c r="H784" s="4">
        <f t="shared" si="74"/>
        <v>2016</v>
      </c>
      <c r="I784" s="10" t="s">
        <v>157</v>
      </c>
      <c r="J784" s="8" t="s">
        <v>9</v>
      </c>
      <c r="K784" s="8" t="s">
        <v>19</v>
      </c>
      <c r="L784" s="8">
        <v>2</v>
      </c>
      <c r="M784" s="8" t="s">
        <v>9</v>
      </c>
      <c r="N784" s="8">
        <v>103</v>
      </c>
      <c r="O784" s="8">
        <v>97</v>
      </c>
      <c r="P784" s="8" t="str">
        <f t="shared" si="77"/>
        <v>MEM</v>
      </c>
      <c r="Q784" s="8">
        <f t="shared" si="75"/>
        <v>4</v>
      </c>
      <c r="R784" s="7">
        <f t="shared" si="76"/>
        <v>1</v>
      </c>
    </row>
    <row r="785" spans="1:18" ht="15" customHeight="1" x14ac:dyDescent="0.25">
      <c r="A785" s="7">
        <v>784</v>
      </c>
      <c r="B785" s="8" t="s">
        <v>151</v>
      </c>
      <c r="C785" s="8">
        <v>2015</v>
      </c>
      <c r="D785" s="8">
        <v>2016</v>
      </c>
      <c r="E785" s="3">
        <v>42451</v>
      </c>
      <c r="F785" s="4">
        <f t="shared" si="72"/>
        <v>3</v>
      </c>
      <c r="G785" s="4">
        <f t="shared" si="73"/>
        <v>22</v>
      </c>
      <c r="H785" s="4">
        <f t="shared" si="74"/>
        <v>2016</v>
      </c>
      <c r="I785" s="10" t="s">
        <v>157</v>
      </c>
      <c r="J785" s="8" t="s">
        <v>9</v>
      </c>
      <c r="K785" s="8" t="s">
        <v>18</v>
      </c>
      <c r="L785" s="8">
        <v>3</v>
      </c>
      <c r="M785" s="8" t="s">
        <v>18</v>
      </c>
      <c r="N785" s="8">
        <v>100</v>
      </c>
      <c r="O785" s="8">
        <v>107</v>
      </c>
      <c r="P785" s="8" t="str">
        <f t="shared" si="77"/>
        <v>LAL</v>
      </c>
      <c r="Q785" s="8">
        <f t="shared" si="75"/>
        <v>10</v>
      </c>
      <c r="R785" s="7">
        <f t="shared" si="76"/>
        <v>1</v>
      </c>
    </row>
    <row r="786" spans="1:18" ht="15" customHeight="1" x14ac:dyDescent="0.25">
      <c r="A786" s="7">
        <v>785</v>
      </c>
      <c r="B786" s="8" t="s">
        <v>151</v>
      </c>
      <c r="C786" s="8">
        <v>2015</v>
      </c>
      <c r="D786" s="8">
        <v>2016</v>
      </c>
      <c r="E786" s="3">
        <v>42452</v>
      </c>
      <c r="F786" s="4">
        <f t="shared" si="72"/>
        <v>3</v>
      </c>
      <c r="G786" s="4">
        <f t="shared" si="73"/>
        <v>23</v>
      </c>
      <c r="H786" s="4">
        <f t="shared" si="74"/>
        <v>2016</v>
      </c>
      <c r="I786" s="10" t="s">
        <v>157</v>
      </c>
      <c r="J786" s="8" t="s">
        <v>137</v>
      </c>
      <c r="K786" s="8" t="s">
        <v>4</v>
      </c>
      <c r="L786" s="8">
        <v>-4</v>
      </c>
      <c r="M786" s="8" t="s">
        <v>137</v>
      </c>
      <c r="N786" s="8">
        <v>89</v>
      </c>
      <c r="O786" s="8">
        <v>87</v>
      </c>
      <c r="P786" s="8" t="str">
        <f t="shared" si="77"/>
        <v>UTAH</v>
      </c>
      <c r="Q786" s="8">
        <f t="shared" si="75"/>
        <v>6</v>
      </c>
      <c r="R786" s="7">
        <f t="shared" si="76"/>
        <v>1</v>
      </c>
    </row>
    <row r="787" spans="1:18" ht="15" customHeight="1" x14ac:dyDescent="0.25">
      <c r="A787" s="7">
        <v>786</v>
      </c>
      <c r="B787" s="8" t="s">
        <v>151</v>
      </c>
      <c r="C787" s="8">
        <v>2015</v>
      </c>
      <c r="D787" s="8">
        <v>2016</v>
      </c>
      <c r="E787" s="3">
        <v>42453</v>
      </c>
      <c r="F787" s="4">
        <f t="shared" si="72"/>
        <v>3</v>
      </c>
      <c r="G787" s="4">
        <f t="shared" si="73"/>
        <v>24</v>
      </c>
      <c r="H787" s="4">
        <f t="shared" si="74"/>
        <v>2016</v>
      </c>
      <c r="I787" s="10" t="s">
        <v>157</v>
      </c>
      <c r="J787" s="8" t="s">
        <v>137</v>
      </c>
      <c r="K787" s="8" t="s">
        <v>12</v>
      </c>
      <c r="L787" s="8">
        <v>-9</v>
      </c>
      <c r="M787" s="8" t="s">
        <v>12</v>
      </c>
      <c r="N787" s="8">
        <v>91</v>
      </c>
      <c r="O787" s="8">
        <v>113</v>
      </c>
      <c r="P787" s="8" t="str">
        <f t="shared" si="77"/>
        <v>OKC</v>
      </c>
      <c r="Q787" s="8">
        <f t="shared" si="75"/>
        <v>13</v>
      </c>
      <c r="R787" s="7">
        <f t="shared" si="76"/>
        <v>1</v>
      </c>
    </row>
    <row r="788" spans="1:18" ht="15" customHeight="1" x14ac:dyDescent="0.25">
      <c r="A788" s="7">
        <v>787</v>
      </c>
      <c r="B788" s="8" t="s">
        <v>151</v>
      </c>
      <c r="C788" s="8">
        <v>2015</v>
      </c>
      <c r="D788" s="8">
        <v>2016</v>
      </c>
      <c r="E788" s="3">
        <v>42454</v>
      </c>
      <c r="F788" s="4">
        <f t="shared" si="72"/>
        <v>3</v>
      </c>
      <c r="G788" s="4">
        <f t="shared" si="73"/>
        <v>25</v>
      </c>
      <c r="H788" s="4">
        <f t="shared" si="74"/>
        <v>2016</v>
      </c>
      <c r="I788" s="10" t="s">
        <v>157</v>
      </c>
      <c r="J788" s="8" t="s">
        <v>139</v>
      </c>
      <c r="K788" s="8" t="s">
        <v>18</v>
      </c>
      <c r="L788" s="8">
        <v>9</v>
      </c>
      <c r="M788" s="8" t="s">
        <v>18</v>
      </c>
      <c r="N788" s="8">
        <v>116</v>
      </c>
      <c r="O788" s="8">
        <v>105</v>
      </c>
      <c r="P788" s="8" t="str">
        <f t="shared" si="77"/>
        <v>WSH</v>
      </c>
      <c r="Q788" s="8">
        <f t="shared" si="75"/>
        <v>-2</v>
      </c>
      <c r="R788" s="7">
        <f t="shared" si="76"/>
        <v>0</v>
      </c>
    </row>
    <row r="789" spans="1:18" ht="15" customHeight="1" x14ac:dyDescent="0.25">
      <c r="A789" s="7">
        <v>788</v>
      </c>
      <c r="B789" s="8" t="s">
        <v>151</v>
      </c>
      <c r="C789" s="8">
        <v>2015</v>
      </c>
      <c r="D789" s="8">
        <v>2016</v>
      </c>
      <c r="E789" s="3">
        <v>42455</v>
      </c>
      <c r="F789" s="4">
        <f t="shared" si="72"/>
        <v>3</v>
      </c>
      <c r="G789" s="4">
        <f t="shared" si="73"/>
        <v>26</v>
      </c>
      <c r="H789" s="4">
        <f t="shared" si="74"/>
        <v>2016</v>
      </c>
      <c r="I789" s="10" t="s">
        <v>157</v>
      </c>
      <c r="J789" s="8" t="s">
        <v>13</v>
      </c>
      <c r="K789" s="8" t="s">
        <v>22</v>
      </c>
      <c r="L789" s="8">
        <v>-5</v>
      </c>
      <c r="M789" s="8" t="s">
        <v>13</v>
      </c>
      <c r="N789" s="8">
        <v>110</v>
      </c>
      <c r="O789" s="8">
        <v>120</v>
      </c>
      <c r="P789" s="8" t="str">
        <f t="shared" si="77"/>
        <v>BKN</v>
      </c>
      <c r="Q789" s="8">
        <f t="shared" si="75"/>
        <v>-5</v>
      </c>
      <c r="R789" s="7">
        <f t="shared" si="76"/>
        <v>0</v>
      </c>
    </row>
    <row r="790" spans="1:18" ht="15" customHeight="1" x14ac:dyDescent="0.25">
      <c r="A790" s="7">
        <v>789</v>
      </c>
      <c r="B790" s="8" t="s">
        <v>151</v>
      </c>
      <c r="C790" s="8">
        <v>2015</v>
      </c>
      <c r="D790" s="8">
        <v>2016</v>
      </c>
      <c r="E790" s="3">
        <v>42457</v>
      </c>
      <c r="F790" s="4">
        <f t="shared" si="72"/>
        <v>3</v>
      </c>
      <c r="G790" s="4">
        <f t="shared" si="73"/>
        <v>28</v>
      </c>
      <c r="H790" s="4">
        <f t="shared" si="74"/>
        <v>2016</v>
      </c>
      <c r="I790" s="10" t="s">
        <v>157</v>
      </c>
      <c r="J790" s="8" t="s">
        <v>17</v>
      </c>
      <c r="K790" s="8" t="s">
        <v>14</v>
      </c>
      <c r="L790" s="8">
        <v>-4</v>
      </c>
      <c r="M790" s="8" t="s">
        <v>17</v>
      </c>
      <c r="N790" s="8">
        <v>90</v>
      </c>
      <c r="O790" s="8">
        <v>114</v>
      </c>
      <c r="P790" s="8" t="str">
        <f t="shared" si="77"/>
        <v>LAC</v>
      </c>
      <c r="Q790" s="8">
        <f t="shared" si="75"/>
        <v>-20</v>
      </c>
      <c r="R790" s="7">
        <f t="shared" si="76"/>
        <v>0</v>
      </c>
    </row>
    <row r="791" spans="1:18" ht="15" customHeight="1" x14ac:dyDescent="0.25">
      <c r="A791" s="7">
        <v>790</v>
      </c>
      <c r="B791" s="8" t="s">
        <v>151</v>
      </c>
      <c r="C791" s="8">
        <v>2015</v>
      </c>
      <c r="D791" s="8">
        <v>2016</v>
      </c>
      <c r="E791" s="3">
        <v>42458</v>
      </c>
      <c r="F791" s="4">
        <f t="shared" si="72"/>
        <v>3</v>
      </c>
      <c r="G791" s="4">
        <f t="shared" si="73"/>
        <v>29</v>
      </c>
      <c r="H791" s="4">
        <f t="shared" si="74"/>
        <v>2016</v>
      </c>
      <c r="I791" s="10" t="s">
        <v>157</v>
      </c>
      <c r="J791" s="8" t="s">
        <v>0</v>
      </c>
      <c r="K791" s="8" t="s">
        <v>13</v>
      </c>
      <c r="L791" s="8">
        <v>-7</v>
      </c>
      <c r="M791" s="8" t="s">
        <v>0</v>
      </c>
      <c r="N791" s="8">
        <v>98</v>
      </c>
      <c r="O791" s="8">
        <v>96</v>
      </c>
      <c r="P791" s="8" t="str">
        <f t="shared" si="77"/>
        <v>CHI</v>
      </c>
      <c r="Q791" s="8">
        <f t="shared" si="75"/>
        <v>9</v>
      </c>
      <c r="R791" s="7">
        <f t="shared" si="76"/>
        <v>1</v>
      </c>
    </row>
    <row r="792" spans="1:18" ht="15" customHeight="1" x14ac:dyDescent="0.25">
      <c r="A792" s="7">
        <v>791</v>
      </c>
      <c r="B792" s="8" t="s">
        <v>151</v>
      </c>
      <c r="C792" s="8">
        <v>2015</v>
      </c>
      <c r="D792" s="8">
        <v>2016</v>
      </c>
      <c r="E792" s="3">
        <v>42459</v>
      </c>
      <c r="F792" s="4">
        <f t="shared" si="72"/>
        <v>3</v>
      </c>
      <c r="G792" s="4">
        <f t="shared" si="73"/>
        <v>30</v>
      </c>
      <c r="H792" s="4">
        <f t="shared" si="74"/>
        <v>2016</v>
      </c>
      <c r="I792" s="10" t="s">
        <v>157</v>
      </c>
      <c r="J792" s="8" t="s">
        <v>19</v>
      </c>
      <c r="K792" s="8" t="s">
        <v>10</v>
      </c>
      <c r="L792" s="8">
        <v>-7.5</v>
      </c>
      <c r="M792" s="8" t="s">
        <v>19</v>
      </c>
      <c r="N792" s="8">
        <v>94</v>
      </c>
      <c r="O792" s="8">
        <v>105</v>
      </c>
      <c r="P792" s="8" t="str">
        <f t="shared" si="77"/>
        <v>MIL</v>
      </c>
      <c r="Q792" s="8">
        <f t="shared" si="75"/>
        <v>-3.5</v>
      </c>
      <c r="R792" s="7">
        <f t="shared" si="76"/>
        <v>0</v>
      </c>
    </row>
    <row r="793" spans="1:18" ht="15" customHeight="1" x14ac:dyDescent="0.25">
      <c r="A793" s="7">
        <v>792</v>
      </c>
      <c r="B793" s="8" t="s">
        <v>151</v>
      </c>
      <c r="C793" s="8">
        <v>2015</v>
      </c>
      <c r="D793" s="8">
        <v>2016</v>
      </c>
      <c r="E793" s="3">
        <v>42460</v>
      </c>
      <c r="F793" s="4">
        <f t="shared" si="72"/>
        <v>3</v>
      </c>
      <c r="G793" s="4">
        <f t="shared" si="73"/>
        <v>31</v>
      </c>
      <c r="H793" s="4">
        <f t="shared" si="74"/>
        <v>2016</v>
      </c>
      <c r="I793" s="10" t="s">
        <v>157</v>
      </c>
      <c r="J793" s="8" t="s">
        <v>17</v>
      </c>
      <c r="K793" s="8" t="s">
        <v>1</v>
      </c>
      <c r="L793" s="8">
        <v>-3.5</v>
      </c>
      <c r="M793" s="8" t="s">
        <v>1</v>
      </c>
      <c r="N793" s="8">
        <v>109</v>
      </c>
      <c r="O793" s="8">
        <v>116</v>
      </c>
      <c r="P793" s="8" t="str">
        <f t="shared" si="77"/>
        <v>POR</v>
      </c>
      <c r="Q793" s="8">
        <f t="shared" si="75"/>
        <v>3.5</v>
      </c>
      <c r="R793" s="7">
        <f t="shared" si="76"/>
        <v>1</v>
      </c>
    </row>
  </sheetData>
  <dataValidations count="1">
    <dataValidation showInputMessage="1" showErrorMessage="1" sqref="J1:K1 J118:K1048576"/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0"/>
  <sheetViews>
    <sheetView topLeftCell="A43" zoomScale="80" zoomScaleNormal="80" workbookViewId="0">
      <selection activeCell="J77" sqref="J77"/>
    </sheetView>
  </sheetViews>
  <sheetFormatPr defaultRowHeight="15" customHeight="1" x14ac:dyDescent="0.25"/>
  <cols>
    <col min="1" max="1" width="9.140625" style="1" customWidth="1"/>
    <col min="2" max="2" width="23.85546875" style="1" bestFit="1" customWidth="1"/>
    <col min="3" max="3" width="23.85546875" style="1" customWidth="1"/>
    <col min="4" max="14" width="9.140625" style="1" customWidth="1"/>
    <col min="17" max="16384" width="9.140625" style="1"/>
  </cols>
  <sheetData>
    <row r="1" spans="1:16" ht="15" customHeight="1" x14ac:dyDescent="0.25">
      <c r="A1" s="8" t="s">
        <v>409</v>
      </c>
      <c r="B1" s="14" t="s">
        <v>429</v>
      </c>
      <c r="C1" s="14" t="s">
        <v>433</v>
      </c>
      <c r="D1" s="8" t="s">
        <v>424</v>
      </c>
      <c r="E1" s="8" t="s">
        <v>411</v>
      </c>
      <c r="F1" s="8" t="s">
        <v>188</v>
      </c>
      <c r="G1" s="8" t="s">
        <v>428</v>
      </c>
      <c r="H1" s="8" t="s">
        <v>182</v>
      </c>
      <c r="I1" s="8" t="s">
        <v>98</v>
      </c>
      <c r="J1" s="8" t="s">
        <v>415</v>
      </c>
      <c r="K1" s="8" t="s">
        <v>97</v>
      </c>
      <c r="L1" s="8" t="s">
        <v>414</v>
      </c>
      <c r="M1" s="8" t="s">
        <v>417</v>
      </c>
      <c r="N1" s="8" t="s">
        <v>181</v>
      </c>
      <c r="O1" s="1"/>
      <c r="P1" s="1"/>
    </row>
    <row r="2" spans="1:16" ht="15" customHeight="1" x14ac:dyDescent="0.25">
      <c r="A2" s="1">
        <v>1</v>
      </c>
      <c r="B2" s="8" t="str">
        <f>CONCATENATE(D2,"_0",E2,"_0",F2,"_",L2,"@",J2)</f>
        <v>2012_01_01_MIL@MIA</v>
      </c>
      <c r="C2" s="8" t="str">
        <f>LEFT(B2,10)</f>
        <v>2012_01_01</v>
      </c>
      <c r="D2" s="8">
        <v>2012</v>
      </c>
      <c r="E2" s="8">
        <v>1</v>
      </c>
      <c r="F2" s="8">
        <v>1</v>
      </c>
      <c r="G2" s="8">
        <v>1</v>
      </c>
      <c r="H2" s="1" t="s">
        <v>24</v>
      </c>
      <c r="I2" s="8">
        <v>1</v>
      </c>
      <c r="J2" s="1" t="s">
        <v>15</v>
      </c>
      <c r="K2" s="8">
        <v>8</v>
      </c>
      <c r="L2" s="1" t="s">
        <v>10</v>
      </c>
      <c r="M2" s="1" t="s">
        <v>15</v>
      </c>
      <c r="N2" s="1">
        <v>4</v>
      </c>
      <c r="O2" s="1"/>
      <c r="P2" s="1"/>
    </row>
    <row r="3" spans="1:16" ht="15" customHeight="1" x14ac:dyDescent="0.25">
      <c r="A3" s="1">
        <v>2</v>
      </c>
      <c r="B3" s="8" t="str">
        <f t="shared" ref="B3:B66" si="0">CONCATENATE(D3,"_0",E3,"_0",F3,"_",L3,"@",J3)</f>
        <v>2012_01_02_BOS@NYK</v>
      </c>
      <c r="C3" s="8" t="str">
        <f t="shared" ref="C3:C66" si="1">LEFT(B3,10)</f>
        <v>2012_01_02</v>
      </c>
      <c r="D3" s="8">
        <v>2012</v>
      </c>
      <c r="E3" s="1">
        <v>1</v>
      </c>
      <c r="F3" s="1">
        <v>2</v>
      </c>
      <c r="G3" s="1">
        <v>2</v>
      </c>
      <c r="H3" s="1" t="s">
        <v>24</v>
      </c>
      <c r="I3" s="8">
        <v>2</v>
      </c>
      <c r="J3" s="1" t="s">
        <v>470</v>
      </c>
      <c r="K3" s="8">
        <v>7</v>
      </c>
      <c r="L3" s="1" t="s">
        <v>17</v>
      </c>
      <c r="M3" s="1" t="s">
        <v>470</v>
      </c>
      <c r="N3" s="1">
        <v>6</v>
      </c>
      <c r="O3" s="1"/>
      <c r="P3" s="1"/>
    </row>
    <row r="4" spans="1:16" ht="15" customHeight="1" x14ac:dyDescent="0.25">
      <c r="A4" s="1">
        <v>3</v>
      </c>
      <c r="B4" s="8" t="str">
        <f t="shared" si="0"/>
        <v>2012_01_03_ATL@IND</v>
      </c>
      <c r="C4" s="8" t="str">
        <f t="shared" si="1"/>
        <v>2012_01_03</v>
      </c>
      <c r="D4" s="8">
        <v>2012</v>
      </c>
      <c r="E4" s="8">
        <v>1</v>
      </c>
      <c r="F4" s="8">
        <v>3</v>
      </c>
      <c r="G4" s="8">
        <v>3</v>
      </c>
      <c r="H4" s="1" t="s">
        <v>24</v>
      </c>
      <c r="I4" s="8">
        <v>3</v>
      </c>
      <c r="J4" s="1" t="s">
        <v>13</v>
      </c>
      <c r="K4" s="8">
        <v>6</v>
      </c>
      <c r="L4" s="1" t="s">
        <v>5</v>
      </c>
      <c r="M4" s="1" t="s">
        <v>13</v>
      </c>
      <c r="N4" s="1">
        <v>6</v>
      </c>
      <c r="O4" s="1"/>
      <c r="P4" s="1"/>
    </row>
    <row r="5" spans="1:16" ht="15" customHeight="1" x14ac:dyDescent="0.25">
      <c r="A5" s="1">
        <v>4</v>
      </c>
      <c r="B5" s="8" t="str">
        <f t="shared" si="0"/>
        <v>2012_01_04_CHI@BRK</v>
      </c>
      <c r="C5" s="8" t="str">
        <f t="shared" si="1"/>
        <v>2012_01_04</v>
      </c>
      <c r="D5" s="8">
        <v>2012</v>
      </c>
      <c r="E5" s="1">
        <v>1</v>
      </c>
      <c r="F5" s="8">
        <v>4</v>
      </c>
      <c r="G5" s="8">
        <v>4</v>
      </c>
      <c r="H5" s="1" t="s">
        <v>24</v>
      </c>
      <c r="I5" s="8">
        <v>4</v>
      </c>
      <c r="J5" s="1" t="s">
        <v>80</v>
      </c>
      <c r="K5" s="8">
        <v>5</v>
      </c>
      <c r="L5" s="1" t="s">
        <v>0</v>
      </c>
      <c r="M5" s="1" t="s">
        <v>0</v>
      </c>
      <c r="N5" s="1">
        <v>7</v>
      </c>
      <c r="O5" s="1"/>
      <c r="P5" s="1"/>
    </row>
    <row r="6" spans="1:16" ht="15" customHeight="1" x14ac:dyDescent="0.25">
      <c r="A6" s="1">
        <v>5</v>
      </c>
      <c r="B6" s="8" t="str">
        <f t="shared" si="0"/>
        <v>2012_01_05_HOU@OKC</v>
      </c>
      <c r="C6" s="8" t="str">
        <f t="shared" si="1"/>
        <v>2012_01_05</v>
      </c>
      <c r="D6" s="8">
        <v>2012</v>
      </c>
      <c r="E6" s="8">
        <v>1</v>
      </c>
      <c r="F6" s="8">
        <v>5</v>
      </c>
      <c r="G6" s="8">
        <v>5</v>
      </c>
      <c r="H6" s="1" t="s">
        <v>25</v>
      </c>
      <c r="I6" s="8">
        <v>1</v>
      </c>
      <c r="J6" s="1" t="s">
        <v>12</v>
      </c>
      <c r="K6" s="8">
        <v>8</v>
      </c>
      <c r="L6" s="1" t="s">
        <v>4</v>
      </c>
      <c r="M6" s="1" t="s">
        <v>12</v>
      </c>
      <c r="N6" s="1">
        <v>6</v>
      </c>
      <c r="O6" s="1"/>
      <c r="P6" s="1"/>
    </row>
    <row r="7" spans="1:16" ht="15" customHeight="1" x14ac:dyDescent="0.25">
      <c r="A7" s="1">
        <v>6</v>
      </c>
      <c r="B7" s="8" t="str">
        <f t="shared" si="0"/>
        <v>2012_01_06_LAL@SAS</v>
      </c>
      <c r="C7" s="8" t="str">
        <f t="shared" si="1"/>
        <v>2012_01_06</v>
      </c>
      <c r="D7" s="8">
        <v>2012</v>
      </c>
      <c r="E7" s="1">
        <v>1</v>
      </c>
      <c r="F7" s="8">
        <v>6</v>
      </c>
      <c r="G7" s="8">
        <v>6</v>
      </c>
      <c r="H7" s="1" t="s">
        <v>25</v>
      </c>
      <c r="I7" s="8">
        <v>2</v>
      </c>
      <c r="J7" s="1" t="s">
        <v>472</v>
      </c>
      <c r="K7" s="8">
        <v>7</v>
      </c>
      <c r="L7" s="1" t="s">
        <v>18</v>
      </c>
      <c r="M7" s="1" t="s">
        <v>472</v>
      </c>
      <c r="N7" s="1">
        <v>4</v>
      </c>
      <c r="O7" s="1"/>
      <c r="P7" s="1"/>
    </row>
    <row r="8" spans="1:16" ht="15" customHeight="1" x14ac:dyDescent="0.25">
      <c r="A8" s="1">
        <v>7</v>
      </c>
      <c r="B8" s="8" t="str">
        <f t="shared" si="0"/>
        <v>2012_01_07_GSW@DEN</v>
      </c>
      <c r="C8" s="8" t="str">
        <f t="shared" si="1"/>
        <v>2012_01_07</v>
      </c>
      <c r="D8" s="8">
        <v>2012</v>
      </c>
      <c r="E8" s="8">
        <v>1</v>
      </c>
      <c r="F8" s="8">
        <v>7</v>
      </c>
      <c r="G8" s="8">
        <v>7</v>
      </c>
      <c r="H8" s="1" t="s">
        <v>25</v>
      </c>
      <c r="I8" s="8">
        <v>3</v>
      </c>
      <c r="J8" s="1" t="s">
        <v>23</v>
      </c>
      <c r="K8" s="8">
        <v>6</v>
      </c>
      <c r="L8" s="1" t="s">
        <v>468</v>
      </c>
      <c r="M8" s="1" t="s">
        <v>468</v>
      </c>
      <c r="N8" s="1">
        <v>6</v>
      </c>
      <c r="O8" s="1"/>
      <c r="P8" s="1"/>
    </row>
    <row r="9" spans="1:16" ht="15" customHeight="1" x14ac:dyDescent="0.25">
      <c r="A9" s="1">
        <v>8</v>
      </c>
      <c r="B9" s="8" t="str">
        <f t="shared" si="0"/>
        <v>2012_01_08_MEM@LAC</v>
      </c>
      <c r="C9" s="8" t="str">
        <f t="shared" si="1"/>
        <v>2012_01_08</v>
      </c>
      <c r="D9" s="8">
        <v>2012</v>
      </c>
      <c r="E9" s="1">
        <v>1</v>
      </c>
      <c r="F9" s="8">
        <v>8</v>
      </c>
      <c r="G9" s="8">
        <v>8</v>
      </c>
      <c r="H9" s="1" t="s">
        <v>25</v>
      </c>
      <c r="I9" s="8">
        <v>4</v>
      </c>
      <c r="J9" s="1" t="s">
        <v>14</v>
      </c>
      <c r="K9" s="8">
        <v>5</v>
      </c>
      <c r="L9" s="1" t="s">
        <v>9</v>
      </c>
      <c r="M9" s="1" t="s">
        <v>9</v>
      </c>
      <c r="N9" s="1">
        <v>6</v>
      </c>
      <c r="O9" s="1"/>
      <c r="P9" s="1"/>
    </row>
    <row r="10" spans="1:16" ht="15" customHeight="1" x14ac:dyDescent="0.25">
      <c r="A10" s="1">
        <v>9</v>
      </c>
      <c r="B10" s="8" t="str">
        <f t="shared" si="0"/>
        <v>2012_02_01_CHI@MIA</v>
      </c>
      <c r="C10" s="8" t="str">
        <f t="shared" si="1"/>
        <v>2012_02_01</v>
      </c>
      <c r="D10" s="8">
        <v>2012</v>
      </c>
      <c r="E10" s="8">
        <v>2</v>
      </c>
      <c r="F10" s="8">
        <v>1</v>
      </c>
      <c r="G10" s="8">
        <v>9</v>
      </c>
      <c r="H10" s="1" t="s">
        <v>24</v>
      </c>
      <c r="I10" s="8">
        <v>1</v>
      </c>
      <c r="J10" s="1" t="s">
        <v>15</v>
      </c>
      <c r="K10" s="8">
        <v>6</v>
      </c>
      <c r="L10" s="1" t="s">
        <v>0</v>
      </c>
      <c r="M10" s="1" t="s">
        <v>15</v>
      </c>
      <c r="N10" s="1">
        <v>5</v>
      </c>
      <c r="O10" s="1"/>
      <c r="P10" s="1"/>
    </row>
    <row r="11" spans="1:16" ht="15" customHeight="1" x14ac:dyDescent="0.25">
      <c r="A11" s="1">
        <v>10</v>
      </c>
      <c r="B11" s="8" t="str">
        <f t="shared" si="0"/>
        <v>2012_02_02_IND@NYK</v>
      </c>
      <c r="C11" s="8" t="str">
        <f t="shared" si="1"/>
        <v>2012_02_02</v>
      </c>
      <c r="D11" s="8">
        <v>2012</v>
      </c>
      <c r="E11" s="8">
        <v>2</v>
      </c>
      <c r="F11" s="8">
        <v>2</v>
      </c>
      <c r="G11" s="8">
        <v>10</v>
      </c>
      <c r="H11" s="1" t="s">
        <v>24</v>
      </c>
      <c r="I11" s="8">
        <v>2</v>
      </c>
      <c r="J11" s="1" t="s">
        <v>470</v>
      </c>
      <c r="K11" s="8">
        <v>3</v>
      </c>
      <c r="L11" s="1" t="s">
        <v>13</v>
      </c>
      <c r="M11" s="1" t="s">
        <v>13</v>
      </c>
      <c r="N11" s="1">
        <v>6</v>
      </c>
      <c r="O11" s="1"/>
      <c r="P11" s="1"/>
    </row>
    <row r="12" spans="1:16" ht="15" customHeight="1" x14ac:dyDescent="0.25">
      <c r="A12" s="1">
        <v>11</v>
      </c>
      <c r="B12" s="8" t="str">
        <f t="shared" si="0"/>
        <v>2012_02_03_MEM@OKC</v>
      </c>
      <c r="C12" s="8" t="str">
        <f t="shared" si="1"/>
        <v>2012_02_03</v>
      </c>
      <c r="D12" s="8">
        <v>2012</v>
      </c>
      <c r="E12" s="8">
        <v>2</v>
      </c>
      <c r="F12" s="8">
        <v>3</v>
      </c>
      <c r="G12" s="8">
        <v>11</v>
      </c>
      <c r="H12" s="1" t="s">
        <v>25</v>
      </c>
      <c r="I12" s="8">
        <v>1</v>
      </c>
      <c r="J12" s="1" t="s">
        <v>12</v>
      </c>
      <c r="K12" s="8">
        <v>5</v>
      </c>
      <c r="L12" s="1" t="s">
        <v>9</v>
      </c>
      <c r="M12" s="1" t="s">
        <v>9</v>
      </c>
      <c r="N12" s="1">
        <v>5</v>
      </c>
      <c r="O12" s="1"/>
      <c r="P12" s="1"/>
    </row>
    <row r="13" spans="1:16" ht="15" customHeight="1" x14ac:dyDescent="0.25">
      <c r="A13" s="1">
        <v>12</v>
      </c>
      <c r="B13" s="8" t="str">
        <f t="shared" si="0"/>
        <v>2012_02_04_GSW@SAS</v>
      </c>
      <c r="C13" s="8" t="str">
        <f t="shared" si="1"/>
        <v>2012_02_04</v>
      </c>
      <c r="D13" s="8">
        <v>2012</v>
      </c>
      <c r="E13" s="8">
        <v>2</v>
      </c>
      <c r="F13" s="8">
        <v>4</v>
      </c>
      <c r="G13" s="8">
        <v>12</v>
      </c>
      <c r="H13" s="1" t="s">
        <v>25</v>
      </c>
      <c r="I13" s="8">
        <v>2</v>
      </c>
      <c r="J13" s="1" t="s">
        <v>472</v>
      </c>
      <c r="K13" s="8">
        <v>6</v>
      </c>
      <c r="L13" s="1" t="s">
        <v>468</v>
      </c>
      <c r="M13" s="1" t="s">
        <v>472</v>
      </c>
      <c r="N13" s="1">
        <v>6</v>
      </c>
      <c r="O13" s="1"/>
      <c r="P13" s="1"/>
    </row>
    <row r="14" spans="1:16" ht="15" customHeight="1" x14ac:dyDescent="0.25">
      <c r="A14" s="1">
        <v>13</v>
      </c>
      <c r="B14" s="8" t="str">
        <f t="shared" si="0"/>
        <v>2012_03_01_IND@MIA</v>
      </c>
      <c r="C14" s="8" t="str">
        <f t="shared" si="1"/>
        <v>2012_03_01</v>
      </c>
      <c r="D14" s="8">
        <v>2012</v>
      </c>
      <c r="E14" s="8">
        <v>3</v>
      </c>
      <c r="F14" s="8">
        <v>1</v>
      </c>
      <c r="G14" s="8">
        <v>13</v>
      </c>
      <c r="H14" s="1" t="s">
        <v>24</v>
      </c>
      <c r="I14" s="8">
        <v>1</v>
      </c>
      <c r="J14" s="1" t="s">
        <v>15</v>
      </c>
      <c r="K14" s="8">
        <v>3</v>
      </c>
      <c r="L14" s="1" t="s">
        <v>13</v>
      </c>
      <c r="M14" s="1" t="s">
        <v>15</v>
      </c>
      <c r="N14" s="1">
        <v>7</v>
      </c>
      <c r="O14" s="1"/>
      <c r="P14" s="1"/>
    </row>
    <row r="15" spans="1:16" ht="15" customHeight="1" x14ac:dyDescent="0.25">
      <c r="A15" s="1">
        <v>14</v>
      </c>
      <c r="B15" s="8" t="str">
        <f t="shared" si="0"/>
        <v>2012_03_02_MEM@SAS</v>
      </c>
      <c r="C15" s="8" t="str">
        <f t="shared" si="1"/>
        <v>2012_03_02</v>
      </c>
      <c r="D15" s="8">
        <v>2012</v>
      </c>
      <c r="E15" s="8">
        <v>3</v>
      </c>
      <c r="F15" s="8">
        <v>2</v>
      </c>
      <c r="G15" s="8">
        <v>14</v>
      </c>
      <c r="H15" s="1" t="s">
        <v>25</v>
      </c>
      <c r="I15" s="8">
        <v>2</v>
      </c>
      <c r="J15" s="1" t="s">
        <v>472</v>
      </c>
      <c r="K15" s="8">
        <v>5</v>
      </c>
      <c r="L15" s="1" t="s">
        <v>9</v>
      </c>
      <c r="M15" s="1" t="s">
        <v>472</v>
      </c>
      <c r="N15" s="1">
        <v>4</v>
      </c>
      <c r="O15" s="1"/>
      <c r="P15" s="1"/>
    </row>
    <row r="16" spans="1:16" ht="15" customHeight="1" x14ac:dyDescent="0.25">
      <c r="A16" s="1">
        <v>15</v>
      </c>
      <c r="B16" s="8" t="str">
        <f t="shared" si="0"/>
        <v>2012_04_01_SAS@MIA</v>
      </c>
      <c r="C16" s="8" t="str">
        <f t="shared" si="1"/>
        <v>2012_04_01</v>
      </c>
      <c r="D16" s="8">
        <v>2012</v>
      </c>
      <c r="E16" s="8">
        <v>4</v>
      </c>
      <c r="F16" s="8">
        <v>1</v>
      </c>
      <c r="G16" s="8">
        <v>15</v>
      </c>
      <c r="H16" s="8" t="s">
        <v>186</v>
      </c>
      <c r="I16" s="8">
        <v>1</v>
      </c>
      <c r="J16" s="1" t="s">
        <v>15</v>
      </c>
      <c r="K16" s="8">
        <v>2</v>
      </c>
      <c r="L16" s="1" t="s">
        <v>472</v>
      </c>
      <c r="M16" s="1" t="s">
        <v>15</v>
      </c>
      <c r="N16" s="1">
        <v>7</v>
      </c>
      <c r="O16" s="1"/>
      <c r="P16" s="1"/>
    </row>
    <row r="17" spans="1:16" ht="15" customHeight="1" x14ac:dyDescent="0.25">
      <c r="A17" s="1">
        <v>16</v>
      </c>
      <c r="B17" s="8" t="str">
        <f t="shared" si="0"/>
        <v>2013_01_01_ATL@IND</v>
      </c>
      <c r="C17" s="8" t="str">
        <f t="shared" si="1"/>
        <v>2013_01_01</v>
      </c>
      <c r="D17" s="1">
        <v>2013</v>
      </c>
      <c r="E17" s="8">
        <v>1</v>
      </c>
      <c r="F17" s="8">
        <v>1</v>
      </c>
      <c r="G17" s="8">
        <v>1</v>
      </c>
      <c r="H17" s="1" t="s">
        <v>24</v>
      </c>
      <c r="I17" s="8">
        <v>1</v>
      </c>
      <c r="J17" s="1" t="s">
        <v>13</v>
      </c>
      <c r="K17" s="8">
        <v>8</v>
      </c>
      <c r="L17" s="1" t="s">
        <v>5</v>
      </c>
      <c r="M17" s="1" t="s">
        <v>13</v>
      </c>
      <c r="N17" s="1">
        <v>7</v>
      </c>
      <c r="O17" s="1"/>
      <c r="P17" s="1"/>
    </row>
    <row r="18" spans="1:16" ht="15" customHeight="1" x14ac:dyDescent="0.25">
      <c r="A18" s="1">
        <v>17</v>
      </c>
      <c r="B18" s="8" t="str">
        <f t="shared" si="0"/>
        <v>2013_01_02_CHO@MIA</v>
      </c>
      <c r="C18" s="8" t="str">
        <f t="shared" si="1"/>
        <v>2013_01_02</v>
      </c>
      <c r="D18" s="1">
        <v>2013</v>
      </c>
      <c r="E18" s="1">
        <v>1</v>
      </c>
      <c r="F18" s="1">
        <v>2</v>
      </c>
      <c r="G18" s="1">
        <v>2</v>
      </c>
      <c r="H18" s="1" t="s">
        <v>24</v>
      </c>
      <c r="I18" s="8">
        <v>2</v>
      </c>
      <c r="J18" s="1" t="s">
        <v>15</v>
      </c>
      <c r="K18" s="8">
        <v>7</v>
      </c>
      <c r="L18" s="1" t="s">
        <v>467</v>
      </c>
      <c r="M18" s="1" t="s">
        <v>15</v>
      </c>
      <c r="N18" s="1">
        <v>4</v>
      </c>
      <c r="O18" s="1"/>
      <c r="P18" s="1"/>
    </row>
    <row r="19" spans="1:16" ht="15" customHeight="1" x14ac:dyDescent="0.25">
      <c r="A19" s="1">
        <v>18</v>
      </c>
      <c r="B19" s="8" t="str">
        <f t="shared" si="0"/>
        <v>2013_01_03_BRK@TOR</v>
      </c>
      <c r="C19" s="8" t="str">
        <f t="shared" si="1"/>
        <v>2013_01_03</v>
      </c>
      <c r="D19" s="1">
        <v>2013</v>
      </c>
      <c r="E19" s="8">
        <v>1</v>
      </c>
      <c r="F19" s="8">
        <v>3</v>
      </c>
      <c r="G19" s="8">
        <v>3</v>
      </c>
      <c r="H19" s="1" t="s">
        <v>24</v>
      </c>
      <c r="I19" s="8">
        <v>3</v>
      </c>
      <c r="J19" s="1" t="s">
        <v>2</v>
      </c>
      <c r="K19" s="8">
        <v>6</v>
      </c>
      <c r="L19" s="1" t="s">
        <v>80</v>
      </c>
      <c r="M19" s="1" t="s">
        <v>80</v>
      </c>
      <c r="N19" s="1">
        <v>7</v>
      </c>
      <c r="O19" s="1"/>
      <c r="P19" s="1"/>
    </row>
    <row r="20" spans="1:16" ht="15" customHeight="1" x14ac:dyDescent="0.25">
      <c r="A20" s="1">
        <v>19</v>
      </c>
      <c r="B20" s="8" t="str">
        <f t="shared" si="0"/>
        <v>2013_01_04_WAS@CHI</v>
      </c>
      <c r="C20" s="8" t="str">
        <f t="shared" si="1"/>
        <v>2013_01_04</v>
      </c>
      <c r="D20" s="1">
        <v>2013</v>
      </c>
      <c r="E20" s="1">
        <v>1</v>
      </c>
      <c r="F20" s="8">
        <v>4</v>
      </c>
      <c r="G20" s="8">
        <v>4</v>
      </c>
      <c r="H20" s="1" t="s">
        <v>24</v>
      </c>
      <c r="I20" s="8">
        <v>4</v>
      </c>
      <c r="J20" s="1" t="s">
        <v>0</v>
      </c>
      <c r="K20" s="8">
        <v>5</v>
      </c>
      <c r="L20" s="1" t="s">
        <v>474</v>
      </c>
      <c r="M20" s="1" t="s">
        <v>474</v>
      </c>
      <c r="N20" s="1">
        <v>5</v>
      </c>
      <c r="O20" s="1"/>
      <c r="P20" s="1"/>
    </row>
    <row r="21" spans="1:16" ht="15" customHeight="1" x14ac:dyDescent="0.25">
      <c r="A21" s="1">
        <v>20</v>
      </c>
      <c r="B21" s="8" t="str">
        <f t="shared" si="0"/>
        <v>2013_01_05_DAL@SAS</v>
      </c>
      <c r="C21" s="8" t="str">
        <f t="shared" si="1"/>
        <v>2013_01_05</v>
      </c>
      <c r="D21" s="1">
        <v>2013</v>
      </c>
      <c r="E21" s="8">
        <v>1</v>
      </c>
      <c r="F21" s="8">
        <v>5</v>
      </c>
      <c r="G21" s="8">
        <v>5</v>
      </c>
      <c r="H21" s="1" t="s">
        <v>25</v>
      </c>
      <c r="I21" s="8">
        <v>1</v>
      </c>
      <c r="J21" s="1" t="s">
        <v>472</v>
      </c>
      <c r="K21" s="8">
        <v>8</v>
      </c>
      <c r="L21" s="1" t="s">
        <v>16</v>
      </c>
      <c r="M21" s="1" t="s">
        <v>472</v>
      </c>
      <c r="N21" s="1">
        <v>7</v>
      </c>
      <c r="O21" s="1"/>
      <c r="P21" s="1"/>
    </row>
    <row r="22" spans="1:16" ht="15" customHeight="1" x14ac:dyDescent="0.25">
      <c r="A22" s="1">
        <v>21</v>
      </c>
      <c r="B22" s="8" t="str">
        <f t="shared" si="0"/>
        <v>2013_01_06_MEM@OKC</v>
      </c>
      <c r="C22" s="8" t="str">
        <f t="shared" si="1"/>
        <v>2013_01_06</v>
      </c>
      <c r="D22" s="1">
        <v>2013</v>
      </c>
      <c r="E22" s="1">
        <v>1</v>
      </c>
      <c r="F22" s="8">
        <v>6</v>
      </c>
      <c r="G22" s="8">
        <v>6</v>
      </c>
      <c r="H22" s="1" t="s">
        <v>25</v>
      </c>
      <c r="I22" s="8">
        <v>2</v>
      </c>
      <c r="J22" s="1" t="s">
        <v>12</v>
      </c>
      <c r="K22" s="8">
        <v>7</v>
      </c>
      <c r="L22" s="1" t="s">
        <v>9</v>
      </c>
      <c r="M22" s="1" t="s">
        <v>12</v>
      </c>
      <c r="N22" s="1">
        <v>7</v>
      </c>
      <c r="O22" s="1"/>
      <c r="P22" s="1"/>
    </row>
    <row r="23" spans="1:16" ht="15" customHeight="1" x14ac:dyDescent="0.25">
      <c r="A23" s="1">
        <v>22</v>
      </c>
      <c r="B23" s="8" t="str">
        <f t="shared" si="0"/>
        <v>2013_01_07_GSW@LAC</v>
      </c>
      <c r="C23" s="8" t="str">
        <f t="shared" si="1"/>
        <v>2013_01_07</v>
      </c>
      <c r="D23" s="1">
        <v>2013</v>
      </c>
      <c r="E23" s="8">
        <v>1</v>
      </c>
      <c r="F23" s="8">
        <v>7</v>
      </c>
      <c r="G23" s="8">
        <v>7</v>
      </c>
      <c r="H23" s="1" t="s">
        <v>25</v>
      </c>
      <c r="I23" s="8">
        <v>3</v>
      </c>
      <c r="J23" s="1" t="s">
        <v>14</v>
      </c>
      <c r="K23" s="8">
        <v>6</v>
      </c>
      <c r="L23" s="1" t="s">
        <v>468</v>
      </c>
      <c r="M23" s="1" t="s">
        <v>14</v>
      </c>
      <c r="N23" s="1">
        <v>7</v>
      </c>
      <c r="O23" s="1"/>
      <c r="P23" s="1"/>
    </row>
    <row r="24" spans="1:16" ht="15" customHeight="1" x14ac:dyDescent="0.25">
      <c r="A24" s="1">
        <v>23</v>
      </c>
      <c r="B24" s="8" t="str">
        <f t="shared" si="0"/>
        <v>2013_01_08_POR@HOU</v>
      </c>
      <c r="C24" s="8" t="str">
        <f t="shared" si="1"/>
        <v>2013_01_08</v>
      </c>
      <c r="D24" s="1">
        <v>2013</v>
      </c>
      <c r="E24" s="1">
        <v>1</v>
      </c>
      <c r="F24" s="8">
        <v>8</v>
      </c>
      <c r="G24" s="8">
        <v>8</v>
      </c>
      <c r="H24" s="1" t="s">
        <v>25</v>
      </c>
      <c r="I24" s="8">
        <v>4</v>
      </c>
      <c r="J24" s="1" t="s">
        <v>4</v>
      </c>
      <c r="K24" s="8">
        <v>5</v>
      </c>
      <c r="L24" s="1" t="s">
        <v>1</v>
      </c>
      <c r="M24" s="1" t="s">
        <v>1</v>
      </c>
      <c r="N24" s="1">
        <v>6</v>
      </c>
      <c r="O24" s="1"/>
      <c r="P24" s="1"/>
    </row>
    <row r="25" spans="1:16" ht="15" customHeight="1" x14ac:dyDescent="0.25">
      <c r="A25" s="1">
        <v>24</v>
      </c>
      <c r="B25" s="8" t="str">
        <f t="shared" si="0"/>
        <v>2013_02_01_WAS@IND</v>
      </c>
      <c r="C25" s="8" t="str">
        <f t="shared" si="1"/>
        <v>2013_02_01</v>
      </c>
      <c r="D25" s="1">
        <v>2013</v>
      </c>
      <c r="E25" s="8">
        <v>2</v>
      </c>
      <c r="F25" s="8">
        <v>1</v>
      </c>
      <c r="G25" s="8">
        <v>9</v>
      </c>
      <c r="H25" s="1" t="s">
        <v>24</v>
      </c>
      <c r="I25" s="8">
        <v>1</v>
      </c>
      <c r="J25" s="1" t="s">
        <v>13</v>
      </c>
      <c r="K25" s="8">
        <v>5</v>
      </c>
      <c r="L25" s="1" t="s">
        <v>474</v>
      </c>
      <c r="M25" s="7" t="s">
        <v>13</v>
      </c>
      <c r="N25" s="1">
        <v>6</v>
      </c>
      <c r="O25" s="1"/>
      <c r="P25" s="1"/>
    </row>
    <row r="26" spans="1:16" ht="15" customHeight="1" x14ac:dyDescent="0.25">
      <c r="A26" s="1">
        <v>25</v>
      </c>
      <c r="B26" s="8" t="str">
        <f t="shared" si="0"/>
        <v>2013_02_02_BRK@MIA</v>
      </c>
      <c r="C26" s="8" t="str">
        <f t="shared" si="1"/>
        <v>2013_02_02</v>
      </c>
      <c r="D26" s="1">
        <v>2013</v>
      </c>
      <c r="E26" s="8">
        <v>2</v>
      </c>
      <c r="F26" s="8">
        <v>2</v>
      </c>
      <c r="G26" s="8">
        <v>10</v>
      </c>
      <c r="H26" s="1" t="s">
        <v>24</v>
      </c>
      <c r="I26" s="8">
        <v>2</v>
      </c>
      <c r="J26" s="1" t="s">
        <v>15</v>
      </c>
      <c r="K26" s="8">
        <v>6</v>
      </c>
      <c r="L26" s="1" t="s">
        <v>80</v>
      </c>
      <c r="M26" s="7" t="s">
        <v>15</v>
      </c>
      <c r="N26" s="1">
        <v>5</v>
      </c>
      <c r="O26" s="1"/>
      <c r="P26" s="1"/>
    </row>
    <row r="27" spans="1:16" ht="15" customHeight="1" x14ac:dyDescent="0.25">
      <c r="A27" s="1">
        <v>26</v>
      </c>
      <c r="B27" s="8" t="str">
        <f t="shared" si="0"/>
        <v>2013_02_03_POR@SAS</v>
      </c>
      <c r="C27" s="8" t="str">
        <f t="shared" si="1"/>
        <v>2013_02_03</v>
      </c>
      <c r="D27" s="1">
        <v>2013</v>
      </c>
      <c r="E27" s="8">
        <v>2</v>
      </c>
      <c r="F27" s="8">
        <v>3</v>
      </c>
      <c r="G27" s="8">
        <v>11</v>
      </c>
      <c r="H27" s="1" t="s">
        <v>25</v>
      </c>
      <c r="I27" s="8">
        <v>1</v>
      </c>
      <c r="J27" s="1" t="s">
        <v>472</v>
      </c>
      <c r="K27" s="8">
        <v>5</v>
      </c>
      <c r="L27" s="1" t="s">
        <v>1</v>
      </c>
      <c r="M27" s="7" t="s">
        <v>472</v>
      </c>
      <c r="N27" s="1">
        <v>5</v>
      </c>
      <c r="O27" s="1"/>
      <c r="P27" s="1"/>
    </row>
    <row r="28" spans="1:16" ht="15" customHeight="1" x14ac:dyDescent="0.25">
      <c r="A28" s="1">
        <v>27</v>
      </c>
      <c r="B28" s="8" t="str">
        <f t="shared" si="0"/>
        <v>2013_02_04_LAC@OKC</v>
      </c>
      <c r="C28" s="8" t="str">
        <f t="shared" si="1"/>
        <v>2013_02_04</v>
      </c>
      <c r="D28" s="1">
        <v>2013</v>
      </c>
      <c r="E28" s="8">
        <v>2</v>
      </c>
      <c r="F28" s="8">
        <v>4</v>
      </c>
      <c r="G28" s="8">
        <v>12</v>
      </c>
      <c r="H28" s="1" t="s">
        <v>25</v>
      </c>
      <c r="I28" s="8">
        <v>2</v>
      </c>
      <c r="J28" s="1" t="s">
        <v>12</v>
      </c>
      <c r="K28" s="8">
        <v>3</v>
      </c>
      <c r="L28" s="1" t="s">
        <v>14</v>
      </c>
      <c r="M28" s="7" t="s">
        <v>12</v>
      </c>
      <c r="N28" s="1">
        <v>6</v>
      </c>
      <c r="O28" s="1"/>
      <c r="P28" s="1"/>
    </row>
    <row r="29" spans="1:16" ht="15" customHeight="1" x14ac:dyDescent="0.25">
      <c r="A29" s="1">
        <v>28</v>
      </c>
      <c r="B29" s="8" t="str">
        <f t="shared" si="0"/>
        <v>2013_03_01_MIA@IND</v>
      </c>
      <c r="C29" s="8" t="str">
        <f t="shared" si="1"/>
        <v>2013_03_01</v>
      </c>
      <c r="D29" s="8">
        <v>2013</v>
      </c>
      <c r="E29" s="8">
        <v>3</v>
      </c>
      <c r="F29" s="8">
        <v>1</v>
      </c>
      <c r="G29" s="8">
        <v>13</v>
      </c>
      <c r="H29" s="1" t="s">
        <v>24</v>
      </c>
      <c r="I29" s="8">
        <v>1</v>
      </c>
      <c r="J29" s="7" t="s">
        <v>13</v>
      </c>
      <c r="K29" s="8">
        <v>2</v>
      </c>
      <c r="L29" s="7" t="s">
        <v>15</v>
      </c>
      <c r="M29" s="7" t="s">
        <v>15</v>
      </c>
      <c r="N29" s="1">
        <v>6</v>
      </c>
      <c r="O29" s="1"/>
      <c r="P29" s="1"/>
    </row>
    <row r="30" spans="1:16" ht="15" customHeight="1" x14ac:dyDescent="0.25">
      <c r="A30" s="1">
        <v>29</v>
      </c>
      <c r="B30" s="8" t="str">
        <f t="shared" si="0"/>
        <v>2013_03_02_OKC@SAS</v>
      </c>
      <c r="C30" s="8" t="str">
        <f t="shared" si="1"/>
        <v>2013_03_02</v>
      </c>
      <c r="D30" s="8">
        <v>2013</v>
      </c>
      <c r="E30" s="8">
        <v>3</v>
      </c>
      <c r="F30" s="8">
        <v>2</v>
      </c>
      <c r="G30" s="8">
        <v>14</v>
      </c>
      <c r="H30" s="1" t="s">
        <v>25</v>
      </c>
      <c r="I30" s="8">
        <v>1</v>
      </c>
      <c r="J30" s="7" t="s">
        <v>472</v>
      </c>
      <c r="K30" s="8">
        <v>2</v>
      </c>
      <c r="L30" s="7" t="s">
        <v>12</v>
      </c>
      <c r="M30" s="7" t="s">
        <v>472</v>
      </c>
      <c r="N30" s="1">
        <v>6</v>
      </c>
      <c r="O30" s="1"/>
      <c r="P30" s="1"/>
    </row>
    <row r="31" spans="1:16" ht="15" customHeight="1" x14ac:dyDescent="0.25">
      <c r="A31" s="1">
        <v>30</v>
      </c>
      <c r="B31" s="8" t="str">
        <f t="shared" si="0"/>
        <v>2013_04_01_MIA@SAS</v>
      </c>
      <c r="C31" s="8" t="str">
        <f t="shared" si="1"/>
        <v>2013_04_01</v>
      </c>
      <c r="D31" s="8">
        <v>2013</v>
      </c>
      <c r="E31" s="8">
        <v>4</v>
      </c>
      <c r="F31" s="8">
        <v>1</v>
      </c>
      <c r="G31" s="8">
        <v>15</v>
      </c>
      <c r="H31" s="8" t="s">
        <v>186</v>
      </c>
      <c r="I31" s="8">
        <v>1</v>
      </c>
      <c r="J31" s="7" t="s">
        <v>472</v>
      </c>
      <c r="K31" s="8">
        <v>2</v>
      </c>
      <c r="L31" s="7" t="s">
        <v>15</v>
      </c>
      <c r="M31" s="7" t="s">
        <v>472</v>
      </c>
      <c r="N31" s="1">
        <v>5</v>
      </c>
      <c r="O31" s="1"/>
      <c r="P31" s="1"/>
    </row>
    <row r="32" spans="1:16" ht="15" customHeight="1" x14ac:dyDescent="0.25">
      <c r="A32" s="1">
        <v>31</v>
      </c>
      <c r="B32" s="8" t="str">
        <f t="shared" si="0"/>
        <v>2014_01_01_BRK@ATL</v>
      </c>
      <c r="C32" s="8" t="str">
        <f t="shared" si="1"/>
        <v>2014_01_01</v>
      </c>
      <c r="D32" s="8">
        <v>2014</v>
      </c>
      <c r="E32" s="8">
        <v>1</v>
      </c>
      <c r="F32" s="8">
        <v>1</v>
      </c>
      <c r="G32" s="8">
        <v>1</v>
      </c>
      <c r="H32" s="1" t="s">
        <v>24</v>
      </c>
      <c r="I32" s="8">
        <v>1</v>
      </c>
      <c r="J32" s="8" t="s">
        <v>5</v>
      </c>
      <c r="K32" s="8">
        <v>8</v>
      </c>
      <c r="L32" s="8" t="s">
        <v>80</v>
      </c>
      <c r="M32" s="8" t="s">
        <v>5</v>
      </c>
      <c r="N32" s="8">
        <v>6</v>
      </c>
      <c r="O32" s="1"/>
      <c r="P32" s="1"/>
    </row>
    <row r="33" spans="1:16" ht="15" customHeight="1" x14ac:dyDescent="0.25">
      <c r="A33" s="1">
        <v>32</v>
      </c>
      <c r="B33" s="8" t="str">
        <f t="shared" si="0"/>
        <v>2014_01_02_BOS@CLE</v>
      </c>
      <c r="C33" s="8" t="str">
        <f t="shared" si="1"/>
        <v>2014_01_02</v>
      </c>
      <c r="D33" s="8">
        <v>2014</v>
      </c>
      <c r="E33" s="1">
        <v>1</v>
      </c>
      <c r="F33" s="1">
        <v>2</v>
      </c>
      <c r="G33" s="1">
        <v>2</v>
      </c>
      <c r="H33" s="1" t="s">
        <v>24</v>
      </c>
      <c r="I33" s="8">
        <v>2</v>
      </c>
      <c r="J33" s="8" t="s">
        <v>6</v>
      </c>
      <c r="K33" s="8">
        <v>7</v>
      </c>
      <c r="L33" s="8" t="s">
        <v>17</v>
      </c>
      <c r="M33" s="8" t="s">
        <v>6</v>
      </c>
      <c r="N33" s="1">
        <v>4</v>
      </c>
      <c r="O33" s="1"/>
      <c r="P33" s="1"/>
    </row>
    <row r="34" spans="1:16" ht="15" customHeight="1" x14ac:dyDescent="0.25">
      <c r="A34" s="1">
        <v>33</v>
      </c>
      <c r="B34" s="8" t="str">
        <f t="shared" si="0"/>
        <v>2014_01_03_MIL@CHI</v>
      </c>
      <c r="C34" s="8" t="str">
        <f t="shared" si="1"/>
        <v>2014_01_03</v>
      </c>
      <c r="D34" s="8">
        <v>2014</v>
      </c>
      <c r="E34" s="8">
        <v>1</v>
      </c>
      <c r="F34" s="8">
        <v>3</v>
      </c>
      <c r="G34" s="8">
        <v>3</v>
      </c>
      <c r="H34" s="1" t="s">
        <v>24</v>
      </c>
      <c r="I34" s="8">
        <v>3</v>
      </c>
      <c r="J34" s="8" t="s">
        <v>0</v>
      </c>
      <c r="K34" s="8">
        <v>6</v>
      </c>
      <c r="L34" s="8" t="s">
        <v>10</v>
      </c>
      <c r="M34" s="8" t="s">
        <v>0</v>
      </c>
      <c r="N34" s="8">
        <v>6</v>
      </c>
      <c r="O34" s="1"/>
      <c r="P34" s="1"/>
    </row>
    <row r="35" spans="1:16" ht="15" customHeight="1" x14ac:dyDescent="0.25">
      <c r="A35" s="1">
        <v>34</v>
      </c>
      <c r="B35" s="8" t="str">
        <f t="shared" si="0"/>
        <v>2014_01_04_WAS@TOR</v>
      </c>
      <c r="C35" s="8" t="str">
        <f t="shared" si="1"/>
        <v>2014_01_04</v>
      </c>
      <c r="D35" s="8">
        <v>2014</v>
      </c>
      <c r="E35" s="1">
        <v>1</v>
      </c>
      <c r="F35" s="8">
        <v>4</v>
      </c>
      <c r="G35" s="8">
        <v>4</v>
      </c>
      <c r="H35" s="1" t="s">
        <v>24</v>
      </c>
      <c r="I35" s="8">
        <v>4</v>
      </c>
      <c r="J35" s="8" t="s">
        <v>2</v>
      </c>
      <c r="K35" s="8">
        <v>5</v>
      </c>
      <c r="L35" s="8" t="s">
        <v>474</v>
      </c>
      <c r="M35" s="8" t="s">
        <v>474</v>
      </c>
      <c r="N35" s="1">
        <v>4</v>
      </c>
      <c r="O35" s="1"/>
      <c r="P35" s="1"/>
    </row>
    <row r="36" spans="1:16" ht="15" customHeight="1" x14ac:dyDescent="0.25">
      <c r="A36" s="1">
        <v>35</v>
      </c>
      <c r="B36" s="8" t="str">
        <f t="shared" si="0"/>
        <v>2014_01_05_NOP@GSW</v>
      </c>
      <c r="C36" s="8" t="str">
        <f t="shared" si="1"/>
        <v>2014_01_05</v>
      </c>
      <c r="D36" s="8">
        <v>2014</v>
      </c>
      <c r="E36" s="8">
        <v>1</v>
      </c>
      <c r="F36" s="8">
        <v>5</v>
      </c>
      <c r="G36" s="8">
        <v>5</v>
      </c>
      <c r="H36" s="1" t="s">
        <v>25</v>
      </c>
      <c r="I36" s="8">
        <v>1</v>
      </c>
      <c r="J36" s="8" t="s">
        <v>468</v>
      </c>
      <c r="K36" s="8">
        <v>8</v>
      </c>
      <c r="L36" s="8" t="s">
        <v>469</v>
      </c>
      <c r="M36" s="8" t="s">
        <v>468</v>
      </c>
      <c r="N36" s="1">
        <v>4</v>
      </c>
      <c r="O36" s="1"/>
      <c r="P36" s="1"/>
    </row>
    <row r="37" spans="1:16" ht="15" customHeight="1" x14ac:dyDescent="0.25">
      <c r="A37" s="1">
        <v>36</v>
      </c>
      <c r="B37" s="8" t="str">
        <f t="shared" si="0"/>
        <v>2014_01_06_DAL@HOU</v>
      </c>
      <c r="C37" s="8" t="str">
        <f t="shared" si="1"/>
        <v>2014_01_06</v>
      </c>
      <c r="D37" s="8">
        <v>2014</v>
      </c>
      <c r="E37" s="1">
        <v>1</v>
      </c>
      <c r="F37" s="8">
        <v>6</v>
      </c>
      <c r="G37" s="8">
        <v>6</v>
      </c>
      <c r="H37" s="1" t="s">
        <v>25</v>
      </c>
      <c r="I37" s="8">
        <v>2</v>
      </c>
      <c r="J37" s="8" t="s">
        <v>4</v>
      </c>
      <c r="K37" s="8">
        <v>7</v>
      </c>
      <c r="L37" s="8" t="s">
        <v>16</v>
      </c>
      <c r="M37" s="8" t="s">
        <v>4</v>
      </c>
      <c r="N37" s="8">
        <v>5</v>
      </c>
      <c r="O37" s="1"/>
      <c r="P37" s="1"/>
    </row>
    <row r="38" spans="1:16" ht="15" customHeight="1" x14ac:dyDescent="0.25">
      <c r="A38" s="1">
        <v>37</v>
      </c>
      <c r="B38" s="8" t="str">
        <f t="shared" si="0"/>
        <v>2014_01_07_SAS@LAC</v>
      </c>
      <c r="C38" s="8" t="str">
        <f t="shared" si="1"/>
        <v>2014_01_07</v>
      </c>
      <c r="D38" s="8">
        <v>2014</v>
      </c>
      <c r="E38" s="8">
        <v>1</v>
      </c>
      <c r="F38" s="8">
        <v>7</v>
      </c>
      <c r="G38" s="8">
        <v>7</v>
      </c>
      <c r="H38" s="1" t="s">
        <v>25</v>
      </c>
      <c r="I38" s="8">
        <v>3</v>
      </c>
      <c r="J38" s="8" t="s">
        <v>14</v>
      </c>
      <c r="K38" s="8">
        <v>6</v>
      </c>
      <c r="L38" s="8" t="s">
        <v>472</v>
      </c>
      <c r="M38" s="8" t="s">
        <v>14</v>
      </c>
      <c r="N38" s="8">
        <v>7</v>
      </c>
      <c r="O38" s="1"/>
      <c r="P38" s="1"/>
    </row>
    <row r="39" spans="1:16" ht="15" customHeight="1" x14ac:dyDescent="0.25">
      <c r="A39" s="1">
        <v>38</v>
      </c>
      <c r="B39" s="8" t="str">
        <f t="shared" si="0"/>
        <v>2014_01_08_MEM@POR</v>
      </c>
      <c r="C39" s="8" t="str">
        <f t="shared" si="1"/>
        <v>2014_01_08</v>
      </c>
      <c r="D39" s="8">
        <v>2014</v>
      </c>
      <c r="E39" s="1">
        <v>1</v>
      </c>
      <c r="F39" s="8">
        <v>8</v>
      </c>
      <c r="G39" s="8">
        <v>8</v>
      </c>
      <c r="H39" s="1" t="s">
        <v>25</v>
      </c>
      <c r="I39" s="8">
        <v>4</v>
      </c>
      <c r="J39" s="8" t="s">
        <v>1</v>
      </c>
      <c r="K39" s="8">
        <v>5</v>
      </c>
      <c r="L39" s="8" t="s">
        <v>9</v>
      </c>
      <c r="M39" s="8" t="s">
        <v>9</v>
      </c>
      <c r="N39" s="8">
        <v>5</v>
      </c>
      <c r="O39" s="1"/>
      <c r="P39" s="1"/>
    </row>
    <row r="40" spans="1:16" ht="15" customHeight="1" x14ac:dyDescent="0.25">
      <c r="A40" s="1">
        <v>39</v>
      </c>
      <c r="B40" s="8" t="str">
        <f t="shared" si="0"/>
        <v>2014_02_01_WAS@ATL</v>
      </c>
      <c r="C40" s="8" t="str">
        <f t="shared" si="1"/>
        <v>2014_02_01</v>
      </c>
      <c r="D40" s="8">
        <v>2014</v>
      </c>
      <c r="E40" s="8">
        <v>2</v>
      </c>
      <c r="F40" s="8">
        <v>1</v>
      </c>
      <c r="G40" s="8">
        <v>9</v>
      </c>
      <c r="H40" s="1" t="s">
        <v>24</v>
      </c>
      <c r="I40" s="8">
        <v>1</v>
      </c>
      <c r="J40" s="8" t="s">
        <v>5</v>
      </c>
      <c r="K40" s="8">
        <v>5</v>
      </c>
      <c r="L40" s="8" t="s">
        <v>474</v>
      </c>
      <c r="M40" s="8" t="s">
        <v>5</v>
      </c>
      <c r="N40" s="1">
        <v>6</v>
      </c>
      <c r="O40" s="1"/>
      <c r="P40" s="1"/>
    </row>
    <row r="41" spans="1:16" ht="15" customHeight="1" x14ac:dyDescent="0.25">
      <c r="A41" s="1">
        <v>40</v>
      </c>
      <c r="B41" s="8" t="str">
        <f t="shared" si="0"/>
        <v>2014_02_02_CHI@CLE</v>
      </c>
      <c r="C41" s="8" t="str">
        <f t="shared" si="1"/>
        <v>2014_02_02</v>
      </c>
      <c r="D41" s="8">
        <v>2014</v>
      </c>
      <c r="E41" s="8">
        <v>2</v>
      </c>
      <c r="F41" s="8">
        <v>2</v>
      </c>
      <c r="G41" s="8">
        <v>10</v>
      </c>
      <c r="H41" s="1" t="s">
        <v>24</v>
      </c>
      <c r="I41" s="8">
        <v>2</v>
      </c>
      <c r="J41" s="8" t="s">
        <v>6</v>
      </c>
      <c r="K41" s="8">
        <v>3</v>
      </c>
      <c r="L41" s="8" t="s">
        <v>0</v>
      </c>
      <c r="M41" s="8" t="s">
        <v>6</v>
      </c>
      <c r="N41" s="1">
        <v>6</v>
      </c>
      <c r="O41" s="1"/>
      <c r="P41" s="1"/>
    </row>
    <row r="42" spans="1:16" ht="15" customHeight="1" x14ac:dyDescent="0.25">
      <c r="A42" s="1">
        <v>41</v>
      </c>
      <c r="B42" s="8" t="str">
        <f t="shared" si="0"/>
        <v>2014_02_03_MEM@GSW</v>
      </c>
      <c r="C42" s="8" t="str">
        <f t="shared" si="1"/>
        <v>2014_02_03</v>
      </c>
      <c r="D42" s="8">
        <v>2014</v>
      </c>
      <c r="E42" s="8">
        <v>2</v>
      </c>
      <c r="F42" s="8">
        <v>3</v>
      </c>
      <c r="G42" s="8">
        <v>11</v>
      </c>
      <c r="H42" s="1" t="s">
        <v>25</v>
      </c>
      <c r="I42" s="8">
        <v>1</v>
      </c>
      <c r="J42" s="8" t="s">
        <v>468</v>
      </c>
      <c r="K42" s="8">
        <v>5</v>
      </c>
      <c r="L42" s="8" t="s">
        <v>9</v>
      </c>
      <c r="M42" s="8" t="s">
        <v>468</v>
      </c>
      <c r="N42" s="1">
        <v>6</v>
      </c>
      <c r="O42" s="1"/>
      <c r="P42" s="1"/>
    </row>
    <row r="43" spans="1:16" ht="15" customHeight="1" x14ac:dyDescent="0.25">
      <c r="A43" s="1">
        <v>42</v>
      </c>
      <c r="B43" s="8" t="str">
        <f t="shared" si="0"/>
        <v>2014_02_04_LAC@HOU</v>
      </c>
      <c r="C43" s="8" t="str">
        <f t="shared" si="1"/>
        <v>2014_02_04</v>
      </c>
      <c r="D43" s="8">
        <v>2014</v>
      </c>
      <c r="E43" s="8">
        <v>2</v>
      </c>
      <c r="F43" s="8">
        <v>4</v>
      </c>
      <c r="G43" s="8">
        <v>12</v>
      </c>
      <c r="H43" s="1" t="s">
        <v>25</v>
      </c>
      <c r="I43" s="8">
        <v>2</v>
      </c>
      <c r="J43" s="8" t="s">
        <v>4</v>
      </c>
      <c r="K43" s="8">
        <v>3</v>
      </c>
      <c r="L43" s="8" t="s">
        <v>14</v>
      </c>
      <c r="M43" s="8" t="s">
        <v>4</v>
      </c>
      <c r="N43" s="8">
        <v>7</v>
      </c>
      <c r="O43" s="1"/>
      <c r="P43" s="1"/>
    </row>
    <row r="44" spans="1:16" ht="15" customHeight="1" x14ac:dyDescent="0.25">
      <c r="A44" s="1">
        <v>43</v>
      </c>
      <c r="B44" s="8" t="str">
        <f t="shared" si="0"/>
        <v>2014_03_01_CLE@ATL</v>
      </c>
      <c r="C44" s="8" t="str">
        <f t="shared" si="1"/>
        <v>2014_03_01</v>
      </c>
      <c r="D44" s="8">
        <v>2014</v>
      </c>
      <c r="E44" s="8">
        <v>3</v>
      </c>
      <c r="F44" s="8">
        <v>1</v>
      </c>
      <c r="G44" s="8">
        <v>13</v>
      </c>
      <c r="H44" s="1" t="s">
        <v>24</v>
      </c>
      <c r="I44" s="8">
        <v>1</v>
      </c>
      <c r="J44" s="8" t="s">
        <v>5</v>
      </c>
      <c r="K44" s="1">
        <v>2</v>
      </c>
      <c r="L44" s="8" t="s">
        <v>6</v>
      </c>
      <c r="M44" s="8" t="s">
        <v>6</v>
      </c>
      <c r="N44" s="1">
        <v>4</v>
      </c>
      <c r="O44" s="1"/>
      <c r="P44" s="1"/>
    </row>
    <row r="45" spans="1:16" ht="15" customHeight="1" x14ac:dyDescent="0.25">
      <c r="A45" s="1">
        <v>44</v>
      </c>
      <c r="B45" s="8" t="str">
        <f t="shared" si="0"/>
        <v>2014_03_02_HOU@GSW</v>
      </c>
      <c r="C45" s="8" t="str">
        <f t="shared" si="1"/>
        <v>2014_03_02</v>
      </c>
      <c r="D45" s="8">
        <v>2014</v>
      </c>
      <c r="E45" s="8">
        <v>3</v>
      </c>
      <c r="F45" s="8">
        <v>2</v>
      </c>
      <c r="G45" s="8">
        <v>14</v>
      </c>
      <c r="H45" s="1" t="s">
        <v>25</v>
      </c>
      <c r="I45" s="8">
        <v>1</v>
      </c>
      <c r="J45" s="8" t="s">
        <v>468</v>
      </c>
      <c r="K45" s="8">
        <v>2</v>
      </c>
      <c r="L45" s="8" t="s">
        <v>4</v>
      </c>
      <c r="M45" s="8" t="s">
        <v>468</v>
      </c>
      <c r="N45" s="1">
        <v>5</v>
      </c>
      <c r="O45" s="1"/>
      <c r="P45" s="1"/>
    </row>
    <row r="46" spans="1:16" ht="15" customHeight="1" x14ac:dyDescent="0.25">
      <c r="A46" s="1">
        <v>45</v>
      </c>
      <c r="B46" s="8" t="str">
        <f t="shared" si="0"/>
        <v>2014_04_01_CLE@GSW</v>
      </c>
      <c r="C46" s="8" t="str">
        <f t="shared" si="1"/>
        <v>2014_04_01</v>
      </c>
      <c r="D46" s="8">
        <v>2014</v>
      </c>
      <c r="E46" s="8">
        <v>4</v>
      </c>
      <c r="F46" s="8">
        <v>1</v>
      </c>
      <c r="G46" s="8">
        <v>15</v>
      </c>
      <c r="H46" s="8" t="s">
        <v>186</v>
      </c>
      <c r="I46" s="8">
        <v>1</v>
      </c>
      <c r="J46" s="8" t="s">
        <v>468</v>
      </c>
      <c r="K46" s="1">
        <v>2</v>
      </c>
      <c r="L46" s="8" t="s">
        <v>6</v>
      </c>
      <c r="M46" s="8" t="s">
        <v>468</v>
      </c>
      <c r="N46" s="1">
        <v>6</v>
      </c>
      <c r="O46" s="1"/>
      <c r="P46" s="1"/>
    </row>
    <row r="47" spans="1:16" ht="15" customHeight="1" x14ac:dyDescent="0.25">
      <c r="A47" s="1">
        <v>46</v>
      </c>
      <c r="B47" s="8" t="str">
        <f t="shared" si="0"/>
        <v>2015_01_01_DET@CLE</v>
      </c>
      <c r="C47" s="8" t="str">
        <f t="shared" si="1"/>
        <v>2015_01_01</v>
      </c>
      <c r="D47" s="8">
        <v>2015</v>
      </c>
      <c r="E47" s="8">
        <v>1</v>
      </c>
      <c r="F47" s="8">
        <v>1</v>
      </c>
      <c r="G47" s="8">
        <v>1</v>
      </c>
      <c r="H47" s="1" t="s">
        <v>24</v>
      </c>
      <c r="I47" s="8">
        <v>1</v>
      </c>
      <c r="J47" s="8" t="s">
        <v>6</v>
      </c>
      <c r="K47" s="8">
        <v>8</v>
      </c>
      <c r="L47" s="8" t="s">
        <v>7</v>
      </c>
      <c r="M47" s="8" t="s">
        <v>6</v>
      </c>
      <c r="N47" s="8">
        <v>4</v>
      </c>
      <c r="O47" s="1"/>
      <c r="P47" s="1"/>
    </row>
    <row r="48" spans="1:16" ht="15" customHeight="1" x14ac:dyDescent="0.25">
      <c r="A48" s="1">
        <v>47</v>
      </c>
      <c r="B48" s="8" t="str">
        <f t="shared" si="0"/>
        <v>2015_01_02_IND@TOR</v>
      </c>
      <c r="C48" s="8" t="str">
        <f t="shared" si="1"/>
        <v>2015_01_02</v>
      </c>
      <c r="D48" s="8">
        <v>2015</v>
      </c>
      <c r="E48" s="1">
        <v>1</v>
      </c>
      <c r="F48" s="1">
        <v>2</v>
      </c>
      <c r="G48" s="1">
        <v>2</v>
      </c>
      <c r="H48" s="1" t="s">
        <v>24</v>
      </c>
      <c r="I48" s="8">
        <v>2</v>
      </c>
      <c r="J48" s="8" t="s">
        <v>2</v>
      </c>
      <c r="K48" s="8">
        <v>7</v>
      </c>
      <c r="L48" s="8" t="s">
        <v>13</v>
      </c>
      <c r="M48" s="8" t="s">
        <v>2</v>
      </c>
      <c r="N48" s="8">
        <v>7</v>
      </c>
      <c r="O48" s="1"/>
      <c r="P48" s="1"/>
    </row>
    <row r="49" spans="1:16" ht="15" customHeight="1" x14ac:dyDescent="0.25">
      <c r="A49" s="1">
        <v>48</v>
      </c>
      <c r="B49" s="8" t="str">
        <f t="shared" si="0"/>
        <v>2015_01_03_CHO@MIA</v>
      </c>
      <c r="C49" s="8" t="str">
        <f t="shared" si="1"/>
        <v>2015_01_03</v>
      </c>
      <c r="D49" s="8">
        <v>2015</v>
      </c>
      <c r="E49" s="8">
        <v>1</v>
      </c>
      <c r="F49" s="8">
        <v>3</v>
      </c>
      <c r="G49" s="8">
        <v>3</v>
      </c>
      <c r="H49" s="1" t="s">
        <v>24</v>
      </c>
      <c r="I49" s="8">
        <v>3</v>
      </c>
      <c r="J49" s="8" t="s">
        <v>15</v>
      </c>
      <c r="K49" s="8">
        <v>6</v>
      </c>
      <c r="L49" s="8" t="s">
        <v>467</v>
      </c>
      <c r="M49" s="8" t="s">
        <v>15</v>
      </c>
      <c r="N49" s="8">
        <v>7</v>
      </c>
      <c r="O49" s="1"/>
      <c r="P49" s="1"/>
    </row>
    <row r="50" spans="1:16" ht="15" customHeight="1" x14ac:dyDescent="0.25">
      <c r="A50" s="1">
        <v>49</v>
      </c>
      <c r="B50" s="8" t="str">
        <f t="shared" si="0"/>
        <v>2015_01_04_BOS@ATL</v>
      </c>
      <c r="C50" s="8" t="str">
        <f t="shared" si="1"/>
        <v>2015_01_04</v>
      </c>
      <c r="D50" s="8">
        <v>2015</v>
      </c>
      <c r="E50" s="1">
        <v>1</v>
      </c>
      <c r="F50" s="8">
        <v>4</v>
      </c>
      <c r="G50" s="8">
        <v>4</v>
      </c>
      <c r="H50" s="1" t="s">
        <v>24</v>
      </c>
      <c r="I50" s="8">
        <v>4</v>
      </c>
      <c r="J50" s="8" t="s">
        <v>5</v>
      </c>
      <c r="K50" s="8">
        <v>5</v>
      </c>
      <c r="L50" s="8" t="s">
        <v>17</v>
      </c>
      <c r="M50" s="8" t="s">
        <v>5</v>
      </c>
      <c r="N50" s="8">
        <v>6</v>
      </c>
      <c r="O50" s="1"/>
      <c r="P50" s="1"/>
    </row>
    <row r="51" spans="1:16" ht="15" customHeight="1" x14ac:dyDescent="0.25">
      <c r="A51" s="1">
        <v>50</v>
      </c>
      <c r="B51" s="8" t="str">
        <f t="shared" si="0"/>
        <v>2015_01_05_HOU@GSW</v>
      </c>
      <c r="C51" s="8" t="str">
        <f t="shared" si="1"/>
        <v>2015_01_05</v>
      </c>
      <c r="D51" s="8">
        <v>2015</v>
      </c>
      <c r="E51" s="8">
        <v>1</v>
      </c>
      <c r="F51" s="8">
        <v>5</v>
      </c>
      <c r="G51" s="8">
        <v>5</v>
      </c>
      <c r="H51" s="1" t="s">
        <v>25</v>
      </c>
      <c r="I51" s="8">
        <v>1</v>
      </c>
      <c r="J51" s="8" t="s">
        <v>468</v>
      </c>
      <c r="K51" s="8">
        <v>8</v>
      </c>
      <c r="L51" s="8" t="s">
        <v>4</v>
      </c>
      <c r="M51" s="8" t="s">
        <v>468</v>
      </c>
      <c r="N51" s="8">
        <v>5</v>
      </c>
      <c r="O51" s="1"/>
      <c r="P51" s="1"/>
    </row>
    <row r="52" spans="1:16" ht="15" customHeight="1" x14ac:dyDescent="0.25">
      <c r="A52" s="1">
        <v>51</v>
      </c>
      <c r="B52" s="8" t="str">
        <f t="shared" si="0"/>
        <v>2015_01_06_MEM@SAS</v>
      </c>
      <c r="C52" s="8" t="str">
        <f t="shared" si="1"/>
        <v>2015_01_06</v>
      </c>
      <c r="D52" s="8">
        <v>2015</v>
      </c>
      <c r="E52" s="1">
        <v>1</v>
      </c>
      <c r="F52" s="8">
        <v>6</v>
      </c>
      <c r="G52" s="8">
        <v>6</v>
      </c>
      <c r="H52" s="1" t="s">
        <v>25</v>
      </c>
      <c r="I52" s="8">
        <v>2</v>
      </c>
      <c r="J52" s="8" t="s">
        <v>472</v>
      </c>
      <c r="K52" s="8">
        <v>7</v>
      </c>
      <c r="L52" s="8" t="s">
        <v>9</v>
      </c>
      <c r="M52" s="8" t="s">
        <v>472</v>
      </c>
      <c r="N52" s="8">
        <v>4</v>
      </c>
      <c r="O52" s="1"/>
      <c r="P52" s="1"/>
    </row>
    <row r="53" spans="1:16" ht="15" customHeight="1" x14ac:dyDescent="0.25">
      <c r="A53" s="1">
        <v>52</v>
      </c>
      <c r="B53" s="8" t="str">
        <f t="shared" si="0"/>
        <v>2015_01_07_DAL@OKC</v>
      </c>
      <c r="C53" s="8" t="str">
        <f t="shared" si="1"/>
        <v>2015_01_07</v>
      </c>
      <c r="D53" s="8">
        <v>2015</v>
      </c>
      <c r="E53" s="8">
        <v>1</v>
      </c>
      <c r="F53" s="8">
        <v>7</v>
      </c>
      <c r="G53" s="8">
        <v>7</v>
      </c>
      <c r="H53" s="1" t="s">
        <v>25</v>
      </c>
      <c r="I53" s="8">
        <v>3</v>
      </c>
      <c r="J53" s="8" t="s">
        <v>12</v>
      </c>
      <c r="K53" s="8">
        <v>6</v>
      </c>
      <c r="L53" s="8" t="s">
        <v>16</v>
      </c>
      <c r="M53" s="8" t="s">
        <v>12</v>
      </c>
      <c r="N53" s="8">
        <v>5</v>
      </c>
      <c r="O53" s="1"/>
      <c r="P53" s="1"/>
    </row>
    <row r="54" spans="1:16" ht="15" customHeight="1" x14ac:dyDescent="0.25">
      <c r="A54" s="1">
        <v>53</v>
      </c>
      <c r="B54" s="8" t="str">
        <f t="shared" si="0"/>
        <v>2015_01_08_POR@LAC</v>
      </c>
      <c r="C54" s="8" t="str">
        <f t="shared" si="1"/>
        <v>2015_01_08</v>
      </c>
      <c r="D54" s="8">
        <v>2015</v>
      </c>
      <c r="E54" s="1">
        <v>1</v>
      </c>
      <c r="F54" s="8">
        <v>8</v>
      </c>
      <c r="G54" s="8">
        <v>8</v>
      </c>
      <c r="H54" s="1" t="s">
        <v>25</v>
      </c>
      <c r="I54" s="8">
        <v>4</v>
      </c>
      <c r="J54" s="8" t="s">
        <v>14</v>
      </c>
      <c r="K54" s="8">
        <v>5</v>
      </c>
      <c r="L54" s="8" t="s">
        <v>1</v>
      </c>
      <c r="M54" s="8" t="s">
        <v>1</v>
      </c>
      <c r="N54" s="8">
        <v>6</v>
      </c>
      <c r="O54" s="1"/>
      <c r="P54" s="1"/>
    </row>
    <row r="55" spans="1:16" ht="15" customHeight="1" x14ac:dyDescent="0.25">
      <c r="A55" s="1">
        <v>54</v>
      </c>
      <c r="B55" s="8" t="str">
        <f t="shared" si="0"/>
        <v>2015_02_01_ATL@CLE</v>
      </c>
      <c r="C55" s="8" t="str">
        <f t="shared" si="1"/>
        <v>2015_02_01</v>
      </c>
      <c r="D55" s="8">
        <v>2015</v>
      </c>
      <c r="E55" s="8">
        <v>2</v>
      </c>
      <c r="F55" s="8">
        <v>1</v>
      </c>
      <c r="G55" s="8">
        <v>9</v>
      </c>
      <c r="H55" s="1" t="s">
        <v>24</v>
      </c>
      <c r="I55" s="8">
        <v>1</v>
      </c>
      <c r="J55" s="8" t="s">
        <v>6</v>
      </c>
      <c r="K55" s="8">
        <v>4</v>
      </c>
      <c r="L55" s="8" t="s">
        <v>5</v>
      </c>
      <c r="M55" s="8" t="s">
        <v>6</v>
      </c>
      <c r="N55" s="1">
        <v>4</v>
      </c>
      <c r="O55" s="1"/>
      <c r="P55" s="1"/>
    </row>
    <row r="56" spans="1:16" ht="15" customHeight="1" x14ac:dyDescent="0.25">
      <c r="A56" s="1">
        <v>55</v>
      </c>
      <c r="B56" s="8" t="str">
        <f t="shared" si="0"/>
        <v>2015_02_02_MIA@TOR</v>
      </c>
      <c r="C56" s="8" t="str">
        <f t="shared" si="1"/>
        <v>2015_02_02</v>
      </c>
      <c r="D56" s="8">
        <v>2015</v>
      </c>
      <c r="E56" s="8">
        <v>2</v>
      </c>
      <c r="F56" s="8">
        <v>2</v>
      </c>
      <c r="G56" s="8">
        <v>10</v>
      </c>
      <c r="H56" s="1" t="s">
        <v>24</v>
      </c>
      <c r="I56" s="8">
        <v>2</v>
      </c>
      <c r="J56" s="8" t="s">
        <v>2</v>
      </c>
      <c r="K56" s="8">
        <v>3</v>
      </c>
      <c r="L56" s="8" t="s">
        <v>15</v>
      </c>
      <c r="M56" s="8" t="s">
        <v>2</v>
      </c>
      <c r="N56" s="1">
        <v>7</v>
      </c>
      <c r="O56" s="1"/>
      <c r="P56" s="1"/>
    </row>
    <row r="57" spans="1:16" ht="15" customHeight="1" x14ac:dyDescent="0.25">
      <c r="A57" s="1">
        <v>56</v>
      </c>
      <c r="B57" s="8" t="str">
        <f t="shared" si="0"/>
        <v>2015_02_03_POR@GSW</v>
      </c>
      <c r="C57" s="8" t="str">
        <f t="shared" si="1"/>
        <v>2015_02_03</v>
      </c>
      <c r="D57" s="8">
        <v>2015</v>
      </c>
      <c r="E57" s="8">
        <v>2</v>
      </c>
      <c r="F57" s="8">
        <v>3</v>
      </c>
      <c r="G57" s="8">
        <v>11</v>
      </c>
      <c r="H57" s="1" t="s">
        <v>25</v>
      </c>
      <c r="I57" s="8">
        <v>1</v>
      </c>
      <c r="J57" s="8" t="s">
        <v>468</v>
      </c>
      <c r="K57" s="8">
        <v>5</v>
      </c>
      <c r="L57" s="8" t="s">
        <v>1</v>
      </c>
      <c r="M57" s="8" t="s">
        <v>468</v>
      </c>
      <c r="N57" s="1">
        <v>5</v>
      </c>
      <c r="O57" s="1"/>
      <c r="P57" s="1"/>
    </row>
    <row r="58" spans="1:16" ht="15" customHeight="1" x14ac:dyDescent="0.25">
      <c r="A58" s="1">
        <v>57</v>
      </c>
      <c r="B58" s="8" t="str">
        <f t="shared" si="0"/>
        <v>2015_02_04_OKC@SAS</v>
      </c>
      <c r="C58" s="8" t="str">
        <f t="shared" si="1"/>
        <v>2015_02_04</v>
      </c>
      <c r="D58" s="8">
        <v>2015</v>
      </c>
      <c r="E58" s="8">
        <v>2</v>
      </c>
      <c r="F58" s="8">
        <v>4</v>
      </c>
      <c r="G58" s="8">
        <v>12</v>
      </c>
      <c r="H58" s="1" t="s">
        <v>25</v>
      </c>
      <c r="I58" s="8">
        <v>2</v>
      </c>
      <c r="J58" s="8" t="s">
        <v>472</v>
      </c>
      <c r="K58" s="8">
        <v>3</v>
      </c>
      <c r="L58" s="8" t="s">
        <v>12</v>
      </c>
      <c r="M58" s="8" t="s">
        <v>12</v>
      </c>
      <c r="N58" s="8">
        <v>6</v>
      </c>
      <c r="O58" s="1"/>
      <c r="P58" s="1"/>
    </row>
    <row r="59" spans="1:16" ht="15" customHeight="1" x14ac:dyDescent="0.25">
      <c r="A59" s="1">
        <v>58</v>
      </c>
      <c r="B59" s="8" t="str">
        <f t="shared" si="0"/>
        <v>2015_03_01_TOR@CLE</v>
      </c>
      <c r="C59" s="8" t="str">
        <f t="shared" si="1"/>
        <v>2015_03_01</v>
      </c>
      <c r="D59" s="8">
        <v>2015</v>
      </c>
      <c r="E59" s="8">
        <v>3</v>
      </c>
      <c r="F59" s="8">
        <v>1</v>
      </c>
      <c r="G59" s="8">
        <v>13</v>
      </c>
      <c r="H59" s="1" t="s">
        <v>24</v>
      </c>
      <c r="I59" s="8">
        <v>1</v>
      </c>
      <c r="J59" s="8" t="s">
        <v>6</v>
      </c>
      <c r="K59" s="8">
        <v>2</v>
      </c>
      <c r="L59" s="8" t="s">
        <v>2</v>
      </c>
      <c r="M59" s="8" t="s">
        <v>6</v>
      </c>
      <c r="N59" s="1">
        <v>6</v>
      </c>
      <c r="O59" s="1"/>
      <c r="P59" s="1"/>
    </row>
    <row r="60" spans="1:16" ht="15" customHeight="1" x14ac:dyDescent="0.25">
      <c r="A60" s="1">
        <v>59</v>
      </c>
      <c r="B60" s="8" t="str">
        <f t="shared" si="0"/>
        <v>2015_03_02_OKC@GSW</v>
      </c>
      <c r="C60" s="8" t="str">
        <f t="shared" si="1"/>
        <v>2015_03_02</v>
      </c>
      <c r="D60" s="8">
        <v>2015</v>
      </c>
      <c r="E60" s="8">
        <v>3</v>
      </c>
      <c r="F60" s="8">
        <v>2</v>
      </c>
      <c r="G60" s="8">
        <v>14</v>
      </c>
      <c r="H60" s="1" t="s">
        <v>25</v>
      </c>
      <c r="I60" s="8">
        <v>1</v>
      </c>
      <c r="J60" s="8" t="s">
        <v>468</v>
      </c>
      <c r="K60" s="1">
        <v>3</v>
      </c>
      <c r="L60" s="8" t="s">
        <v>12</v>
      </c>
      <c r="M60" s="8" t="s">
        <v>468</v>
      </c>
      <c r="N60" s="1">
        <v>7</v>
      </c>
      <c r="O60" s="1"/>
      <c r="P60" s="1"/>
    </row>
    <row r="61" spans="1:16" ht="15" customHeight="1" x14ac:dyDescent="0.25">
      <c r="A61" s="1">
        <v>60</v>
      </c>
      <c r="B61" s="8" t="str">
        <f t="shared" si="0"/>
        <v>2015_04_01_CLE@GSW</v>
      </c>
      <c r="C61" s="8" t="str">
        <f t="shared" si="1"/>
        <v>2015_04_01</v>
      </c>
      <c r="D61" s="8">
        <v>2015</v>
      </c>
      <c r="E61" s="8">
        <v>4</v>
      </c>
      <c r="F61" s="8">
        <v>1</v>
      </c>
      <c r="G61" s="8">
        <v>15</v>
      </c>
      <c r="H61" s="8" t="s">
        <v>186</v>
      </c>
      <c r="I61" s="8">
        <v>1</v>
      </c>
      <c r="J61" s="8" t="s">
        <v>468</v>
      </c>
      <c r="K61" s="8">
        <v>1</v>
      </c>
      <c r="L61" s="8" t="s">
        <v>6</v>
      </c>
      <c r="M61" s="8" t="s">
        <v>6</v>
      </c>
      <c r="N61" s="8">
        <v>7</v>
      </c>
      <c r="O61" s="1"/>
      <c r="P61" s="1"/>
    </row>
    <row r="62" spans="1:16" ht="15" customHeight="1" x14ac:dyDescent="0.25">
      <c r="A62" s="1">
        <v>61</v>
      </c>
      <c r="B62" s="8" t="str">
        <f t="shared" si="0"/>
        <v>2016_01_01_CHI@BOS</v>
      </c>
      <c r="C62" s="8" t="str">
        <f t="shared" si="1"/>
        <v>2016_01_01</v>
      </c>
      <c r="D62" s="8">
        <v>2016</v>
      </c>
      <c r="E62" s="8">
        <v>1</v>
      </c>
      <c r="F62" s="8">
        <v>1</v>
      </c>
      <c r="G62" s="8">
        <v>1</v>
      </c>
      <c r="H62" s="1" t="s">
        <v>24</v>
      </c>
      <c r="I62" s="8">
        <v>1</v>
      </c>
      <c r="J62" s="8" t="s">
        <v>17</v>
      </c>
      <c r="K62" s="8">
        <v>8</v>
      </c>
      <c r="L62" s="8" t="s">
        <v>0</v>
      </c>
      <c r="M62" s="8" t="s">
        <v>17</v>
      </c>
      <c r="N62" s="8">
        <v>6</v>
      </c>
      <c r="O62" s="1"/>
      <c r="P62" s="1"/>
    </row>
    <row r="63" spans="1:16" ht="15" customHeight="1" x14ac:dyDescent="0.25">
      <c r="A63" s="1">
        <v>62</v>
      </c>
      <c r="B63" s="8" t="str">
        <f t="shared" si="0"/>
        <v>2016_01_02_IND@CLE</v>
      </c>
      <c r="C63" s="8" t="str">
        <f t="shared" si="1"/>
        <v>2016_01_02</v>
      </c>
      <c r="D63" s="8">
        <v>2016</v>
      </c>
      <c r="E63" s="1">
        <v>1</v>
      </c>
      <c r="F63" s="1">
        <v>2</v>
      </c>
      <c r="G63" s="1">
        <v>2</v>
      </c>
      <c r="H63" s="1" t="s">
        <v>24</v>
      </c>
      <c r="I63" s="8">
        <v>2</v>
      </c>
      <c r="J63" s="8" t="s">
        <v>6</v>
      </c>
      <c r="K63" s="8">
        <v>7</v>
      </c>
      <c r="L63" s="8" t="s">
        <v>13</v>
      </c>
      <c r="M63" s="8" t="s">
        <v>6</v>
      </c>
      <c r="N63" s="8">
        <v>4</v>
      </c>
      <c r="O63" s="1"/>
      <c r="P63" s="1"/>
    </row>
    <row r="64" spans="1:16" ht="15" customHeight="1" x14ac:dyDescent="0.25">
      <c r="A64" s="1">
        <v>63</v>
      </c>
      <c r="B64" s="8" t="str">
        <f t="shared" si="0"/>
        <v>2016_01_03_MIL@TOR</v>
      </c>
      <c r="C64" s="8" t="str">
        <f t="shared" si="1"/>
        <v>2016_01_03</v>
      </c>
      <c r="D64" s="8">
        <v>2016</v>
      </c>
      <c r="E64" s="8">
        <v>1</v>
      </c>
      <c r="F64" s="8">
        <v>3</v>
      </c>
      <c r="G64" s="8">
        <v>3</v>
      </c>
      <c r="H64" s="1" t="s">
        <v>24</v>
      </c>
      <c r="I64" s="8">
        <v>3</v>
      </c>
      <c r="J64" s="8" t="s">
        <v>2</v>
      </c>
      <c r="K64" s="8">
        <v>6</v>
      </c>
      <c r="L64" s="8" t="s">
        <v>10</v>
      </c>
      <c r="M64" s="8" t="s">
        <v>2</v>
      </c>
      <c r="N64" s="8">
        <v>6</v>
      </c>
      <c r="O64" s="1"/>
      <c r="P64" s="1"/>
    </row>
    <row r="65" spans="1:16" ht="15" customHeight="1" x14ac:dyDescent="0.25">
      <c r="A65" s="1">
        <v>64</v>
      </c>
      <c r="B65" s="8" t="str">
        <f t="shared" si="0"/>
        <v>2016_01_04_ATL@WAS</v>
      </c>
      <c r="C65" s="8" t="str">
        <f t="shared" si="1"/>
        <v>2016_01_04</v>
      </c>
      <c r="D65" s="8">
        <v>2016</v>
      </c>
      <c r="E65" s="1">
        <v>1</v>
      </c>
      <c r="F65" s="8">
        <v>4</v>
      </c>
      <c r="G65" s="8">
        <v>4</v>
      </c>
      <c r="H65" s="1" t="s">
        <v>24</v>
      </c>
      <c r="I65" s="8">
        <v>4</v>
      </c>
      <c r="J65" s="8" t="s">
        <v>474</v>
      </c>
      <c r="K65" s="8">
        <v>5</v>
      </c>
      <c r="L65" s="8" t="s">
        <v>5</v>
      </c>
      <c r="M65" s="8" t="s">
        <v>474</v>
      </c>
      <c r="N65" s="8">
        <v>6</v>
      </c>
      <c r="O65" s="1"/>
      <c r="P65" s="1"/>
    </row>
    <row r="66" spans="1:16" ht="15" customHeight="1" x14ac:dyDescent="0.25">
      <c r="A66" s="1">
        <v>65</v>
      </c>
      <c r="B66" s="8" t="str">
        <f t="shared" si="0"/>
        <v>2016_01_05_POR@GSW</v>
      </c>
      <c r="C66" s="8" t="str">
        <f t="shared" si="1"/>
        <v>2016_01_05</v>
      </c>
      <c r="D66" s="8">
        <v>2016</v>
      </c>
      <c r="E66" s="8">
        <v>1</v>
      </c>
      <c r="F66" s="8">
        <v>5</v>
      </c>
      <c r="G66" s="8">
        <v>5</v>
      </c>
      <c r="H66" s="1" t="s">
        <v>25</v>
      </c>
      <c r="I66" s="8">
        <v>1</v>
      </c>
      <c r="J66" s="8" t="s">
        <v>468</v>
      </c>
      <c r="K66" s="8">
        <v>8</v>
      </c>
      <c r="L66" s="8" t="s">
        <v>1</v>
      </c>
      <c r="M66" s="8" t="s">
        <v>468</v>
      </c>
      <c r="N66" s="8">
        <v>4</v>
      </c>
      <c r="O66" s="1"/>
      <c r="P66" s="1"/>
    </row>
    <row r="67" spans="1:16" ht="15" customHeight="1" x14ac:dyDescent="0.25">
      <c r="A67" s="1">
        <v>66</v>
      </c>
      <c r="B67" s="8" t="str">
        <f t="shared" ref="B67:B76" si="2">CONCATENATE(D67,"_0",E67,"_0",F67,"_",L67,"@",J67)</f>
        <v>2016_01_06_MEM@SAS</v>
      </c>
      <c r="C67" s="8" t="str">
        <f t="shared" ref="C67:C91" si="3">LEFT(B67,10)</f>
        <v>2016_01_06</v>
      </c>
      <c r="D67" s="8">
        <v>2016</v>
      </c>
      <c r="E67" s="1">
        <v>1</v>
      </c>
      <c r="F67" s="8">
        <v>6</v>
      </c>
      <c r="G67" s="8">
        <v>6</v>
      </c>
      <c r="H67" s="1" t="s">
        <v>25</v>
      </c>
      <c r="I67" s="8">
        <v>2</v>
      </c>
      <c r="J67" s="8" t="s">
        <v>472</v>
      </c>
      <c r="K67" s="8">
        <v>7</v>
      </c>
      <c r="L67" s="8" t="s">
        <v>9</v>
      </c>
      <c r="M67" s="8" t="s">
        <v>472</v>
      </c>
      <c r="N67" s="8">
        <v>6</v>
      </c>
      <c r="O67" s="1"/>
      <c r="P67" s="1"/>
    </row>
    <row r="68" spans="1:16" ht="15" customHeight="1" x14ac:dyDescent="0.25">
      <c r="A68" s="1">
        <v>67</v>
      </c>
      <c r="B68" s="8" t="str">
        <f t="shared" si="2"/>
        <v>2016_01_07_OKC@HOU</v>
      </c>
      <c r="C68" s="8" t="str">
        <f t="shared" si="3"/>
        <v>2016_01_07</v>
      </c>
      <c r="D68" s="8">
        <v>2016</v>
      </c>
      <c r="E68" s="8">
        <v>1</v>
      </c>
      <c r="F68" s="8">
        <v>7</v>
      </c>
      <c r="G68" s="8">
        <v>7</v>
      </c>
      <c r="H68" s="1" t="s">
        <v>25</v>
      </c>
      <c r="I68" s="8">
        <v>3</v>
      </c>
      <c r="J68" s="8" t="s">
        <v>4</v>
      </c>
      <c r="K68" s="8">
        <v>6</v>
      </c>
      <c r="L68" s="8" t="s">
        <v>12</v>
      </c>
      <c r="M68" s="8" t="s">
        <v>4</v>
      </c>
      <c r="N68" s="8">
        <v>5</v>
      </c>
      <c r="O68" s="1"/>
      <c r="P68" s="1"/>
    </row>
    <row r="69" spans="1:16" ht="15" customHeight="1" x14ac:dyDescent="0.25">
      <c r="A69" s="1">
        <v>68</v>
      </c>
      <c r="B69" s="8" t="str">
        <f t="shared" si="2"/>
        <v>2016_01_08_UTA@LAC</v>
      </c>
      <c r="C69" s="8" t="str">
        <f t="shared" si="3"/>
        <v>2016_01_08</v>
      </c>
      <c r="D69" s="8">
        <v>2016</v>
      </c>
      <c r="E69" s="1">
        <v>1</v>
      </c>
      <c r="F69" s="8">
        <v>8</v>
      </c>
      <c r="G69" s="8">
        <v>8</v>
      </c>
      <c r="H69" s="1" t="s">
        <v>25</v>
      </c>
      <c r="I69" s="8">
        <v>4</v>
      </c>
      <c r="J69" s="8" t="s">
        <v>14</v>
      </c>
      <c r="K69" s="8">
        <v>5</v>
      </c>
      <c r="L69" s="8" t="s">
        <v>473</v>
      </c>
      <c r="M69" s="8" t="s">
        <v>473</v>
      </c>
      <c r="N69" s="8">
        <v>7</v>
      </c>
      <c r="O69" s="1"/>
      <c r="P69" s="1"/>
    </row>
    <row r="70" spans="1:16" ht="15" customHeight="1" x14ac:dyDescent="0.25">
      <c r="A70" s="1">
        <v>69</v>
      </c>
      <c r="B70" s="8" t="str">
        <f t="shared" si="2"/>
        <v>2016_02_01_WAS@BOS</v>
      </c>
      <c r="C70" s="8" t="str">
        <f t="shared" si="3"/>
        <v>2016_02_01</v>
      </c>
      <c r="D70" s="8">
        <v>2016</v>
      </c>
      <c r="E70" s="8">
        <v>2</v>
      </c>
      <c r="F70" s="8">
        <v>1</v>
      </c>
      <c r="G70" s="8">
        <v>9</v>
      </c>
      <c r="H70" s="1" t="s">
        <v>24</v>
      </c>
      <c r="I70" s="8">
        <v>1</v>
      </c>
      <c r="J70" s="8" t="s">
        <v>17</v>
      </c>
      <c r="K70" s="8">
        <v>4</v>
      </c>
      <c r="L70" s="8" t="s">
        <v>474</v>
      </c>
      <c r="M70" s="8" t="s">
        <v>17</v>
      </c>
      <c r="N70" s="8">
        <v>7</v>
      </c>
      <c r="O70" s="1"/>
      <c r="P70" s="1"/>
    </row>
    <row r="71" spans="1:16" ht="15" customHeight="1" x14ac:dyDescent="0.25">
      <c r="A71" s="1">
        <v>70</v>
      </c>
      <c r="B71" s="8" t="str">
        <f t="shared" si="2"/>
        <v>2016_02_02_TOR@CLE</v>
      </c>
      <c r="C71" s="8" t="str">
        <f t="shared" si="3"/>
        <v>2016_02_02</v>
      </c>
      <c r="D71" s="8">
        <v>2016</v>
      </c>
      <c r="E71" s="8">
        <v>2</v>
      </c>
      <c r="F71" s="8">
        <v>2</v>
      </c>
      <c r="G71" s="8">
        <v>10</v>
      </c>
      <c r="H71" s="1" t="s">
        <v>24</v>
      </c>
      <c r="I71" s="8">
        <v>2</v>
      </c>
      <c r="J71" s="8" t="s">
        <v>6</v>
      </c>
      <c r="K71" s="1">
        <v>3</v>
      </c>
      <c r="L71" s="8" t="s">
        <v>2</v>
      </c>
      <c r="M71" s="8" t="s">
        <v>6</v>
      </c>
      <c r="N71" s="8">
        <v>4</v>
      </c>
      <c r="O71" s="1"/>
      <c r="P71" s="1"/>
    </row>
    <row r="72" spans="1:16" ht="15" customHeight="1" x14ac:dyDescent="0.25">
      <c r="A72" s="1">
        <v>71</v>
      </c>
      <c r="B72" s="8" t="str">
        <f t="shared" si="2"/>
        <v>2016_02_03_UTA@GSW</v>
      </c>
      <c r="C72" s="8" t="str">
        <f t="shared" si="3"/>
        <v>2016_02_03</v>
      </c>
      <c r="D72" s="8">
        <v>2016</v>
      </c>
      <c r="E72" s="8">
        <v>2</v>
      </c>
      <c r="F72" s="8">
        <v>3</v>
      </c>
      <c r="G72" s="8">
        <v>11</v>
      </c>
      <c r="H72" s="1" t="s">
        <v>25</v>
      </c>
      <c r="I72" s="8">
        <v>1</v>
      </c>
      <c r="J72" s="8" t="s">
        <v>468</v>
      </c>
      <c r="K72" s="1">
        <v>4</v>
      </c>
      <c r="L72" s="8" t="s">
        <v>473</v>
      </c>
      <c r="M72" s="8" t="s">
        <v>468</v>
      </c>
      <c r="N72" s="8">
        <v>4</v>
      </c>
      <c r="O72" s="1"/>
      <c r="P72" s="1"/>
    </row>
    <row r="73" spans="1:16" ht="15" customHeight="1" x14ac:dyDescent="0.25">
      <c r="A73" s="1">
        <v>72</v>
      </c>
      <c r="B73" s="8" t="str">
        <f t="shared" si="2"/>
        <v>2016_02_04_HOU@SAS</v>
      </c>
      <c r="C73" s="8" t="str">
        <f t="shared" si="3"/>
        <v>2016_02_04</v>
      </c>
      <c r="D73" s="8">
        <v>2016</v>
      </c>
      <c r="E73" s="8">
        <v>2</v>
      </c>
      <c r="F73" s="8">
        <v>4</v>
      </c>
      <c r="G73" s="8">
        <v>12</v>
      </c>
      <c r="H73" s="1" t="s">
        <v>25</v>
      </c>
      <c r="I73" s="8">
        <v>2</v>
      </c>
      <c r="J73" s="8" t="s">
        <v>472</v>
      </c>
      <c r="K73" s="8">
        <v>3</v>
      </c>
      <c r="L73" s="8" t="s">
        <v>4</v>
      </c>
      <c r="M73" s="8" t="s">
        <v>472</v>
      </c>
      <c r="N73" s="1">
        <v>6</v>
      </c>
      <c r="O73" s="1"/>
      <c r="P73" s="1"/>
    </row>
    <row r="74" spans="1:16" ht="15" customHeight="1" x14ac:dyDescent="0.25">
      <c r="A74" s="1">
        <v>73</v>
      </c>
      <c r="B74" s="8" t="str">
        <f t="shared" si="2"/>
        <v>2016_03_01_CLE@BOS</v>
      </c>
      <c r="C74" s="8" t="str">
        <f t="shared" si="3"/>
        <v>2016_03_01</v>
      </c>
      <c r="D74" s="8">
        <v>2016</v>
      </c>
      <c r="E74" s="8">
        <v>3</v>
      </c>
      <c r="F74" s="8">
        <v>1</v>
      </c>
      <c r="G74" s="8">
        <v>14</v>
      </c>
      <c r="H74" s="1" t="s">
        <v>24</v>
      </c>
      <c r="I74" s="8">
        <v>1</v>
      </c>
      <c r="J74" s="8" t="s">
        <v>17</v>
      </c>
      <c r="K74" s="8">
        <v>2</v>
      </c>
      <c r="L74" s="8" t="s">
        <v>6</v>
      </c>
      <c r="M74" s="8" t="s">
        <v>6</v>
      </c>
      <c r="N74" s="8">
        <v>5</v>
      </c>
      <c r="O74" s="1"/>
      <c r="P74" s="1"/>
    </row>
    <row r="75" spans="1:16" ht="15" customHeight="1" x14ac:dyDescent="0.25">
      <c r="A75" s="1">
        <v>74</v>
      </c>
      <c r="B75" s="8" t="str">
        <f t="shared" si="2"/>
        <v>2016_03_02_SAS@GSW</v>
      </c>
      <c r="C75" s="8" t="str">
        <f t="shared" si="3"/>
        <v>2016_03_02</v>
      </c>
      <c r="D75" s="8">
        <v>2016</v>
      </c>
      <c r="E75" s="8">
        <v>3</v>
      </c>
      <c r="F75" s="8">
        <v>2</v>
      </c>
      <c r="G75" s="8">
        <v>14</v>
      </c>
      <c r="H75" s="1" t="s">
        <v>25</v>
      </c>
      <c r="I75" s="8">
        <v>1</v>
      </c>
      <c r="J75" s="8" t="s">
        <v>468</v>
      </c>
      <c r="K75" s="8">
        <v>2</v>
      </c>
      <c r="L75" s="8" t="s">
        <v>472</v>
      </c>
      <c r="M75" s="8" t="s">
        <v>468</v>
      </c>
      <c r="N75" s="8">
        <v>4</v>
      </c>
      <c r="O75" s="1"/>
      <c r="P75" s="1"/>
    </row>
    <row r="76" spans="1:16" ht="15" customHeight="1" x14ac:dyDescent="0.25">
      <c r="A76" s="1">
        <v>75</v>
      </c>
      <c r="B76" s="8" t="str">
        <f t="shared" si="2"/>
        <v>2016_04_01_CLE@GSW</v>
      </c>
      <c r="C76" s="8" t="str">
        <f t="shared" si="3"/>
        <v>2016_04_01</v>
      </c>
      <c r="D76" s="8">
        <v>2016</v>
      </c>
      <c r="E76" s="8">
        <v>4</v>
      </c>
      <c r="F76" s="8">
        <v>1</v>
      </c>
      <c r="G76" s="8">
        <v>15</v>
      </c>
      <c r="H76" s="8" t="s">
        <v>186</v>
      </c>
      <c r="I76" s="8">
        <v>1</v>
      </c>
      <c r="J76" s="8" t="s">
        <v>468</v>
      </c>
      <c r="K76" s="8">
        <v>2</v>
      </c>
      <c r="L76" s="8" t="s">
        <v>6</v>
      </c>
      <c r="M76" s="8" t="s">
        <v>468</v>
      </c>
      <c r="N76" s="8">
        <v>5</v>
      </c>
      <c r="O76" s="1"/>
      <c r="P76" s="1"/>
    </row>
    <row r="77" spans="1:16" ht="15" customHeight="1" x14ac:dyDescent="0.25">
      <c r="A77" s="1">
        <v>76</v>
      </c>
      <c r="B77" s="8" t="str">
        <f t="shared" ref="B77:B91" si="4">CONCATENATE(D77,"_0",E77,"_0",F77,"_",L77,"@",J77)</f>
        <v>2016_01_01_@</v>
      </c>
      <c r="C77" s="8" t="str">
        <f t="shared" si="3"/>
        <v>2016_01_01</v>
      </c>
      <c r="D77" s="1">
        <v>2016</v>
      </c>
      <c r="E77" s="1">
        <v>1</v>
      </c>
      <c r="F77" s="1">
        <v>1</v>
      </c>
      <c r="G77" s="1">
        <v>1</v>
      </c>
      <c r="H77" s="1" t="s">
        <v>24</v>
      </c>
      <c r="I77" s="1">
        <v>1</v>
      </c>
      <c r="K77" s="1">
        <v>8</v>
      </c>
      <c r="O77" s="1"/>
      <c r="P77" s="1"/>
    </row>
    <row r="78" spans="1:16" ht="15" customHeight="1" x14ac:dyDescent="0.25">
      <c r="A78" s="1">
        <v>77</v>
      </c>
      <c r="B78" s="8" t="str">
        <f t="shared" si="4"/>
        <v>2016_01_02_@</v>
      </c>
      <c r="C78" s="8" t="str">
        <f t="shared" si="3"/>
        <v>2016_01_02</v>
      </c>
      <c r="D78" s="1">
        <v>2016</v>
      </c>
      <c r="E78" s="1">
        <v>1</v>
      </c>
      <c r="F78" s="1">
        <v>2</v>
      </c>
      <c r="G78" s="1">
        <v>2</v>
      </c>
      <c r="H78" s="1" t="s">
        <v>24</v>
      </c>
      <c r="I78" s="1">
        <v>2</v>
      </c>
      <c r="K78" s="1">
        <v>7</v>
      </c>
      <c r="O78" s="1"/>
      <c r="P78" s="1"/>
    </row>
    <row r="79" spans="1:16" ht="15" customHeight="1" x14ac:dyDescent="0.25">
      <c r="A79" s="1">
        <v>78</v>
      </c>
      <c r="B79" s="8" t="str">
        <f t="shared" si="4"/>
        <v>2016_01_03_@</v>
      </c>
      <c r="C79" s="8" t="str">
        <f t="shared" si="3"/>
        <v>2016_01_03</v>
      </c>
      <c r="D79" s="1">
        <v>2016</v>
      </c>
      <c r="E79" s="1">
        <v>1</v>
      </c>
      <c r="F79" s="1">
        <v>3</v>
      </c>
      <c r="G79" s="1">
        <v>3</v>
      </c>
      <c r="H79" s="1" t="s">
        <v>24</v>
      </c>
      <c r="I79" s="1">
        <v>3</v>
      </c>
      <c r="K79" s="1">
        <v>6</v>
      </c>
      <c r="O79" s="1"/>
      <c r="P79" s="1"/>
    </row>
    <row r="80" spans="1:16" ht="15" customHeight="1" x14ac:dyDescent="0.25">
      <c r="A80" s="1">
        <v>79</v>
      </c>
      <c r="B80" s="8" t="str">
        <f t="shared" si="4"/>
        <v>2016_01_04_@</v>
      </c>
      <c r="C80" s="8" t="str">
        <f t="shared" si="3"/>
        <v>2016_01_04</v>
      </c>
      <c r="D80" s="1">
        <v>2016</v>
      </c>
      <c r="E80" s="1">
        <v>1</v>
      </c>
      <c r="F80" s="1">
        <v>4</v>
      </c>
      <c r="G80" s="1">
        <v>4</v>
      </c>
      <c r="H80" s="1" t="s">
        <v>24</v>
      </c>
      <c r="I80" s="1">
        <v>4</v>
      </c>
      <c r="K80" s="1">
        <v>5</v>
      </c>
      <c r="O80" s="1"/>
      <c r="P80" s="1"/>
    </row>
    <row r="81" spans="1:16" ht="15" customHeight="1" x14ac:dyDescent="0.25">
      <c r="A81" s="1">
        <v>80</v>
      </c>
      <c r="B81" s="8" t="str">
        <f t="shared" si="4"/>
        <v>2016_01_05_@</v>
      </c>
      <c r="C81" s="8" t="str">
        <f t="shared" si="3"/>
        <v>2016_01_05</v>
      </c>
      <c r="D81" s="1">
        <v>2016</v>
      </c>
      <c r="E81" s="1">
        <v>1</v>
      </c>
      <c r="F81" s="1">
        <v>5</v>
      </c>
      <c r="G81" s="1">
        <v>5</v>
      </c>
      <c r="H81" s="1" t="s">
        <v>25</v>
      </c>
      <c r="I81" s="1">
        <v>1</v>
      </c>
      <c r="K81" s="1">
        <v>8</v>
      </c>
      <c r="O81" s="1"/>
      <c r="P81" s="1"/>
    </row>
    <row r="82" spans="1:16" ht="15" customHeight="1" x14ac:dyDescent="0.25">
      <c r="A82" s="1">
        <v>81</v>
      </c>
      <c r="B82" s="8" t="str">
        <f t="shared" si="4"/>
        <v>2016_01_06_@</v>
      </c>
      <c r="C82" s="8" t="str">
        <f t="shared" si="3"/>
        <v>2016_01_06</v>
      </c>
      <c r="D82" s="1">
        <v>2016</v>
      </c>
      <c r="E82" s="1">
        <v>1</v>
      </c>
      <c r="F82" s="1">
        <v>6</v>
      </c>
      <c r="G82" s="1">
        <v>6</v>
      </c>
      <c r="H82" s="1" t="s">
        <v>25</v>
      </c>
      <c r="I82" s="1">
        <v>2</v>
      </c>
      <c r="K82" s="1">
        <v>7</v>
      </c>
      <c r="O82" s="1"/>
      <c r="P82" s="1"/>
    </row>
    <row r="83" spans="1:16" ht="15" customHeight="1" x14ac:dyDescent="0.25">
      <c r="A83" s="1">
        <v>82</v>
      </c>
      <c r="B83" s="8" t="str">
        <f t="shared" si="4"/>
        <v>2016_01_07_@</v>
      </c>
      <c r="C83" s="8" t="str">
        <f t="shared" si="3"/>
        <v>2016_01_07</v>
      </c>
      <c r="D83" s="1">
        <v>2016</v>
      </c>
      <c r="E83" s="1">
        <v>1</v>
      </c>
      <c r="F83" s="1">
        <v>7</v>
      </c>
      <c r="G83" s="1">
        <v>7</v>
      </c>
      <c r="H83" s="1" t="s">
        <v>25</v>
      </c>
      <c r="I83" s="1">
        <v>3</v>
      </c>
      <c r="K83" s="1">
        <v>6</v>
      </c>
      <c r="O83" s="1"/>
      <c r="P83" s="1"/>
    </row>
    <row r="84" spans="1:16" ht="15" customHeight="1" x14ac:dyDescent="0.25">
      <c r="A84" s="1">
        <v>83</v>
      </c>
      <c r="B84" s="8" t="str">
        <f t="shared" si="4"/>
        <v>2016_01_08_@</v>
      </c>
      <c r="C84" s="8" t="str">
        <f t="shared" si="3"/>
        <v>2016_01_08</v>
      </c>
      <c r="D84" s="1">
        <v>2016</v>
      </c>
      <c r="E84" s="1">
        <v>1</v>
      </c>
      <c r="F84" s="1">
        <v>8</v>
      </c>
      <c r="G84" s="1">
        <v>8</v>
      </c>
      <c r="H84" s="1" t="s">
        <v>25</v>
      </c>
      <c r="I84" s="1">
        <v>4</v>
      </c>
      <c r="K84" s="1">
        <v>5</v>
      </c>
      <c r="O84" s="1"/>
      <c r="P84" s="1"/>
    </row>
    <row r="85" spans="1:16" ht="15" customHeight="1" x14ac:dyDescent="0.25">
      <c r="A85" s="1">
        <v>84</v>
      </c>
      <c r="B85" s="8" t="str">
        <f t="shared" si="4"/>
        <v>2016_02_01_@</v>
      </c>
      <c r="C85" s="8" t="str">
        <f t="shared" si="3"/>
        <v>2016_02_01</v>
      </c>
      <c r="D85" s="1">
        <v>2016</v>
      </c>
      <c r="E85" s="1">
        <v>2</v>
      </c>
      <c r="F85" s="1">
        <v>1</v>
      </c>
      <c r="G85" s="1">
        <v>9</v>
      </c>
      <c r="H85" s="1" t="s">
        <v>24</v>
      </c>
      <c r="I85" s="1">
        <v>1</v>
      </c>
      <c r="K85" s="1">
        <v>4</v>
      </c>
      <c r="O85" s="1"/>
      <c r="P85" s="1"/>
    </row>
    <row r="86" spans="1:16" ht="15" customHeight="1" x14ac:dyDescent="0.25">
      <c r="A86" s="1">
        <v>85</v>
      </c>
      <c r="B86" s="8" t="str">
        <f t="shared" si="4"/>
        <v>2016_02_02_@</v>
      </c>
      <c r="C86" s="8" t="str">
        <f t="shared" si="3"/>
        <v>2016_02_02</v>
      </c>
      <c r="D86" s="1">
        <v>2016</v>
      </c>
      <c r="E86" s="1">
        <v>2</v>
      </c>
      <c r="F86" s="1">
        <v>2</v>
      </c>
      <c r="G86" s="1">
        <v>10</v>
      </c>
      <c r="H86" s="1" t="s">
        <v>24</v>
      </c>
      <c r="I86" s="1">
        <v>2</v>
      </c>
      <c r="K86" s="1">
        <v>3</v>
      </c>
      <c r="O86" s="1"/>
      <c r="P86" s="1"/>
    </row>
    <row r="87" spans="1:16" ht="15" customHeight="1" x14ac:dyDescent="0.25">
      <c r="A87" s="1">
        <v>86</v>
      </c>
      <c r="B87" s="8" t="str">
        <f t="shared" si="4"/>
        <v>2016_02_03_@</v>
      </c>
      <c r="C87" s="8" t="str">
        <f t="shared" si="3"/>
        <v>2016_02_03</v>
      </c>
      <c r="D87" s="1">
        <v>2016</v>
      </c>
      <c r="E87" s="1">
        <v>2</v>
      </c>
      <c r="F87" s="1">
        <v>3</v>
      </c>
      <c r="G87" s="1">
        <v>11</v>
      </c>
      <c r="H87" s="1" t="s">
        <v>25</v>
      </c>
      <c r="I87" s="1">
        <v>1</v>
      </c>
      <c r="K87" s="1">
        <v>4</v>
      </c>
      <c r="O87" s="1"/>
      <c r="P87" s="1"/>
    </row>
    <row r="88" spans="1:16" ht="15" customHeight="1" x14ac:dyDescent="0.25">
      <c r="A88" s="1">
        <v>87</v>
      </c>
      <c r="B88" s="8" t="str">
        <f t="shared" si="4"/>
        <v>2016_02_04_@</v>
      </c>
      <c r="C88" s="8" t="str">
        <f t="shared" si="3"/>
        <v>2016_02_04</v>
      </c>
      <c r="D88" s="1">
        <v>2016</v>
      </c>
      <c r="E88" s="1">
        <v>2</v>
      </c>
      <c r="F88" s="1">
        <v>4</v>
      </c>
      <c r="G88" s="1">
        <v>12</v>
      </c>
      <c r="H88" s="1" t="s">
        <v>25</v>
      </c>
      <c r="I88" s="1">
        <v>2</v>
      </c>
      <c r="K88" s="1">
        <v>3</v>
      </c>
      <c r="O88" s="1"/>
      <c r="P88" s="1"/>
    </row>
    <row r="89" spans="1:16" ht="15" customHeight="1" x14ac:dyDescent="0.25">
      <c r="A89" s="1">
        <v>88</v>
      </c>
      <c r="B89" s="8" t="str">
        <f t="shared" si="4"/>
        <v>2016_03_01_@</v>
      </c>
      <c r="C89" s="8" t="str">
        <f t="shared" si="3"/>
        <v>2016_03_01</v>
      </c>
      <c r="D89" s="1">
        <v>2016</v>
      </c>
      <c r="E89" s="1">
        <v>3</v>
      </c>
      <c r="F89" s="1">
        <v>1</v>
      </c>
      <c r="G89" s="1">
        <v>14</v>
      </c>
      <c r="H89" s="1" t="s">
        <v>24</v>
      </c>
      <c r="I89" s="1">
        <v>1</v>
      </c>
      <c r="K89" s="1">
        <v>2</v>
      </c>
      <c r="O89" s="1"/>
      <c r="P89" s="1"/>
    </row>
    <row r="90" spans="1:16" ht="15" customHeight="1" x14ac:dyDescent="0.25">
      <c r="A90" s="1">
        <v>89</v>
      </c>
      <c r="B90" s="8" t="str">
        <f t="shared" si="4"/>
        <v>2016_03_02_@</v>
      </c>
      <c r="C90" s="8" t="str">
        <f t="shared" si="3"/>
        <v>2016_03_02</v>
      </c>
      <c r="D90" s="1">
        <v>2016</v>
      </c>
      <c r="E90" s="1">
        <v>3</v>
      </c>
      <c r="F90" s="1">
        <v>2</v>
      </c>
      <c r="G90" s="1">
        <v>14</v>
      </c>
      <c r="H90" s="1" t="s">
        <v>25</v>
      </c>
      <c r="I90" s="1">
        <v>1</v>
      </c>
      <c r="K90" s="1">
        <v>2</v>
      </c>
      <c r="O90" s="1"/>
      <c r="P90" s="1"/>
    </row>
    <row r="91" spans="1:16" ht="15" customHeight="1" x14ac:dyDescent="0.25">
      <c r="A91" s="1">
        <v>90</v>
      </c>
      <c r="B91" s="8" t="str">
        <f t="shared" si="4"/>
        <v>2016_04_01_@</v>
      </c>
      <c r="C91" s="8" t="str">
        <f t="shared" si="3"/>
        <v>2016_04_01</v>
      </c>
      <c r="D91" s="1">
        <v>2016</v>
      </c>
      <c r="E91" s="1">
        <v>4</v>
      </c>
      <c r="F91" s="1">
        <v>1</v>
      </c>
      <c r="G91" s="1">
        <v>15</v>
      </c>
      <c r="H91" s="1" t="s">
        <v>186</v>
      </c>
      <c r="I91" s="1">
        <v>1</v>
      </c>
      <c r="K91" s="1">
        <v>2</v>
      </c>
      <c r="O91" s="1"/>
      <c r="P91" s="1"/>
    </row>
    <row r="92" spans="1:16" ht="15" customHeight="1" x14ac:dyDescent="0.25">
      <c r="O92" s="1"/>
      <c r="P92" s="1"/>
    </row>
    <row r="93" spans="1:16" ht="15" customHeight="1" x14ac:dyDescent="0.25">
      <c r="O93" s="1"/>
      <c r="P93" s="1"/>
    </row>
    <row r="94" spans="1:16" ht="15" customHeight="1" x14ac:dyDescent="0.25">
      <c r="O94" s="1"/>
      <c r="P94" s="1"/>
    </row>
    <row r="95" spans="1:16" ht="15" customHeight="1" x14ac:dyDescent="0.25">
      <c r="O95" s="1"/>
      <c r="P95" s="1"/>
    </row>
    <row r="96" spans="1:16" ht="15" customHeight="1" x14ac:dyDescent="0.25">
      <c r="O96" s="1"/>
      <c r="P96" s="1"/>
    </row>
    <row r="97" spans="15:16" ht="15" customHeight="1" x14ac:dyDescent="0.25">
      <c r="O97" s="1"/>
      <c r="P97" s="1"/>
    </row>
    <row r="98" spans="15:16" ht="15" customHeight="1" x14ac:dyDescent="0.25">
      <c r="O98" s="1"/>
      <c r="P98" s="1"/>
    </row>
    <row r="99" spans="15:16" ht="15" customHeight="1" x14ac:dyDescent="0.25">
      <c r="O99" s="1"/>
      <c r="P99" s="1"/>
    </row>
    <row r="100" spans="15:16" ht="15" customHeight="1" x14ac:dyDescent="0.25">
      <c r="O100" s="1"/>
      <c r="P100" s="1"/>
    </row>
    <row r="101" spans="15:16" ht="15" customHeight="1" x14ac:dyDescent="0.25">
      <c r="O101" s="1"/>
      <c r="P101" s="1"/>
    </row>
    <row r="102" spans="15:16" ht="15" customHeight="1" x14ac:dyDescent="0.25">
      <c r="O102" s="1"/>
      <c r="P102" s="1"/>
    </row>
    <row r="103" spans="15:16" ht="15" customHeight="1" x14ac:dyDescent="0.25">
      <c r="O103" s="1"/>
      <c r="P103" s="1"/>
    </row>
    <row r="104" spans="15:16" ht="15" customHeight="1" x14ac:dyDescent="0.25">
      <c r="O104" s="1"/>
      <c r="P104" s="1"/>
    </row>
    <row r="105" spans="15:16" ht="15" customHeight="1" x14ac:dyDescent="0.25">
      <c r="O105" s="1"/>
      <c r="P105" s="1"/>
    </row>
    <row r="106" spans="15:16" ht="15" customHeight="1" x14ac:dyDescent="0.25">
      <c r="O106" s="1"/>
      <c r="P106" s="1"/>
    </row>
    <row r="107" spans="15:16" ht="15" customHeight="1" x14ac:dyDescent="0.25">
      <c r="O107" s="1"/>
      <c r="P107" s="1"/>
    </row>
    <row r="108" spans="15:16" ht="15" customHeight="1" x14ac:dyDescent="0.25">
      <c r="O108" s="1"/>
      <c r="P108" s="1"/>
    </row>
    <row r="109" spans="15:16" ht="15" customHeight="1" x14ac:dyDescent="0.25">
      <c r="O109" s="1"/>
      <c r="P109" s="1"/>
    </row>
    <row r="110" spans="15:16" ht="15" customHeight="1" x14ac:dyDescent="0.25">
      <c r="O110" s="1"/>
      <c r="P110" s="1"/>
    </row>
    <row r="111" spans="15:16" ht="15" customHeight="1" x14ac:dyDescent="0.25">
      <c r="O111" s="1"/>
      <c r="P111" s="1"/>
    </row>
    <row r="112" spans="15:16" ht="15" customHeight="1" x14ac:dyDescent="0.25">
      <c r="O112" s="1"/>
      <c r="P112" s="1"/>
    </row>
    <row r="113" spans="15:16" ht="15" customHeight="1" x14ac:dyDescent="0.25">
      <c r="O113" s="1"/>
      <c r="P113" s="1"/>
    </row>
    <row r="114" spans="15:16" ht="15" customHeight="1" x14ac:dyDescent="0.25">
      <c r="O114" s="1"/>
      <c r="P114" s="1"/>
    </row>
    <row r="115" spans="15:16" ht="15" customHeight="1" x14ac:dyDescent="0.25">
      <c r="O115" s="1"/>
      <c r="P115" s="1"/>
    </row>
    <row r="116" spans="15:16" ht="15" customHeight="1" x14ac:dyDescent="0.25">
      <c r="O116" s="1"/>
      <c r="P116" s="1"/>
    </row>
    <row r="117" spans="15:16" ht="15" customHeight="1" x14ac:dyDescent="0.25">
      <c r="O117" s="1"/>
      <c r="P117" s="1"/>
    </row>
    <row r="118" spans="15:16" ht="15" customHeight="1" x14ac:dyDescent="0.25">
      <c r="O118" s="1"/>
      <c r="P118" s="1"/>
    </row>
    <row r="119" spans="15:16" ht="15" customHeight="1" x14ac:dyDescent="0.25">
      <c r="O119" s="1"/>
      <c r="P119" s="1"/>
    </row>
    <row r="120" spans="15:16" ht="15" customHeight="1" x14ac:dyDescent="0.25">
      <c r="O120" s="1"/>
      <c r="P120" s="1"/>
    </row>
    <row r="121" spans="15:16" ht="15" customHeight="1" x14ac:dyDescent="0.25">
      <c r="O121" s="1"/>
      <c r="P121" s="1"/>
    </row>
    <row r="122" spans="15:16" ht="15" customHeight="1" x14ac:dyDescent="0.25">
      <c r="O122" s="1"/>
      <c r="P122" s="1"/>
    </row>
    <row r="123" spans="15:16" ht="15" customHeight="1" x14ac:dyDescent="0.25">
      <c r="O123" s="1"/>
      <c r="P123" s="1"/>
    </row>
    <row r="124" spans="15:16" ht="15" customHeight="1" x14ac:dyDescent="0.25">
      <c r="O124" s="1"/>
      <c r="P124" s="1"/>
    </row>
    <row r="125" spans="15:16" ht="15" customHeight="1" x14ac:dyDescent="0.25">
      <c r="O125" s="1"/>
      <c r="P125" s="1"/>
    </row>
    <row r="126" spans="15:16" ht="15" customHeight="1" x14ac:dyDescent="0.25">
      <c r="O126" s="1"/>
      <c r="P126" s="1"/>
    </row>
    <row r="127" spans="15:16" ht="15" customHeight="1" x14ac:dyDescent="0.25">
      <c r="O127" s="1"/>
      <c r="P127" s="1"/>
    </row>
    <row r="128" spans="15:16" ht="15" customHeight="1" x14ac:dyDescent="0.25">
      <c r="O128" s="1"/>
      <c r="P128" s="1"/>
    </row>
    <row r="129" spans="15:16" ht="15" customHeight="1" x14ac:dyDescent="0.25">
      <c r="O129" s="1"/>
      <c r="P129" s="1"/>
    </row>
    <row r="130" spans="15:16" ht="15" customHeight="1" x14ac:dyDescent="0.25">
      <c r="O130" s="1"/>
      <c r="P130" s="1"/>
    </row>
    <row r="131" spans="15:16" ht="15" customHeight="1" x14ac:dyDescent="0.25">
      <c r="O131" s="1"/>
      <c r="P131" s="1"/>
    </row>
    <row r="132" spans="15:16" ht="15" customHeight="1" x14ac:dyDescent="0.25">
      <c r="O132" s="1"/>
      <c r="P132" s="1"/>
    </row>
    <row r="133" spans="15:16" ht="15" customHeight="1" x14ac:dyDescent="0.25">
      <c r="O133" s="1"/>
      <c r="P133" s="1"/>
    </row>
    <row r="134" spans="15:16" ht="15" customHeight="1" x14ac:dyDescent="0.25">
      <c r="O134" s="1"/>
      <c r="P134" s="1"/>
    </row>
    <row r="135" spans="15:16" ht="15" customHeight="1" x14ac:dyDescent="0.25">
      <c r="O135" s="1"/>
      <c r="P135" s="1"/>
    </row>
    <row r="136" spans="15:16" ht="15" customHeight="1" x14ac:dyDescent="0.25">
      <c r="O136" s="1"/>
      <c r="P136" s="1"/>
    </row>
    <row r="137" spans="15:16" ht="15" customHeight="1" x14ac:dyDescent="0.25">
      <c r="O137" s="1"/>
      <c r="P137" s="1"/>
    </row>
    <row r="138" spans="15:16" ht="15" customHeight="1" x14ac:dyDescent="0.25">
      <c r="O138" s="1"/>
      <c r="P138" s="1"/>
    </row>
    <row r="139" spans="15:16" ht="15" customHeight="1" x14ac:dyDescent="0.25">
      <c r="O139" s="1"/>
      <c r="P139" s="1"/>
    </row>
    <row r="140" spans="15:16" ht="15" customHeight="1" x14ac:dyDescent="0.25">
      <c r="O140" s="1"/>
      <c r="P140" s="1"/>
    </row>
    <row r="141" spans="15:16" ht="15" customHeight="1" x14ac:dyDescent="0.25">
      <c r="O141" s="1"/>
      <c r="P141" s="1"/>
    </row>
    <row r="142" spans="15:16" ht="15" customHeight="1" x14ac:dyDescent="0.25">
      <c r="O142" s="1"/>
      <c r="P142" s="1"/>
    </row>
    <row r="143" spans="15:16" ht="15" customHeight="1" x14ac:dyDescent="0.25">
      <c r="O143" s="1"/>
      <c r="P143" s="1"/>
    </row>
    <row r="144" spans="15:16" ht="15" customHeight="1" x14ac:dyDescent="0.25">
      <c r="O144" s="1"/>
      <c r="P144" s="1"/>
    </row>
    <row r="145" spans="15:16" ht="15" customHeight="1" x14ac:dyDescent="0.25">
      <c r="O145" s="1"/>
      <c r="P145" s="1"/>
    </row>
    <row r="146" spans="15:16" ht="15" customHeight="1" x14ac:dyDescent="0.25">
      <c r="O146" s="1"/>
      <c r="P146" s="1"/>
    </row>
    <row r="147" spans="15:16" ht="15" customHeight="1" x14ac:dyDescent="0.25">
      <c r="O147" s="1"/>
      <c r="P147" s="1"/>
    </row>
    <row r="148" spans="15:16" ht="15" customHeight="1" x14ac:dyDescent="0.25">
      <c r="O148" s="1"/>
      <c r="P148" s="1"/>
    </row>
    <row r="149" spans="15:16" ht="15" customHeight="1" x14ac:dyDescent="0.25">
      <c r="O149" s="1"/>
      <c r="P149" s="1"/>
    </row>
    <row r="150" spans="15:16" ht="15" customHeight="1" x14ac:dyDescent="0.25">
      <c r="O150" s="1"/>
      <c r="P150" s="1"/>
    </row>
    <row r="151" spans="15:16" ht="15" customHeight="1" x14ac:dyDescent="0.25">
      <c r="O151" s="1"/>
      <c r="P151" s="1"/>
    </row>
    <row r="152" spans="15:16" ht="15" customHeight="1" x14ac:dyDescent="0.25">
      <c r="O152" s="1"/>
      <c r="P152" s="1"/>
    </row>
    <row r="153" spans="15:16" ht="15" customHeight="1" x14ac:dyDescent="0.25">
      <c r="O153" s="1"/>
      <c r="P153" s="1"/>
    </row>
    <row r="154" spans="15:16" ht="15" customHeight="1" x14ac:dyDescent="0.25">
      <c r="O154" s="1"/>
      <c r="P154" s="1"/>
    </row>
    <row r="155" spans="15:16" ht="15" customHeight="1" x14ac:dyDescent="0.25">
      <c r="O155" s="1"/>
      <c r="P155" s="1"/>
    </row>
    <row r="156" spans="15:16" ht="15" customHeight="1" x14ac:dyDescent="0.25">
      <c r="O156" s="1"/>
      <c r="P156" s="1"/>
    </row>
    <row r="157" spans="15:16" ht="15" customHeight="1" x14ac:dyDescent="0.25">
      <c r="O157" s="1"/>
      <c r="P157" s="1"/>
    </row>
    <row r="158" spans="15:16" ht="15" customHeight="1" x14ac:dyDescent="0.25">
      <c r="O158" s="1"/>
      <c r="P158" s="1"/>
    </row>
    <row r="159" spans="15:16" ht="15" customHeight="1" x14ac:dyDescent="0.25">
      <c r="O159" s="1"/>
      <c r="P159" s="1"/>
    </row>
    <row r="160" spans="15:16" ht="15" customHeight="1" x14ac:dyDescent="0.25">
      <c r="O160" s="1"/>
      <c r="P160" s="1"/>
    </row>
    <row r="161" spans="15:16" ht="15" customHeight="1" x14ac:dyDescent="0.25">
      <c r="O161" s="1"/>
      <c r="P161" s="1"/>
    </row>
    <row r="162" spans="15:16" ht="15" customHeight="1" x14ac:dyDescent="0.25">
      <c r="O162" s="1"/>
      <c r="P162" s="1"/>
    </row>
    <row r="163" spans="15:16" ht="15" customHeight="1" x14ac:dyDescent="0.25">
      <c r="O163" s="1"/>
      <c r="P163" s="1"/>
    </row>
    <row r="164" spans="15:16" ht="15" customHeight="1" x14ac:dyDescent="0.25">
      <c r="O164" s="1"/>
      <c r="P164" s="1"/>
    </row>
    <row r="165" spans="15:16" ht="15" customHeight="1" x14ac:dyDescent="0.25">
      <c r="O165" s="1"/>
      <c r="P165" s="1"/>
    </row>
    <row r="166" spans="15:16" ht="15" customHeight="1" x14ac:dyDescent="0.25">
      <c r="O166" s="1"/>
      <c r="P166" s="1"/>
    </row>
    <row r="167" spans="15:16" ht="15" customHeight="1" x14ac:dyDescent="0.25">
      <c r="O167" s="1"/>
      <c r="P167" s="1"/>
    </row>
    <row r="168" spans="15:16" ht="15" customHeight="1" x14ac:dyDescent="0.25">
      <c r="O168" s="1"/>
      <c r="P168" s="1"/>
    </row>
    <row r="169" spans="15:16" ht="15" customHeight="1" x14ac:dyDescent="0.25">
      <c r="O169" s="1"/>
      <c r="P169" s="1"/>
    </row>
    <row r="170" spans="15:16" ht="15" customHeight="1" x14ac:dyDescent="0.25">
      <c r="O170" s="1"/>
      <c r="P170" s="1"/>
    </row>
    <row r="171" spans="15:16" ht="15" customHeight="1" x14ac:dyDescent="0.25">
      <c r="O171" s="1"/>
      <c r="P171" s="1"/>
    </row>
    <row r="172" spans="15:16" ht="15" customHeight="1" x14ac:dyDescent="0.25">
      <c r="O172" s="1"/>
      <c r="P172" s="1"/>
    </row>
    <row r="173" spans="15:16" ht="15" customHeight="1" x14ac:dyDescent="0.25">
      <c r="O173" s="1"/>
      <c r="P173" s="1"/>
    </row>
    <row r="174" spans="15:16" ht="15" customHeight="1" x14ac:dyDescent="0.25">
      <c r="O174" s="1"/>
      <c r="P174" s="1"/>
    </row>
    <row r="175" spans="15:16" ht="15" customHeight="1" x14ac:dyDescent="0.25">
      <c r="O175" s="1"/>
      <c r="P175" s="1"/>
    </row>
    <row r="176" spans="15:16" ht="15" customHeight="1" x14ac:dyDescent="0.25">
      <c r="O176" s="1"/>
      <c r="P176" s="1"/>
    </row>
    <row r="177" spans="15:16" ht="15" customHeight="1" x14ac:dyDescent="0.25">
      <c r="O177" s="1"/>
      <c r="P177" s="1"/>
    </row>
    <row r="178" spans="15:16" ht="15" customHeight="1" x14ac:dyDescent="0.25">
      <c r="O178" s="1"/>
      <c r="P178" s="1"/>
    </row>
    <row r="179" spans="15:16" ht="15" customHeight="1" x14ac:dyDescent="0.25">
      <c r="O179" s="1"/>
      <c r="P179" s="1"/>
    </row>
    <row r="180" spans="15:16" ht="15" customHeight="1" x14ac:dyDescent="0.25">
      <c r="O180" s="1"/>
      <c r="P180" s="1"/>
    </row>
    <row r="181" spans="15:16" ht="15" customHeight="1" x14ac:dyDescent="0.25">
      <c r="O181" s="1"/>
      <c r="P181" s="1"/>
    </row>
    <row r="182" spans="15:16" ht="15" customHeight="1" x14ac:dyDescent="0.25">
      <c r="O182" s="1"/>
      <c r="P182" s="1"/>
    </row>
    <row r="183" spans="15:16" ht="15" customHeight="1" x14ac:dyDescent="0.25">
      <c r="O183" s="1"/>
      <c r="P183" s="1"/>
    </row>
    <row r="184" spans="15:16" ht="15" customHeight="1" x14ac:dyDescent="0.25">
      <c r="O184" s="1"/>
      <c r="P184" s="1"/>
    </row>
    <row r="185" spans="15:16" ht="15" customHeight="1" x14ac:dyDescent="0.25">
      <c r="O185" s="1"/>
      <c r="P185" s="1"/>
    </row>
    <row r="186" spans="15:16" ht="15" customHeight="1" x14ac:dyDescent="0.25">
      <c r="O186" s="1"/>
      <c r="P186" s="1"/>
    </row>
    <row r="187" spans="15:16" ht="15" customHeight="1" x14ac:dyDescent="0.25">
      <c r="O187" s="1"/>
      <c r="P187" s="1"/>
    </row>
    <row r="188" spans="15:16" ht="15" customHeight="1" x14ac:dyDescent="0.25">
      <c r="O188" s="1"/>
      <c r="P188" s="1"/>
    </row>
    <row r="189" spans="15:16" ht="15" customHeight="1" x14ac:dyDescent="0.25">
      <c r="O189" s="1"/>
      <c r="P189" s="1"/>
    </row>
    <row r="190" spans="15:16" ht="15" customHeight="1" x14ac:dyDescent="0.25">
      <c r="O190" s="1"/>
      <c r="P190" s="1"/>
    </row>
    <row r="191" spans="15:16" ht="15" customHeight="1" x14ac:dyDescent="0.25">
      <c r="O191" s="1"/>
      <c r="P191" s="1"/>
    </row>
    <row r="192" spans="15:16" ht="15" customHeight="1" x14ac:dyDescent="0.25">
      <c r="O192" s="1"/>
      <c r="P192" s="1"/>
    </row>
    <row r="193" spans="15:16" ht="15" customHeight="1" x14ac:dyDescent="0.25">
      <c r="O193" s="1"/>
      <c r="P193" s="1"/>
    </row>
    <row r="194" spans="15:16" ht="15" customHeight="1" x14ac:dyDescent="0.25">
      <c r="O194" s="1"/>
      <c r="P194" s="1"/>
    </row>
    <row r="195" spans="15:16" ht="15" customHeight="1" x14ac:dyDescent="0.25">
      <c r="O195" s="1"/>
      <c r="P195" s="1"/>
    </row>
    <row r="196" spans="15:16" ht="15" customHeight="1" x14ac:dyDescent="0.25">
      <c r="O196" s="1"/>
      <c r="P196" s="1"/>
    </row>
    <row r="197" spans="15:16" ht="15" customHeight="1" x14ac:dyDescent="0.25">
      <c r="O197" s="1"/>
      <c r="P197" s="1"/>
    </row>
    <row r="198" spans="15:16" ht="15" customHeight="1" x14ac:dyDescent="0.25">
      <c r="O198" s="1"/>
      <c r="P198" s="1"/>
    </row>
    <row r="199" spans="15:16" ht="15" customHeight="1" x14ac:dyDescent="0.25">
      <c r="O199" s="1"/>
      <c r="P199" s="1"/>
    </row>
    <row r="200" spans="15:16" ht="15" customHeight="1" x14ac:dyDescent="0.25">
      <c r="O200" s="1"/>
      <c r="P200" s="1"/>
    </row>
    <row r="201" spans="15:16" ht="15" customHeight="1" x14ac:dyDescent="0.25">
      <c r="O201" s="1"/>
      <c r="P201" s="1"/>
    </row>
    <row r="202" spans="15:16" ht="15" customHeight="1" x14ac:dyDescent="0.25">
      <c r="O202" s="1"/>
      <c r="P202" s="1"/>
    </row>
    <row r="203" spans="15:16" ht="15" customHeight="1" x14ac:dyDescent="0.25">
      <c r="O203" s="1"/>
      <c r="P203" s="1"/>
    </row>
    <row r="204" spans="15:16" ht="15" customHeight="1" x14ac:dyDescent="0.25">
      <c r="O204" s="1"/>
      <c r="P204" s="1"/>
    </row>
    <row r="205" spans="15:16" ht="15" customHeight="1" x14ac:dyDescent="0.25">
      <c r="O205" s="1"/>
      <c r="P205" s="1"/>
    </row>
    <row r="206" spans="15:16" ht="15" customHeight="1" x14ac:dyDescent="0.25">
      <c r="O206" s="1"/>
      <c r="P206" s="1"/>
    </row>
    <row r="207" spans="15:16" ht="15" customHeight="1" x14ac:dyDescent="0.25">
      <c r="O207" s="1"/>
      <c r="P207" s="1"/>
    </row>
    <row r="208" spans="15:16" ht="15" customHeight="1" x14ac:dyDescent="0.25">
      <c r="O208" s="1"/>
      <c r="P208" s="1"/>
    </row>
    <row r="209" spans="15:16" ht="15" customHeight="1" x14ac:dyDescent="0.25">
      <c r="O209" s="1"/>
      <c r="P209" s="1"/>
    </row>
    <row r="210" spans="15:16" ht="15" customHeight="1" x14ac:dyDescent="0.25">
      <c r="O210" s="1"/>
      <c r="P210" s="1"/>
    </row>
    <row r="211" spans="15:16" ht="15" customHeight="1" x14ac:dyDescent="0.25">
      <c r="O211" s="1"/>
      <c r="P211" s="1"/>
    </row>
    <row r="212" spans="15:16" ht="15" customHeight="1" x14ac:dyDescent="0.25">
      <c r="O212" s="1"/>
      <c r="P212" s="1"/>
    </row>
    <row r="213" spans="15:16" ht="15" customHeight="1" x14ac:dyDescent="0.25">
      <c r="O213" s="1"/>
      <c r="P213" s="1"/>
    </row>
    <row r="214" spans="15:16" ht="15" customHeight="1" x14ac:dyDescent="0.25">
      <c r="O214" s="1"/>
      <c r="P214" s="1"/>
    </row>
    <row r="215" spans="15:16" ht="15" customHeight="1" x14ac:dyDescent="0.25">
      <c r="O215" s="1"/>
      <c r="P215" s="1"/>
    </row>
    <row r="216" spans="15:16" ht="15" customHeight="1" x14ac:dyDescent="0.25">
      <c r="O216" s="1"/>
      <c r="P216" s="1"/>
    </row>
    <row r="217" spans="15:16" ht="15" customHeight="1" x14ac:dyDescent="0.25">
      <c r="O217" s="1"/>
      <c r="P217" s="1"/>
    </row>
    <row r="218" spans="15:16" ht="15" customHeight="1" x14ac:dyDescent="0.25">
      <c r="O218" s="1"/>
      <c r="P218" s="1"/>
    </row>
    <row r="219" spans="15:16" ht="15" customHeight="1" x14ac:dyDescent="0.25">
      <c r="O219" s="1"/>
      <c r="P219" s="1"/>
    </row>
    <row r="220" spans="15:16" ht="15" customHeight="1" x14ac:dyDescent="0.25">
      <c r="O220" s="1"/>
      <c r="P22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18"/>
  <sheetViews>
    <sheetView zoomScale="80" zoomScaleNormal="80" workbookViewId="0">
      <selection activeCell="I2" sqref="I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10" width="9.140625" customWidth="1"/>
  </cols>
  <sheetData>
    <row r="1" spans="1:10" ht="15" customHeight="1" x14ac:dyDescent="0.25">
      <c r="A1" t="s">
        <v>409</v>
      </c>
      <c r="B1" t="s">
        <v>430</v>
      </c>
      <c r="C1" s="15" t="s">
        <v>429</v>
      </c>
      <c r="D1" s="8" t="s">
        <v>155</v>
      </c>
      <c r="E1" s="12" t="s">
        <v>416</v>
      </c>
      <c r="F1" s="14" t="s">
        <v>417</v>
      </c>
      <c r="G1" s="17" t="s">
        <v>426</v>
      </c>
      <c r="H1" s="12" t="s">
        <v>187</v>
      </c>
      <c r="I1" s="14" t="s">
        <v>181</v>
      </c>
      <c r="J1" s="17" t="s">
        <v>166</v>
      </c>
    </row>
    <row r="2" spans="1:10" ht="15" customHeight="1" x14ac:dyDescent="0.25">
      <c r="A2">
        <v>1</v>
      </c>
      <c r="B2">
        <v>1</v>
      </c>
      <c r="C2" t="str">
        <f t="shared" ref="C2:C65" ca="1" si="0">IFERROR(VLOOKUP($B2,nba_plyff_results,MATCH(C$1,nba_plyff_results_header,0),FALSE),"error")</f>
        <v>2012_01_01_MIL@MIA</v>
      </c>
      <c r="D2" s="8" t="s">
        <v>157</v>
      </c>
      <c r="E2" s="1" t="s">
        <v>15</v>
      </c>
      <c r="F2" s="1" t="str">
        <f t="shared" ref="F2:F65" ca="1" si="1">IFERROR(IF(ISBLANK(VLOOKUP($B2,nba_plyff_results,MATCH(F$1,nba_plyff_results_header,0),FALSE)),"",VLOOKUP($B2,nba_plyff_results,MATCH(F$1,nba_plyff_results_header,0),FALSE)),"error")</f>
        <v>MIA</v>
      </c>
      <c r="G2" s="1">
        <f t="shared" ref="G2:G65" ca="1" si="2">IF(OR(ISBLANK(E2),ISBLANK(F2),E2="",F2=""),"",IF(E2=F2,1,0))</f>
        <v>1</v>
      </c>
      <c r="H2" s="1">
        <v>5</v>
      </c>
      <c r="I2" s="1">
        <f t="shared" ref="I2:I65" ca="1" si="3">IFERROR(IF(ISBLANK(VLOOKUP($B2,nba_plyff_results,MATCH(I$1,nba_plyff_results_header,0),FALSE)),"",VLOOKUP($B2,nba_plyff_results,MATCH(I$1,nba_plyff_results_header,0),FALSE)),"error")</f>
        <v>4</v>
      </c>
      <c r="J2" s="1">
        <f t="shared" ref="J2:J65" ca="1" si="4">IF(OR(ISBLANK(H2),ISBLANK(I2),H2="",I2=""),"",H2-I2)</f>
        <v>1</v>
      </c>
    </row>
    <row r="3" spans="1:10" ht="15" customHeight="1" x14ac:dyDescent="0.25">
      <c r="A3">
        <v>2</v>
      </c>
      <c r="B3">
        <v>1</v>
      </c>
      <c r="C3" t="str">
        <f t="shared" ca="1" si="0"/>
        <v>2012_01_01_MIL@MIA</v>
      </c>
      <c r="D3" s="8" t="s">
        <v>158</v>
      </c>
      <c r="E3" s="1" t="s">
        <v>15</v>
      </c>
      <c r="F3" s="1" t="str">
        <f t="shared" ca="1" si="1"/>
        <v>MIA</v>
      </c>
      <c r="G3" s="1">
        <f t="shared" ca="1" si="2"/>
        <v>1</v>
      </c>
      <c r="H3" s="1">
        <v>4</v>
      </c>
      <c r="I3" s="1">
        <f t="shared" ca="1" si="3"/>
        <v>4</v>
      </c>
      <c r="J3" s="1">
        <f t="shared" ca="1" si="4"/>
        <v>0</v>
      </c>
    </row>
    <row r="4" spans="1:10" ht="15" customHeight="1" x14ac:dyDescent="0.25">
      <c r="A4">
        <v>3</v>
      </c>
      <c r="B4">
        <v>2</v>
      </c>
      <c r="C4" t="str">
        <f t="shared" ca="1" si="0"/>
        <v>2012_01_02_BOS@NYK</v>
      </c>
      <c r="D4" s="8" t="s">
        <v>157</v>
      </c>
      <c r="E4" s="1" t="s">
        <v>470</v>
      </c>
      <c r="F4" s="1" t="str">
        <f t="shared" ca="1" si="1"/>
        <v>NYK</v>
      </c>
      <c r="G4" s="1">
        <f t="shared" ca="1" si="2"/>
        <v>1</v>
      </c>
      <c r="H4" s="1">
        <v>6</v>
      </c>
      <c r="I4" s="1">
        <f t="shared" ca="1" si="3"/>
        <v>6</v>
      </c>
      <c r="J4" s="1">
        <f t="shared" ca="1" si="4"/>
        <v>0</v>
      </c>
    </row>
    <row r="5" spans="1:10" ht="15" customHeight="1" x14ac:dyDescent="0.25">
      <c r="A5">
        <v>4</v>
      </c>
      <c r="B5">
        <v>2</v>
      </c>
      <c r="C5" t="str">
        <f t="shared" ca="1" si="0"/>
        <v>2012_01_02_BOS@NYK</v>
      </c>
      <c r="D5" s="8" t="s">
        <v>158</v>
      </c>
      <c r="E5" s="1" t="s">
        <v>470</v>
      </c>
      <c r="F5" s="1" t="str">
        <f t="shared" ca="1" si="1"/>
        <v>NYK</v>
      </c>
      <c r="G5" s="1">
        <f t="shared" ca="1" si="2"/>
        <v>1</v>
      </c>
      <c r="H5" s="1">
        <v>7</v>
      </c>
      <c r="I5" s="1">
        <f t="shared" ca="1" si="3"/>
        <v>6</v>
      </c>
      <c r="J5" s="1">
        <f t="shared" ca="1" si="4"/>
        <v>1</v>
      </c>
    </row>
    <row r="6" spans="1:10" ht="15" customHeight="1" x14ac:dyDescent="0.25">
      <c r="A6">
        <v>5</v>
      </c>
      <c r="B6">
        <v>3</v>
      </c>
      <c r="C6" t="str">
        <f t="shared" ca="1" si="0"/>
        <v>2012_01_03_ATL@IND</v>
      </c>
      <c r="D6" s="8" t="s">
        <v>157</v>
      </c>
      <c r="E6" s="1" t="s">
        <v>13</v>
      </c>
      <c r="F6" s="1" t="str">
        <f t="shared" ca="1" si="1"/>
        <v>IND</v>
      </c>
      <c r="G6" s="1">
        <f t="shared" ca="1" si="2"/>
        <v>1</v>
      </c>
      <c r="H6" s="1">
        <v>6</v>
      </c>
      <c r="I6" s="1">
        <f t="shared" ca="1" si="3"/>
        <v>6</v>
      </c>
      <c r="J6" s="1">
        <f t="shared" ca="1" si="4"/>
        <v>0</v>
      </c>
    </row>
    <row r="7" spans="1:10" ht="15" customHeight="1" x14ac:dyDescent="0.25">
      <c r="A7">
        <v>6</v>
      </c>
      <c r="B7">
        <v>3</v>
      </c>
      <c r="C7" t="str">
        <f t="shared" ca="1" si="0"/>
        <v>2012_01_03_ATL@IND</v>
      </c>
      <c r="D7" s="8" t="s">
        <v>158</v>
      </c>
      <c r="E7" s="1" t="s">
        <v>13</v>
      </c>
      <c r="F7" s="1" t="str">
        <f t="shared" ca="1" si="1"/>
        <v>IND</v>
      </c>
      <c r="G7" s="1">
        <f t="shared" ca="1" si="2"/>
        <v>1</v>
      </c>
      <c r="H7" s="1">
        <v>5</v>
      </c>
      <c r="I7" s="1">
        <f t="shared" ca="1" si="3"/>
        <v>6</v>
      </c>
      <c r="J7" s="1">
        <f t="shared" ca="1" si="4"/>
        <v>-1</v>
      </c>
    </row>
    <row r="8" spans="1:10" ht="15" customHeight="1" x14ac:dyDescent="0.25">
      <c r="A8">
        <v>7</v>
      </c>
      <c r="B8">
        <v>4</v>
      </c>
      <c r="C8" t="str">
        <f t="shared" ca="1" si="0"/>
        <v>2012_01_04_CHI@BRK</v>
      </c>
      <c r="D8" s="8" t="s">
        <v>157</v>
      </c>
      <c r="E8" s="1" t="s">
        <v>80</v>
      </c>
      <c r="F8" s="1" t="str">
        <f t="shared" ca="1" si="1"/>
        <v>CHI</v>
      </c>
      <c r="G8" s="1">
        <f t="shared" ca="1" si="2"/>
        <v>0</v>
      </c>
      <c r="H8" s="1">
        <v>6</v>
      </c>
      <c r="I8" s="1">
        <f t="shared" ca="1" si="3"/>
        <v>7</v>
      </c>
      <c r="J8" s="1">
        <f t="shared" ca="1" si="4"/>
        <v>-1</v>
      </c>
    </row>
    <row r="9" spans="1:10" ht="15" customHeight="1" x14ac:dyDescent="0.25">
      <c r="A9">
        <v>8</v>
      </c>
      <c r="B9">
        <v>4</v>
      </c>
      <c r="C9" t="str">
        <f t="shared" ca="1" si="0"/>
        <v>2012_01_04_CHI@BRK</v>
      </c>
      <c r="D9" s="8" t="s">
        <v>158</v>
      </c>
      <c r="E9" s="1" t="s">
        <v>80</v>
      </c>
      <c r="F9" s="1" t="str">
        <f t="shared" ca="1" si="1"/>
        <v>CHI</v>
      </c>
      <c r="G9" s="1">
        <f t="shared" ca="1" si="2"/>
        <v>0</v>
      </c>
      <c r="H9" s="1">
        <v>7</v>
      </c>
      <c r="I9" s="1">
        <f t="shared" ca="1" si="3"/>
        <v>7</v>
      </c>
      <c r="J9" s="1">
        <f t="shared" ca="1" si="4"/>
        <v>0</v>
      </c>
    </row>
    <row r="10" spans="1:10" ht="15" customHeight="1" x14ac:dyDescent="0.25">
      <c r="A10">
        <v>9</v>
      </c>
      <c r="B10">
        <v>5</v>
      </c>
      <c r="C10" t="str">
        <f t="shared" ca="1" si="0"/>
        <v>2012_01_05_HOU@OKC</v>
      </c>
      <c r="D10" s="8" t="s">
        <v>157</v>
      </c>
      <c r="E10" s="1" t="s">
        <v>12</v>
      </c>
      <c r="F10" s="1" t="str">
        <f t="shared" ca="1" si="1"/>
        <v>OKC</v>
      </c>
      <c r="G10" s="1">
        <f t="shared" ca="1" si="2"/>
        <v>1</v>
      </c>
      <c r="H10" s="1">
        <v>5</v>
      </c>
      <c r="I10" s="1">
        <f t="shared" ca="1" si="3"/>
        <v>6</v>
      </c>
      <c r="J10" s="1">
        <f t="shared" ca="1" si="4"/>
        <v>-1</v>
      </c>
    </row>
    <row r="11" spans="1:10" ht="15" customHeight="1" x14ac:dyDescent="0.25">
      <c r="A11">
        <v>10</v>
      </c>
      <c r="B11">
        <v>5</v>
      </c>
      <c r="C11" t="str">
        <f t="shared" ca="1" si="0"/>
        <v>2012_01_05_HOU@OKC</v>
      </c>
      <c r="D11" s="8" t="s">
        <v>158</v>
      </c>
      <c r="E11" s="1" t="s">
        <v>12</v>
      </c>
      <c r="F11" s="1" t="str">
        <f t="shared" ca="1" si="1"/>
        <v>OKC</v>
      </c>
      <c r="G11" s="1">
        <f t="shared" ca="1" si="2"/>
        <v>1</v>
      </c>
      <c r="H11" s="1">
        <v>5</v>
      </c>
      <c r="I11" s="1">
        <f t="shared" ca="1" si="3"/>
        <v>6</v>
      </c>
      <c r="J11" s="1">
        <f t="shared" ca="1" si="4"/>
        <v>-1</v>
      </c>
    </row>
    <row r="12" spans="1:10" ht="15" customHeight="1" x14ac:dyDescent="0.25">
      <c r="A12">
        <v>11</v>
      </c>
      <c r="B12">
        <v>6</v>
      </c>
      <c r="C12" t="str">
        <f t="shared" ca="1" si="0"/>
        <v>2012_01_06_LAL@SAS</v>
      </c>
      <c r="D12" s="8" t="s">
        <v>157</v>
      </c>
      <c r="E12" s="1" t="s">
        <v>472</v>
      </c>
      <c r="F12" s="1" t="str">
        <f t="shared" ca="1" si="1"/>
        <v>SAS</v>
      </c>
      <c r="G12" s="1">
        <f t="shared" ca="1" si="2"/>
        <v>1</v>
      </c>
      <c r="H12" s="1">
        <v>7</v>
      </c>
      <c r="I12" s="1">
        <f t="shared" ca="1" si="3"/>
        <v>4</v>
      </c>
      <c r="J12" s="1">
        <f t="shared" ca="1" si="4"/>
        <v>3</v>
      </c>
    </row>
    <row r="13" spans="1:10" ht="15" customHeight="1" x14ac:dyDescent="0.25">
      <c r="A13">
        <v>12</v>
      </c>
      <c r="B13">
        <v>6</v>
      </c>
      <c r="C13" t="str">
        <f t="shared" ca="1" si="0"/>
        <v>2012_01_06_LAL@SAS</v>
      </c>
      <c r="D13" s="8" t="s">
        <v>158</v>
      </c>
      <c r="E13" s="1" t="s">
        <v>472</v>
      </c>
      <c r="F13" s="1" t="str">
        <f t="shared" ca="1" si="1"/>
        <v>SAS</v>
      </c>
      <c r="G13" s="1">
        <f t="shared" ca="1" si="2"/>
        <v>1</v>
      </c>
      <c r="H13" s="1">
        <v>6</v>
      </c>
      <c r="I13" s="1">
        <f t="shared" ca="1" si="3"/>
        <v>4</v>
      </c>
      <c r="J13" s="1">
        <f t="shared" ca="1" si="4"/>
        <v>2</v>
      </c>
    </row>
    <row r="14" spans="1:10" ht="15" customHeight="1" x14ac:dyDescent="0.25">
      <c r="A14">
        <v>13</v>
      </c>
      <c r="B14">
        <v>7</v>
      </c>
      <c r="C14" t="str">
        <f t="shared" ca="1" si="0"/>
        <v>2012_01_07_GSW@DEN</v>
      </c>
      <c r="D14" s="8" t="s">
        <v>157</v>
      </c>
      <c r="E14" s="1" t="s">
        <v>23</v>
      </c>
      <c r="F14" s="1" t="str">
        <f t="shared" ca="1" si="1"/>
        <v>GSW</v>
      </c>
      <c r="G14" s="1">
        <f t="shared" ca="1" si="2"/>
        <v>0</v>
      </c>
      <c r="H14" s="1">
        <v>6</v>
      </c>
      <c r="I14" s="1">
        <f t="shared" ca="1" si="3"/>
        <v>6</v>
      </c>
      <c r="J14" s="1">
        <f t="shared" ca="1" si="4"/>
        <v>0</v>
      </c>
    </row>
    <row r="15" spans="1:10" ht="15" customHeight="1" x14ac:dyDescent="0.25">
      <c r="A15">
        <v>14</v>
      </c>
      <c r="B15">
        <v>7</v>
      </c>
      <c r="C15" t="str">
        <f t="shared" ca="1" si="0"/>
        <v>2012_01_07_GSW@DEN</v>
      </c>
      <c r="D15" s="8" t="s">
        <v>158</v>
      </c>
      <c r="E15" s="1" t="s">
        <v>23</v>
      </c>
      <c r="F15" s="1" t="str">
        <f t="shared" ca="1" si="1"/>
        <v>GSW</v>
      </c>
      <c r="G15" s="1">
        <f t="shared" ca="1" si="2"/>
        <v>0</v>
      </c>
      <c r="H15" s="1">
        <v>5</v>
      </c>
      <c r="I15" s="1">
        <f t="shared" ca="1" si="3"/>
        <v>6</v>
      </c>
      <c r="J15" s="1">
        <f t="shared" ca="1" si="4"/>
        <v>-1</v>
      </c>
    </row>
    <row r="16" spans="1:10" ht="15" customHeight="1" x14ac:dyDescent="0.25">
      <c r="A16">
        <v>15</v>
      </c>
      <c r="B16">
        <v>8</v>
      </c>
      <c r="C16" t="str">
        <f t="shared" ca="1" si="0"/>
        <v>2012_01_08_MEM@LAC</v>
      </c>
      <c r="D16" s="8" t="s">
        <v>157</v>
      </c>
      <c r="E16" s="1" t="s">
        <v>14</v>
      </c>
      <c r="F16" s="1" t="str">
        <f t="shared" ca="1" si="1"/>
        <v>MEM</v>
      </c>
      <c r="G16" s="1">
        <f t="shared" ca="1" si="2"/>
        <v>0</v>
      </c>
      <c r="H16" s="1">
        <v>7</v>
      </c>
      <c r="I16" s="1">
        <f t="shared" ca="1" si="3"/>
        <v>6</v>
      </c>
      <c r="J16" s="1">
        <f t="shared" ca="1" si="4"/>
        <v>1</v>
      </c>
    </row>
    <row r="17" spans="1:10" ht="15" customHeight="1" x14ac:dyDescent="0.25">
      <c r="A17">
        <v>16</v>
      </c>
      <c r="B17">
        <v>8</v>
      </c>
      <c r="C17" t="str">
        <f t="shared" ca="1" si="0"/>
        <v>2012_01_08_MEM@LAC</v>
      </c>
      <c r="D17" s="8" t="s">
        <v>158</v>
      </c>
      <c r="E17" s="1" t="s">
        <v>9</v>
      </c>
      <c r="F17" s="1" t="str">
        <f t="shared" ca="1" si="1"/>
        <v>MEM</v>
      </c>
      <c r="G17" s="1">
        <f t="shared" ca="1" si="2"/>
        <v>1</v>
      </c>
      <c r="H17" s="1">
        <v>7</v>
      </c>
      <c r="I17" s="1">
        <f t="shared" ca="1" si="3"/>
        <v>6</v>
      </c>
      <c r="J17" s="1">
        <f t="shared" ca="1" si="4"/>
        <v>1</v>
      </c>
    </row>
    <row r="18" spans="1:10" ht="15" customHeight="1" x14ac:dyDescent="0.25">
      <c r="A18">
        <v>17</v>
      </c>
      <c r="B18">
        <v>9</v>
      </c>
      <c r="C18" t="str">
        <f t="shared" ca="1" si="0"/>
        <v>2012_02_01_CHI@MIA</v>
      </c>
      <c r="D18" s="8" t="s">
        <v>157</v>
      </c>
      <c r="E18" s="1" t="s">
        <v>13</v>
      </c>
      <c r="F18" s="1" t="str">
        <f t="shared" ca="1" si="1"/>
        <v>MIA</v>
      </c>
      <c r="G18" s="1">
        <f t="shared" ca="1" si="2"/>
        <v>0</v>
      </c>
      <c r="H18" s="1">
        <v>6</v>
      </c>
      <c r="I18" s="1">
        <f t="shared" ca="1" si="3"/>
        <v>5</v>
      </c>
      <c r="J18" s="1">
        <f t="shared" ca="1" si="4"/>
        <v>1</v>
      </c>
    </row>
    <row r="19" spans="1:10" ht="15" customHeight="1" x14ac:dyDescent="0.25">
      <c r="A19">
        <v>18</v>
      </c>
      <c r="B19">
        <v>9</v>
      </c>
      <c r="C19" t="str">
        <f t="shared" ca="1" si="0"/>
        <v>2012_02_01_CHI@MIA</v>
      </c>
      <c r="D19" s="8" t="s">
        <v>158</v>
      </c>
      <c r="E19" s="1" t="s">
        <v>13</v>
      </c>
      <c r="F19" s="1" t="str">
        <f t="shared" ca="1" si="1"/>
        <v>MIA</v>
      </c>
      <c r="G19" s="1">
        <f t="shared" ca="1" si="2"/>
        <v>0</v>
      </c>
      <c r="H19" s="1">
        <v>7</v>
      </c>
      <c r="I19" s="1">
        <f t="shared" ca="1" si="3"/>
        <v>5</v>
      </c>
      <c r="J19" s="1">
        <f t="shared" ca="1" si="4"/>
        <v>2</v>
      </c>
    </row>
    <row r="20" spans="1:10" ht="15" customHeight="1" x14ac:dyDescent="0.25">
      <c r="A20">
        <v>19</v>
      </c>
      <c r="B20">
        <v>9</v>
      </c>
      <c r="C20" t="str">
        <f t="shared" ca="1" si="0"/>
        <v>2012_02_01_CHI@MIA</v>
      </c>
      <c r="D20" s="8" t="s">
        <v>159</v>
      </c>
      <c r="E20" s="1" t="s">
        <v>13</v>
      </c>
      <c r="F20" s="1" t="str">
        <f t="shared" ca="1" si="1"/>
        <v>MIA</v>
      </c>
      <c r="G20" s="1">
        <f t="shared" ca="1" si="2"/>
        <v>0</v>
      </c>
      <c r="H20" s="1">
        <v>5</v>
      </c>
      <c r="I20" s="1">
        <f t="shared" ca="1" si="3"/>
        <v>5</v>
      </c>
      <c r="J20" s="1">
        <f t="shared" ca="1" si="4"/>
        <v>0</v>
      </c>
    </row>
    <row r="21" spans="1:10" ht="15" customHeight="1" x14ac:dyDescent="0.25">
      <c r="A21">
        <v>20</v>
      </c>
      <c r="B21">
        <v>10</v>
      </c>
      <c r="C21" t="str">
        <f t="shared" ca="1" si="0"/>
        <v>2012_02_02_IND@NYK</v>
      </c>
      <c r="D21" s="8" t="s">
        <v>157</v>
      </c>
      <c r="E21" s="1" t="s">
        <v>15</v>
      </c>
      <c r="F21" s="1" t="str">
        <f t="shared" ca="1" si="1"/>
        <v>IND</v>
      </c>
      <c r="G21" s="1">
        <f t="shared" ca="1" si="2"/>
        <v>0</v>
      </c>
      <c r="H21" s="1">
        <v>5</v>
      </c>
      <c r="I21" s="1">
        <f t="shared" ca="1" si="3"/>
        <v>6</v>
      </c>
      <c r="J21" s="1">
        <f t="shared" ca="1" si="4"/>
        <v>-1</v>
      </c>
    </row>
    <row r="22" spans="1:10" ht="15" customHeight="1" x14ac:dyDescent="0.25">
      <c r="A22">
        <v>21</v>
      </c>
      <c r="B22">
        <v>10</v>
      </c>
      <c r="C22" t="str">
        <f t="shared" ca="1" si="0"/>
        <v>2012_02_02_IND@NYK</v>
      </c>
      <c r="D22" s="8" t="s">
        <v>158</v>
      </c>
      <c r="E22" s="1" t="s">
        <v>15</v>
      </c>
      <c r="F22" s="1" t="str">
        <f t="shared" ca="1" si="1"/>
        <v>IND</v>
      </c>
      <c r="G22" s="1">
        <f t="shared" ca="1" si="2"/>
        <v>0</v>
      </c>
      <c r="H22" s="1">
        <v>5</v>
      </c>
      <c r="I22" s="1">
        <f t="shared" ca="1" si="3"/>
        <v>6</v>
      </c>
      <c r="J22" s="1">
        <f t="shared" ca="1" si="4"/>
        <v>-1</v>
      </c>
    </row>
    <row r="23" spans="1:10" ht="15" customHeight="1" x14ac:dyDescent="0.25">
      <c r="A23">
        <v>22</v>
      </c>
      <c r="B23">
        <v>10</v>
      </c>
      <c r="C23" t="str">
        <f t="shared" ca="1" si="0"/>
        <v>2012_02_02_IND@NYK</v>
      </c>
      <c r="D23" s="8" t="s">
        <v>159</v>
      </c>
      <c r="E23" s="1" t="s">
        <v>15</v>
      </c>
      <c r="F23" s="1" t="str">
        <f t="shared" ca="1" si="1"/>
        <v>IND</v>
      </c>
      <c r="G23" s="1">
        <f t="shared" ca="1" si="2"/>
        <v>0</v>
      </c>
      <c r="H23" s="1">
        <v>5</v>
      </c>
      <c r="I23" s="1">
        <f t="shared" ca="1" si="3"/>
        <v>6</v>
      </c>
      <c r="J23" s="1">
        <f t="shared" ca="1" si="4"/>
        <v>-1</v>
      </c>
    </row>
    <row r="24" spans="1:10" ht="15" customHeight="1" x14ac:dyDescent="0.25">
      <c r="A24">
        <v>23</v>
      </c>
      <c r="B24">
        <v>11</v>
      </c>
      <c r="C24" t="str">
        <f t="shared" ca="1" si="0"/>
        <v>2012_02_03_MEM@OKC</v>
      </c>
      <c r="D24" s="8" t="s">
        <v>157</v>
      </c>
      <c r="E24" s="1" t="s">
        <v>2</v>
      </c>
      <c r="F24" s="1" t="str">
        <f t="shared" ca="1" si="1"/>
        <v>MEM</v>
      </c>
      <c r="G24" s="1">
        <f t="shared" ca="1" si="2"/>
        <v>0</v>
      </c>
      <c r="H24" s="1">
        <v>6</v>
      </c>
      <c r="I24" s="1">
        <f t="shared" ca="1" si="3"/>
        <v>5</v>
      </c>
      <c r="J24" s="1">
        <f t="shared" ca="1" si="4"/>
        <v>1</v>
      </c>
    </row>
    <row r="25" spans="1:10" ht="15" customHeight="1" x14ac:dyDescent="0.25">
      <c r="A25">
        <v>24</v>
      </c>
      <c r="B25">
        <v>11</v>
      </c>
      <c r="C25" t="str">
        <f t="shared" ca="1" si="0"/>
        <v>2012_02_03_MEM@OKC</v>
      </c>
      <c r="D25" s="8" t="s">
        <v>158</v>
      </c>
      <c r="E25" s="1" t="s">
        <v>80</v>
      </c>
      <c r="F25" s="1" t="str">
        <f t="shared" ca="1" si="1"/>
        <v>MEM</v>
      </c>
      <c r="G25" s="1">
        <f t="shared" ca="1" si="2"/>
        <v>0</v>
      </c>
      <c r="H25" s="1">
        <v>7</v>
      </c>
      <c r="I25" s="1">
        <f t="shared" ca="1" si="3"/>
        <v>5</v>
      </c>
      <c r="J25" s="1">
        <f t="shared" ca="1" si="4"/>
        <v>2</v>
      </c>
    </row>
    <row r="26" spans="1:10" ht="15" customHeight="1" x14ac:dyDescent="0.25">
      <c r="A26">
        <v>25</v>
      </c>
      <c r="B26">
        <v>11</v>
      </c>
      <c r="C26" t="str">
        <f t="shared" ca="1" si="0"/>
        <v>2012_02_03_MEM@OKC</v>
      </c>
      <c r="D26" s="8" t="s">
        <v>159</v>
      </c>
      <c r="E26" s="1" t="s">
        <v>80</v>
      </c>
      <c r="F26" s="1" t="str">
        <f t="shared" ca="1" si="1"/>
        <v>MEM</v>
      </c>
      <c r="G26" s="1">
        <f t="shared" ca="1" si="2"/>
        <v>0</v>
      </c>
      <c r="H26" s="1">
        <v>5</v>
      </c>
      <c r="I26" s="1">
        <f t="shared" ca="1" si="3"/>
        <v>5</v>
      </c>
      <c r="J26" s="1">
        <f t="shared" ca="1" si="4"/>
        <v>0</v>
      </c>
    </row>
    <row r="27" spans="1:10" ht="15" customHeight="1" x14ac:dyDescent="0.25">
      <c r="A27">
        <v>26</v>
      </c>
      <c r="B27">
        <v>12</v>
      </c>
      <c r="C27" t="str">
        <f t="shared" ca="1" si="0"/>
        <v>2012_02_04_GSW@SAS</v>
      </c>
      <c r="D27" s="8" t="s">
        <v>157</v>
      </c>
      <c r="E27" s="1" t="s">
        <v>0</v>
      </c>
      <c r="F27" s="1" t="str">
        <f t="shared" ca="1" si="1"/>
        <v>SAS</v>
      </c>
      <c r="G27" s="1">
        <f t="shared" ca="1" si="2"/>
        <v>0</v>
      </c>
      <c r="H27" s="1">
        <v>7</v>
      </c>
      <c r="I27" s="1">
        <f t="shared" ca="1" si="3"/>
        <v>6</v>
      </c>
      <c r="J27" s="1">
        <f t="shared" ca="1" si="4"/>
        <v>1</v>
      </c>
    </row>
    <row r="28" spans="1:10" ht="15" customHeight="1" x14ac:dyDescent="0.25">
      <c r="A28">
        <v>27</v>
      </c>
      <c r="B28">
        <v>12</v>
      </c>
      <c r="C28" t="str">
        <f t="shared" ca="1" si="0"/>
        <v>2012_02_04_GSW@SAS</v>
      </c>
      <c r="D28" s="8" t="s">
        <v>158</v>
      </c>
      <c r="E28" s="1" t="s">
        <v>0</v>
      </c>
      <c r="F28" s="1" t="str">
        <f t="shared" ca="1" si="1"/>
        <v>SAS</v>
      </c>
      <c r="G28" s="1">
        <f t="shared" ca="1" si="2"/>
        <v>0</v>
      </c>
      <c r="H28" s="1">
        <v>6</v>
      </c>
      <c r="I28" s="1">
        <f t="shared" ca="1" si="3"/>
        <v>6</v>
      </c>
      <c r="J28" s="1">
        <f t="shared" ca="1" si="4"/>
        <v>0</v>
      </c>
    </row>
    <row r="29" spans="1:10" ht="15" customHeight="1" x14ac:dyDescent="0.25">
      <c r="A29">
        <v>28</v>
      </c>
      <c r="B29">
        <v>12</v>
      </c>
      <c r="C29" t="str">
        <f t="shared" ca="1" si="0"/>
        <v>2012_02_04_GSW@SAS</v>
      </c>
      <c r="D29" s="8" t="s">
        <v>159</v>
      </c>
      <c r="E29" s="1" t="s">
        <v>0</v>
      </c>
      <c r="F29" s="1" t="str">
        <f t="shared" ca="1" si="1"/>
        <v>SAS</v>
      </c>
      <c r="G29" s="1">
        <f t="shared" ca="1" si="2"/>
        <v>0</v>
      </c>
      <c r="H29" s="1">
        <v>6</v>
      </c>
      <c r="I29" s="1">
        <f t="shared" ca="1" si="3"/>
        <v>6</v>
      </c>
      <c r="J29" s="1">
        <f t="shared" ca="1" si="4"/>
        <v>0</v>
      </c>
    </row>
    <row r="30" spans="1:10" ht="15" customHeight="1" x14ac:dyDescent="0.25">
      <c r="A30">
        <v>29</v>
      </c>
      <c r="B30">
        <v>13</v>
      </c>
      <c r="C30" t="str">
        <f t="shared" ca="1" si="0"/>
        <v>2012_03_01_IND@MIA</v>
      </c>
      <c r="D30" s="8" t="s">
        <v>157</v>
      </c>
      <c r="E30" s="1" t="s">
        <v>472</v>
      </c>
      <c r="F30" s="1" t="str">
        <f t="shared" ca="1" si="1"/>
        <v>MIA</v>
      </c>
      <c r="G30" s="1">
        <f t="shared" ca="1" si="2"/>
        <v>0</v>
      </c>
      <c r="H30" s="1">
        <v>5</v>
      </c>
      <c r="I30" s="1">
        <f t="shared" ca="1" si="3"/>
        <v>7</v>
      </c>
      <c r="J30" s="1">
        <f t="shared" ca="1" si="4"/>
        <v>-2</v>
      </c>
    </row>
    <row r="31" spans="1:10" ht="15" customHeight="1" x14ac:dyDescent="0.25">
      <c r="A31">
        <v>30</v>
      </c>
      <c r="B31">
        <v>13</v>
      </c>
      <c r="C31" t="str">
        <f t="shared" ca="1" si="0"/>
        <v>2012_03_01_IND@MIA</v>
      </c>
      <c r="D31" s="8" t="s">
        <v>158</v>
      </c>
      <c r="E31" s="1" t="s">
        <v>472</v>
      </c>
      <c r="F31" s="1" t="str">
        <f t="shared" ca="1" si="1"/>
        <v>MIA</v>
      </c>
      <c r="G31" s="1">
        <f t="shared" ca="1" si="2"/>
        <v>0</v>
      </c>
      <c r="H31" s="1">
        <v>5</v>
      </c>
      <c r="I31" s="1">
        <f t="shared" ca="1" si="3"/>
        <v>7</v>
      </c>
      <c r="J31" s="1">
        <f t="shared" ca="1" si="4"/>
        <v>-2</v>
      </c>
    </row>
    <row r="32" spans="1:10" ht="15" customHeight="1" x14ac:dyDescent="0.25">
      <c r="A32">
        <v>31</v>
      </c>
      <c r="B32">
        <v>13</v>
      </c>
      <c r="C32" t="str">
        <f t="shared" ca="1" si="0"/>
        <v>2012_03_01_IND@MIA</v>
      </c>
      <c r="D32" s="8" t="s">
        <v>159</v>
      </c>
      <c r="E32" s="1" t="s">
        <v>472</v>
      </c>
      <c r="F32" s="1" t="str">
        <f t="shared" ca="1" si="1"/>
        <v>MIA</v>
      </c>
      <c r="G32" s="1">
        <f t="shared" ca="1" si="2"/>
        <v>0</v>
      </c>
      <c r="H32" s="1">
        <v>4</v>
      </c>
      <c r="I32" s="1">
        <f t="shared" ca="1" si="3"/>
        <v>7</v>
      </c>
      <c r="J32" s="1">
        <f t="shared" ca="1" si="4"/>
        <v>-3</v>
      </c>
    </row>
    <row r="33" spans="1:10" ht="15" customHeight="1" x14ac:dyDescent="0.25">
      <c r="A33">
        <v>32</v>
      </c>
      <c r="B33">
        <v>14</v>
      </c>
      <c r="C33" t="str">
        <f t="shared" ca="1" si="0"/>
        <v>2012_03_02_MEM@SAS</v>
      </c>
      <c r="D33" s="8" t="s">
        <v>157</v>
      </c>
      <c r="E33" s="1" t="s">
        <v>12</v>
      </c>
      <c r="F33" s="1" t="str">
        <f t="shared" ca="1" si="1"/>
        <v>SAS</v>
      </c>
      <c r="G33" s="1">
        <f t="shared" ca="1" si="2"/>
        <v>0</v>
      </c>
      <c r="H33" s="1">
        <v>6</v>
      </c>
      <c r="I33" s="1">
        <f t="shared" ca="1" si="3"/>
        <v>4</v>
      </c>
      <c r="J33" s="1">
        <f t="shared" ca="1" si="4"/>
        <v>2</v>
      </c>
    </row>
    <row r="34" spans="1:10" ht="15" customHeight="1" x14ac:dyDescent="0.25">
      <c r="A34">
        <v>33</v>
      </c>
      <c r="B34">
        <v>14</v>
      </c>
      <c r="C34" t="str">
        <f t="shared" ca="1" si="0"/>
        <v>2012_03_02_MEM@SAS</v>
      </c>
      <c r="D34" s="8" t="s">
        <v>158</v>
      </c>
      <c r="E34" s="1" t="s">
        <v>12</v>
      </c>
      <c r="F34" s="1" t="str">
        <f t="shared" ca="1" si="1"/>
        <v>SAS</v>
      </c>
      <c r="G34" s="1">
        <f t="shared" ca="1" si="2"/>
        <v>0</v>
      </c>
      <c r="H34" s="1">
        <v>6</v>
      </c>
      <c r="I34" s="1">
        <f t="shared" ca="1" si="3"/>
        <v>4</v>
      </c>
      <c r="J34" s="1">
        <f t="shared" ca="1" si="4"/>
        <v>2</v>
      </c>
    </row>
    <row r="35" spans="1:10" ht="15" customHeight="1" x14ac:dyDescent="0.25">
      <c r="A35">
        <v>34</v>
      </c>
      <c r="B35">
        <v>14</v>
      </c>
      <c r="C35" t="str">
        <f t="shared" ca="1" si="0"/>
        <v>2012_03_02_MEM@SAS</v>
      </c>
      <c r="D35" s="8" t="s">
        <v>159</v>
      </c>
      <c r="E35" s="1" t="s">
        <v>12</v>
      </c>
      <c r="F35" s="1" t="str">
        <f t="shared" ca="1" si="1"/>
        <v>SAS</v>
      </c>
      <c r="G35" s="1">
        <f t="shared" ca="1" si="2"/>
        <v>0</v>
      </c>
      <c r="H35" s="1">
        <v>5</v>
      </c>
      <c r="I35" s="1">
        <f t="shared" ca="1" si="3"/>
        <v>4</v>
      </c>
      <c r="J35" s="1">
        <f t="shared" ca="1" si="4"/>
        <v>1</v>
      </c>
    </row>
    <row r="36" spans="1:10" ht="15" customHeight="1" x14ac:dyDescent="0.25">
      <c r="A36">
        <v>35</v>
      </c>
      <c r="B36">
        <v>15</v>
      </c>
      <c r="C36" t="str">
        <f t="shared" ca="1" si="0"/>
        <v>2012_04_01_SAS@MIA</v>
      </c>
      <c r="D36" s="8" t="s">
        <v>157</v>
      </c>
      <c r="E36" s="1" t="s">
        <v>14</v>
      </c>
      <c r="F36" s="1" t="str">
        <f t="shared" ca="1" si="1"/>
        <v>MIA</v>
      </c>
      <c r="G36" s="1">
        <f t="shared" ca="1" si="2"/>
        <v>0</v>
      </c>
      <c r="H36" s="1">
        <v>6</v>
      </c>
      <c r="I36" s="1">
        <f t="shared" ca="1" si="3"/>
        <v>7</v>
      </c>
      <c r="J36" s="1">
        <f t="shared" ca="1" si="4"/>
        <v>-1</v>
      </c>
    </row>
    <row r="37" spans="1:10" ht="15" customHeight="1" x14ac:dyDescent="0.25">
      <c r="A37">
        <v>36</v>
      </c>
      <c r="B37">
        <v>15</v>
      </c>
      <c r="C37" t="str">
        <f t="shared" ca="1" si="0"/>
        <v>2012_04_01_SAS@MIA</v>
      </c>
      <c r="D37" s="8" t="s">
        <v>158</v>
      </c>
      <c r="E37" s="1" t="s">
        <v>14</v>
      </c>
      <c r="F37" s="1" t="str">
        <f t="shared" ca="1" si="1"/>
        <v>MIA</v>
      </c>
      <c r="G37" s="1">
        <f t="shared" ca="1" si="2"/>
        <v>0</v>
      </c>
      <c r="H37" s="1">
        <v>5</v>
      </c>
      <c r="I37" s="1">
        <f t="shared" ca="1" si="3"/>
        <v>7</v>
      </c>
      <c r="J37" s="1">
        <f t="shared" ca="1" si="4"/>
        <v>-2</v>
      </c>
    </row>
    <row r="38" spans="1:10" ht="15" customHeight="1" x14ac:dyDescent="0.25">
      <c r="A38">
        <v>37</v>
      </c>
      <c r="B38">
        <v>15</v>
      </c>
      <c r="C38" t="str">
        <f t="shared" ca="1" si="0"/>
        <v>2012_04_01_SAS@MIA</v>
      </c>
      <c r="D38" s="8" t="s">
        <v>159</v>
      </c>
      <c r="E38" s="1" t="s">
        <v>14</v>
      </c>
      <c r="F38" s="1" t="str">
        <f t="shared" ca="1" si="1"/>
        <v>MIA</v>
      </c>
      <c r="G38" s="1">
        <f t="shared" ca="1" si="2"/>
        <v>0</v>
      </c>
      <c r="H38" s="1">
        <v>6</v>
      </c>
      <c r="I38" s="1">
        <f t="shared" ca="1" si="3"/>
        <v>7</v>
      </c>
      <c r="J38" s="1">
        <f t="shared" ca="1" si="4"/>
        <v>-1</v>
      </c>
    </row>
    <row r="39" spans="1:10" ht="15" customHeight="1" x14ac:dyDescent="0.25">
      <c r="A39">
        <v>38</v>
      </c>
      <c r="B39">
        <v>16</v>
      </c>
      <c r="C39" t="str">
        <f t="shared" ca="1" si="0"/>
        <v>2013_01_01_ATL@IND</v>
      </c>
      <c r="D39" s="8" t="s">
        <v>157</v>
      </c>
      <c r="E39" s="1" t="s">
        <v>4</v>
      </c>
      <c r="F39" s="1" t="str">
        <f t="shared" ca="1" si="1"/>
        <v>IND</v>
      </c>
      <c r="G39" s="1">
        <f t="shared" ca="1" si="2"/>
        <v>0</v>
      </c>
      <c r="H39" s="1">
        <v>7</v>
      </c>
      <c r="I39" s="1">
        <f t="shared" ca="1" si="3"/>
        <v>7</v>
      </c>
      <c r="J39" s="1">
        <f t="shared" ca="1" si="4"/>
        <v>0</v>
      </c>
    </row>
    <row r="40" spans="1:10" ht="15" customHeight="1" x14ac:dyDescent="0.25">
      <c r="A40">
        <v>39</v>
      </c>
      <c r="B40">
        <v>16</v>
      </c>
      <c r="C40" t="str">
        <f t="shared" ca="1" si="0"/>
        <v>2013_01_01_ATL@IND</v>
      </c>
      <c r="D40" s="8" t="s">
        <v>158</v>
      </c>
      <c r="E40" s="1" t="s">
        <v>4</v>
      </c>
      <c r="F40" s="1" t="str">
        <f t="shared" ca="1" si="1"/>
        <v>IND</v>
      </c>
      <c r="G40" s="1">
        <f t="shared" ca="1" si="2"/>
        <v>0</v>
      </c>
      <c r="H40" s="1">
        <v>5</v>
      </c>
      <c r="I40" s="1">
        <f t="shared" ca="1" si="3"/>
        <v>7</v>
      </c>
      <c r="J40" s="1">
        <f t="shared" ca="1" si="4"/>
        <v>-2</v>
      </c>
    </row>
    <row r="41" spans="1:10" ht="15" customHeight="1" x14ac:dyDescent="0.25">
      <c r="A41">
        <v>40</v>
      </c>
      <c r="B41">
        <v>16</v>
      </c>
      <c r="C41" t="str">
        <f t="shared" ca="1" si="0"/>
        <v>2013_01_01_ATL@IND</v>
      </c>
      <c r="D41" s="8" t="s">
        <v>159</v>
      </c>
      <c r="E41" s="1" t="s">
        <v>4</v>
      </c>
      <c r="F41" s="1" t="str">
        <f t="shared" ca="1" si="1"/>
        <v>IND</v>
      </c>
      <c r="G41" s="1">
        <f t="shared" ca="1" si="2"/>
        <v>0</v>
      </c>
      <c r="H41" s="1">
        <v>7</v>
      </c>
      <c r="I41" s="1">
        <f t="shared" ca="1" si="3"/>
        <v>7</v>
      </c>
      <c r="J41" s="1">
        <f t="shared" ca="1" si="4"/>
        <v>0</v>
      </c>
    </row>
    <row r="42" spans="1:10" ht="15" customHeight="1" x14ac:dyDescent="0.25">
      <c r="A42">
        <v>41</v>
      </c>
      <c r="B42">
        <v>17</v>
      </c>
      <c r="C42" t="str">
        <f t="shared" ca="1" si="0"/>
        <v>2013_01_02_CHO@MIA</v>
      </c>
      <c r="D42" s="8" t="s">
        <v>157</v>
      </c>
      <c r="E42" s="8" t="s">
        <v>5</v>
      </c>
      <c r="F42" s="1" t="str">
        <f t="shared" ca="1" si="1"/>
        <v>MIA</v>
      </c>
      <c r="G42" s="1">
        <f t="shared" ca="1" si="2"/>
        <v>0</v>
      </c>
      <c r="H42" s="8">
        <v>4</v>
      </c>
      <c r="I42" s="1">
        <f t="shared" ca="1" si="3"/>
        <v>4</v>
      </c>
      <c r="J42" s="1">
        <f t="shared" ca="1" si="4"/>
        <v>0</v>
      </c>
    </row>
    <row r="43" spans="1:10" ht="15" customHeight="1" x14ac:dyDescent="0.25">
      <c r="A43">
        <v>42</v>
      </c>
      <c r="B43">
        <v>17</v>
      </c>
      <c r="C43" t="str">
        <f t="shared" ca="1" si="0"/>
        <v>2013_01_02_CHO@MIA</v>
      </c>
      <c r="D43" s="8" t="s">
        <v>158</v>
      </c>
      <c r="E43" s="8" t="s">
        <v>5</v>
      </c>
      <c r="F43" s="1" t="str">
        <f t="shared" ca="1" si="1"/>
        <v>MIA</v>
      </c>
      <c r="G43" s="1">
        <f t="shared" ca="1" si="2"/>
        <v>0</v>
      </c>
      <c r="H43" s="8">
        <v>5</v>
      </c>
      <c r="I43" s="1">
        <f t="shared" ca="1" si="3"/>
        <v>4</v>
      </c>
      <c r="J43" s="1">
        <f t="shared" ca="1" si="4"/>
        <v>1</v>
      </c>
    </row>
    <row r="44" spans="1:10" ht="15" customHeight="1" x14ac:dyDescent="0.25">
      <c r="A44">
        <v>43</v>
      </c>
      <c r="B44">
        <v>17</v>
      </c>
      <c r="C44" t="str">
        <f t="shared" ca="1" si="0"/>
        <v>2013_01_02_CHO@MIA</v>
      </c>
      <c r="D44" s="8" t="s">
        <v>159</v>
      </c>
      <c r="E44" s="8" t="s">
        <v>5</v>
      </c>
      <c r="F44" s="1" t="str">
        <f t="shared" ca="1" si="1"/>
        <v>MIA</v>
      </c>
      <c r="G44" s="1">
        <f t="shared" ca="1" si="2"/>
        <v>0</v>
      </c>
      <c r="H44" s="8">
        <v>6</v>
      </c>
      <c r="I44" s="1">
        <f t="shared" ca="1" si="3"/>
        <v>4</v>
      </c>
      <c r="J44" s="1">
        <f t="shared" ca="1" si="4"/>
        <v>2</v>
      </c>
    </row>
    <row r="45" spans="1:10" ht="15" customHeight="1" x14ac:dyDescent="0.25">
      <c r="A45">
        <v>44</v>
      </c>
      <c r="B45">
        <v>18</v>
      </c>
      <c r="C45" t="str">
        <f t="shared" ca="1" si="0"/>
        <v>2013_01_03_BRK@TOR</v>
      </c>
      <c r="D45" s="8" t="s">
        <v>157</v>
      </c>
      <c r="E45" s="8" t="s">
        <v>6</v>
      </c>
      <c r="F45" s="1" t="str">
        <f t="shared" ca="1" si="1"/>
        <v>BRK</v>
      </c>
      <c r="G45" s="1">
        <f t="shared" ca="1" si="2"/>
        <v>0</v>
      </c>
      <c r="H45" s="8">
        <v>5</v>
      </c>
      <c r="I45" s="1">
        <f t="shared" ca="1" si="3"/>
        <v>7</v>
      </c>
      <c r="J45" s="1">
        <f t="shared" ca="1" si="4"/>
        <v>-2</v>
      </c>
    </row>
    <row r="46" spans="1:10" ht="15" customHeight="1" x14ac:dyDescent="0.25">
      <c r="A46">
        <v>45</v>
      </c>
      <c r="B46">
        <v>18</v>
      </c>
      <c r="C46" t="str">
        <f t="shared" ca="1" si="0"/>
        <v>2013_01_03_BRK@TOR</v>
      </c>
      <c r="D46" s="8" t="s">
        <v>158</v>
      </c>
      <c r="E46" s="8" t="s">
        <v>6</v>
      </c>
      <c r="F46" s="1" t="str">
        <f t="shared" ca="1" si="1"/>
        <v>BRK</v>
      </c>
      <c r="G46" s="1">
        <f t="shared" ca="1" si="2"/>
        <v>0</v>
      </c>
      <c r="H46" s="8">
        <v>5</v>
      </c>
      <c r="I46" s="1">
        <f t="shared" ca="1" si="3"/>
        <v>7</v>
      </c>
      <c r="J46" s="1">
        <f t="shared" ca="1" si="4"/>
        <v>-2</v>
      </c>
    </row>
    <row r="47" spans="1:10" ht="15" customHeight="1" x14ac:dyDescent="0.25">
      <c r="A47">
        <v>46</v>
      </c>
      <c r="B47">
        <v>18</v>
      </c>
      <c r="C47" t="str">
        <f t="shared" ca="1" si="0"/>
        <v>2013_01_03_BRK@TOR</v>
      </c>
      <c r="D47" s="8" t="s">
        <v>159</v>
      </c>
      <c r="E47" s="8" t="s">
        <v>6</v>
      </c>
      <c r="F47" s="1" t="str">
        <f t="shared" ca="1" si="1"/>
        <v>BRK</v>
      </c>
      <c r="G47" s="1">
        <f t="shared" ca="1" si="2"/>
        <v>0</v>
      </c>
      <c r="H47" s="8">
        <v>4</v>
      </c>
      <c r="I47" s="1">
        <f t="shared" ca="1" si="3"/>
        <v>7</v>
      </c>
      <c r="J47" s="1">
        <f t="shared" ca="1" si="4"/>
        <v>-3</v>
      </c>
    </row>
    <row r="48" spans="1:10" ht="15" customHeight="1" x14ac:dyDescent="0.25">
      <c r="A48">
        <v>47</v>
      </c>
      <c r="B48">
        <v>19</v>
      </c>
      <c r="C48" t="str">
        <f t="shared" ca="1" si="0"/>
        <v>2013_01_04_WAS@CHI</v>
      </c>
      <c r="D48" s="8" t="s">
        <v>157</v>
      </c>
      <c r="E48" s="8" t="s">
        <v>0</v>
      </c>
      <c r="F48" s="1" t="str">
        <f t="shared" ca="1" si="1"/>
        <v>WAS</v>
      </c>
      <c r="G48" s="1">
        <f t="shared" ca="1" si="2"/>
        <v>0</v>
      </c>
      <c r="H48" s="8">
        <v>5</v>
      </c>
      <c r="I48" s="1">
        <f t="shared" ca="1" si="3"/>
        <v>5</v>
      </c>
      <c r="J48" s="1">
        <f t="shared" ca="1" si="4"/>
        <v>0</v>
      </c>
    </row>
    <row r="49" spans="1:10" ht="15" customHeight="1" x14ac:dyDescent="0.25">
      <c r="A49">
        <v>48</v>
      </c>
      <c r="B49">
        <v>19</v>
      </c>
      <c r="C49" t="str">
        <f t="shared" ca="1" si="0"/>
        <v>2013_01_04_WAS@CHI</v>
      </c>
      <c r="D49" s="8" t="s">
        <v>158</v>
      </c>
      <c r="E49" s="8" t="s">
        <v>0</v>
      </c>
      <c r="F49" s="1" t="str">
        <f t="shared" ca="1" si="1"/>
        <v>WAS</v>
      </c>
      <c r="G49" s="1">
        <f t="shared" ca="1" si="2"/>
        <v>0</v>
      </c>
      <c r="H49" s="8">
        <v>5</v>
      </c>
      <c r="I49" s="1">
        <f t="shared" ca="1" si="3"/>
        <v>5</v>
      </c>
      <c r="J49" s="1">
        <f t="shared" ca="1" si="4"/>
        <v>0</v>
      </c>
    </row>
    <row r="50" spans="1:10" ht="15" customHeight="1" x14ac:dyDescent="0.25">
      <c r="A50">
        <v>49</v>
      </c>
      <c r="B50">
        <v>19</v>
      </c>
      <c r="C50" t="str">
        <f t="shared" ca="1" si="0"/>
        <v>2013_01_04_WAS@CHI</v>
      </c>
      <c r="D50" s="8" t="s">
        <v>159</v>
      </c>
      <c r="E50" s="8" t="s">
        <v>0</v>
      </c>
      <c r="F50" s="1" t="str">
        <f t="shared" ca="1" si="1"/>
        <v>WAS</v>
      </c>
      <c r="G50" s="1">
        <f t="shared" ca="1" si="2"/>
        <v>0</v>
      </c>
      <c r="H50" s="8">
        <v>5</v>
      </c>
      <c r="I50" s="1">
        <f t="shared" ca="1" si="3"/>
        <v>5</v>
      </c>
      <c r="J50" s="1">
        <f t="shared" ca="1" si="4"/>
        <v>0</v>
      </c>
    </row>
    <row r="51" spans="1:10" ht="15" customHeight="1" x14ac:dyDescent="0.25">
      <c r="A51">
        <v>50</v>
      </c>
      <c r="B51">
        <v>20</v>
      </c>
      <c r="C51" t="str">
        <f t="shared" ca="1" si="0"/>
        <v>2013_01_05_DAL@SAS</v>
      </c>
      <c r="D51" s="8" t="s">
        <v>157</v>
      </c>
      <c r="E51" s="8" t="s">
        <v>2</v>
      </c>
      <c r="F51" s="1" t="str">
        <f t="shared" ca="1" si="1"/>
        <v>SAS</v>
      </c>
      <c r="G51" s="1">
        <f t="shared" ca="1" si="2"/>
        <v>0</v>
      </c>
      <c r="H51" s="8">
        <v>6</v>
      </c>
      <c r="I51" s="1">
        <f t="shared" ca="1" si="3"/>
        <v>7</v>
      </c>
      <c r="J51" s="1">
        <f t="shared" ca="1" si="4"/>
        <v>-1</v>
      </c>
    </row>
    <row r="52" spans="1:10" ht="15" customHeight="1" x14ac:dyDescent="0.25">
      <c r="A52">
        <v>51</v>
      </c>
      <c r="B52">
        <v>20</v>
      </c>
      <c r="C52" t="str">
        <f t="shared" ca="1" si="0"/>
        <v>2013_01_05_DAL@SAS</v>
      </c>
      <c r="D52" s="8" t="s">
        <v>158</v>
      </c>
      <c r="E52" s="8" t="s">
        <v>474</v>
      </c>
      <c r="F52" s="1" t="str">
        <f t="shared" ca="1" si="1"/>
        <v>SAS</v>
      </c>
      <c r="G52" s="1">
        <f t="shared" ca="1" si="2"/>
        <v>0</v>
      </c>
      <c r="H52" s="8">
        <v>6</v>
      </c>
      <c r="I52" s="1">
        <f t="shared" ca="1" si="3"/>
        <v>7</v>
      </c>
      <c r="J52" s="1">
        <f t="shared" ca="1" si="4"/>
        <v>-1</v>
      </c>
    </row>
    <row r="53" spans="1:10" ht="15" customHeight="1" x14ac:dyDescent="0.25">
      <c r="A53">
        <v>52</v>
      </c>
      <c r="B53">
        <v>20</v>
      </c>
      <c r="C53" t="str">
        <f t="shared" ca="1" si="0"/>
        <v>2013_01_05_DAL@SAS</v>
      </c>
      <c r="D53" s="8" t="s">
        <v>159</v>
      </c>
      <c r="E53" s="8" t="s">
        <v>474</v>
      </c>
      <c r="F53" s="1" t="str">
        <f t="shared" ca="1" si="1"/>
        <v>SAS</v>
      </c>
      <c r="G53" s="1">
        <f t="shared" ca="1" si="2"/>
        <v>0</v>
      </c>
      <c r="H53" s="8">
        <v>6</v>
      </c>
      <c r="I53" s="1">
        <f t="shared" ca="1" si="3"/>
        <v>7</v>
      </c>
      <c r="J53" s="1">
        <f t="shared" ca="1" si="4"/>
        <v>-1</v>
      </c>
    </row>
    <row r="54" spans="1:10" ht="15" customHeight="1" x14ac:dyDescent="0.25">
      <c r="A54">
        <v>53</v>
      </c>
      <c r="B54">
        <v>21</v>
      </c>
      <c r="C54" t="str">
        <f t="shared" ca="1" si="0"/>
        <v>2013_01_06_MEM@OKC</v>
      </c>
      <c r="D54" s="8" t="s">
        <v>157</v>
      </c>
      <c r="E54" s="8" t="s">
        <v>468</v>
      </c>
      <c r="F54" s="1" t="str">
        <f t="shared" ca="1" si="1"/>
        <v>OKC</v>
      </c>
      <c r="G54" s="1">
        <f t="shared" ca="1" si="2"/>
        <v>0</v>
      </c>
      <c r="H54" s="8">
        <v>4</v>
      </c>
      <c r="I54" s="1">
        <f t="shared" ca="1" si="3"/>
        <v>7</v>
      </c>
      <c r="J54" s="1">
        <f t="shared" ca="1" si="4"/>
        <v>-3</v>
      </c>
    </row>
    <row r="55" spans="1:10" ht="15" customHeight="1" x14ac:dyDescent="0.25">
      <c r="A55">
        <v>54</v>
      </c>
      <c r="B55">
        <v>21</v>
      </c>
      <c r="C55" t="str">
        <f t="shared" ca="1" si="0"/>
        <v>2013_01_06_MEM@OKC</v>
      </c>
      <c r="D55" s="8" t="s">
        <v>158</v>
      </c>
      <c r="E55" s="8" t="s">
        <v>468</v>
      </c>
      <c r="F55" s="1" t="str">
        <f t="shared" ca="1" si="1"/>
        <v>OKC</v>
      </c>
      <c r="G55" s="1">
        <f t="shared" ca="1" si="2"/>
        <v>0</v>
      </c>
      <c r="H55" s="8">
        <v>5</v>
      </c>
      <c r="I55" s="1">
        <f t="shared" ca="1" si="3"/>
        <v>7</v>
      </c>
      <c r="J55" s="1">
        <f t="shared" ca="1" si="4"/>
        <v>-2</v>
      </c>
    </row>
    <row r="56" spans="1:10" ht="15" customHeight="1" x14ac:dyDescent="0.25">
      <c r="A56">
        <v>55</v>
      </c>
      <c r="B56">
        <v>21</v>
      </c>
      <c r="C56" t="str">
        <f t="shared" ca="1" si="0"/>
        <v>2013_01_06_MEM@OKC</v>
      </c>
      <c r="D56" s="8" t="s">
        <v>159</v>
      </c>
      <c r="E56" s="8" t="s">
        <v>468</v>
      </c>
      <c r="F56" s="1" t="str">
        <f t="shared" ca="1" si="1"/>
        <v>OKC</v>
      </c>
      <c r="G56" s="1">
        <f t="shared" ca="1" si="2"/>
        <v>0</v>
      </c>
      <c r="H56" s="8">
        <v>5</v>
      </c>
      <c r="I56" s="1">
        <f t="shared" ca="1" si="3"/>
        <v>7</v>
      </c>
      <c r="J56" s="1">
        <f t="shared" ca="1" si="4"/>
        <v>-2</v>
      </c>
    </row>
    <row r="57" spans="1:10" ht="15" customHeight="1" x14ac:dyDescent="0.25">
      <c r="A57">
        <v>56</v>
      </c>
      <c r="B57">
        <v>22</v>
      </c>
      <c r="C57" t="str">
        <f t="shared" ca="1" si="0"/>
        <v>2013_01_07_GSW@LAC</v>
      </c>
      <c r="D57" s="8" t="s">
        <v>157</v>
      </c>
      <c r="E57" s="8" t="s">
        <v>16</v>
      </c>
      <c r="F57" s="1" t="str">
        <f t="shared" ca="1" si="1"/>
        <v>LAC</v>
      </c>
      <c r="G57" s="1">
        <f t="shared" ca="1" si="2"/>
        <v>0</v>
      </c>
      <c r="H57" s="8">
        <v>7</v>
      </c>
      <c r="I57" s="1">
        <f t="shared" ca="1" si="3"/>
        <v>7</v>
      </c>
      <c r="J57" s="1">
        <f t="shared" ca="1" si="4"/>
        <v>0</v>
      </c>
    </row>
    <row r="58" spans="1:10" ht="15" customHeight="1" x14ac:dyDescent="0.25">
      <c r="A58">
        <v>57</v>
      </c>
      <c r="B58">
        <v>22</v>
      </c>
      <c r="C58" t="str">
        <f t="shared" ca="1" si="0"/>
        <v>2013_01_07_GSW@LAC</v>
      </c>
      <c r="D58" s="8" t="s">
        <v>158</v>
      </c>
      <c r="E58" s="8" t="s">
        <v>4</v>
      </c>
      <c r="F58" s="1" t="str">
        <f t="shared" ca="1" si="1"/>
        <v>LAC</v>
      </c>
      <c r="G58" s="1">
        <f t="shared" ca="1" si="2"/>
        <v>0</v>
      </c>
      <c r="H58" s="8">
        <v>6</v>
      </c>
      <c r="I58" s="1">
        <f t="shared" ca="1" si="3"/>
        <v>7</v>
      </c>
      <c r="J58" s="1">
        <f t="shared" ca="1" si="4"/>
        <v>-1</v>
      </c>
    </row>
    <row r="59" spans="1:10" ht="15" customHeight="1" x14ac:dyDescent="0.25">
      <c r="A59">
        <v>58</v>
      </c>
      <c r="B59">
        <v>22</v>
      </c>
      <c r="C59" t="str">
        <f t="shared" ca="1" si="0"/>
        <v>2013_01_07_GSW@LAC</v>
      </c>
      <c r="D59" s="8" t="s">
        <v>159</v>
      </c>
      <c r="E59" s="8" t="s">
        <v>4</v>
      </c>
      <c r="F59" s="1" t="str">
        <f t="shared" ca="1" si="1"/>
        <v>LAC</v>
      </c>
      <c r="G59" s="1">
        <f t="shared" ca="1" si="2"/>
        <v>0</v>
      </c>
      <c r="H59" s="8">
        <v>6</v>
      </c>
      <c r="I59" s="1">
        <f t="shared" ca="1" si="3"/>
        <v>7</v>
      </c>
      <c r="J59" s="1">
        <f t="shared" ca="1" si="4"/>
        <v>-1</v>
      </c>
    </row>
    <row r="60" spans="1:10" ht="15" customHeight="1" x14ac:dyDescent="0.25">
      <c r="A60">
        <v>59</v>
      </c>
      <c r="B60">
        <v>23</v>
      </c>
      <c r="C60" t="str">
        <f t="shared" ca="1" si="0"/>
        <v>2013_01_08_POR@HOU</v>
      </c>
      <c r="D60" s="8" t="s">
        <v>157</v>
      </c>
      <c r="E60" s="8" t="s">
        <v>472</v>
      </c>
      <c r="F60" s="1" t="str">
        <f t="shared" ca="1" si="1"/>
        <v>POR</v>
      </c>
      <c r="G60" s="1">
        <f t="shared" ca="1" si="2"/>
        <v>0</v>
      </c>
      <c r="H60" s="8">
        <v>7</v>
      </c>
      <c r="I60" s="1">
        <f t="shared" ca="1" si="3"/>
        <v>6</v>
      </c>
      <c r="J60" s="1">
        <f t="shared" ca="1" si="4"/>
        <v>1</v>
      </c>
    </row>
    <row r="61" spans="1:10" ht="15" customHeight="1" x14ac:dyDescent="0.25">
      <c r="A61">
        <v>60</v>
      </c>
      <c r="B61">
        <v>23</v>
      </c>
      <c r="C61" t="str">
        <f t="shared" ca="1" si="0"/>
        <v>2013_01_08_POR@HOU</v>
      </c>
      <c r="D61" s="8" t="s">
        <v>158</v>
      </c>
      <c r="E61" s="8" t="s">
        <v>14</v>
      </c>
      <c r="F61" s="1" t="str">
        <f t="shared" ca="1" si="1"/>
        <v>POR</v>
      </c>
      <c r="G61" s="1">
        <f t="shared" ca="1" si="2"/>
        <v>0</v>
      </c>
      <c r="H61" s="8">
        <v>7</v>
      </c>
      <c r="I61" s="1">
        <f t="shared" ca="1" si="3"/>
        <v>6</v>
      </c>
      <c r="J61" s="1">
        <f t="shared" ca="1" si="4"/>
        <v>1</v>
      </c>
    </row>
    <row r="62" spans="1:10" ht="15" customHeight="1" x14ac:dyDescent="0.25">
      <c r="A62">
        <v>61</v>
      </c>
      <c r="B62">
        <v>23</v>
      </c>
      <c r="C62" t="str">
        <f t="shared" ca="1" si="0"/>
        <v>2013_01_08_POR@HOU</v>
      </c>
      <c r="D62" s="8" t="s">
        <v>159</v>
      </c>
      <c r="E62" s="8" t="s">
        <v>472</v>
      </c>
      <c r="F62" s="1" t="str">
        <f t="shared" ca="1" si="1"/>
        <v>POR</v>
      </c>
      <c r="G62" s="1">
        <f t="shared" ca="1" si="2"/>
        <v>0</v>
      </c>
      <c r="H62" s="8">
        <v>6</v>
      </c>
      <c r="I62" s="1">
        <f t="shared" ca="1" si="3"/>
        <v>6</v>
      </c>
      <c r="J62" s="1">
        <f t="shared" ca="1" si="4"/>
        <v>0</v>
      </c>
    </row>
    <row r="63" spans="1:10" ht="15" customHeight="1" x14ac:dyDescent="0.25">
      <c r="A63">
        <v>62</v>
      </c>
      <c r="B63">
        <v>24</v>
      </c>
      <c r="C63" t="str">
        <f t="shared" ca="1" si="0"/>
        <v>2013_02_01_WAS@IND</v>
      </c>
      <c r="D63" s="8" t="s">
        <v>157</v>
      </c>
      <c r="E63" s="8" t="s">
        <v>9</v>
      </c>
      <c r="F63" s="1" t="str">
        <f t="shared" ca="1" si="1"/>
        <v>IND</v>
      </c>
      <c r="G63" s="1">
        <f t="shared" ca="1" si="2"/>
        <v>0</v>
      </c>
      <c r="H63" s="8">
        <v>6</v>
      </c>
      <c r="I63" s="1">
        <f t="shared" ca="1" si="3"/>
        <v>6</v>
      </c>
      <c r="J63" s="1">
        <f t="shared" ca="1" si="4"/>
        <v>0</v>
      </c>
    </row>
    <row r="64" spans="1:10" ht="15" customHeight="1" x14ac:dyDescent="0.25">
      <c r="A64">
        <v>63</v>
      </c>
      <c r="B64">
        <v>24</v>
      </c>
      <c r="C64" t="str">
        <f t="shared" ca="1" si="0"/>
        <v>2013_02_01_WAS@IND</v>
      </c>
      <c r="D64" s="8" t="s">
        <v>158</v>
      </c>
      <c r="E64" s="8" t="s">
        <v>9</v>
      </c>
      <c r="F64" s="1" t="str">
        <f t="shared" ca="1" si="1"/>
        <v>IND</v>
      </c>
      <c r="G64" s="1">
        <f t="shared" ca="1" si="2"/>
        <v>0</v>
      </c>
      <c r="H64" s="8">
        <v>6</v>
      </c>
      <c r="I64" s="1">
        <f t="shared" ca="1" si="3"/>
        <v>6</v>
      </c>
      <c r="J64" s="1">
        <f t="shared" ca="1" si="4"/>
        <v>0</v>
      </c>
    </row>
    <row r="65" spans="1:10" ht="15" customHeight="1" x14ac:dyDescent="0.25">
      <c r="A65">
        <v>64</v>
      </c>
      <c r="B65">
        <v>24</v>
      </c>
      <c r="C65" t="str">
        <f t="shared" ca="1" si="0"/>
        <v>2013_02_01_WAS@IND</v>
      </c>
      <c r="D65" s="8" t="s">
        <v>159</v>
      </c>
      <c r="E65" s="8" t="s">
        <v>9</v>
      </c>
      <c r="F65" s="1" t="str">
        <f t="shared" ca="1" si="1"/>
        <v>IND</v>
      </c>
      <c r="G65" s="1">
        <f t="shared" ca="1" si="2"/>
        <v>0</v>
      </c>
      <c r="H65" s="8">
        <v>6</v>
      </c>
      <c r="I65" s="1">
        <f t="shared" ca="1" si="3"/>
        <v>6</v>
      </c>
      <c r="J65" s="1">
        <f t="shared" ca="1" si="4"/>
        <v>0</v>
      </c>
    </row>
    <row r="66" spans="1:10" ht="15" customHeight="1" x14ac:dyDescent="0.25">
      <c r="A66">
        <v>65</v>
      </c>
      <c r="B66">
        <v>25</v>
      </c>
      <c r="C66" t="str">
        <f t="shared" ref="C66:C129" ca="1" si="5">IFERROR(VLOOKUP($B66,nba_plyff_results,MATCH(C$1,nba_plyff_results_header,0),FALSE),"error")</f>
        <v>2013_02_02_BRK@MIA</v>
      </c>
      <c r="D66" s="8" t="s">
        <v>157</v>
      </c>
      <c r="E66" s="8" t="s">
        <v>6</v>
      </c>
      <c r="F66" s="1" t="str">
        <f t="shared" ref="F66:F129" ca="1" si="6">IFERROR(IF(ISBLANK(VLOOKUP($B66,nba_plyff_results,MATCH(F$1,nba_plyff_results_header,0),FALSE)),"",VLOOKUP($B66,nba_plyff_results,MATCH(F$1,nba_plyff_results_header,0),FALSE)),"error")</f>
        <v>MIA</v>
      </c>
      <c r="G66" s="1">
        <f t="shared" ref="G66:G129" ca="1" si="7">IF(OR(ISBLANK(E66),ISBLANK(F66),E66="",F66=""),"",IF(E66=F66,1,0))</f>
        <v>0</v>
      </c>
      <c r="H66" s="8">
        <v>5</v>
      </c>
      <c r="I66" s="1">
        <f t="shared" ref="I66:I129" ca="1" si="8">IFERROR(IF(ISBLANK(VLOOKUP($B66,nba_plyff_results,MATCH(I$1,nba_plyff_results_header,0),FALSE)),"",VLOOKUP($B66,nba_plyff_results,MATCH(I$1,nba_plyff_results_header,0),FALSE)),"error")</f>
        <v>5</v>
      </c>
      <c r="J66" s="1">
        <f t="shared" ref="J66:J129" ca="1" si="9">IF(OR(ISBLANK(H66),ISBLANK(I66),H66="",I66=""),"",H66-I66)</f>
        <v>0</v>
      </c>
    </row>
    <row r="67" spans="1:10" ht="15" customHeight="1" x14ac:dyDescent="0.25">
      <c r="A67">
        <v>66</v>
      </c>
      <c r="B67">
        <v>25</v>
      </c>
      <c r="C67" t="str">
        <f t="shared" ca="1" si="5"/>
        <v>2013_02_02_BRK@MIA</v>
      </c>
      <c r="D67" s="8" t="s">
        <v>158</v>
      </c>
      <c r="E67" s="8" t="s">
        <v>6</v>
      </c>
      <c r="F67" s="1" t="str">
        <f t="shared" ca="1" si="6"/>
        <v>MIA</v>
      </c>
      <c r="G67" s="1">
        <f t="shared" ca="1" si="7"/>
        <v>0</v>
      </c>
      <c r="H67" s="8">
        <v>5</v>
      </c>
      <c r="I67" s="1">
        <f t="shared" ca="1" si="8"/>
        <v>5</v>
      </c>
      <c r="J67" s="1">
        <f t="shared" ca="1" si="9"/>
        <v>0</v>
      </c>
    </row>
    <row r="68" spans="1:10" ht="15" customHeight="1" x14ac:dyDescent="0.25">
      <c r="A68">
        <v>67</v>
      </c>
      <c r="B68">
        <v>25</v>
      </c>
      <c r="C68" t="str">
        <f t="shared" ca="1" si="5"/>
        <v>2013_02_02_BRK@MIA</v>
      </c>
      <c r="D68" s="8" t="s">
        <v>159</v>
      </c>
      <c r="E68" s="8" t="s">
        <v>6</v>
      </c>
      <c r="F68" s="1" t="str">
        <f t="shared" ca="1" si="6"/>
        <v>MIA</v>
      </c>
      <c r="G68" s="1">
        <f t="shared" ca="1" si="7"/>
        <v>0</v>
      </c>
      <c r="H68" s="8">
        <v>4</v>
      </c>
      <c r="I68" s="1">
        <f t="shared" ca="1" si="8"/>
        <v>5</v>
      </c>
      <c r="J68" s="1">
        <f t="shared" ca="1" si="9"/>
        <v>-1</v>
      </c>
    </row>
    <row r="69" spans="1:10" ht="15" customHeight="1" x14ac:dyDescent="0.25">
      <c r="A69">
        <v>68</v>
      </c>
      <c r="B69">
        <v>26</v>
      </c>
      <c r="C69" t="str">
        <f t="shared" ca="1" si="5"/>
        <v>2013_02_03_POR@SAS</v>
      </c>
      <c r="D69" s="8" t="s">
        <v>157</v>
      </c>
      <c r="E69" s="8" t="s">
        <v>2</v>
      </c>
      <c r="F69" s="1" t="str">
        <f t="shared" ca="1" si="6"/>
        <v>SAS</v>
      </c>
      <c r="G69" s="1">
        <f t="shared" ca="1" si="7"/>
        <v>0</v>
      </c>
      <c r="H69" s="8">
        <v>6</v>
      </c>
      <c r="I69" s="1">
        <f t="shared" ca="1" si="8"/>
        <v>5</v>
      </c>
      <c r="J69" s="1">
        <f t="shared" ca="1" si="9"/>
        <v>1</v>
      </c>
    </row>
    <row r="70" spans="1:10" ht="15" customHeight="1" x14ac:dyDescent="0.25">
      <c r="A70">
        <v>69</v>
      </c>
      <c r="B70">
        <v>26</v>
      </c>
      <c r="C70" t="str">
        <f t="shared" ca="1" si="5"/>
        <v>2013_02_03_POR@SAS</v>
      </c>
      <c r="D70" s="8" t="s">
        <v>158</v>
      </c>
      <c r="E70" s="8" t="s">
        <v>2</v>
      </c>
      <c r="F70" s="1" t="str">
        <f t="shared" ca="1" si="6"/>
        <v>SAS</v>
      </c>
      <c r="G70" s="1">
        <f t="shared" ca="1" si="7"/>
        <v>0</v>
      </c>
      <c r="H70" s="8">
        <v>6</v>
      </c>
      <c r="I70" s="1">
        <f t="shared" ca="1" si="8"/>
        <v>5</v>
      </c>
      <c r="J70" s="1">
        <f t="shared" ca="1" si="9"/>
        <v>1</v>
      </c>
    </row>
    <row r="71" spans="1:10" ht="15" customHeight="1" x14ac:dyDescent="0.25">
      <c r="A71">
        <v>70</v>
      </c>
      <c r="B71">
        <v>26</v>
      </c>
      <c r="C71" t="str">
        <f t="shared" ca="1" si="5"/>
        <v>2013_02_03_POR@SAS</v>
      </c>
      <c r="D71" s="8" t="s">
        <v>159</v>
      </c>
      <c r="E71" s="8" t="s">
        <v>2</v>
      </c>
      <c r="F71" s="1" t="str">
        <f t="shared" ca="1" si="6"/>
        <v>SAS</v>
      </c>
      <c r="G71" s="1">
        <f t="shared" ca="1" si="7"/>
        <v>0</v>
      </c>
      <c r="H71" s="8">
        <v>6</v>
      </c>
      <c r="I71" s="1">
        <f t="shared" ca="1" si="8"/>
        <v>5</v>
      </c>
      <c r="J71" s="1">
        <f t="shared" ca="1" si="9"/>
        <v>1</v>
      </c>
    </row>
    <row r="72" spans="1:10" ht="15" customHeight="1" x14ac:dyDescent="0.25">
      <c r="A72">
        <v>71</v>
      </c>
      <c r="B72">
        <v>27</v>
      </c>
      <c r="C72" t="str">
        <f t="shared" ca="1" si="5"/>
        <v>2013_02_04_LAC@OKC</v>
      </c>
      <c r="D72" s="8" t="s">
        <v>157</v>
      </c>
      <c r="E72" s="8" t="s">
        <v>15</v>
      </c>
      <c r="F72" s="1" t="str">
        <f t="shared" ca="1" si="6"/>
        <v>OKC</v>
      </c>
      <c r="G72" s="1">
        <f t="shared" ca="1" si="7"/>
        <v>0</v>
      </c>
      <c r="H72" s="8">
        <v>7</v>
      </c>
      <c r="I72" s="1">
        <f t="shared" ca="1" si="8"/>
        <v>6</v>
      </c>
      <c r="J72" s="1">
        <f t="shared" ca="1" si="9"/>
        <v>1</v>
      </c>
    </row>
    <row r="73" spans="1:10" ht="15" customHeight="1" x14ac:dyDescent="0.25">
      <c r="A73">
        <v>72</v>
      </c>
      <c r="B73">
        <v>27</v>
      </c>
      <c r="C73" t="str">
        <f t="shared" ca="1" si="5"/>
        <v>2013_02_04_LAC@OKC</v>
      </c>
      <c r="D73" s="8" t="s">
        <v>158</v>
      </c>
      <c r="E73" s="8" t="s">
        <v>467</v>
      </c>
      <c r="F73" s="1" t="str">
        <f t="shared" ca="1" si="6"/>
        <v>OKC</v>
      </c>
      <c r="G73" s="1">
        <f t="shared" ca="1" si="7"/>
        <v>0</v>
      </c>
      <c r="H73" s="8">
        <v>6</v>
      </c>
      <c r="I73" s="1">
        <f t="shared" ca="1" si="8"/>
        <v>6</v>
      </c>
      <c r="J73" s="1">
        <f t="shared" ca="1" si="9"/>
        <v>0</v>
      </c>
    </row>
    <row r="74" spans="1:10" ht="15" customHeight="1" x14ac:dyDescent="0.25">
      <c r="A74">
        <v>73</v>
      </c>
      <c r="B74">
        <v>27</v>
      </c>
      <c r="C74" t="str">
        <f t="shared" ca="1" si="5"/>
        <v>2013_02_04_LAC@OKC</v>
      </c>
      <c r="D74" s="8" t="s">
        <v>159</v>
      </c>
      <c r="E74" s="8" t="s">
        <v>15</v>
      </c>
      <c r="F74" s="1" t="str">
        <f t="shared" ca="1" si="6"/>
        <v>OKC</v>
      </c>
      <c r="G74" s="1">
        <f t="shared" ca="1" si="7"/>
        <v>0</v>
      </c>
      <c r="H74" s="8">
        <v>6</v>
      </c>
      <c r="I74" s="1">
        <f t="shared" ca="1" si="8"/>
        <v>6</v>
      </c>
      <c r="J74" s="1">
        <f t="shared" ca="1" si="9"/>
        <v>0</v>
      </c>
    </row>
    <row r="75" spans="1:10" ht="15" customHeight="1" x14ac:dyDescent="0.25">
      <c r="A75">
        <v>74</v>
      </c>
      <c r="B75">
        <v>28</v>
      </c>
      <c r="C75" t="str">
        <f t="shared" ca="1" si="5"/>
        <v>2013_03_01_MIA@IND</v>
      </c>
      <c r="D75" s="8" t="s">
        <v>157</v>
      </c>
      <c r="E75" s="8" t="s">
        <v>17</v>
      </c>
      <c r="F75" s="1" t="str">
        <f t="shared" ca="1" si="6"/>
        <v>MIA</v>
      </c>
      <c r="G75" s="1">
        <f t="shared" ca="1" si="7"/>
        <v>0</v>
      </c>
      <c r="H75" s="8">
        <v>7</v>
      </c>
      <c r="I75" s="1">
        <f t="shared" ca="1" si="8"/>
        <v>6</v>
      </c>
      <c r="J75" s="1">
        <f t="shared" ca="1" si="9"/>
        <v>1</v>
      </c>
    </row>
    <row r="76" spans="1:10" ht="15" customHeight="1" x14ac:dyDescent="0.25">
      <c r="A76">
        <v>75</v>
      </c>
      <c r="B76">
        <v>28</v>
      </c>
      <c r="C76" t="str">
        <f t="shared" ca="1" si="5"/>
        <v>2013_03_01_MIA@IND</v>
      </c>
      <c r="D76" s="8" t="s">
        <v>158</v>
      </c>
      <c r="E76" s="8" t="s">
        <v>5</v>
      </c>
      <c r="F76" s="1" t="str">
        <f t="shared" ca="1" si="6"/>
        <v>MIA</v>
      </c>
      <c r="G76" s="1">
        <f t="shared" ca="1" si="7"/>
        <v>0</v>
      </c>
      <c r="H76" s="8">
        <v>7</v>
      </c>
      <c r="I76" s="1">
        <f t="shared" ca="1" si="8"/>
        <v>6</v>
      </c>
      <c r="J76" s="1">
        <f t="shared" ca="1" si="9"/>
        <v>1</v>
      </c>
    </row>
    <row r="77" spans="1:10" ht="15" customHeight="1" x14ac:dyDescent="0.25">
      <c r="A77">
        <v>76</v>
      </c>
      <c r="B77">
        <v>28</v>
      </c>
      <c r="C77" t="str">
        <f t="shared" ca="1" si="5"/>
        <v>2013_03_01_MIA@IND</v>
      </c>
      <c r="D77" s="8" t="s">
        <v>159</v>
      </c>
      <c r="E77" s="8" t="s">
        <v>17</v>
      </c>
      <c r="F77" s="1" t="str">
        <f t="shared" ca="1" si="6"/>
        <v>MIA</v>
      </c>
      <c r="G77" s="1">
        <f t="shared" ca="1" si="7"/>
        <v>0</v>
      </c>
      <c r="H77" s="8">
        <v>7</v>
      </c>
      <c r="I77" s="1">
        <f t="shared" ca="1" si="8"/>
        <v>6</v>
      </c>
      <c r="J77" s="1">
        <f t="shared" ca="1" si="9"/>
        <v>1</v>
      </c>
    </row>
    <row r="78" spans="1:10" ht="15" customHeight="1" x14ac:dyDescent="0.25">
      <c r="A78">
        <v>77</v>
      </c>
      <c r="B78">
        <v>29</v>
      </c>
      <c r="C78" t="str">
        <f t="shared" ca="1" si="5"/>
        <v>2013_03_02_OKC@SAS</v>
      </c>
      <c r="D78" s="8" t="s">
        <v>157</v>
      </c>
      <c r="E78" s="8" t="s">
        <v>468</v>
      </c>
      <c r="F78" s="1" t="str">
        <f t="shared" ca="1" si="6"/>
        <v>SAS</v>
      </c>
      <c r="G78" s="1">
        <f t="shared" ca="1" si="7"/>
        <v>0</v>
      </c>
      <c r="H78" s="8">
        <v>4</v>
      </c>
      <c r="I78" s="1">
        <f t="shared" ca="1" si="8"/>
        <v>6</v>
      </c>
      <c r="J78" s="1">
        <f t="shared" ca="1" si="9"/>
        <v>-2</v>
      </c>
    </row>
    <row r="79" spans="1:10" ht="15" customHeight="1" x14ac:dyDescent="0.25">
      <c r="A79">
        <v>78</v>
      </c>
      <c r="B79">
        <v>29</v>
      </c>
      <c r="C79" t="str">
        <f t="shared" ca="1" si="5"/>
        <v>2013_03_02_OKC@SAS</v>
      </c>
      <c r="D79" s="8" t="s">
        <v>158</v>
      </c>
      <c r="E79" s="8" t="s">
        <v>468</v>
      </c>
      <c r="F79" s="1" t="str">
        <f t="shared" ca="1" si="6"/>
        <v>SAS</v>
      </c>
      <c r="G79" s="1">
        <f t="shared" ca="1" si="7"/>
        <v>0</v>
      </c>
      <c r="H79" s="8">
        <v>4</v>
      </c>
      <c r="I79" s="1">
        <f t="shared" ca="1" si="8"/>
        <v>6</v>
      </c>
      <c r="J79" s="1">
        <f t="shared" ca="1" si="9"/>
        <v>-2</v>
      </c>
    </row>
    <row r="80" spans="1:10" ht="15" customHeight="1" x14ac:dyDescent="0.25">
      <c r="A80">
        <v>79</v>
      </c>
      <c r="B80">
        <v>29</v>
      </c>
      <c r="C80" t="str">
        <f t="shared" ca="1" si="5"/>
        <v>2013_03_02_OKC@SAS</v>
      </c>
      <c r="D80" s="8" t="s">
        <v>159</v>
      </c>
      <c r="E80" s="8" t="s">
        <v>468</v>
      </c>
      <c r="F80" s="1" t="str">
        <f t="shared" ca="1" si="6"/>
        <v>SAS</v>
      </c>
      <c r="G80" s="1">
        <f t="shared" ca="1" si="7"/>
        <v>0</v>
      </c>
      <c r="H80" s="8">
        <v>4</v>
      </c>
      <c r="I80" s="1">
        <f t="shared" ca="1" si="8"/>
        <v>6</v>
      </c>
      <c r="J80" s="1">
        <f t="shared" ca="1" si="9"/>
        <v>-2</v>
      </c>
    </row>
    <row r="81" spans="1:10" ht="15" customHeight="1" x14ac:dyDescent="0.25">
      <c r="A81">
        <v>80</v>
      </c>
      <c r="B81">
        <v>30</v>
      </c>
      <c r="C81" t="str">
        <f t="shared" ca="1" si="5"/>
        <v>2013_04_01_MIA@SAS</v>
      </c>
      <c r="D81" s="8" t="s">
        <v>157</v>
      </c>
      <c r="E81" s="8" t="s">
        <v>472</v>
      </c>
      <c r="F81" s="1" t="str">
        <f t="shared" ca="1" si="6"/>
        <v>SAS</v>
      </c>
      <c r="G81" s="1">
        <f t="shared" ca="1" si="7"/>
        <v>1</v>
      </c>
      <c r="H81" s="8">
        <v>4</v>
      </c>
      <c r="I81" s="1">
        <f t="shared" ca="1" si="8"/>
        <v>5</v>
      </c>
      <c r="J81" s="1">
        <f t="shared" ca="1" si="9"/>
        <v>-1</v>
      </c>
    </row>
    <row r="82" spans="1:10" ht="15" customHeight="1" x14ac:dyDescent="0.25">
      <c r="A82">
        <v>81</v>
      </c>
      <c r="B82">
        <v>30</v>
      </c>
      <c r="C82" t="str">
        <f t="shared" ca="1" si="5"/>
        <v>2013_04_01_MIA@SAS</v>
      </c>
      <c r="D82" s="8" t="s">
        <v>158</v>
      </c>
      <c r="E82" s="8" t="s">
        <v>472</v>
      </c>
      <c r="F82" s="1" t="str">
        <f t="shared" ca="1" si="6"/>
        <v>SAS</v>
      </c>
      <c r="G82" s="1">
        <f t="shared" ca="1" si="7"/>
        <v>1</v>
      </c>
      <c r="H82" s="8">
        <v>4</v>
      </c>
      <c r="I82" s="1">
        <f t="shared" ca="1" si="8"/>
        <v>5</v>
      </c>
      <c r="J82" s="1">
        <f t="shared" ca="1" si="9"/>
        <v>-1</v>
      </c>
    </row>
    <row r="83" spans="1:10" ht="15" customHeight="1" x14ac:dyDescent="0.25">
      <c r="A83">
        <v>82</v>
      </c>
      <c r="B83">
        <v>30</v>
      </c>
      <c r="C83" t="str">
        <f t="shared" ca="1" si="5"/>
        <v>2013_04_01_MIA@SAS</v>
      </c>
      <c r="D83" s="8" t="s">
        <v>159</v>
      </c>
      <c r="E83" s="8" t="s">
        <v>472</v>
      </c>
      <c r="F83" s="1" t="str">
        <f t="shared" ca="1" si="6"/>
        <v>SAS</v>
      </c>
      <c r="G83" s="1">
        <f t="shared" ca="1" si="7"/>
        <v>1</v>
      </c>
      <c r="H83" s="8">
        <v>4</v>
      </c>
      <c r="I83" s="1">
        <f t="shared" ca="1" si="8"/>
        <v>5</v>
      </c>
      <c r="J83" s="1">
        <f t="shared" ca="1" si="9"/>
        <v>-1</v>
      </c>
    </row>
    <row r="84" spans="1:10" ht="15" customHeight="1" x14ac:dyDescent="0.25">
      <c r="A84">
        <v>83</v>
      </c>
      <c r="B84">
        <v>31</v>
      </c>
      <c r="C84" t="str">
        <f t="shared" ca="1" si="5"/>
        <v>2014_01_01_BRK@ATL</v>
      </c>
      <c r="D84" s="8" t="s">
        <v>157</v>
      </c>
      <c r="E84" s="8" t="s">
        <v>12</v>
      </c>
      <c r="F84" s="1" t="str">
        <f t="shared" ca="1" si="6"/>
        <v>ATL</v>
      </c>
      <c r="G84" s="1">
        <f t="shared" ca="1" si="7"/>
        <v>0</v>
      </c>
      <c r="H84" s="8">
        <v>5</v>
      </c>
      <c r="I84" s="1">
        <f t="shared" ca="1" si="8"/>
        <v>6</v>
      </c>
      <c r="J84" s="1">
        <f t="shared" ca="1" si="9"/>
        <v>-1</v>
      </c>
    </row>
    <row r="85" spans="1:10" ht="15" customHeight="1" x14ac:dyDescent="0.25">
      <c r="A85">
        <v>84</v>
      </c>
      <c r="B85">
        <v>31</v>
      </c>
      <c r="C85" t="str">
        <f t="shared" ca="1" si="5"/>
        <v>2014_01_01_BRK@ATL</v>
      </c>
      <c r="D85" s="8" t="s">
        <v>158</v>
      </c>
      <c r="E85" s="8" t="s">
        <v>12</v>
      </c>
      <c r="F85" s="1" t="str">
        <f t="shared" ca="1" si="6"/>
        <v>ATL</v>
      </c>
      <c r="G85" s="1">
        <f t="shared" ca="1" si="7"/>
        <v>0</v>
      </c>
      <c r="H85" s="8">
        <v>5</v>
      </c>
      <c r="I85" s="1">
        <f t="shared" ca="1" si="8"/>
        <v>6</v>
      </c>
      <c r="J85" s="1">
        <f t="shared" ca="1" si="9"/>
        <v>-1</v>
      </c>
    </row>
    <row r="86" spans="1:10" ht="15" customHeight="1" x14ac:dyDescent="0.25">
      <c r="A86">
        <v>85</v>
      </c>
      <c r="B86">
        <v>31</v>
      </c>
      <c r="C86" t="str">
        <f t="shared" ca="1" si="5"/>
        <v>2014_01_01_BRK@ATL</v>
      </c>
      <c r="D86" s="8" t="s">
        <v>159</v>
      </c>
      <c r="E86" s="8" t="s">
        <v>12</v>
      </c>
      <c r="F86" s="1" t="str">
        <f t="shared" ca="1" si="6"/>
        <v>ATL</v>
      </c>
      <c r="G86" s="1">
        <f t="shared" ca="1" si="7"/>
        <v>0</v>
      </c>
      <c r="H86" s="8">
        <v>5</v>
      </c>
      <c r="I86" s="1">
        <f t="shared" ca="1" si="8"/>
        <v>6</v>
      </c>
      <c r="J86" s="1">
        <f t="shared" ca="1" si="9"/>
        <v>-1</v>
      </c>
    </row>
    <row r="87" spans="1:10" ht="15" customHeight="1" x14ac:dyDescent="0.25">
      <c r="A87">
        <v>86</v>
      </c>
      <c r="B87">
        <v>32</v>
      </c>
      <c r="C87" t="str">
        <f t="shared" ca="1" si="5"/>
        <v>2014_01_02_BOS@CLE</v>
      </c>
      <c r="D87" s="8" t="s">
        <v>157</v>
      </c>
      <c r="E87" s="8" t="s">
        <v>14</v>
      </c>
      <c r="F87" s="1" t="str">
        <f t="shared" ca="1" si="6"/>
        <v>CLE</v>
      </c>
      <c r="G87" s="1">
        <f t="shared" ca="1" si="7"/>
        <v>0</v>
      </c>
      <c r="H87" s="8">
        <v>7</v>
      </c>
      <c r="I87" s="1">
        <f t="shared" ca="1" si="8"/>
        <v>4</v>
      </c>
      <c r="J87" s="1">
        <f t="shared" ca="1" si="9"/>
        <v>3</v>
      </c>
    </row>
    <row r="88" spans="1:10" ht="15" customHeight="1" x14ac:dyDescent="0.25">
      <c r="A88">
        <v>87</v>
      </c>
      <c r="B88">
        <v>32</v>
      </c>
      <c r="C88" t="str">
        <f t="shared" ca="1" si="5"/>
        <v>2014_01_02_BOS@CLE</v>
      </c>
      <c r="D88" s="8" t="s">
        <v>158</v>
      </c>
      <c r="E88" s="8" t="s">
        <v>14</v>
      </c>
      <c r="F88" s="1" t="str">
        <f t="shared" ca="1" si="6"/>
        <v>CLE</v>
      </c>
      <c r="G88" s="1">
        <f t="shared" ca="1" si="7"/>
        <v>0</v>
      </c>
      <c r="H88" s="8">
        <v>6</v>
      </c>
      <c r="I88" s="1">
        <f t="shared" ca="1" si="8"/>
        <v>4</v>
      </c>
      <c r="J88" s="1">
        <f t="shared" ca="1" si="9"/>
        <v>2</v>
      </c>
    </row>
    <row r="89" spans="1:10" ht="15" customHeight="1" x14ac:dyDescent="0.25">
      <c r="A89">
        <v>88</v>
      </c>
      <c r="B89">
        <v>32</v>
      </c>
      <c r="C89" t="str">
        <f t="shared" ca="1" si="5"/>
        <v>2014_01_02_BOS@CLE</v>
      </c>
      <c r="D89" s="8" t="s">
        <v>159</v>
      </c>
      <c r="E89" s="8" t="s">
        <v>14</v>
      </c>
      <c r="F89" s="1" t="str">
        <f t="shared" ca="1" si="6"/>
        <v>CLE</v>
      </c>
      <c r="G89" s="1">
        <f t="shared" ca="1" si="7"/>
        <v>0</v>
      </c>
      <c r="H89" s="8">
        <v>6</v>
      </c>
      <c r="I89" s="1">
        <f t="shared" ca="1" si="8"/>
        <v>4</v>
      </c>
      <c r="J89" s="1">
        <f t="shared" ca="1" si="9"/>
        <v>2</v>
      </c>
    </row>
    <row r="90" spans="1:10" ht="15" customHeight="1" x14ac:dyDescent="0.25">
      <c r="A90">
        <v>89</v>
      </c>
      <c r="B90">
        <v>33</v>
      </c>
      <c r="C90" t="str">
        <f t="shared" ca="1" si="5"/>
        <v>2014_01_03_MIL@CHI</v>
      </c>
      <c r="D90" s="8" t="s">
        <v>157</v>
      </c>
      <c r="E90" s="8" t="s">
        <v>17</v>
      </c>
      <c r="F90" s="1" t="str">
        <f t="shared" ca="1" si="6"/>
        <v>CHI</v>
      </c>
      <c r="G90" s="1">
        <f t="shared" ca="1" si="7"/>
        <v>0</v>
      </c>
      <c r="H90" s="8">
        <v>6</v>
      </c>
      <c r="I90" s="1">
        <f t="shared" ca="1" si="8"/>
        <v>6</v>
      </c>
      <c r="J90" s="1">
        <f t="shared" ca="1" si="9"/>
        <v>0</v>
      </c>
    </row>
    <row r="91" spans="1:10" ht="15" customHeight="1" x14ac:dyDescent="0.25">
      <c r="A91">
        <v>90</v>
      </c>
      <c r="B91">
        <v>33</v>
      </c>
      <c r="C91" t="str">
        <f t="shared" ca="1" si="5"/>
        <v>2014_01_03_MIL@CHI</v>
      </c>
      <c r="D91" s="8" t="s">
        <v>158</v>
      </c>
      <c r="E91" s="8" t="s">
        <v>17</v>
      </c>
      <c r="F91" s="1" t="str">
        <f t="shared" ca="1" si="6"/>
        <v>CHI</v>
      </c>
      <c r="G91" s="1">
        <f t="shared" ca="1" si="7"/>
        <v>0</v>
      </c>
      <c r="H91" s="8">
        <v>6</v>
      </c>
      <c r="I91" s="1">
        <f t="shared" ca="1" si="8"/>
        <v>6</v>
      </c>
      <c r="J91" s="1">
        <f t="shared" ca="1" si="9"/>
        <v>0</v>
      </c>
    </row>
    <row r="92" spans="1:10" ht="15" customHeight="1" x14ac:dyDescent="0.25">
      <c r="A92">
        <v>91</v>
      </c>
      <c r="B92">
        <v>33</v>
      </c>
      <c r="C92" t="str">
        <f t="shared" ca="1" si="5"/>
        <v>2014_01_03_MIL@CHI</v>
      </c>
      <c r="D92" s="8" t="s">
        <v>159</v>
      </c>
      <c r="E92" s="8" t="s">
        <v>17</v>
      </c>
      <c r="F92" s="1" t="str">
        <f t="shared" ca="1" si="6"/>
        <v>CHI</v>
      </c>
      <c r="G92" s="1">
        <f t="shared" ca="1" si="7"/>
        <v>0</v>
      </c>
      <c r="H92" s="8">
        <v>5</v>
      </c>
      <c r="I92" s="1">
        <f t="shared" ca="1" si="8"/>
        <v>6</v>
      </c>
      <c r="J92" s="1">
        <f t="shared" ca="1" si="9"/>
        <v>-1</v>
      </c>
    </row>
    <row r="93" spans="1:10" ht="15" customHeight="1" x14ac:dyDescent="0.25">
      <c r="A93">
        <v>92</v>
      </c>
      <c r="B93">
        <v>34</v>
      </c>
      <c r="C93" t="str">
        <f t="shared" ca="1" si="5"/>
        <v>2014_01_04_WAS@TOR</v>
      </c>
      <c r="D93" s="8" t="s">
        <v>157</v>
      </c>
      <c r="E93" s="8" t="s">
        <v>6</v>
      </c>
      <c r="F93" s="1" t="str">
        <f t="shared" ca="1" si="6"/>
        <v>WAS</v>
      </c>
      <c r="G93" s="1">
        <f t="shared" ca="1" si="7"/>
        <v>0</v>
      </c>
      <c r="H93" s="8">
        <v>5</v>
      </c>
      <c r="I93" s="1">
        <f t="shared" ca="1" si="8"/>
        <v>4</v>
      </c>
      <c r="J93" s="1">
        <f t="shared" ca="1" si="9"/>
        <v>1</v>
      </c>
    </row>
    <row r="94" spans="1:10" ht="15" customHeight="1" x14ac:dyDescent="0.25">
      <c r="A94">
        <v>93</v>
      </c>
      <c r="B94">
        <v>34</v>
      </c>
      <c r="C94" t="str">
        <f t="shared" ca="1" si="5"/>
        <v>2014_01_04_WAS@TOR</v>
      </c>
      <c r="D94" s="8" t="s">
        <v>158</v>
      </c>
      <c r="E94" s="8" t="s">
        <v>6</v>
      </c>
      <c r="F94" s="1" t="str">
        <f t="shared" ca="1" si="6"/>
        <v>WAS</v>
      </c>
      <c r="G94" s="1">
        <f t="shared" ca="1" si="7"/>
        <v>0</v>
      </c>
      <c r="H94" s="8">
        <v>6</v>
      </c>
      <c r="I94" s="1">
        <f t="shared" ca="1" si="8"/>
        <v>4</v>
      </c>
      <c r="J94" s="1">
        <f t="shared" ca="1" si="9"/>
        <v>2</v>
      </c>
    </row>
    <row r="95" spans="1:10" ht="15" customHeight="1" x14ac:dyDescent="0.25">
      <c r="A95">
        <v>94</v>
      </c>
      <c r="B95">
        <v>34</v>
      </c>
      <c r="C95" t="str">
        <f t="shared" ca="1" si="5"/>
        <v>2014_01_04_WAS@TOR</v>
      </c>
      <c r="D95" s="8" t="s">
        <v>159</v>
      </c>
      <c r="E95" s="8" t="s">
        <v>6</v>
      </c>
      <c r="F95" s="1" t="str">
        <f t="shared" ca="1" si="6"/>
        <v>WAS</v>
      </c>
      <c r="G95" s="1">
        <f t="shared" ca="1" si="7"/>
        <v>0</v>
      </c>
      <c r="H95" s="8">
        <v>5</v>
      </c>
      <c r="I95" s="1">
        <f t="shared" ca="1" si="8"/>
        <v>4</v>
      </c>
      <c r="J95" s="1">
        <f t="shared" ca="1" si="9"/>
        <v>1</v>
      </c>
    </row>
    <row r="96" spans="1:10" ht="15" customHeight="1" x14ac:dyDescent="0.25">
      <c r="A96">
        <v>95</v>
      </c>
      <c r="B96">
        <v>35</v>
      </c>
      <c r="C96" t="str">
        <f t="shared" ca="1" si="5"/>
        <v>2014_01_05_NOP@GSW</v>
      </c>
      <c r="D96" s="8" t="s">
        <v>157</v>
      </c>
      <c r="E96" s="8" t="s">
        <v>2</v>
      </c>
      <c r="F96" s="1" t="str">
        <f t="shared" ca="1" si="6"/>
        <v>GSW</v>
      </c>
      <c r="G96" s="1">
        <f t="shared" ca="1" si="7"/>
        <v>0</v>
      </c>
      <c r="H96" s="8">
        <v>6</v>
      </c>
      <c r="I96" s="1">
        <f t="shared" ca="1" si="8"/>
        <v>4</v>
      </c>
      <c r="J96" s="1">
        <f t="shared" ca="1" si="9"/>
        <v>2</v>
      </c>
    </row>
    <row r="97" spans="1:10" ht="15" customHeight="1" x14ac:dyDescent="0.25">
      <c r="A97">
        <v>96</v>
      </c>
      <c r="B97">
        <v>35</v>
      </c>
      <c r="C97" t="str">
        <f t="shared" ca="1" si="5"/>
        <v>2014_01_05_NOP@GSW</v>
      </c>
      <c r="D97" s="8" t="s">
        <v>158</v>
      </c>
      <c r="E97" s="8" t="s">
        <v>2</v>
      </c>
      <c r="F97" s="1" t="str">
        <f t="shared" ca="1" si="6"/>
        <v>GSW</v>
      </c>
      <c r="G97" s="1">
        <f t="shared" ca="1" si="7"/>
        <v>0</v>
      </c>
      <c r="H97" s="8">
        <v>6</v>
      </c>
      <c r="I97" s="1">
        <f t="shared" ca="1" si="8"/>
        <v>4</v>
      </c>
      <c r="J97" s="1">
        <f t="shared" ca="1" si="9"/>
        <v>2</v>
      </c>
    </row>
    <row r="98" spans="1:10" ht="15" customHeight="1" x14ac:dyDescent="0.25">
      <c r="A98">
        <v>97</v>
      </c>
      <c r="B98">
        <v>35</v>
      </c>
      <c r="C98" t="str">
        <f t="shared" ca="1" si="5"/>
        <v>2014_01_05_NOP@GSW</v>
      </c>
      <c r="D98" s="8" t="s">
        <v>159</v>
      </c>
      <c r="E98" s="8" t="s">
        <v>2</v>
      </c>
      <c r="F98" s="1" t="str">
        <f t="shared" ca="1" si="6"/>
        <v>GSW</v>
      </c>
      <c r="G98" s="1">
        <f t="shared" ca="1" si="7"/>
        <v>0</v>
      </c>
      <c r="H98" s="8">
        <v>6</v>
      </c>
      <c r="I98" s="1">
        <f t="shared" ca="1" si="8"/>
        <v>4</v>
      </c>
      <c r="J98" s="1">
        <f t="shared" ca="1" si="9"/>
        <v>2</v>
      </c>
    </row>
    <row r="99" spans="1:10" ht="15" customHeight="1" x14ac:dyDescent="0.25">
      <c r="A99">
        <v>98</v>
      </c>
      <c r="B99">
        <v>36</v>
      </c>
      <c r="C99" t="str">
        <f t="shared" ca="1" si="5"/>
        <v>2014_01_06_DAL@HOU</v>
      </c>
      <c r="D99" s="8" t="s">
        <v>157</v>
      </c>
      <c r="E99" s="8" t="s">
        <v>474</v>
      </c>
      <c r="F99" s="1" t="str">
        <f t="shared" ca="1" si="6"/>
        <v>HOU</v>
      </c>
      <c r="G99" s="1">
        <f t="shared" ca="1" si="7"/>
        <v>0</v>
      </c>
      <c r="H99" s="8">
        <v>6</v>
      </c>
      <c r="I99" s="1">
        <f t="shared" ca="1" si="8"/>
        <v>5</v>
      </c>
      <c r="J99" s="1">
        <f t="shared" ca="1" si="9"/>
        <v>1</v>
      </c>
    </row>
    <row r="100" spans="1:10" ht="15" customHeight="1" x14ac:dyDescent="0.25">
      <c r="A100">
        <v>99</v>
      </c>
      <c r="B100">
        <v>36</v>
      </c>
      <c r="C100" t="str">
        <f t="shared" ca="1" si="5"/>
        <v>2014_01_06_DAL@HOU</v>
      </c>
      <c r="D100" s="8" t="s">
        <v>158</v>
      </c>
      <c r="E100" s="8" t="s">
        <v>474</v>
      </c>
      <c r="F100" s="1" t="str">
        <f t="shared" ca="1" si="6"/>
        <v>HOU</v>
      </c>
      <c r="G100" s="1">
        <f t="shared" ca="1" si="7"/>
        <v>0</v>
      </c>
      <c r="H100" s="8">
        <v>7</v>
      </c>
      <c r="I100" s="1">
        <f t="shared" ca="1" si="8"/>
        <v>5</v>
      </c>
      <c r="J100" s="1">
        <f t="shared" ca="1" si="9"/>
        <v>2</v>
      </c>
    </row>
    <row r="101" spans="1:10" ht="15" customHeight="1" x14ac:dyDescent="0.25">
      <c r="A101">
        <v>100</v>
      </c>
      <c r="B101">
        <v>36</v>
      </c>
      <c r="C101" t="str">
        <f t="shared" ca="1" si="5"/>
        <v>2014_01_06_DAL@HOU</v>
      </c>
      <c r="D101" s="8" t="s">
        <v>159</v>
      </c>
      <c r="E101" s="8" t="s">
        <v>474</v>
      </c>
      <c r="F101" s="1" t="str">
        <f t="shared" ca="1" si="6"/>
        <v>HOU</v>
      </c>
      <c r="G101" s="1">
        <f t="shared" ca="1" si="7"/>
        <v>0</v>
      </c>
      <c r="H101" s="8">
        <v>6</v>
      </c>
      <c r="I101" s="1">
        <f t="shared" ca="1" si="8"/>
        <v>5</v>
      </c>
      <c r="J101" s="1">
        <f t="shared" ca="1" si="9"/>
        <v>1</v>
      </c>
    </row>
    <row r="102" spans="1:10" ht="15" customHeight="1" x14ac:dyDescent="0.25">
      <c r="A102">
        <v>101</v>
      </c>
      <c r="B102">
        <v>37</v>
      </c>
      <c r="C102" t="str">
        <f t="shared" ca="1" si="5"/>
        <v>2014_01_07_SAS@LAC</v>
      </c>
      <c r="D102" s="8" t="s">
        <v>157</v>
      </c>
      <c r="E102" s="8" t="s">
        <v>468</v>
      </c>
      <c r="F102" s="1" t="str">
        <f t="shared" ca="1" si="6"/>
        <v>LAC</v>
      </c>
      <c r="G102" s="1">
        <f t="shared" ca="1" si="7"/>
        <v>0</v>
      </c>
      <c r="H102" s="8">
        <v>4</v>
      </c>
      <c r="I102" s="1">
        <f t="shared" ca="1" si="8"/>
        <v>7</v>
      </c>
      <c r="J102" s="1">
        <f t="shared" ca="1" si="9"/>
        <v>-3</v>
      </c>
    </row>
    <row r="103" spans="1:10" ht="15" customHeight="1" x14ac:dyDescent="0.25">
      <c r="A103">
        <v>102</v>
      </c>
      <c r="B103">
        <v>37</v>
      </c>
      <c r="C103" t="str">
        <f t="shared" ca="1" si="5"/>
        <v>2014_01_07_SAS@LAC</v>
      </c>
      <c r="D103" s="8" t="s">
        <v>158</v>
      </c>
      <c r="E103" s="8" t="s">
        <v>468</v>
      </c>
      <c r="F103" s="1" t="str">
        <f t="shared" ca="1" si="6"/>
        <v>LAC</v>
      </c>
      <c r="G103" s="1">
        <f t="shared" ca="1" si="7"/>
        <v>0</v>
      </c>
      <c r="H103" s="8">
        <v>4</v>
      </c>
      <c r="I103" s="1">
        <f t="shared" ca="1" si="8"/>
        <v>7</v>
      </c>
      <c r="J103" s="1">
        <f t="shared" ca="1" si="9"/>
        <v>-3</v>
      </c>
    </row>
    <row r="104" spans="1:10" ht="15" customHeight="1" x14ac:dyDescent="0.25">
      <c r="A104">
        <v>103</v>
      </c>
      <c r="B104">
        <v>37</v>
      </c>
      <c r="C104" t="str">
        <f t="shared" ca="1" si="5"/>
        <v>2014_01_07_SAS@LAC</v>
      </c>
      <c r="D104" s="8" t="s">
        <v>159</v>
      </c>
      <c r="E104" s="8" t="s">
        <v>468</v>
      </c>
      <c r="F104" s="1" t="str">
        <f t="shared" ca="1" si="6"/>
        <v>LAC</v>
      </c>
      <c r="G104" s="1">
        <f t="shared" ca="1" si="7"/>
        <v>0</v>
      </c>
      <c r="H104" s="8">
        <v>4</v>
      </c>
      <c r="I104" s="1">
        <f t="shared" ca="1" si="8"/>
        <v>7</v>
      </c>
      <c r="J104" s="1">
        <f t="shared" ca="1" si="9"/>
        <v>-3</v>
      </c>
    </row>
    <row r="105" spans="1:10" ht="15" customHeight="1" x14ac:dyDescent="0.25">
      <c r="A105">
        <v>104</v>
      </c>
      <c r="B105">
        <v>38</v>
      </c>
      <c r="C105" t="str">
        <f t="shared" ca="1" si="5"/>
        <v>2014_01_08_MEM@POR</v>
      </c>
      <c r="D105" s="8" t="s">
        <v>157</v>
      </c>
      <c r="E105" s="8" t="s">
        <v>472</v>
      </c>
      <c r="F105" s="1" t="str">
        <f t="shared" ca="1" si="6"/>
        <v>MEM</v>
      </c>
      <c r="G105" s="1">
        <f t="shared" ca="1" si="7"/>
        <v>0</v>
      </c>
      <c r="H105" s="8">
        <v>5</v>
      </c>
      <c r="I105" s="1">
        <f t="shared" ca="1" si="8"/>
        <v>5</v>
      </c>
      <c r="J105" s="1">
        <f t="shared" ca="1" si="9"/>
        <v>0</v>
      </c>
    </row>
    <row r="106" spans="1:10" ht="15" customHeight="1" x14ac:dyDescent="0.25">
      <c r="A106">
        <v>105</v>
      </c>
      <c r="B106">
        <v>38</v>
      </c>
      <c r="C106" t="str">
        <f t="shared" ca="1" si="5"/>
        <v>2014_01_08_MEM@POR</v>
      </c>
      <c r="D106" s="8" t="s">
        <v>158</v>
      </c>
      <c r="E106" s="8" t="s">
        <v>472</v>
      </c>
      <c r="F106" s="1" t="str">
        <f t="shared" ca="1" si="6"/>
        <v>MEM</v>
      </c>
      <c r="G106" s="1">
        <f t="shared" ca="1" si="7"/>
        <v>0</v>
      </c>
      <c r="H106" s="8">
        <v>6</v>
      </c>
      <c r="I106" s="1">
        <f t="shared" ca="1" si="8"/>
        <v>5</v>
      </c>
      <c r="J106" s="1">
        <f t="shared" ca="1" si="9"/>
        <v>1</v>
      </c>
    </row>
    <row r="107" spans="1:10" ht="15" customHeight="1" x14ac:dyDescent="0.25">
      <c r="A107">
        <v>106</v>
      </c>
      <c r="B107">
        <v>38</v>
      </c>
      <c r="C107" t="str">
        <f t="shared" ca="1" si="5"/>
        <v>2014_01_08_MEM@POR</v>
      </c>
      <c r="D107" s="8" t="s">
        <v>159</v>
      </c>
      <c r="E107" s="8" t="s">
        <v>472</v>
      </c>
      <c r="F107" s="1" t="str">
        <f t="shared" ca="1" si="6"/>
        <v>MEM</v>
      </c>
      <c r="G107" s="1">
        <f t="shared" ca="1" si="7"/>
        <v>0</v>
      </c>
      <c r="H107" s="8">
        <v>5</v>
      </c>
      <c r="I107" s="1">
        <f t="shared" ca="1" si="8"/>
        <v>5</v>
      </c>
      <c r="J107" s="1">
        <f t="shared" ca="1" si="9"/>
        <v>0</v>
      </c>
    </row>
    <row r="108" spans="1:10" ht="15" customHeight="1" x14ac:dyDescent="0.25">
      <c r="A108">
        <v>107</v>
      </c>
      <c r="B108">
        <v>39</v>
      </c>
      <c r="C108" t="str">
        <f t="shared" ca="1" si="5"/>
        <v>2014_02_01_WAS@ATL</v>
      </c>
      <c r="D108" s="8" t="s">
        <v>157</v>
      </c>
      <c r="E108" s="8" t="s">
        <v>12</v>
      </c>
      <c r="F108" s="1" t="str">
        <f t="shared" ca="1" si="6"/>
        <v>ATL</v>
      </c>
      <c r="G108" s="1">
        <f t="shared" ca="1" si="7"/>
        <v>0</v>
      </c>
      <c r="H108" s="8">
        <v>6</v>
      </c>
      <c r="I108" s="1">
        <f t="shared" ca="1" si="8"/>
        <v>6</v>
      </c>
      <c r="J108" s="1">
        <f t="shared" ca="1" si="9"/>
        <v>0</v>
      </c>
    </row>
    <row r="109" spans="1:10" ht="15" customHeight="1" x14ac:dyDescent="0.25">
      <c r="A109">
        <v>108</v>
      </c>
      <c r="B109">
        <v>39</v>
      </c>
      <c r="C109" t="str">
        <f t="shared" ca="1" si="5"/>
        <v>2014_02_01_WAS@ATL</v>
      </c>
      <c r="D109" s="8" t="s">
        <v>158</v>
      </c>
      <c r="E109" s="8" t="s">
        <v>4</v>
      </c>
      <c r="F109" s="1" t="str">
        <f t="shared" ca="1" si="6"/>
        <v>ATL</v>
      </c>
      <c r="G109" s="1">
        <f t="shared" ca="1" si="7"/>
        <v>0</v>
      </c>
      <c r="H109" s="8">
        <v>6</v>
      </c>
      <c r="I109" s="1">
        <f t="shared" ca="1" si="8"/>
        <v>6</v>
      </c>
      <c r="J109" s="1">
        <f t="shared" ca="1" si="9"/>
        <v>0</v>
      </c>
    </row>
    <row r="110" spans="1:10" ht="15" customHeight="1" x14ac:dyDescent="0.25">
      <c r="A110">
        <v>109</v>
      </c>
      <c r="B110">
        <v>39</v>
      </c>
      <c r="C110" t="str">
        <f t="shared" ca="1" si="5"/>
        <v>2014_02_01_WAS@ATL</v>
      </c>
      <c r="D110" s="8" t="s">
        <v>159</v>
      </c>
      <c r="E110" s="8" t="s">
        <v>4</v>
      </c>
      <c r="F110" s="1" t="str">
        <f t="shared" ca="1" si="6"/>
        <v>ATL</v>
      </c>
      <c r="G110" s="1">
        <f t="shared" ca="1" si="7"/>
        <v>0</v>
      </c>
      <c r="H110" s="8">
        <v>5</v>
      </c>
      <c r="I110" s="1">
        <f t="shared" ca="1" si="8"/>
        <v>6</v>
      </c>
      <c r="J110" s="1">
        <f t="shared" ca="1" si="9"/>
        <v>-1</v>
      </c>
    </row>
    <row r="111" spans="1:10" ht="15" customHeight="1" x14ac:dyDescent="0.25">
      <c r="A111">
        <v>110</v>
      </c>
      <c r="B111">
        <v>40</v>
      </c>
      <c r="C111" t="str">
        <f t="shared" ca="1" si="5"/>
        <v>2014_02_02_CHI@CLE</v>
      </c>
      <c r="D111" s="8" t="s">
        <v>157</v>
      </c>
      <c r="E111" s="8" t="s">
        <v>14</v>
      </c>
      <c r="F111" s="1" t="str">
        <f t="shared" ca="1" si="6"/>
        <v>CLE</v>
      </c>
      <c r="G111" s="1">
        <f t="shared" ca="1" si="7"/>
        <v>0</v>
      </c>
      <c r="H111" s="8">
        <v>7</v>
      </c>
      <c r="I111" s="1">
        <f t="shared" ca="1" si="8"/>
        <v>6</v>
      </c>
      <c r="J111" s="1">
        <f t="shared" ca="1" si="9"/>
        <v>1</v>
      </c>
    </row>
    <row r="112" spans="1:10" ht="15" customHeight="1" x14ac:dyDescent="0.25">
      <c r="A112">
        <v>111</v>
      </c>
      <c r="B112">
        <v>40</v>
      </c>
      <c r="C112" t="str">
        <f t="shared" ca="1" si="5"/>
        <v>2014_02_02_CHI@CLE</v>
      </c>
      <c r="D112" s="8" t="s">
        <v>158</v>
      </c>
      <c r="E112" s="8" t="s">
        <v>14</v>
      </c>
      <c r="F112" s="1" t="str">
        <f t="shared" ca="1" si="6"/>
        <v>CLE</v>
      </c>
      <c r="G112" s="1">
        <f t="shared" ca="1" si="7"/>
        <v>0</v>
      </c>
      <c r="H112" s="8">
        <v>7</v>
      </c>
      <c r="I112" s="1">
        <f t="shared" ca="1" si="8"/>
        <v>6</v>
      </c>
      <c r="J112" s="1">
        <f t="shared" ca="1" si="9"/>
        <v>1</v>
      </c>
    </row>
    <row r="113" spans="1:10" ht="15" customHeight="1" x14ac:dyDescent="0.25">
      <c r="A113">
        <v>112</v>
      </c>
      <c r="B113">
        <v>40</v>
      </c>
      <c r="C113" t="str">
        <f t="shared" ca="1" si="5"/>
        <v>2014_02_02_CHI@CLE</v>
      </c>
      <c r="D113" s="8" t="s">
        <v>159</v>
      </c>
      <c r="E113" s="8" t="s">
        <v>14</v>
      </c>
      <c r="F113" s="1" t="str">
        <f t="shared" ca="1" si="6"/>
        <v>CLE</v>
      </c>
      <c r="G113" s="1">
        <f t="shared" ca="1" si="7"/>
        <v>0</v>
      </c>
      <c r="H113" s="8">
        <v>7</v>
      </c>
      <c r="I113" s="1">
        <f t="shared" ca="1" si="8"/>
        <v>6</v>
      </c>
      <c r="J113" s="1">
        <f t="shared" ca="1" si="9"/>
        <v>1</v>
      </c>
    </row>
    <row r="114" spans="1:10" ht="15" customHeight="1" x14ac:dyDescent="0.25">
      <c r="A114">
        <v>113</v>
      </c>
      <c r="B114">
        <v>41</v>
      </c>
      <c r="C114" t="str">
        <f t="shared" ca="1" si="5"/>
        <v>2014_02_03_MEM@GSW</v>
      </c>
      <c r="D114" s="8" t="s">
        <v>157</v>
      </c>
      <c r="E114" s="1" t="s">
        <v>15</v>
      </c>
      <c r="F114" s="1" t="str">
        <f t="shared" ca="1" si="6"/>
        <v>GSW</v>
      </c>
      <c r="G114" s="1">
        <f t="shared" ca="1" si="7"/>
        <v>0</v>
      </c>
      <c r="H114" s="1">
        <v>5</v>
      </c>
      <c r="I114" s="1">
        <f t="shared" ca="1" si="8"/>
        <v>6</v>
      </c>
      <c r="J114" s="1">
        <f t="shared" ca="1" si="9"/>
        <v>-1</v>
      </c>
    </row>
    <row r="115" spans="1:10" ht="15" customHeight="1" x14ac:dyDescent="0.25">
      <c r="A115">
        <v>114</v>
      </c>
      <c r="B115">
        <v>41</v>
      </c>
      <c r="C115" t="str">
        <f t="shared" ca="1" si="5"/>
        <v>2014_02_03_MEM@GSW</v>
      </c>
      <c r="D115" s="8" t="s">
        <v>158</v>
      </c>
      <c r="E115" s="1" t="s">
        <v>15</v>
      </c>
      <c r="F115" s="1" t="str">
        <f t="shared" ca="1" si="6"/>
        <v>GSW</v>
      </c>
      <c r="G115" s="1">
        <f t="shared" ca="1" si="7"/>
        <v>0</v>
      </c>
      <c r="H115" s="1">
        <v>5</v>
      </c>
      <c r="I115" s="1">
        <f t="shared" ca="1" si="8"/>
        <v>6</v>
      </c>
      <c r="J115" s="1">
        <f t="shared" ca="1" si="9"/>
        <v>-1</v>
      </c>
    </row>
    <row r="116" spans="1:10" ht="15" customHeight="1" x14ac:dyDescent="0.25">
      <c r="A116">
        <v>115</v>
      </c>
      <c r="B116">
        <v>41</v>
      </c>
      <c r="C116" t="str">
        <f t="shared" ca="1" si="5"/>
        <v>2014_02_03_MEM@GSW</v>
      </c>
      <c r="D116" s="8" t="s">
        <v>159</v>
      </c>
      <c r="E116" s="1" t="s">
        <v>15</v>
      </c>
      <c r="F116" s="1" t="str">
        <f t="shared" ca="1" si="6"/>
        <v>GSW</v>
      </c>
      <c r="G116" s="1">
        <f t="shared" ca="1" si="7"/>
        <v>0</v>
      </c>
      <c r="H116" s="1">
        <v>6</v>
      </c>
      <c r="I116" s="1">
        <f t="shared" ca="1" si="8"/>
        <v>6</v>
      </c>
      <c r="J116" s="1">
        <f t="shared" ca="1" si="9"/>
        <v>0</v>
      </c>
    </row>
    <row r="117" spans="1:10" ht="15" customHeight="1" x14ac:dyDescent="0.25">
      <c r="A117">
        <v>116</v>
      </c>
      <c r="B117">
        <v>42</v>
      </c>
      <c r="C117" t="str">
        <f t="shared" ca="1" si="5"/>
        <v>2014_02_04_LAC@HOU</v>
      </c>
      <c r="D117" s="8" t="s">
        <v>157</v>
      </c>
      <c r="E117" s="1" t="s">
        <v>470</v>
      </c>
      <c r="F117" s="1" t="str">
        <f t="shared" ca="1" si="6"/>
        <v>HOU</v>
      </c>
      <c r="G117" s="1">
        <f t="shared" ca="1" si="7"/>
        <v>0</v>
      </c>
      <c r="H117" s="1">
        <v>7</v>
      </c>
      <c r="I117" s="1">
        <f t="shared" ca="1" si="8"/>
        <v>7</v>
      </c>
      <c r="J117" s="1">
        <f t="shared" ca="1" si="9"/>
        <v>0</v>
      </c>
    </row>
    <row r="118" spans="1:10" ht="15" customHeight="1" x14ac:dyDescent="0.25">
      <c r="A118">
        <v>117</v>
      </c>
      <c r="B118">
        <v>42</v>
      </c>
      <c r="C118" t="str">
        <f t="shared" ca="1" si="5"/>
        <v>2014_02_04_LAC@HOU</v>
      </c>
      <c r="D118" s="8" t="s">
        <v>158</v>
      </c>
      <c r="E118" s="1" t="s">
        <v>470</v>
      </c>
      <c r="F118" s="1" t="str">
        <f t="shared" ca="1" si="6"/>
        <v>HOU</v>
      </c>
      <c r="G118" s="1">
        <f t="shared" ca="1" si="7"/>
        <v>0</v>
      </c>
      <c r="H118" s="1">
        <v>7</v>
      </c>
      <c r="I118" s="1">
        <f t="shared" ca="1" si="8"/>
        <v>7</v>
      </c>
      <c r="J118" s="1">
        <f t="shared" ca="1" si="9"/>
        <v>0</v>
      </c>
    </row>
    <row r="119" spans="1:10" ht="15" customHeight="1" x14ac:dyDescent="0.25">
      <c r="A119">
        <v>118</v>
      </c>
      <c r="B119">
        <v>42</v>
      </c>
      <c r="C119" t="str">
        <f t="shared" ca="1" si="5"/>
        <v>2014_02_04_LAC@HOU</v>
      </c>
      <c r="D119" s="8" t="s">
        <v>159</v>
      </c>
      <c r="E119" s="1" t="s">
        <v>470</v>
      </c>
      <c r="F119" s="1" t="str">
        <f t="shared" ca="1" si="6"/>
        <v>HOU</v>
      </c>
      <c r="G119" s="1">
        <f t="shared" ca="1" si="7"/>
        <v>0</v>
      </c>
      <c r="H119" s="1">
        <v>7</v>
      </c>
      <c r="I119" s="1">
        <f t="shared" ca="1" si="8"/>
        <v>7</v>
      </c>
      <c r="J119" s="1">
        <f t="shared" ca="1" si="9"/>
        <v>0</v>
      </c>
    </row>
    <row r="120" spans="1:10" ht="15" customHeight="1" x14ac:dyDescent="0.25">
      <c r="A120">
        <v>119</v>
      </c>
      <c r="B120">
        <v>43</v>
      </c>
      <c r="C120" t="str">
        <f t="shared" ca="1" si="5"/>
        <v>2014_03_01_CLE@ATL</v>
      </c>
      <c r="D120" s="8" t="s">
        <v>157</v>
      </c>
      <c r="E120" s="1" t="s">
        <v>9</v>
      </c>
      <c r="F120" s="1" t="str">
        <f t="shared" ca="1" si="6"/>
        <v>CLE</v>
      </c>
      <c r="G120" s="1">
        <f t="shared" ca="1" si="7"/>
        <v>0</v>
      </c>
      <c r="H120" s="1">
        <v>6</v>
      </c>
      <c r="I120" s="1">
        <f t="shared" ca="1" si="8"/>
        <v>4</v>
      </c>
      <c r="J120" s="1">
        <f t="shared" ca="1" si="9"/>
        <v>2</v>
      </c>
    </row>
    <row r="121" spans="1:10" ht="15" customHeight="1" x14ac:dyDescent="0.25">
      <c r="A121">
        <v>120</v>
      </c>
      <c r="B121">
        <v>43</v>
      </c>
      <c r="C121" t="str">
        <f t="shared" ca="1" si="5"/>
        <v>2014_03_01_CLE@ATL</v>
      </c>
      <c r="D121" s="8" t="s">
        <v>158</v>
      </c>
      <c r="E121" s="1" t="s">
        <v>9</v>
      </c>
      <c r="F121" s="1" t="str">
        <f t="shared" ca="1" si="6"/>
        <v>CLE</v>
      </c>
      <c r="G121" s="1">
        <f t="shared" ca="1" si="7"/>
        <v>0</v>
      </c>
      <c r="H121" s="1">
        <v>6</v>
      </c>
      <c r="I121" s="1">
        <f t="shared" ca="1" si="8"/>
        <v>4</v>
      </c>
      <c r="J121" s="1">
        <f t="shared" ca="1" si="9"/>
        <v>2</v>
      </c>
    </row>
    <row r="122" spans="1:10" ht="15" customHeight="1" x14ac:dyDescent="0.25">
      <c r="A122">
        <v>121</v>
      </c>
      <c r="B122">
        <v>43</v>
      </c>
      <c r="C122" t="str">
        <f t="shared" ca="1" si="5"/>
        <v>2014_03_01_CLE@ATL</v>
      </c>
      <c r="D122" s="8" t="s">
        <v>159</v>
      </c>
      <c r="E122" s="1" t="s">
        <v>9</v>
      </c>
      <c r="F122" s="1" t="str">
        <f t="shared" ca="1" si="6"/>
        <v>CLE</v>
      </c>
      <c r="G122" s="1">
        <f t="shared" ca="1" si="7"/>
        <v>0</v>
      </c>
      <c r="H122" s="1">
        <v>6</v>
      </c>
      <c r="I122" s="1">
        <f t="shared" ca="1" si="8"/>
        <v>4</v>
      </c>
      <c r="J122" s="1">
        <f t="shared" ca="1" si="9"/>
        <v>2</v>
      </c>
    </row>
    <row r="123" spans="1:10" ht="15" customHeight="1" x14ac:dyDescent="0.25">
      <c r="A123">
        <v>122</v>
      </c>
      <c r="B123">
        <v>44</v>
      </c>
      <c r="C123" t="str">
        <f t="shared" ca="1" si="5"/>
        <v>2014_03_02_HOU@GSW</v>
      </c>
      <c r="D123" s="8" t="s">
        <v>157</v>
      </c>
      <c r="E123" s="1" t="s">
        <v>472</v>
      </c>
      <c r="F123" s="1" t="str">
        <f t="shared" ca="1" si="6"/>
        <v>GSW</v>
      </c>
      <c r="G123" s="1">
        <f t="shared" ca="1" si="7"/>
        <v>0</v>
      </c>
      <c r="H123" s="1">
        <v>5</v>
      </c>
      <c r="I123" s="1">
        <f t="shared" ca="1" si="8"/>
        <v>5</v>
      </c>
      <c r="J123" s="1">
        <f t="shared" ca="1" si="9"/>
        <v>0</v>
      </c>
    </row>
    <row r="124" spans="1:10" ht="15" customHeight="1" x14ac:dyDescent="0.25">
      <c r="A124">
        <v>123</v>
      </c>
      <c r="B124">
        <v>44</v>
      </c>
      <c r="C124" t="str">
        <f t="shared" ca="1" si="5"/>
        <v>2014_03_02_HOU@GSW</v>
      </c>
      <c r="D124" s="8" t="s">
        <v>158</v>
      </c>
      <c r="E124" s="1" t="s">
        <v>472</v>
      </c>
      <c r="F124" s="1" t="str">
        <f t="shared" ca="1" si="6"/>
        <v>GSW</v>
      </c>
      <c r="G124" s="1">
        <f t="shared" ca="1" si="7"/>
        <v>0</v>
      </c>
      <c r="H124" s="1">
        <v>5</v>
      </c>
      <c r="I124" s="1">
        <f t="shared" ca="1" si="8"/>
        <v>5</v>
      </c>
      <c r="J124" s="1">
        <f t="shared" ca="1" si="9"/>
        <v>0</v>
      </c>
    </row>
    <row r="125" spans="1:10" ht="15" customHeight="1" x14ac:dyDescent="0.25">
      <c r="A125">
        <v>124</v>
      </c>
      <c r="B125">
        <v>44</v>
      </c>
      <c r="C125" t="str">
        <f t="shared" ca="1" si="5"/>
        <v>2014_03_02_HOU@GSW</v>
      </c>
      <c r="D125" s="8" t="s">
        <v>159</v>
      </c>
      <c r="E125" s="1" t="s">
        <v>472</v>
      </c>
      <c r="F125" s="1" t="str">
        <f t="shared" ca="1" si="6"/>
        <v>GSW</v>
      </c>
      <c r="G125" s="1">
        <f t="shared" ca="1" si="7"/>
        <v>0</v>
      </c>
      <c r="H125" s="1">
        <v>5</v>
      </c>
      <c r="I125" s="1">
        <f t="shared" ca="1" si="8"/>
        <v>5</v>
      </c>
      <c r="J125" s="1">
        <f t="shared" ca="1" si="9"/>
        <v>0</v>
      </c>
    </row>
    <row r="126" spans="1:10" ht="15" customHeight="1" x14ac:dyDescent="0.25">
      <c r="A126">
        <v>125</v>
      </c>
      <c r="B126">
        <v>45</v>
      </c>
      <c r="C126" t="str">
        <f t="shared" ca="1" si="5"/>
        <v>2014_04_01_CLE@GSW</v>
      </c>
      <c r="D126" s="8" t="s">
        <v>157</v>
      </c>
      <c r="E126" s="1" t="s">
        <v>13</v>
      </c>
      <c r="F126" s="1" t="str">
        <f t="shared" ca="1" si="6"/>
        <v>GSW</v>
      </c>
      <c r="G126" s="1">
        <f t="shared" ca="1" si="7"/>
        <v>0</v>
      </c>
      <c r="H126" s="1">
        <v>7</v>
      </c>
      <c r="I126" s="1">
        <f t="shared" ca="1" si="8"/>
        <v>6</v>
      </c>
      <c r="J126" s="1">
        <f t="shared" ca="1" si="9"/>
        <v>1</v>
      </c>
    </row>
    <row r="127" spans="1:10" ht="15" customHeight="1" x14ac:dyDescent="0.25">
      <c r="A127">
        <v>126</v>
      </c>
      <c r="B127">
        <v>45</v>
      </c>
      <c r="C127" t="str">
        <f t="shared" ca="1" si="5"/>
        <v>2014_04_01_CLE@GSW</v>
      </c>
      <c r="D127" s="8" t="s">
        <v>158</v>
      </c>
      <c r="E127" s="1" t="s">
        <v>474</v>
      </c>
      <c r="F127" s="1" t="str">
        <f t="shared" ca="1" si="6"/>
        <v>GSW</v>
      </c>
      <c r="G127" s="1">
        <f t="shared" ca="1" si="7"/>
        <v>0</v>
      </c>
      <c r="H127" s="1">
        <v>6</v>
      </c>
      <c r="I127" s="1">
        <f t="shared" ca="1" si="8"/>
        <v>6</v>
      </c>
      <c r="J127" s="1">
        <f t="shared" ca="1" si="9"/>
        <v>0</v>
      </c>
    </row>
    <row r="128" spans="1:10" ht="15" customHeight="1" x14ac:dyDescent="0.25">
      <c r="A128">
        <v>127</v>
      </c>
      <c r="B128">
        <v>45</v>
      </c>
      <c r="C128" t="str">
        <f t="shared" ca="1" si="5"/>
        <v>2014_04_01_CLE@GSW</v>
      </c>
      <c r="D128" s="8" t="s">
        <v>159</v>
      </c>
      <c r="E128" s="1" t="s">
        <v>13</v>
      </c>
      <c r="F128" s="1" t="str">
        <f t="shared" ca="1" si="6"/>
        <v>GSW</v>
      </c>
      <c r="G128" s="1">
        <f t="shared" ca="1" si="7"/>
        <v>0</v>
      </c>
      <c r="H128" s="1">
        <v>7</v>
      </c>
      <c r="I128" s="1">
        <f t="shared" ca="1" si="8"/>
        <v>6</v>
      </c>
      <c r="J128" s="1">
        <f t="shared" ca="1" si="9"/>
        <v>1</v>
      </c>
    </row>
    <row r="129" spans="1:10" ht="15" customHeight="1" x14ac:dyDescent="0.25">
      <c r="A129">
        <v>128</v>
      </c>
      <c r="B129">
        <v>46</v>
      </c>
      <c r="C129" t="str">
        <f t="shared" ca="1" si="5"/>
        <v>2015_01_01_DET@CLE</v>
      </c>
      <c r="D129" s="8" t="s">
        <v>157</v>
      </c>
      <c r="E129" s="1" t="s">
        <v>15</v>
      </c>
      <c r="F129" s="1" t="str">
        <f t="shared" ca="1" si="6"/>
        <v>CLE</v>
      </c>
      <c r="G129" s="1">
        <f t="shared" ca="1" si="7"/>
        <v>0</v>
      </c>
      <c r="H129" s="1">
        <v>7</v>
      </c>
      <c r="I129" s="1">
        <f t="shared" ca="1" si="8"/>
        <v>4</v>
      </c>
      <c r="J129" s="1">
        <f t="shared" ca="1" si="9"/>
        <v>3</v>
      </c>
    </row>
    <row r="130" spans="1:10" ht="15" customHeight="1" x14ac:dyDescent="0.25">
      <c r="A130">
        <v>129</v>
      </c>
      <c r="B130">
        <v>46</v>
      </c>
      <c r="C130" t="str">
        <f t="shared" ref="C130:C193" ca="1" si="10">IFERROR(VLOOKUP($B130,nba_plyff_results,MATCH(C$1,nba_plyff_results_header,0),FALSE),"error")</f>
        <v>2015_01_01_DET@CLE</v>
      </c>
      <c r="D130" s="8" t="s">
        <v>158</v>
      </c>
      <c r="E130" s="1" t="s">
        <v>15</v>
      </c>
      <c r="F130" s="1" t="str">
        <f t="shared" ref="F130:F193" ca="1" si="11">IFERROR(IF(ISBLANK(VLOOKUP($B130,nba_plyff_results,MATCH(F$1,nba_plyff_results_header,0),FALSE)),"",VLOOKUP($B130,nba_plyff_results,MATCH(F$1,nba_plyff_results_header,0),FALSE)),"error")</f>
        <v>CLE</v>
      </c>
      <c r="G130" s="1">
        <f t="shared" ref="G130:G193" ca="1" si="12">IF(OR(ISBLANK(E130),ISBLANK(F130),E130="",F130=""),"",IF(E130=F130,1,0))</f>
        <v>0</v>
      </c>
      <c r="H130" s="1">
        <v>6</v>
      </c>
      <c r="I130" s="1">
        <f t="shared" ref="I130:I193" ca="1" si="13">IFERROR(IF(ISBLANK(VLOOKUP($B130,nba_plyff_results,MATCH(I$1,nba_plyff_results_header,0),FALSE)),"",VLOOKUP($B130,nba_plyff_results,MATCH(I$1,nba_plyff_results_header,0),FALSE)),"error")</f>
        <v>4</v>
      </c>
      <c r="J130" s="1">
        <f t="shared" ref="J130:J193" ca="1" si="14">IF(OR(ISBLANK(H130),ISBLANK(I130),H130="",I130=""),"",H130-I130)</f>
        <v>2</v>
      </c>
    </row>
    <row r="131" spans="1:10" ht="15" customHeight="1" x14ac:dyDescent="0.25">
      <c r="A131">
        <v>130</v>
      </c>
      <c r="B131">
        <v>46</v>
      </c>
      <c r="C131" t="str">
        <f t="shared" ca="1" si="10"/>
        <v>2015_01_01_DET@CLE</v>
      </c>
      <c r="D131" s="8" t="s">
        <v>159</v>
      </c>
      <c r="E131" s="1" t="s">
        <v>15</v>
      </c>
      <c r="F131" s="1" t="str">
        <f t="shared" ca="1" si="11"/>
        <v>CLE</v>
      </c>
      <c r="G131" s="1">
        <f t="shared" ca="1" si="12"/>
        <v>0</v>
      </c>
      <c r="H131" s="1">
        <v>6</v>
      </c>
      <c r="I131" s="1">
        <f t="shared" ca="1" si="13"/>
        <v>4</v>
      </c>
      <c r="J131" s="1">
        <f t="shared" ca="1" si="14"/>
        <v>2</v>
      </c>
    </row>
    <row r="132" spans="1:10" ht="15" customHeight="1" x14ac:dyDescent="0.25">
      <c r="A132">
        <v>131</v>
      </c>
      <c r="B132">
        <v>47</v>
      </c>
      <c r="C132" t="str">
        <f t="shared" ca="1" si="10"/>
        <v>2015_01_02_IND@TOR</v>
      </c>
      <c r="D132" s="8" t="s">
        <v>157</v>
      </c>
      <c r="E132" s="1" t="s">
        <v>472</v>
      </c>
      <c r="F132" s="1" t="str">
        <f t="shared" ca="1" si="11"/>
        <v>TOR</v>
      </c>
      <c r="G132" s="1">
        <f t="shared" ca="1" si="12"/>
        <v>0</v>
      </c>
      <c r="H132" s="1">
        <v>7</v>
      </c>
      <c r="I132" s="1">
        <f t="shared" ca="1" si="13"/>
        <v>7</v>
      </c>
      <c r="J132" s="1">
        <f t="shared" ca="1" si="14"/>
        <v>0</v>
      </c>
    </row>
    <row r="133" spans="1:10" ht="15" customHeight="1" x14ac:dyDescent="0.25">
      <c r="A133">
        <v>132</v>
      </c>
      <c r="B133">
        <v>47</v>
      </c>
      <c r="C133" t="str">
        <f t="shared" ca="1" si="10"/>
        <v>2015_01_02_IND@TOR</v>
      </c>
      <c r="D133" s="8" t="s">
        <v>158</v>
      </c>
      <c r="E133" s="1" t="s">
        <v>472</v>
      </c>
      <c r="F133" s="1" t="str">
        <f t="shared" ca="1" si="11"/>
        <v>TOR</v>
      </c>
      <c r="G133" s="1">
        <f t="shared" ca="1" si="12"/>
        <v>0</v>
      </c>
      <c r="H133" s="1">
        <v>7</v>
      </c>
      <c r="I133" s="1">
        <f t="shared" ca="1" si="13"/>
        <v>7</v>
      </c>
      <c r="J133" s="1">
        <f t="shared" ca="1" si="14"/>
        <v>0</v>
      </c>
    </row>
    <row r="134" spans="1:10" ht="15" customHeight="1" x14ac:dyDescent="0.25">
      <c r="A134">
        <v>133</v>
      </c>
      <c r="B134">
        <v>47</v>
      </c>
      <c r="C134" t="str">
        <f t="shared" ca="1" si="10"/>
        <v>2015_01_02_IND@TOR</v>
      </c>
      <c r="D134" s="8" t="s">
        <v>159</v>
      </c>
      <c r="E134" s="1" t="s">
        <v>472</v>
      </c>
      <c r="F134" s="1" t="str">
        <f t="shared" ca="1" si="11"/>
        <v>TOR</v>
      </c>
      <c r="G134" s="1">
        <f t="shared" ca="1" si="12"/>
        <v>0</v>
      </c>
      <c r="H134" s="1">
        <v>7</v>
      </c>
      <c r="I134" s="1">
        <f t="shared" ca="1" si="13"/>
        <v>7</v>
      </c>
      <c r="J134" s="1">
        <f t="shared" ca="1" si="14"/>
        <v>0</v>
      </c>
    </row>
    <row r="135" spans="1:10" ht="15" customHeight="1" x14ac:dyDescent="0.25">
      <c r="A135">
        <v>134</v>
      </c>
      <c r="B135">
        <v>48</v>
      </c>
      <c r="C135" t="str">
        <f t="shared" ca="1" si="10"/>
        <v>2015_01_03_CHO@MIA</v>
      </c>
      <c r="D135" s="8" t="s">
        <v>157</v>
      </c>
      <c r="E135" s="1" t="s">
        <v>12</v>
      </c>
      <c r="F135" s="1" t="str">
        <f t="shared" ca="1" si="11"/>
        <v>MIA</v>
      </c>
      <c r="G135" s="1">
        <f t="shared" ca="1" si="12"/>
        <v>0</v>
      </c>
      <c r="H135" s="1">
        <v>7</v>
      </c>
      <c r="I135" s="1">
        <f t="shared" ca="1" si="13"/>
        <v>7</v>
      </c>
      <c r="J135" s="1">
        <f t="shared" ca="1" si="14"/>
        <v>0</v>
      </c>
    </row>
    <row r="136" spans="1:10" ht="15" customHeight="1" x14ac:dyDescent="0.25">
      <c r="A136">
        <v>135</v>
      </c>
      <c r="B136">
        <v>48</v>
      </c>
      <c r="C136" t="str">
        <f t="shared" ca="1" si="10"/>
        <v>2015_01_03_CHO@MIA</v>
      </c>
      <c r="D136" s="8" t="s">
        <v>158</v>
      </c>
      <c r="E136" s="1" t="s">
        <v>12</v>
      </c>
      <c r="F136" s="1" t="str">
        <f t="shared" ca="1" si="11"/>
        <v>MIA</v>
      </c>
      <c r="G136" s="1">
        <f t="shared" ca="1" si="12"/>
        <v>0</v>
      </c>
      <c r="H136" s="1">
        <v>7</v>
      </c>
      <c r="I136" s="1">
        <f t="shared" ca="1" si="13"/>
        <v>7</v>
      </c>
      <c r="J136" s="1">
        <f t="shared" ca="1" si="14"/>
        <v>0</v>
      </c>
    </row>
    <row r="137" spans="1:10" ht="15" customHeight="1" x14ac:dyDescent="0.25">
      <c r="A137">
        <v>136</v>
      </c>
      <c r="B137">
        <v>48</v>
      </c>
      <c r="C137" t="str">
        <f t="shared" ca="1" si="10"/>
        <v>2015_01_03_CHO@MIA</v>
      </c>
      <c r="D137" s="8" t="s">
        <v>159</v>
      </c>
      <c r="E137" s="1" t="s">
        <v>14</v>
      </c>
      <c r="F137" s="1" t="str">
        <f t="shared" ca="1" si="11"/>
        <v>MIA</v>
      </c>
      <c r="G137" s="1">
        <f t="shared" ca="1" si="12"/>
        <v>0</v>
      </c>
      <c r="H137" s="1">
        <v>7</v>
      </c>
      <c r="I137" s="1">
        <f t="shared" ca="1" si="13"/>
        <v>7</v>
      </c>
      <c r="J137" s="1">
        <f t="shared" ca="1" si="14"/>
        <v>0</v>
      </c>
    </row>
    <row r="138" spans="1:10" ht="15" customHeight="1" x14ac:dyDescent="0.25">
      <c r="A138">
        <v>137</v>
      </c>
      <c r="B138">
        <v>49</v>
      </c>
      <c r="C138" t="str">
        <f t="shared" ca="1" si="10"/>
        <v>2015_01_04_BOS@ATL</v>
      </c>
      <c r="D138" s="8" t="s">
        <v>157</v>
      </c>
      <c r="E138" s="8" t="s">
        <v>474</v>
      </c>
      <c r="F138" s="1" t="str">
        <f t="shared" ca="1" si="11"/>
        <v>ATL</v>
      </c>
      <c r="G138" s="1">
        <f t="shared" ca="1" si="12"/>
        <v>0</v>
      </c>
      <c r="H138" s="1">
        <v>7</v>
      </c>
      <c r="I138" s="1">
        <f t="shared" ca="1" si="13"/>
        <v>6</v>
      </c>
      <c r="J138" s="1">
        <f t="shared" ca="1" si="14"/>
        <v>1</v>
      </c>
    </row>
    <row r="139" spans="1:10" ht="15" customHeight="1" x14ac:dyDescent="0.25">
      <c r="A139">
        <v>138</v>
      </c>
      <c r="B139">
        <v>49</v>
      </c>
      <c r="C139" t="str">
        <f t="shared" ca="1" si="10"/>
        <v>2015_01_04_BOS@ATL</v>
      </c>
      <c r="D139" s="8" t="s">
        <v>158</v>
      </c>
      <c r="E139" s="8" t="s">
        <v>474</v>
      </c>
      <c r="F139" s="1" t="str">
        <f t="shared" ca="1" si="11"/>
        <v>ATL</v>
      </c>
      <c r="G139" s="1">
        <f t="shared" ca="1" si="12"/>
        <v>0</v>
      </c>
      <c r="H139" s="1">
        <v>7</v>
      </c>
      <c r="I139" s="1">
        <f t="shared" ca="1" si="13"/>
        <v>6</v>
      </c>
      <c r="J139" s="1">
        <f t="shared" ca="1" si="14"/>
        <v>1</v>
      </c>
    </row>
    <row r="140" spans="1:10" ht="15" customHeight="1" x14ac:dyDescent="0.25">
      <c r="A140">
        <v>139</v>
      </c>
      <c r="B140">
        <v>49</v>
      </c>
      <c r="C140" t="str">
        <f t="shared" ca="1" si="10"/>
        <v>2015_01_04_BOS@ATL</v>
      </c>
      <c r="D140" s="8" t="s">
        <v>159</v>
      </c>
      <c r="E140" s="8" t="s">
        <v>5</v>
      </c>
      <c r="F140" s="1" t="str">
        <f t="shared" ca="1" si="11"/>
        <v>ATL</v>
      </c>
      <c r="G140" s="1">
        <f t="shared" ca="1" si="12"/>
        <v>1</v>
      </c>
      <c r="H140" s="1">
        <v>7</v>
      </c>
      <c r="I140" s="1">
        <f t="shared" ca="1" si="13"/>
        <v>6</v>
      </c>
      <c r="J140" s="1">
        <f t="shared" ca="1" si="14"/>
        <v>1</v>
      </c>
    </row>
    <row r="141" spans="1:10" ht="15" customHeight="1" x14ac:dyDescent="0.25">
      <c r="A141">
        <v>140</v>
      </c>
      <c r="B141">
        <v>50</v>
      </c>
      <c r="C141" t="str">
        <f t="shared" ca="1" si="10"/>
        <v>2015_01_05_HOU@GSW</v>
      </c>
      <c r="D141" s="8" t="s">
        <v>157</v>
      </c>
      <c r="E141" s="8" t="s">
        <v>6</v>
      </c>
      <c r="F141" s="1" t="str">
        <f t="shared" ca="1" si="11"/>
        <v>GSW</v>
      </c>
      <c r="G141" s="1">
        <f t="shared" ca="1" si="12"/>
        <v>0</v>
      </c>
      <c r="H141" s="1">
        <v>6</v>
      </c>
      <c r="I141" s="1">
        <f t="shared" ca="1" si="13"/>
        <v>5</v>
      </c>
      <c r="J141" s="1">
        <f t="shared" ca="1" si="14"/>
        <v>1</v>
      </c>
    </row>
    <row r="142" spans="1:10" ht="15" customHeight="1" x14ac:dyDescent="0.25">
      <c r="A142">
        <v>141</v>
      </c>
      <c r="B142">
        <v>50</v>
      </c>
      <c r="C142" t="str">
        <f t="shared" ca="1" si="10"/>
        <v>2015_01_05_HOU@GSW</v>
      </c>
      <c r="D142" s="8" t="s">
        <v>158</v>
      </c>
      <c r="E142" s="8" t="s">
        <v>6</v>
      </c>
      <c r="F142" s="1" t="str">
        <f t="shared" ca="1" si="11"/>
        <v>GSW</v>
      </c>
      <c r="G142" s="1">
        <f t="shared" ca="1" si="12"/>
        <v>0</v>
      </c>
      <c r="H142" s="1">
        <v>7</v>
      </c>
      <c r="I142" s="1">
        <f t="shared" ca="1" si="13"/>
        <v>5</v>
      </c>
      <c r="J142" s="1">
        <f t="shared" ca="1" si="14"/>
        <v>2</v>
      </c>
    </row>
    <row r="143" spans="1:10" ht="15" customHeight="1" x14ac:dyDescent="0.25">
      <c r="A143">
        <v>142</v>
      </c>
      <c r="B143">
        <v>50</v>
      </c>
      <c r="C143" t="str">
        <f t="shared" ca="1" si="10"/>
        <v>2015_01_05_HOU@GSW</v>
      </c>
      <c r="D143" s="8" t="s">
        <v>159</v>
      </c>
      <c r="E143" s="8" t="s">
        <v>6</v>
      </c>
      <c r="F143" s="1" t="str">
        <f t="shared" ca="1" si="11"/>
        <v>GSW</v>
      </c>
      <c r="G143" s="1">
        <f t="shared" ca="1" si="12"/>
        <v>0</v>
      </c>
      <c r="H143" s="1">
        <v>6</v>
      </c>
      <c r="I143" s="1">
        <f t="shared" ca="1" si="13"/>
        <v>5</v>
      </c>
      <c r="J143" s="1">
        <f t="shared" ca="1" si="14"/>
        <v>1</v>
      </c>
    </row>
    <row r="144" spans="1:10" ht="15" customHeight="1" x14ac:dyDescent="0.25">
      <c r="A144">
        <v>143</v>
      </c>
      <c r="B144">
        <v>51</v>
      </c>
      <c r="C144" t="str">
        <f t="shared" ca="1" si="10"/>
        <v>2015_01_06_MEM@SAS</v>
      </c>
      <c r="D144" s="8" t="s">
        <v>157</v>
      </c>
      <c r="E144" s="8" t="s">
        <v>468</v>
      </c>
      <c r="F144" s="1" t="str">
        <f t="shared" ca="1" si="11"/>
        <v>SAS</v>
      </c>
      <c r="G144" s="1">
        <f t="shared" ca="1" si="12"/>
        <v>0</v>
      </c>
      <c r="H144" s="1">
        <v>4</v>
      </c>
      <c r="I144" s="1">
        <f t="shared" ca="1" si="13"/>
        <v>4</v>
      </c>
      <c r="J144" s="1">
        <f t="shared" ca="1" si="14"/>
        <v>0</v>
      </c>
    </row>
    <row r="145" spans="1:10" ht="15" customHeight="1" x14ac:dyDescent="0.25">
      <c r="A145">
        <v>144</v>
      </c>
      <c r="B145">
        <v>51</v>
      </c>
      <c r="C145" t="str">
        <f t="shared" ca="1" si="10"/>
        <v>2015_01_06_MEM@SAS</v>
      </c>
      <c r="D145" s="8" t="s">
        <v>158</v>
      </c>
      <c r="E145" s="8" t="s">
        <v>468</v>
      </c>
      <c r="F145" s="1" t="str">
        <f t="shared" ca="1" si="11"/>
        <v>SAS</v>
      </c>
      <c r="G145" s="1">
        <f t="shared" ca="1" si="12"/>
        <v>0</v>
      </c>
      <c r="H145" s="1">
        <v>4</v>
      </c>
      <c r="I145" s="1">
        <f t="shared" ca="1" si="13"/>
        <v>4</v>
      </c>
      <c r="J145" s="1">
        <f t="shared" ca="1" si="14"/>
        <v>0</v>
      </c>
    </row>
    <row r="146" spans="1:10" ht="15" customHeight="1" x14ac:dyDescent="0.25">
      <c r="A146">
        <v>145</v>
      </c>
      <c r="B146">
        <v>51</v>
      </c>
      <c r="C146" t="str">
        <f t="shared" ca="1" si="10"/>
        <v>2015_01_06_MEM@SAS</v>
      </c>
      <c r="D146" s="8" t="s">
        <v>159</v>
      </c>
      <c r="E146" s="8" t="s">
        <v>468</v>
      </c>
      <c r="F146" s="1" t="str">
        <f t="shared" ca="1" si="11"/>
        <v>SAS</v>
      </c>
      <c r="G146" s="1">
        <f t="shared" ca="1" si="12"/>
        <v>0</v>
      </c>
      <c r="H146" s="1">
        <v>4</v>
      </c>
      <c r="I146" s="1">
        <f t="shared" ca="1" si="13"/>
        <v>4</v>
      </c>
      <c r="J146" s="1">
        <f t="shared" ca="1" si="14"/>
        <v>0</v>
      </c>
    </row>
    <row r="147" spans="1:10" ht="15" customHeight="1" x14ac:dyDescent="0.25">
      <c r="A147">
        <v>146</v>
      </c>
      <c r="B147">
        <v>52</v>
      </c>
      <c r="C147" t="str">
        <f t="shared" ca="1" si="10"/>
        <v>2015_01_07_DAL@OKC</v>
      </c>
      <c r="D147" s="8" t="s">
        <v>157</v>
      </c>
      <c r="E147" s="8" t="s">
        <v>4</v>
      </c>
      <c r="F147" s="1" t="str">
        <f t="shared" ca="1" si="11"/>
        <v>OKC</v>
      </c>
      <c r="G147" s="1">
        <f t="shared" ca="1" si="12"/>
        <v>0</v>
      </c>
      <c r="H147" s="8">
        <v>6</v>
      </c>
      <c r="I147" s="1">
        <f t="shared" ca="1" si="13"/>
        <v>5</v>
      </c>
      <c r="J147" s="1">
        <f t="shared" ca="1" si="14"/>
        <v>1</v>
      </c>
    </row>
    <row r="148" spans="1:10" ht="15" customHeight="1" x14ac:dyDescent="0.25">
      <c r="A148">
        <v>147</v>
      </c>
      <c r="B148">
        <v>52</v>
      </c>
      <c r="C148" t="str">
        <f t="shared" ca="1" si="10"/>
        <v>2015_01_07_DAL@OKC</v>
      </c>
      <c r="D148" s="8" t="s">
        <v>158</v>
      </c>
      <c r="E148" s="8" t="s">
        <v>4</v>
      </c>
      <c r="F148" s="1" t="str">
        <f t="shared" ca="1" si="11"/>
        <v>OKC</v>
      </c>
      <c r="G148" s="1">
        <f t="shared" ca="1" si="12"/>
        <v>0</v>
      </c>
      <c r="H148" s="8">
        <v>7</v>
      </c>
      <c r="I148" s="1">
        <f t="shared" ca="1" si="13"/>
        <v>5</v>
      </c>
      <c r="J148" s="1">
        <f t="shared" ca="1" si="14"/>
        <v>2</v>
      </c>
    </row>
    <row r="149" spans="1:10" ht="15" customHeight="1" x14ac:dyDescent="0.25">
      <c r="A149">
        <v>148</v>
      </c>
      <c r="B149">
        <v>52</v>
      </c>
      <c r="C149" t="str">
        <f t="shared" ca="1" si="10"/>
        <v>2015_01_07_DAL@OKC</v>
      </c>
      <c r="D149" s="8" t="s">
        <v>159</v>
      </c>
      <c r="E149" s="8" t="s">
        <v>4</v>
      </c>
      <c r="F149" s="1" t="str">
        <f t="shared" ca="1" si="11"/>
        <v>OKC</v>
      </c>
      <c r="G149" s="1">
        <f t="shared" ca="1" si="12"/>
        <v>0</v>
      </c>
      <c r="H149" s="8">
        <v>7</v>
      </c>
      <c r="I149" s="1">
        <f t="shared" ca="1" si="13"/>
        <v>5</v>
      </c>
      <c r="J149" s="1">
        <f t="shared" ca="1" si="14"/>
        <v>2</v>
      </c>
    </row>
    <row r="150" spans="1:10" ht="15" customHeight="1" x14ac:dyDescent="0.25">
      <c r="A150">
        <v>149</v>
      </c>
      <c r="B150">
        <v>53</v>
      </c>
      <c r="C150" t="str">
        <f t="shared" ca="1" si="10"/>
        <v>2015_01_08_POR@LAC</v>
      </c>
      <c r="D150" s="8" t="s">
        <v>157</v>
      </c>
      <c r="E150" s="8" t="s">
        <v>6</v>
      </c>
      <c r="F150" s="1" t="str">
        <f t="shared" ca="1" si="11"/>
        <v>POR</v>
      </c>
      <c r="G150" s="1">
        <f t="shared" ca="1" si="12"/>
        <v>0</v>
      </c>
      <c r="H150" s="1">
        <v>6</v>
      </c>
      <c r="I150" s="1">
        <f t="shared" ca="1" si="13"/>
        <v>6</v>
      </c>
      <c r="J150" s="1">
        <f t="shared" ca="1" si="14"/>
        <v>0</v>
      </c>
    </row>
    <row r="151" spans="1:10" ht="15" customHeight="1" x14ac:dyDescent="0.25">
      <c r="A151">
        <v>150</v>
      </c>
      <c r="B151">
        <v>53</v>
      </c>
      <c r="C151" t="str">
        <f t="shared" ca="1" si="10"/>
        <v>2015_01_08_POR@LAC</v>
      </c>
      <c r="D151" s="8" t="s">
        <v>158</v>
      </c>
      <c r="E151" s="8" t="s">
        <v>6</v>
      </c>
      <c r="F151" s="1" t="str">
        <f t="shared" ca="1" si="11"/>
        <v>POR</v>
      </c>
      <c r="G151" s="1">
        <f t="shared" ca="1" si="12"/>
        <v>0</v>
      </c>
      <c r="H151" s="1">
        <v>5</v>
      </c>
      <c r="I151" s="1">
        <f t="shared" ca="1" si="13"/>
        <v>6</v>
      </c>
      <c r="J151" s="1">
        <f t="shared" ca="1" si="14"/>
        <v>-1</v>
      </c>
    </row>
    <row r="152" spans="1:10" ht="15" customHeight="1" x14ac:dyDescent="0.25">
      <c r="A152">
        <v>151</v>
      </c>
      <c r="B152">
        <v>53</v>
      </c>
      <c r="C152" t="str">
        <f t="shared" ca="1" si="10"/>
        <v>2015_01_08_POR@LAC</v>
      </c>
      <c r="D152" s="8" t="s">
        <v>159</v>
      </c>
      <c r="E152" s="8" t="s">
        <v>6</v>
      </c>
      <c r="F152" s="1" t="str">
        <f t="shared" ca="1" si="11"/>
        <v>POR</v>
      </c>
      <c r="G152" s="1">
        <f t="shared" ca="1" si="12"/>
        <v>0</v>
      </c>
      <c r="H152" s="1">
        <v>5</v>
      </c>
      <c r="I152" s="1">
        <f t="shared" ca="1" si="13"/>
        <v>6</v>
      </c>
      <c r="J152" s="1">
        <f t="shared" ca="1" si="14"/>
        <v>-1</v>
      </c>
    </row>
    <row r="153" spans="1:10" ht="15" customHeight="1" x14ac:dyDescent="0.25">
      <c r="A153">
        <v>152</v>
      </c>
      <c r="B153">
        <v>54</v>
      </c>
      <c r="C153" t="str">
        <f t="shared" ca="1" si="10"/>
        <v>2015_02_01_ATL@CLE</v>
      </c>
      <c r="D153" s="8" t="s">
        <v>157</v>
      </c>
      <c r="E153" s="8" t="s">
        <v>15</v>
      </c>
      <c r="F153" s="1" t="str">
        <f t="shared" ca="1" si="11"/>
        <v>CLE</v>
      </c>
      <c r="G153" s="1">
        <f t="shared" ca="1" si="12"/>
        <v>0</v>
      </c>
      <c r="H153" s="1">
        <v>6</v>
      </c>
      <c r="I153" s="1">
        <f t="shared" ca="1" si="13"/>
        <v>4</v>
      </c>
      <c r="J153" s="1">
        <f t="shared" ca="1" si="14"/>
        <v>2</v>
      </c>
    </row>
    <row r="154" spans="1:10" ht="15" customHeight="1" x14ac:dyDescent="0.25">
      <c r="A154">
        <v>153</v>
      </c>
      <c r="B154">
        <v>54</v>
      </c>
      <c r="C154" t="str">
        <f t="shared" ca="1" si="10"/>
        <v>2015_02_01_ATL@CLE</v>
      </c>
      <c r="D154" s="8" t="s">
        <v>158</v>
      </c>
      <c r="E154" s="8" t="s">
        <v>15</v>
      </c>
      <c r="F154" s="1" t="str">
        <f t="shared" ca="1" si="11"/>
        <v>CLE</v>
      </c>
      <c r="G154" s="1">
        <f t="shared" ca="1" si="12"/>
        <v>0</v>
      </c>
      <c r="H154" s="1">
        <v>7</v>
      </c>
      <c r="I154" s="1">
        <f t="shared" ca="1" si="13"/>
        <v>4</v>
      </c>
      <c r="J154" s="1">
        <f t="shared" ca="1" si="14"/>
        <v>3</v>
      </c>
    </row>
    <row r="155" spans="1:10" ht="15" customHeight="1" x14ac:dyDescent="0.25">
      <c r="A155">
        <v>154</v>
      </c>
      <c r="B155">
        <v>54</v>
      </c>
      <c r="C155" t="str">
        <f t="shared" ca="1" si="10"/>
        <v>2015_02_01_ATL@CLE</v>
      </c>
      <c r="D155" s="8" t="s">
        <v>159</v>
      </c>
      <c r="E155" s="8" t="s">
        <v>2</v>
      </c>
      <c r="F155" s="1" t="str">
        <f t="shared" ca="1" si="11"/>
        <v>CLE</v>
      </c>
      <c r="G155" s="1">
        <f t="shared" ca="1" si="12"/>
        <v>0</v>
      </c>
      <c r="H155" s="1">
        <v>6</v>
      </c>
      <c r="I155" s="1">
        <f t="shared" ca="1" si="13"/>
        <v>4</v>
      </c>
      <c r="J155" s="1">
        <f t="shared" ca="1" si="14"/>
        <v>2</v>
      </c>
    </row>
    <row r="156" spans="1:10" ht="15" customHeight="1" x14ac:dyDescent="0.25">
      <c r="A156">
        <v>155</v>
      </c>
      <c r="B156">
        <v>55</v>
      </c>
      <c r="C156" t="str">
        <f t="shared" ca="1" si="10"/>
        <v>2015_02_02_MIA@TOR</v>
      </c>
      <c r="D156" s="8" t="s">
        <v>157</v>
      </c>
      <c r="E156" s="8" t="s">
        <v>468</v>
      </c>
      <c r="F156" s="1" t="str">
        <f t="shared" ca="1" si="11"/>
        <v>TOR</v>
      </c>
      <c r="G156" s="1">
        <f t="shared" ca="1" si="12"/>
        <v>0</v>
      </c>
      <c r="H156" s="1">
        <v>6</v>
      </c>
      <c r="I156" s="1">
        <f t="shared" ca="1" si="13"/>
        <v>7</v>
      </c>
      <c r="J156" s="1">
        <f t="shared" ca="1" si="14"/>
        <v>-1</v>
      </c>
    </row>
    <row r="157" spans="1:10" ht="15" customHeight="1" x14ac:dyDescent="0.25">
      <c r="A157">
        <v>156</v>
      </c>
      <c r="B157">
        <v>55</v>
      </c>
      <c r="C157" t="str">
        <f t="shared" ca="1" si="10"/>
        <v>2015_02_02_MIA@TOR</v>
      </c>
      <c r="D157" s="8" t="s">
        <v>158</v>
      </c>
      <c r="E157" s="8" t="s">
        <v>468</v>
      </c>
      <c r="F157" s="1" t="str">
        <f t="shared" ca="1" si="11"/>
        <v>TOR</v>
      </c>
      <c r="G157" s="1">
        <f t="shared" ca="1" si="12"/>
        <v>0</v>
      </c>
      <c r="H157" s="1">
        <v>6</v>
      </c>
      <c r="I157" s="1">
        <f t="shared" ca="1" si="13"/>
        <v>7</v>
      </c>
      <c r="J157" s="1">
        <f t="shared" ca="1" si="14"/>
        <v>-1</v>
      </c>
    </row>
    <row r="158" spans="1:10" ht="15" customHeight="1" x14ac:dyDescent="0.25">
      <c r="A158">
        <v>157</v>
      </c>
      <c r="B158">
        <v>55</v>
      </c>
      <c r="C158" t="str">
        <f t="shared" ca="1" si="10"/>
        <v>2015_02_02_MIA@TOR</v>
      </c>
      <c r="D158" s="8" t="s">
        <v>159</v>
      </c>
      <c r="E158" s="8" t="s">
        <v>468</v>
      </c>
      <c r="F158" s="1" t="str">
        <f t="shared" ca="1" si="11"/>
        <v>TOR</v>
      </c>
      <c r="G158" s="1">
        <f t="shared" ca="1" si="12"/>
        <v>0</v>
      </c>
      <c r="H158" s="1">
        <v>5</v>
      </c>
      <c r="I158" s="1">
        <f t="shared" ca="1" si="13"/>
        <v>7</v>
      </c>
      <c r="J158" s="1">
        <f t="shared" ca="1" si="14"/>
        <v>-2</v>
      </c>
    </row>
    <row r="159" spans="1:10" ht="15" customHeight="1" x14ac:dyDescent="0.25">
      <c r="A159">
        <v>158</v>
      </c>
      <c r="B159">
        <v>56</v>
      </c>
      <c r="C159" t="str">
        <f t="shared" ca="1" si="10"/>
        <v>2015_02_03_POR@GSW</v>
      </c>
      <c r="D159" s="8" t="s">
        <v>157</v>
      </c>
      <c r="E159" s="8" t="s">
        <v>472</v>
      </c>
      <c r="F159" s="1" t="str">
        <f t="shared" ca="1" si="11"/>
        <v>GSW</v>
      </c>
      <c r="G159" s="1">
        <f t="shared" ca="1" si="12"/>
        <v>0</v>
      </c>
      <c r="H159" s="8">
        <v>7</v>
      </c>
      <c r="I159" s="1">
        <f t="shared" ca="1" si="13"/>
        <v>5</v>
      </c>
      <c r="J159" s="1">
        <f t="shared" ca="1" si="14"/>
        <v>2</v>
      </c>
    </row>
    <row r="160" spans="1:10" ht="15" customHeight="1" x14ac:dyDescent="0.25">
      <c r="A160">
        <v>159</v>
      </c>
      <c r="B160">
        <v>56</v>
      </c>
      <c r="C160" t="str">
        <f t="shared" ca="1" si="10"/>
        <v>2015_02_03_POR@GSW</v>
      </c>
      <c r="D160" s="8" t="s">
        <v>158</v>
      </c>
      <c r="E160" s="8" t="s">
        <v>472</v>
      </c>
      <c r="F160" s="1" t="str">
        <f t="shared" ca="1" si="11"/>
        <v>GSW</v>
      </c>
      <c r="G160" s="1">
        <f t="shared" ca="1" si="12"/>
        <v>0</v>
      </c>
      <c r="H160" s="8">
        <v>5</v>
      </c>
      <c r="I160" s="1">
        <f t="shared" ca="1" si="13"/>
        <v>5</v>
      </c>
      <c r="J160" s="1">
        <f t="shared" ca="1" si="14"/>
        <v>0</v>
      </c>
    </row>
    <row r="161" spans="1:10" ht="15" customHeight="1" x14ac:dyDescent="0.25">
      <c r="A161">
        <v>160</v>
      </c>
      <c r="B161">
        <v>56</v>
      </c>
      <c r="C161" t="str">
        <f t="shared" ca="1" si="10"/>
        <v>2015_02_03_POR@GSW</v>
      </c>
      <c r="D161" s="8" t="s">
        <v>159</v>
      </c>
      <c r="E161" s="8" t="s">
        <v>472</v>
      </c>
      <c r="F161" s="1" t="str">
        <f t="shared" ca="1" si="11"/>
        <v>GSW</v>
      </c>
      <c r="G161" s="1">
        <f t="shared" ca="1" si="12"/>
        <v>0</v>
      </c>
      <c r="H161" s="8">
        <v>5</v>
      </c>
      <c r="I161" s="1">
        <f t="shared" ca="1" si="13"/>
        <v>5</v>
      </c>
      <c r="J161" s="1">
        <f t="shared" ca="1" si="14"/>
        <v>0</v>
      </c>
    </row>
    <row r="162" spans="1:10" ht="15" customHeight="1" x14ac:dyDescent="0.25">
      <c r="A162">
        <v>161</v>
      </c>
      <c r="B162">
        <v>57</v>
      </c>
      <c r="C162" t="str">
        <f t="shared" ca="1" si="10"/>
        <v>2015_02_04_OKC@SAS</v>
      </c>
      <c r="D162" s="8" t="s">
        <v>157</v>
      </c>
      <c r="E162" s="8" t="s">
        <v>474</v>
      </c>
      <c r="F162" s="1" t="str">
        <f t="shared" ca="1" si="11"/>
        <v>OKC</v>
      </c>
      <c r="G162" s="1">
        <f t="shared" ca="1" si="12"/>
        <v>0</v>
      </c>
      <c r="H162" s="1">
        <v>7</v>
      </c>
      <c r="I162" s="1">
        <f t="shared" ca="1" si="13"/>
        <v>6</v>
      </c>
      <c r="J162" s="1">
        <f t="shared" ca="1" si="14"/>
        <v>1</v>
      </c>
    </row>
    <row r="163" spans="1:10" ht="15" customHeight="1" x14ac:dyDescent="0.25">
      <c r="A163">
        <v>162</v>
      </c>
      <c r="B163">
        <v>57</v>
      </c>
      <c r="C163" t="str">
        <f t="shared" ca="1" si="10"/>
        <v>2015_02_04_OKC@SAS</v>
      </c>
      <c r="D163" s="8" t="s">
        <v>158</v>
      </c>
      <c r="E163" s="8" t="s">
        <v>17</v>
      </c>
      <c r="F163" s="1" t="str">
        <f t="shared" ca="1" si="11"/>
        <v>OKC</v>
      </c>
      <c r="G163" s="1">
        <f t="shared" ca="1" si="12"/>
        <v>0</v>
      </c>
      <c r="H163" s="1">
        <v>7</v>
      </c>
      <c r="I163" s="1">
        <f t="shared" ca="1" si="13"/>
        <v>6</v>
      </c>
      <c r="J163" s="1">
        <f t="shared" ca="1" si="14"/>
        <v>1</v>
      </c>
    </row>
    <row r="164" spans="1:10" ht="15" customHeight="1" x14ac:dyDescent="0.25">
      <c r="A164">
        <v>163</v>
      </c>
      <c r="B164">
        <v>57</v>
      </c>
      <c r="C164" t="str">
        <f t="shared" ca="1" si="10"/>
        <v>2015_02_04_OKC@SAS</v>
      </c>
      <c r="D164" s="8" t="s">
        <v>159</v>
      </c>
      <c r="E164" s="1"/>
      <c r="F164" s="1" t="str">
        <f t="shared" ca="1" si="11"/>
        <v>OKC</v>
      </c>
      <c r="G164" s="1" t="str">
        <f t="shared" ca="1" si="12"/>
        <v/>
      </c>
      <c r="H164" s="1"/>
      <c r="I164" s="1">
        <f t="shared" ca="1" si="13"/>
        <v>6</v>
      </c>
      <c r="J164" s="1" t="str">
        <f t="shared" ca="1" si="14"/>
        <v/>
      </c>
    </row>
    <row r="165" spans="1:10" ht="15" customHeight="1" x14ac:dyDescent="0.25">
      <c r="A165">
        <v>164</v>
      </c>
      <c r="B165">
        <v>58</v>
      </c>
      <c r="C165" t="str">
        <f t="shared" ca="1" si="10"/>
        <v>2015_03_01_TOR@CLE</v>
      </c>
      <c r="D165" s="8" t="s">
        <v>157</v>
      </c>
      <c r="E165" s="8" t="s">
        <v>6</v>
      </c>
      <c r="F165" s="1" t="str">
        <f t="shared" ca="1" si="11"/>
        <v>CLE</v>
      </c>
      <c r="G165" s="1">
        <f t="shared" ca="1" si="12"/>
        <v>1</v>
      </c>
      <c r="H165" s="1">
        <v>6</v>
      </c>
      <c r="I165" s="1">
        <f t="shared" ca="1" si="13"/>
        <v>6</v>
      </c>
      <c r="J165" s="1">
        <f t="shared" ca="1" si="14"/>
        <v>0</v>
      </c>
    </row>
    <row r="166" spans="1:10" ht="15" customHeight="1" x14ac:dyDescent="0.25">
      <c r="A166">
        <v>165</v>
      </c>
      <c r="B166">
        <v>58</v>
      </c>
      <c r="C166" t="str">
        <f t="shared" ca="1" si="10"/>
        <v>2015_03_01_TOR@CLE</v>
      </c>
      <c r="D166" s="8" t="s">
        <v>158</v>
      </c>
      <c r="E166" s="8" t="s">
        <v>6</v>
      </c>
      <c r="F166" s="1" t="str">
        <f t="shared" ca="1" si="11"/>
        <v>CLE</v>
      </c>
      <c r="G166" s="1">
        <f t="shared" ca="1" si="12"/>
        <v>1</v>
      </c>
      <c r="H166" s="1">
        <v>6</v>
      </c>
      <c r="I166" s="1">
        <f t="shared" ca="1" si="13"/>
        <v>6</v>
      </c>
      <c r="J166" s="1">
        <f t="shared" ca="1" si="14"/>
        <v>0</v>
      </c>
    </row>
    <row r="167" spans="1:10" ht="15" customHeight="1" x14ac:dyDescent="0.25">
      <c r="A167">
        <v>166</v>
      </c>
      <c r="B167">
        <v>58</v>
      </c>
      <c r="C167" t="str">
        <f t="shared" ca="1" si="10"/>
        <v>2015_03_01_TOR@CLE</v>
      </c>
      <c r="D167" s="8" t="s">
        <v>159</v>
      </c>
      <c r="E167" s="1"/>
      <c r="F167" s="1" t="str">
        <f t="shared" ca="1" si="11"/>
        <v>CLE</v>
      </c>
      <c r="G167" s="1" t="str">
        <f t="shared" ca="1" si="12"/>
        <v/>
      </c>
      <c r="H167" s="1"/>
      <c r="I167" s="1">
        <f t="shared" ca="1" si="13"/>
        <v>6</v>
      </c>
      <c r="J167" s="1" t="str">
        <f t="shared" ca="1" si="14"/>
        <v/>
      </c>
    </row>
    <row r="168" spans="1:10" ht="15" customHeight="1" x14ac:dyDescent="0.25">
      <c r="A168">
        <v>167</v>
      </c>
      <c r="B168">
        <v>59</v>
      </c>
      <c r="C168" t="str">
        <f t="shared" ca="1" si="10"/>
        <v>2015_03_02_OKC@GSW</v>
      </c>
      <c r="D168" s="8" t="s">
        <v>157</v>
      </c>
      <c r="E168" s="8" t="s">
        <v>468</v>
      </c>
      <c r="F168" s="1" t="str">
        <f t="shared" ca="1" si="11"/>
        <v>GSW</v>
      </c>
      <c r="G168" s="1">
        <f t="shared" ca="1" si="12"/>
        <v>1</v>
      </c>
      <c r="H168" s="1">
        <v>4</v>
      </c>
      <c r="I168" s="1">
        <f t="shared" ca="1" si="13"/>
        <v>7</v>
      </c>
      <c r="J168" s="1">
        <f t="shared" ca="1" si="14"/>
        <v>-3</v>
      </c>
    </row>
    <row r="169" spans="1:10" ht="15" customHeight="1" x14ac:dyDescent="0.25">
      <c r="A169">
        <v>168</v>
      </c>
      <c r="B169">
        <v>59</v>
      </c>
      <c r="C169" t="str">
        <f t="shared" ca="1" si="10"/>
        <v>2015_03_02_OKC@GSW</v>
      </c>
      <c r="D169" s="8" t="s">
        <v>158</v>
      </c>
      <c r="E169" s="8" t="s">
        <v>468</v>
      </c>
      <c r="F169" s="1" t="str">
        <f t="shared" ca="1" si="11"/>
        <v>GSW</v>
      </c>
      <c r="G169" s="1">
        <f t="shared" ca="1" si="12"/>
        <v>1</v>
      </c>
      <c r="H169" s="1">
        <v>4</v>
      </c>
      <c r="I169" s="1">
        <f t="shared" ca="1" si="13"/>
        <v>7</v>
      </c>
      <c r="J169" s="1">
        <f t="shared" ca="1" si="14"/>
        <v>-3</v>
      </c>
    </row>
    <row r="170" spans="1:10" ht="15" customHeight="1" x14ac:dyDescent="0.25">
      <c r="A170">
        <v>169</v>
      </c>
      <c r="B170">
        <v>59</v>
      </c>
      <c r="C170" t="str">
        <f t="shared" ca="1" si="10"/>
        <v>2015_03_02_OKC@GSW</v>
      </c>
      <c r="D170" s="8" t="s">
        <v>159</v>
      </c>
      <c r="E170" s="1"/>
      <c r="F170" s="1" t="str">
        <f t="shared" ca="1" si="11"/>
        <v>GSW</v>
      </c>
      <c r="G170" s="1" t="str">
        <f t="shared" ca="1" si="12"/>
        <v/>
      </c>
      <c r="H170" s="1"/>
      <c r="I170" s="1">
        <f t="shared" ca="1" si="13"/>
        <v>7</v>
      </c>
      <c r="J170" s="1" t="str">
        <f t="shared" ca="1" si="14"/>
        <v/>
      </c>
    </row>
    <row r="171" spans="1:10" ht="15" customHeight="1" x14ac:dyDescent="0.25">
      <c r="A171">
        <v>170</v>
      </c>
      <c r="B171">
        <v>60</v>
      </c>
      <c r="C171" t="str">
        <f t="shared" ca="1" si="10"/>
        <v>2015_04_01_CLE@GSW</v>
      </c>
      <c r="D171" s="8" t="s">
        <v>157</v>
      </c>
      <c r="E171" s="8" t="s">
        <v>472</v>
      </c>
      <c r="F171" s="1" t="str">
        <f t="shared" ca="1" si="11"/>
        <v>CLE</v>
      </c>
      <c r="G171" s="1">
        <f t="shared" ca="1" si="12"/>
        <v>0</v>
      </c>
      <c r="H171" s="8">
        <v>7</v>
      </c>
      <c r="I171" s="1">
        <f t="shared" ca="1" si="13"/>
        <v>7</v>
      </c>
      <c r="J171" s="1">
        <f t="shared" ca="1" si="14"/>
        <v>0</v>
      </c>
    </row>
    <row r="172" spans="1:10" ht="15" customHeight="1" x14ac:dyDescent="0.25">
      <c r="A172">
        <v>171</v>
      </c>
      <c r="B172">
        <v>60</v>
      </c>
      <c r="C172" t="str">
        <f t="shared" ca="1" si="10"/>
        <v>2015_04_01_CLE@GSW</v>
      </c>
      <c r="D172" s="8" t="s">
        <v>158</v>
      </c>
      <c r="E172" s="8" t="s">
        <v>472</v>
      </c>
      <c r="F172" s="1" t="str">
        <f t="shared" ca="1" si="11"/>
        <v>CLE</v>
      </c>
      <c r="G172" s="1">
        <f t="shared" ca="1" si="12"/>
        <v>0</v>
      </c>
      <c r="H172" s="8">
        <v>7</v>
      </c>
      <c r="I172" s="1">
        <f t="shared" ca="1" si="13"/>
        <v>7</v>
      </c>
      <c r="J172" s="1">
        <f t="shared" ca="1" si="14"/>
        <v>0</v>
      </c>
    </row>
    <row r="173" spans="1:10" ht="15" customHeight="1" x14ac:dyDescent="0.25">
      <c r="A173">
        <v>172</v>
      </c>
      <c r="B173">
        <v>60</v>
      </c>
      <c r="C173" t="str">
        <f t="shared" ca="1" si="10"/>
        <v>2015_04_01_CLE@GSW</v>
      </c>
      <c r="D173" s="8" t="s">
        <v>159</v>
      </c>
      <c r="E173" s="8" t="s">
        <v>472</v>
      </c>
      <c r="F173" s="1" t="str">
        <f t="shared" ca="1" si="11"/>
        <v>CLE</v>
      </c>
      <c r="G173" s="1">
        <f t="shared" ca="1" si="12"/>
        <v>0</v>
      </c>
      <c r="H173" s="8">
        <v>6</v>
      </c>
      <c r="I173" s="1">
        <f t="shared" ca="1" si="13"/>
        <v>7</v>
      </c>
      <c r="J173" s="1">
        <f t="shared" ca="1" si="14"/>
        <v>-1</v>
      </c>
    </row>
    <row r="174" spans="1:10" ht="15" customHeight="1" x14ac:dyDescent="0.25">
      <c r="A174">
        <v>173</v>
      </c>
      <c r="B174">
        <v>61</v>
      </c>
      <c r="C174" t="str">
        <f t="shared" ca="1" si="10"/>
        <v>2016_01_01_CHI@BOS</v>
      </c>
      <c r="D174" s="8" t="s">
        <v>157</v>
      </c>
      <c r="E174" s="1" t="s">
        <v>15</v>
      </c>
      <c r="F174" s="1" t="str">
        <f t="shared" ca="1" si="11"/>
        <v>BOS</v>
      </c>
      <c r="G174" s="1">
        <f t="shared" ca="1" si="12"/>
        <v>0</v>
      </c>
      <c r="H174" s="1">
        <v>5</v>
      </c>
      <c r="I174" s="1">
        <f t="shared" ca="1" si="13"/>
        <v>6</v>
      </c>
      <c r="J174" s="1">
        <f t="shared" ca="1" si="14"/>
        <v>-1</v>
      </c>
    </row>
    <row r="175" spans="1:10" ht="15" customHeight="1" x14ac:dyDescent="0.25">
      <c r="A175">
        <v>174</v>
      </c>
      <c r="B175">
        <v>61</v>
      </c>
      <c r="C175" t="str">
        <f t="shared" ca="1" si="10"/>
        <v>2016_01_01_CHI@BOS</v>
      </c>
      <c r="D175" s="8" t="s">
        <v>158</v>
      </c>
      <c r="E175" s="1" t="s">
        <v>15</v>
      </c>
      <c r="F175" s="1" t="str">
        <f t="shared" ca="1" si="11"/>
        <v>BOS</v>
      </c>
      <c r="G175" s="1">
        <f t="shared" ca="1" si="12"/>
        <v>0</v>
      </c>
      <c r="H175" s="1">
        <v>5</v>
      </c>
      <c r="I175" s="1">
        <f t="shared" ca="1" si="13"/>
        <v>6</v>
      </c>
      <c r="J175" s="1">
        <f t="shared" ca="1" si="14"/>
        <v>-1</v>
      </c>
    </row>
    <row r="176" spans="1:10" ht="15" customHeight="1" x14ac:dyDescent="0.25">
      <c r="A176">
        <v>175</v>
      </c>
      <c r="B176">
        <v>61</v>
      </c>
      <c r="C176" t="str">
        <f t="shared" ca="1" si="10"/>
        <v>2016_01_01_CHI@BOS</v>
      </c>
      <c r="D176" s="8" t="s">
        <v>159</v>
      </c>
      <c r="E176" s="1" t="s">
        <v>15</v>
      </c>
      <c r="F176" s="1" t="str">
        <f t="shared" ca="1" si="11"/>
        <v>BOS</v>
      </c>
      <c r="G176" s="1">
        <f t="shared" ca="1" si="12"/>
        <v>0</v>
      </c>
      <c r="H176" s="1">
        <v>7</v>
      </c>
      <c r="I176" s="1">
        <f t="shared" ca="1" si="13"/>
        <v>6</v>
      </c>
      <c r="J176" s="1">
        <f t="shared" ca="1" si="14"/>
        <v>1</v>
      </c>
    </row>
    <row r="177" spans="1:10" ht="15" customHeight="1" x14ac:dyDescent="0.25">
      <c r="A177">
        <v>176</v>
      </c>
      <c r="B177">
        <v>62</v>
      </c>
      <c r="C177" t="str">
        <f t="shared" ca="1" si="10"/>
        <v>2016_01_02_IND@CLE</v>
      </c>
      <c r="D177" s="8" t="s">
        <v>157</v>
      </c>
      <c r="E177" s="1" t="s">
        <v>472</v>
      </c>
      <c r="F177" s="1" t="str">
        <f t="shared" ca="1" si="11"/>
        <v>CLE</v>
      </c>
      <c r="G177" s="1">
        <f t="shared" ca="1" si="12"/>
        <v>0</v>
      </c>
      <c r="H177" s="1">
        <v>7</v>
      </c>
      <c r="I177" s="1">
        <f t="shared" ca="1" si="13"/>
        <v>4</v>
      </c>
      <c r="J177" s="1">
        <f t="shared" ca="1" si="14"/>
        <v>3</v>
      </c>
    </row>
    <row r="178" spans="1:10" ht="15" customHeight="1" x14ac:dyDescent="0.25">
      <c r="A178">
        <v>177</v>
      </c>
      <c r="B178">
        <v>62</v>
      </c>
      <c r="C178" t="str">
        <f t="shared" ca="1" si="10"/>
        <v>2016_01_02_IND@CLE</v>
      </c>
      <c r="D178" s="8" t="s">
        <v>158</v>
      </c>
      <c r="E178" s="1" t="s">
        <v>9</v>
      </c>
      <c r="F178" s="1" t="str">
        <f t="shared" ca="1" si="11"/>
        <v>CLE</v>
      </c>
      <c r="G178" s="1">
        <f t="shared" ca="1" si="12"/>
        <v>0</v>
      </c>
      <c r="H178" s="1">
        <v>6</v>
      </c>
      <c r="I178" s="1">
        <f t="shared" ca="1" si="13"/>
        <v>4</v>
      </c>
      <c r="J178" s="1">
        <f t="shared" ca="1" si="14"/>
        <v>2</v>
      </c>
    </row>
    <row r="179" spans="1:10" ht="15" customHeight="1" x14ac:dyDescent="0.25">
      <c r="A179">
        <v>178</v>
      </c>
      <c r="B179">
        <v>62</v>
      </c>
      <c r="C179" t="str">
        <f t="shared" ca="1" si="10"/>
        <v>2016_01_02_IND@CLE</v>
      </c>
      <c r="D179" s="8" t="s">
        <v>159</v>
      </c>
      <c r="E179" s="1" t="s">
        <v>472</v>
      </c>
      <c r="F179" s="1" t="str">
        <f t="shared" ca="1" si="11"/>
        <v>CLE</v>
      </c>
      <c r="G179" s="1">
        <f t="shared" ca="1" si="12"/>
        <v>0</v>
      </c>
      <c r="H179" s="1">
        <v>7</v>
      </c>
      <c r="I179" s="1">
        <f t="shared" ca="1" si="13"/>
        <v>4</v>
      </c>
      <c r="J179" s="1">
        <f t="shared" ca="1" si="14"/>
        <v>3</v>
      </c>
    </row>
    <row r="180" spans="1:10" ht="15" customHeight="1" x14ac:dyDescent="0.25">
      <c r="A180">
        <v>179</v>
      </c>
      <c r="B180">
        <v>63</v>
      </c>
      <c r="C180" t="str">
        <f t="shared" ca="1" si="10"/>
        <v>2016_01_03_MIL@TOR</v>
      </c>
      <c r="D180" s="8" t="s">
        <v>157</v>
      </c>
      <c r="E180" s="7" t="s">
        <v>15</v>
      </c>
      <c r="F180" s="1" t="str">
        <f t="shared" ca="1" si="11"/>
        <v>TOR</v>
      </c>
      <c r="G180" s="1">
        <f t="shared" ca="1" si="12"/>
        <v>0</v>
      </c>
      <c r="H180" s="1">
        <v>6</v>
      </c>
      <c r="I180" s="1">
        <f t="shared" ca="1" si="13"/>
        <v>6</v>
      </c>
      <c r="J180" s="1">
        <f t="shared" ca="1" si="14"/>
        <v>0</v>
      </c>
    </row>
    <row r="181" spans="1:10" ht="15" customHeight="1" x14ac:dyDescent="0.25">
      <c r="A181">
        <v>180</v>
      </c>
      <c r="B181">
        <v>63</v>
      </c>
      <c r="C181" t="str">
        <f t="shared" ca="1" si="10"/>
        <v>2016_01_03_MIL@TOR</v>
      </c>
      <c r="D181" s="8" t="s">
        <v>158</v>
      </c>
      <c r="E181" s="7" t="s">
        <v>15</v>
      </c>
      <c r="F181" s="1" t="str">
        <f t="shared" ca="1" si="11"/>
        <v>TOR</v>
      </c>
      <c r="G181" s="1">
        <f t="shared" ca="1" si="12"/>
        <v>0</v>
      </c>
      <c r="H181" s="1">
        <v>6</v>
      </c>
      <c r="I181" s="1">
        <f t="shared" ca="1" si="13"/>
        <v>6</v>
      </c>
      <c r="J181" s="1">
        <f t="shared" ca="1" si="14"/>
        <v>0</v>
      </c>
    </row>
    <row r="182" spans="1:10" ht="15" customHeight="1" x14ac:dyDescent="0.25">
      <c r="A182">
        <v>181</v>
      </c>
      <c r="B182">
        <v>63</v>
      </c>
      <c r="C182" t="str">
        <f t="shared" ca="1" si="10"/>
        <v>2016_01_03_MIL@TOR</v>
      </c>
      <c r="D182" s="8" t="s">
        <v>159</v>
      </c>
      <c r="E182" s="7" t="s">
        <v>15</v>
      </c>
      <c r="F182" s="1" t="str">
        <f t="shared" ca="1" si="11"/>
        <v>TOR</v>
      </c>
      <c r="G182" s="1">
        <f t="shared" ca="1" si="12"/>
        <v>0</v>
      </c>
      <c r="H182" s="1">
        <v>5</v>
      </c>
      <c r="I182" s="1">
        <f t="shared" ca="1" si="13"/>
        <v>6</v>
      </c>
      <c r="J182" s="1">
        <f t="shared" ca="1" si="14"/>
        <v>-1</v>
      </c>
    </row>
    <row r="183" spans="1:10" ht="15" customHeight="1" x14ac:dyDescent="0.25">
      <c r="A183">
        <v>182</v>
      </c>
      <c r="B183">
        <v>64</v>
      </c>
      <c r="C183" t="str">
        <f t="shared" ca="1" si="10"/>
        <v>2016_01_04_ATL@WAS</v>
      </c>
      <c r="D183" s="8" t="s">
        <v>157</v>
      </c>
      <c r="E183" s="7" t="s">
        <v>472</v>
      </c>
      <c r="F183" s="1" t="str">
        <f t="shared" ca="1" si="11"/>
        <v>WAS</v>
      </c>
      <c r="G183" s="1">
        <f t="shared" ca="1" si="12"/>
        <v>0</v>
      </c>
      <c r="H183" s="1">
        <v>6</v>
      </c>
      <c r="I183" s="1">
        <f t="shared" ca="1" si="13"/>
        <v>6</v>
      </c>
      <c r="J183" s="1">
        <f t="shared" ca="1" si="14"/>
        <v>0</v>
      </c>
    </row>
    <row r="184" spans="1:10" ht="15" customHeight="1" x14ac:dyDescent="0.25">
      <c r="A184">
        <v>183</v>
      </c>
      <c r="B184">
        <v>64</v>
      </c>
      <c r="C184" t="str">
        <f t="shared" ca="1" si="10"/>
        <v>2016_01_04_ATL@WAS</v>
      </c>
      <c r="D184" s="8" t="s">
        <v>158</v>
      </c>
      <c r="E184" s="7" t="s">
        <v>472</v>
      </c>
      <c r="F184" s="1" t="str">
        <f t="shared" ca="1" si="11"/>
        <v>WAS</v>
      </c>
      <c r="G184" s="1">
        <f t="shared" ca="1" si="12"/>
        <v>0</v>
      </c>
      <c r="H184" s="1">
        <v>7</v>
      </c>
      <c r="I184" s="1">
        <f t="shared" ca="1" si="13"/>
        <v>6</v>
      </c>
      <c r="J184" s="1">
        <f t="shared" ca="1" si="14"/>
        <v>1</v>
      </c>
    </row>
    <row r="185" spans="1:10" ht="15" customHeight="1" x14ac:dyDescent="0.25">
      <c r="A185">
        <v>184</v>
      </c>
      <c r="B185">
        <v>64</v>
      </c>
      <c r="C185" t="str">
        <f t="shared" ca="1" si="10"/>
        <v>2016_01_04_ATL@WAS</v>
      </c>
      <c r="D185" s="8" t="s">
        <v>159</v>
      </c>
      <c r="E185" s="7" t="s">
        <v>472</v>
      </c>
      <c r="F185" s="1" t="str">
        <f t="shared" ca="1" si="11"/>
        <v>WAS</v>
      </c>
      <c r="G185" s="1">
        <f t="shared" ca="1" si="12"/>
        <v>0</v>
      </c>
      <c r="H185" s="1">
        <v>7</v>
      </c>
      <c r="I185" s="1">
        <f t="shared" ca="1" si="13"/>
        <v>6</v>
      </c>
      <c r="J185" s="1">
        <f t="shared" ca="1" si="14"/>
        <v>1</v>
      </c>
    </row>
    <row r="186" spans="1:10" ht="15" customHeight="1" x14ac:dyDescent="0.25">
      <c r="A186">
        <v>185</v>
      </c>
      <c r="B186">
        <v>65</v>
      </c>
      <c r="C186" t="str">
        <f t="shared" ca="1" si="10"/>
        <v>2016_01_05_POR@GSW</v>
      </c>
      <c r="D186" s="8" t="s">
        <v>157</v>
      </c>
      <c r="E186" s="8" t="s">
        <v>6</v>
      </c>
      <c r="F186" s="1" t="str">
        <f t="shared" ca="1" si="11"/>
        <v>GSW</v>
      </c>
      <c r="G186" s="1">
        <f t="shared" ca="1" si="12"/>
        <v>0</v>
      </c>
      <c r="H186" s="1">
        <v>7</v>
      </c>
      <c r="I186" s="1">
        <f t="shared" ca="1" si="13"/>
        <v>4</v>
      </c>
      <c r="J186" s="1">
        <f t="shared" ca="1" si="14"/>
        <v>3</v>
      </c>
    </row>
    <row r="187" spans="1:10" ht="15" customHeight="1" x14ac:dyDescent="0.25">
      <c r="A187">
        <v>186</v>
      </c>
      <c r="B187">
        <v>65</v>
      </c>
      <c r="C187" t="str">
        <f t="shared" ca="1" si="10"/>
        <v>2016_01_05_POR@GSW</v>
      </c>
      <c r="D187" s="8" t="s">
        <v>158</v>
      </c>
      <c r="E187" s="8" t="s">
        <v>6</v>
      </c>
      <c r="F187" s="1" t="str">
        <f t="shared" ca="1" si="11"/>
        <v>GSW</v>
      </c>
      <c r="G187" s="1">
        <f t="shared" ca="1" si="12"/>
        <v>0</v>
      </c>
      <c r="H187" s="1">
        <v>7</v>
      </c>
      <c r="I187" s="1">
        <f t="shared" ca="1" si="13"/>
        <v>4</v>
      </c>
      <c r="J187" s="1">
        <f t="shared" ca="1" si="14"/>
        <v>3</v>
      </c>
    </row>
    <row r="188" spans="1:10" ht="15" customHeight="1" x14ac:dyDescent="0.25">
      <c r="A188">
        <v>187</v>
      </c>
      <c r="B188">
        <v>65</v>
      </c>
      <c r="C188" t="str">
        <f t="shared" ca="1" si="10"/>
        <v>2016_01_05_POR@GSW</v>
      </c>
      <c r="D188" s="8" t="s">
        <v>159</v>
      </c>
      <c r="E188" s="8" t="s">
        <v>6</v>
      </c>
      <c r="F188" s="1" t="str">
        <f t="shared" ca="1" si="11"/>
        <v>GSW</v>
      </c>
      <c r="G188" s="1">
        <f t="shared" ca="1" si="12"/>
        <v>0</v>
      </c>
      <c r="H188" s="1">
        <v>6</v>
      </c>
      <c r="I188" s="1">
        <f t="shared" ca="1" si="13"/>
        <v>4</v>
      </c>
      <c r="J188" s="1">
        <f t="shared" ca="1" si="14"/>
        <v>2</v>
      </c>
    </row>
    <row r="189" spans="1:10" ht="15" customHeight="1" x14ac:dyDescent="0.25">
      <c r="A189">
        <v>188</v>
      </c>
      <c r="B189">
        <v>66</v>
      </c>
      <c r="C189" t="str">
        <f t="shared" ca="1" si="10"/>
        <v>2016_01_06_MEM@SAS</v>
      </c>
      <c r="D189" s="8" t="s">
        <v>157</v>
      </c>
      <c r="E189" s="8" t="s">
        <v>468</v>
      </c>
      <c r="F189" s="1" t="str">
        <f t="shared" ca="1" si="11"/>
        <v>SAS</v>
      </c>
      <c r="G189" s="1">
        <f t="shared" ca="1" si="12"/>
        <v>0</v>
      </c>
      <c r="H189" s="1">
        <v>6</v>
      </c>
      <c r="I189" s="1">
        <f t="shared" ca="1" si="13"/>
        <v>6</v>
      </c>
      <c r="J189" s="1">
        <f t="shared" ca="1" si="14"/>
        <v>0</v>
      </c>
    </row>
    <row r="190" spans="1:10" ht="15" customHeight="1" x14ac:dyDescent="0.25">
      <c r="A190">
        <v>189</v>
      </c>
      <c r="B190">
        <v>66</v>
      </c>
      <c r="C190" t="str">
        <f t="shared" ca="1" si="10"/>
        <v>2016_01_06_MEM@SAS</v>
      </c>
      <c r="D190" s="8" t="s">
        <v>158</v>
      </c>
      <c r="E190" s="8" t="s">
        <v>468</v>
      </c>
      <c r="F190" s="1" t="str">
        <f t="shared" ca="1" si="11"/>
        <v>SAS</v>
      </c>
      <c r="G190" s="1">
        <f t="shared" ca="1" si="12"/>
        <v>0</v>
      </c>
      <c r="H190" s="1">
        <v>6</v>
      </c>
      <c r="I190" s="1">
        <f t="shared" ca="1" si="13"/>
        <v>6</v>
      </c>
      <c r="J190" s="1">
        <f t="shared" ca="1" si="14"/>
        <v>0</v>
      </c>
    </row>
    <row r="191" spans="1:10" ht="15" customHeight="1" x14ac:dyDescent="0.25">
      <c r="A191">
        <v>190</v>
      </c>
      <c r="B191">
        <v>66</v>
      </c>
      <c r="C191" t="str">
        <f t="shared" ca="1" si="10"/>
        <v>2016_01_06_MEM@SAS</v>
      </c>
      <c r="D191" s="8" t="s">
        <v>159</v>
      </c>
      <c r="E191" s="8" t="s">
        <v>468</v>
      </c>
      <c r="F191" s="1" t="str">
        <f t="shared" ca="1" si="11"/>
        <v>SAS</v>
      </c>
      <c r="G191" s="1">
        <f t="shared" ca="1" si="12"/>
        <v>0</v>
      </c>
      <c r="H191" s="1">
        <v>6</v>
      </c>
      <c r="I191" s="1">
        <f t="shared" ca="1" si="13"/>
        <v>6</v>
      </c>
      <c r="J191" s="1">
        <f t="shared" ca="1" si="14"/>
        <v>0</v>
      </c>
    </row>
    <row r="192" spans="1:10" ht="15" customHeight="1" x14ac:dyDescent="0.25">
      <c r="A192">
        <v>191</v>
      </c>
      <c r="B192">
        <v>67</v>
      </c>
      <c r="C192" t="str">
        <f t="shared" ca="1" si="10"/>
        <v>2016_01_07_OKC@HOU</v>
      </c>
      <c r="D192" s="8" t="s">
        <v>157</v>
      </c>
      <c r="E192" s="8" t="s">
        <v>6</v>
      </c>
      <c r="F192" s="1" t="str">
        <f t="shared" ca="1" si="11"/>
        <v>HOU</v>
      </c>
      <c r="G192" s="1">
        <f t="shared" ca="1" si="12"/>
        <v>0</v>
      </c>
      <c r="H192" s="1">
        <v>4</v>
      </c>
      <c r="I192" s="1">
        <f t="shared" ca="1" si="13"/>
        <v>5</v>
      </c>
      <c r="J192" s="1">
        <f t="shared" ca="1" si="14"/>
        <v>-1</v>
      </c>
    </row>
    <row r="193" spans="1:10" ht="15" customHeight="1" x14ac:dyDescent="0.25">
      <c r="A193">
        <v>192</v>
      </c>
      <c r="B193">
        <v>67</v>
      </c>
      <c r="C193" t="str">
        <f t="shared" ca="1" si="10"/>
        <v>2016_01_07_OKC@HOU</v>
      </c>
      <c r="D193" s="8" t="s">
        <v>158</v>
      </c>
      <c r="E193" s="8" t="s">
        <v>6</v>
      </c>
      <c r="F193" s="1" t="str">
        <f t="shared" ca="1" si="11"/>
        <v>HOU</v>
      </c>
      <c r="G193" s="1">
        <f t="shared" ca="1" si="12"/>
        <v>0</v>
      </c>
      <c r="H193" s="1">
        <v>4</v>
      </c>
      <c r="I193" s="1">
        <f t="shared" ca="1" si="13"/>
        <v>5</v>
      </c>
      <c r="J193" s="1">
        <f t="shared" ca="1" si="14"/>
        <v>-1</v>
      </c>
    </row>
    <row r="194" spans="1:10" ht="15" customHeight="1" x14ac:dyDescent="0.25">
      <c r="A194">
        <v>193</v>
      </c>
      <c r="B194">
        <v>67</v>
      </c>
      <c r="C194" t="str">
        <f t="shared" ref="C194:C218" ca="1" si="15">IFERROR(VLOOKUP($B194,nba_plyff_results,MATCH(C$1,nba_plyff_results_header,0),FALSE),"error")</f>
        <v>2016_01_07_OKC@HOU</v>
      </c>
      <c r="D194" s="8" t="s">
        <v>159</v>
      </c>
      <c r="E194" s="8" t="s">
        <v>6</v>
      </c>
      <c r="F194" s="1" t="str">
        <f t="shared" ref="F194:F218" ca="1" si="16">IFERROR(IF(ISBLANK(VLOOKUP($B194,nba_plyff_results,MATCH(F$1,nba_plyff_results_header,0),FALSE)),"",VLOOKUP($B194,nba_plyff_results,MATCH(F$1,nba_plyff_results_header,0),FALSE)),"error")</f>
        <v>HOU</v>
      </c>
      <c r="G194" s="1">
        <f t="shared" ref="G194:G218" ca="1" si="17">IF(OR(ISBLANK(E194),ISBLANK(F194),E194="",F194=""),"",IF(E194=F194,1,0))</f>
        <v>0</v>
      </c>
      <c r="H194" s="1">
        <v>5</v>
      </c>
      <c r="I194" s="1">
        <f t="shared" ref="I194:I218" ca="1" si="18">IFERROR(IF(ISBLANK(VLOOKUP($B194,nba_plyff_results,MATCH(I$1,nba_plyff_results_header,0),FALSE)),"",VLOOKUP($B194,nba_plyff_results,MATCH(I$1,nba_plyff_results_header,0),FALSE)),"error")</f>
        <v>5</v>
      </c>
      <c r="J194" s="1">
        <f t="shared" ref="J194:J218" ca="1" si="19">IF(OR(ISBLANK(H194),ISBLANK(I194),H194="",I194=""),"",H194-I194)</f>
        <v>0</v>
      </c>
    </row>
    <row r="195" spans="1:10" ht="15" customHeight="1" x14ac:dyDescent="0.25">
      <c r="A195">
        <v>194</v>
      </c>
      <c r="B195">
        <v>68</v>
      </c>
      <c r="C195" t="str">
        <f t="shared" ca="1" si="15"/>
        <v>2016_01_08_UTA@LAC</v>
      </c>
      <c r="D195" s="8" t="s">
        <v>157</v>
      </c>
      <c r="E195" s="8" t="s">
        <v>468</v>
      </c>
      <c r="F195" s="1" t="str">
        <f t="shared" ca="1" si="16"/>
        <v>UTA</v>
      </c>
      <c r="G195" s="1">
        <f t="shared" ca="1" si="17"/>
        <v>0</v>
      </c>
      <c r="H195" s="1">
        <v>6</v>
      </c>
      <c r="I195" s="1">
        <f t="shared" ca="1" si="18"/>
        <v>7</v>
      </c>
      <c r="J195" s="1">
        <f t="shared" ca="1" si="19"/>
        <v>-1</v>
      </c>
    </row>
    <row r="196" spans="1:10" ht="15" customHeight="1" x14ac:dyDescent="0.25">
      <c r="A196">
        <v>195</v>
      </c>
      <c r="B196">
        <v>68</v>
      </c>
      <c r="C196" t="str">
        <f t="shared" ca="1" si="15"/>
        <v>2016_01_08_UTA@LAC</v>
      </c>
      <c r="D196" s="8" t="s">
        <v>158</v>
      </c>
      <c r="E196" s="8" t="s">
        <v>468</v>
      </c>
      <c r="F196" s="1" t="str">
        <f t="shared" ca="1" si="16"/>
        <v>UTA</v>
      </c>
      <c r="G196" s="1">
        <f t="shared" ca="1" si="17"/>
        <v>0</v>
      </c>
      <c r="H196" s="1">
        <v>6</v>
      </c>
      <c r="I196" s="1">
        <f t="shared" ca="1" si="18"/>
        <v>7</v>
      </c>
      <c r="J196" s="1">
        <f t="shared" ca="1" si="19"/>
        <v>-1</v>
      </c>
    </row>
    <row r="197" spans="1:10" ht="15" customHeight="1" x14ac:dyDescent="0.25">
      <c r="A197">
        <v>196</v>
      </c>
      <c r="B197">
        <v>68</v>
      </c>
      <c r="C197" t="str">
        <f t="shared" ca="1" si="15"/>
        <v>2016_01_08_UTA@LAC</v>
      </c>
      <c r="D197" s="8" t="s">
        <v>159</v>
      </c>
      <c r="E197" s="8" t="s">
        <v>468</v>
      </c>
      <c r="F197" s="1" t="str">
        <f t="shared" ca="1" si="16"/>
        <v>UTA</v>
      </c>
      <c r="G197" s="1">
        <f t="shared" ca="1" si="17"/>
        <v>0</v>
      </c>
      <c r="H197" s="1">
        <v>5</v>
      </c>
      <c r="I197" s="1">
        <f t="shared" ca="1" si="18"/>
        <v>7</v>
      </c>
      <c r="J197" s="1">
        <f t="shared" ca="1" si="19"/>
        <v>-2</v>
      </c>
    </row>
    <row r="198" spans="1:10" ht="15" customHeight="1" x14ac:dyDescent="0.25">
      <c r="A198">
        <v>197</v>
      </c>
      <c r="B198">
        <v>69</v>
      </c>
      <c r="C198" t="str">
        <f t="shared" ca="1" si="15"/>
        <v>2016_02_01_WAS@BOS</v>
      </c>
      <c r="D198" s="8" t="s">
        <v>157</v>
      </c>
      <c r="E198" s="1" t="s">
        <v>15</v>
      </c>
      <c r="F198" s="1" t="str">
        <f t="shared" ca="1" si="16"/>
        <v>BOS</v>
      </c>
      <c r="G198" s="1">
        <f t="shared" ca="1" si="17"/>
        <v>0</v>
      </c>
      <c r="H198" s="1">
        <v>7</v>
      </c>
      <c r="I198" s="1">
        <f t="shared" ca="1" si="18"/>
        <v>7</v>
      </c>
      <c r="J198" s="1">
        <f t="shared" ca="1" si="19"/>
        <v>0</v>
      </c>
    </row>
    <row r="199" spans="1:10" ht="15" customHeight="1" x14ac:dyDescent="0.25">
      <c r="A199">
        <v>198</v>
      </c>
      <c r="B199">
        <v>69</v>
      </c>
      <c r="C199" t="str">
        <f t="shared" ca="1" si="15"/>
        <v>2016_02_01_WAS@BOS</v>
      </c>
      <c r="D199" s="8" t="s">
        <v>158</v>
      </c>
      <c r="E199" s="1" t="s">
        <v>472</v>
      </c>
      <c r="F199" s="1" t="str">
        <f t="shared" ca="1" si="16"/>
        <v>BOS</v>
      </c>
      <c r="G199" s="1">
        <f t="shared" ca="1" si="17"/>
        <v>0</v>
      </c>
      <c r="H199" s="1">
        <v>7</v>
      </c>
      <c r="I199" s="1">
        <f t="shared" ca="1" si="18"/>
        <v>7</v>
      </c>
      <c r="J199" s="1">
        <f t="shared" ca="1" si="19"/>
        <v>0</v>
      </c>
    </row>
    <row r="200" spans="1:10" ht="15" customHeight="1" x14ac:dyDescent="0.25">
      <c r="A200">
        <v>199</v>
      </c>
      <c r="B200">
        <v>69</v>
      </c>
      <c r="C200" t="str">
        <f t="shared" ca="1" si="15"/>
        <v>2016_02_01_WAS@BOS</v>
      </c>
      <c r="D200" s="8" t="s">
        <v>159</v>
      </c>
      <c r="E200" s="1" t="s">
        <v>472</v>
      </c>
      <c r="F200" s="1" t="str">
        <f t="shared" ca="1" si="16"/>
        <v>BOS</v>
      </c>
      <c r="G200" s="1">
        <f t="shared" ca="1" si="17"/>
        <v>0</v>
      </c>
      <c r="H200" s="1">
        <v>6</v>
      </c>
      <c r="I200" s="1">
        <f t="shared" ca="1" si="18"/>
        <v>7</v>
      </c>
      <c r="J200" s="1">
        <f t="shared" ca="1" si="19"/>
        <v>-1</v>
      </c>
    </row>
    <row r="201" spans="1:10" ht="15" customHeight="1" x14ac:dyDescent="0.25">
      <c r="A201">
        <v>200</v>
      </c>
      <c r="B201">
        <v>70</v>
      </c>
      <c r="C201" t="str">
        <f t="shared" ca="1" si="15"/>
        <v>2016_02_02_TOR@CLE</v>
      </c>
      <c r="D201" s="8" t="s">
        <v>157</v>
      </c>
      <c r="E201" s="7" t="s">
        <v>472</v>
      </c>
      <c r="F201" s="1" t="str">
        <f t="shared" ca="1" si="16"/>
        <v>CLE</v>
      </c>
      <c r="G201" s="1">
        <f t="shared" ca="1" si="17"/>
        <v>0</v>
      </c>
      <c r="H201" s="1">
        <v>7</v>
      </c>
      <c r="I201" s="1">
        <f t="shared" ca="1" si="18"/>
        <v>4</v>
      </c>
      <c r="J201" s="1">
        <f t="shared" ca="1" si="19"/>
        <v>3</v>
      </c>
    </row>
    <row r="202" spans="1:10" ht="15" customHeight="1" x14ac:dyDescent="0.25">
      <c r="A202">
        <v>201</v>
      </c>
      <c r="B202">
        <v>70</v>
      </c>
      <c r="C202" t="str">
        <f t="shared" ca="1" si="15"/>
        <v>2016_02_02_TOR@CLE</v>
      </c>
      <c r="D202" s="8" t="s">
        <v>158</v>
      </c>
      <c r="E202" s="7" t="s">
        <v>472</v>
      </c>
      <c r="F202" s="1" t="str">
        <f t="shared" ca="1" si="16"/>
        <v>CLE</v>
      </c>
      <c r="G202" s="1">
        <f t="shared" ca="1" si="17"/>
        <v>0</v>
      </c>
      <c r="H202" s="1">
        <v>7</v>
      </c>
      <c r="I202" s="1">
        <f t="shared" ca="1" si="18"/>
        <v>4</v>
      </c>
      <c r="J202" s="1">
        <f t="shared" ca="1" si="19"/>
        <v>3</v>
      </c>
    </row>
    <row r="203" spans="1:10" ht="15" customHeight="1" x14ac:dyDescent="0.25">
      <c r="A203">
        <v>202</v>
      </c>
      <c r="B203">
        <v>70</v>
      </c>
      <c r="C203" t="str">
        <f t="shared" ca="1" si="15"/>
        <v>2016_02_02_TOR@CLE</v>
      </c>
      <c r="D203" s="8" t="s">
        <v>159</v>
      </c>
      <c r="E203" s="7" t="s">
        <v>472</v>
      </c>
      <c r="F203" s="1" t="str">
        <f t="shared" ca="1" si="16"/>
        <v>CLE</v>
      </c>
      <c r="G203" s="1">
        <f t="shared" ca="1" si="17"/>
        <v>0</v>
      </c>
      <c r="H203" s="1">
        <v>7</v>
      </c>
      <c r="I203" s="1">
        <f t="shared" ca="1" si="18"/>
        <v>4</v>
      </c>
      <c r="J203" s="1">
        <f t="shared" ca="1" si="19"/>
        <v>3</v>
      </c>
    </row>
    <row r="204" spans="1:10" ht="15" customHeight="1" x14ac:dyDescent="0.25">
      <c r="A204">
        <v>203</v>
      </c>
      <c r="B204">
        <v>71</v>
      </c>
      <c r="C204" t="str">
        <f t="shared" ca="1" si="15"/>
        <v>2016_02_03_UTA@GSW</v>
      </c>
      <c r="D204" s="8" t="s">
        <v>157</v>
      </c>
      <c r="E204" s="8" t="s">
        <v>468</v>
      </c>
      <c r="F204" s="1" t="str">
        <f t="shared" ca="1" si="16"/>
        <v>GSW</v>
      </c>
      <c r="G204" s="1">
        <f t="shared" ca="1" si="17"/>
        <v>1</v>
      </c>
      <c r="H204" s="1">
        <v>6</v>
      </c>
      <c r="I204" s="1">
        <f t="shared" ca="1" si="18"/>
        <v>4</v>
      </c>
      <c r="J204" s="1">
        <f t="shared" ca="1" si="19"/>
        <v>2</v>
      </c>
    </row>
    <row r="205" spans="1:10" ht="15" customHeight="1" x14ac:dyDescent="0.25">
      <c r="A205">
        <v>204</v>
      </c>
      <c r="B205">
        <v>71</v>
      </c>
      <c r="C205" t="str">
        <f t="shared" ca="1" si="15"/>
        <v>2016_02_03_UTA@GSW</v>
      </c>
      <c r="D205" s="8" t="s">
        <v>158</v>
      </c>
      <c r="E205" s="8" t="s">
        <v>468</v>
      </c>
      <c r="F205" s="1" t="str">
        <f t="shared" ca="1" si="16"/>
        <v>GSW</v>
      </c>
      <c r="G205" s="1">
        <f t="shared" ca="1" si="17"/>
        <v>1</v>
      </c>
      <c r="H205" s="1">
        <v>6</v>
      </c>
      <c r="I205" s="1">
        <f t="shared" ca="1" si="18"/>
        <v>4</v>
      </c>
      <c r="J205" s="1">
        <f t="shared" ca="1" si="19"/>
        <v>2</v>
      </c>
    </row>
    <row r="206" spans="1:10" ht="15" customHeight="1" x14ac:dyDescent="0.25">
      <c r="A206">
        <v>205</v>
      </c>
      <c r="B206">
        <v>71</v>
      </c>
      <c r="C206" t="str">
        <f t="shared" ca="1" si="15"/>
        <v>2016_02_03_UTA@GSW</v>
      </c>
      <c r="D206" s="8" t="s">
        <v>159</v>
      </c>
      <c r="E206" s="8" t="s">
        <v>468</v>
      </c>
      <c r="F206" s="1" t="str">
        <f t="shared" ca="1" si="16"/>
        <v>GSW</v>
      </c>
      <c r="G206" s="1">
        <f t="shared" ca="1" si="17"/>
        <v>1</v>
      </c>
      <c r="H206" s="1">
        <v>5</v>
      </c>
      <c r="I206" s="1">
        <f t="shared" ca="1" si="18"/>
        <v>4</v>
      </c>
      <c r="J206" s="1">
        <f t="shared" ca="1" si="19"/>
        <v>1</v>
      </c>
    </row>
    <row r="207" spans="1:10" ht="15" customHeight="1" x14ac:dyDescent="0.25">
      <c r="A207">
        <v>206</v>
      </c>
      <c r="B207">
        <v>72</v>
      </c>
      <c r="C207" t="str">
        <f t="shared" ca="1" si="15"/>
        <v>2016_02_04_HOU@SAS</v>
      </c>
      <c r="D207" s="8" t="s">
        <v>157</v>
      </c>
      <c r="E207" s="8" t="s">
        <v>468</v>
      </c>
      <c r="F207" s="1" t="str">
        <f t="shared" ca="1" si="16"/>
        <v>SAS</v>
      </c>
      <c r="G207" s="1">
        <f t="shared" ca="1" si="17"/>
        <v>0</v>
      </c>
      <c r="H207" s="1">
        <v>5</v>
      </c>
      <c r="I207" s="1">
        <f t="shared" ca="1" si="18"/>
        <v>6</v>
      </c>
      <c r="J207" s="1">
        <f t="shared" ca="1" si="19"/>
        <v>-1</v>
      </c>
    </row>
    <row r="208" spans="1:10" ht="15" customHeight="1" x14ac:dyDescent="0.25">
      <c r="A208">
        <v>207</v>
      </c>
      <c r="B208">
        <v>72</v>
      </c>
      <c r="C208" t="str">
        <f t="shared" ca="1" si="15"/>
        <v>2016_02_04_HOU@SAS</v>
      </c>
      <c r="D208" s="8" t="s">
        <v>158</v>
      </c>
      <c r="E208" s="8" t="s">
        <v>468</v>
      </c>
      <c r="F208" s="1" t="str">
        <f t="shared" ca="1" si="16"/>
        <v>SAS</v>
      </c>
      <c r="G208" s="1">
        <f t="shared" ca="1" si="17"/>
        <v>0</v>
      </c>
      <c r="H208" s="1">
        <v>6</v>
      </c>
      <c r="I208" s="1">
        <f t="shared" ca="1" si="18"/>
        <v>6</v>
      </c>
      <c r="J208" s="1">
        <f t="shared" ca="1" si="19"/>
        <v>0</v>
      </c>
    </row>
    <row r="209" spans="1:10" ht="15" customHeight="1" x14ac:dyDescent="0.25">
      <c r="A209">
        <v>208</v>
      </c>
      <c r="B209">
        <v>72</v>
      </c>
      <c r="C209" t="str">
        <f t="shared" ca="1" si="15"/>
        <v>2016_02_04_HOU@SAS</v>
      </c>
      <c r="D209" s="8" t="s">
        <v>159</v>
      </c>
      <c r="E209" s="8" t="s">
        <v>468</v>
      </c>
      <c r="F209" s="1" t="str">
        <f t="shared" ca="1" si="16"/>
        <v>SAS</v>
      </c>
      <c r="G209" s="1">
        <f t="shared" ca="1" si="17"/>
        <v>0</v>
      </c>
      <c r="H209" s="1">
        <v>6</v>
      </c>
      <c r="I209" s="1">
        <f t="shared" ca="1" si="18"/>
        <v>6</v>
      </c>
      <c r="J209" s="1">
        <f t="shared" ca="1" si="19"/>
        <v>0</v>
      </c>
    </row>
    <row r="210" spans="1:10" ht="15" customHeight="1" x14ac:dyDescent="0.25">
      <c r="A210">
        <v>209</v>
      </c>
      <c r="B210">
        <v>73</v>
      </c>
      <c r="C210" t="str">
        <f t="shared" ca="1" si="15"/>
        <v>2016_03_01_CLE@BOS</v>
      </c>
      <c r="D210" s="8" t="s">
        <v>157</v>
      </c>
      <c r="E210" s="8" t="s">
        <v>6</v>
      </c>
      <c r="F210" s="1" t="str">
        <f t="shared" ca="1" si="16"/>
        <v>CLE</v>
      </c>
      <c r="G210" s="1">
        <f t="shared" ca="1" si="17"/>
        <v>1</v>
      </c>
      <c r="H210" s="8">
        <v>5</v>
      </c>
      <c r="I210" s="1">
        <f t="shared" ca="1" si="18"/>
        <v>5</v>
      </c>
      <c r="J210" s="1">
        <f t="shared" ca="1" si="19"/>
        <v>0</v>
      </c>
    </row>
    <row r="211" spans="1:10" ht="15" customHeight="1" x14ac:dyDescent="0.25">
      <c r="A211">
        <v>210</v>
      </c>
      <c r="B211">
        <v>73</v>
      </c>
      <c r="C211" t="str">
        <f t="shared" ca="1" si="15"/>
        <v>2016_03_01_CLE@BOS</v>
      </c>
      <c r="D211" s="8" t="s">
        <v>158</v>
      </c>
      <c r="E211" s="8" t="s">
        <v>6</v>
      </c>
      <c r="F211" s="1" t="str">
        <f t="shared" ca="1" si="16"/>
        <v>CLE</v>
      </c>
      <c r="G211" s="1">
        <f t="shared" ca="1" si="17"/>
        <v>1</v>
      </c>
      <c r="H211" s="8">
        <v>5</v>
      </c>
      <c r="I211" s="1">
        <f t="shared" ca="1" si="18"/>
        <v>5</v>
      </c>
      <c r="J211" s="1">
        <f t="shared" ca="1" si="19"/>
        <v>0</v>
      </c>
    </row>
    <row r="212" spans="1:10" ht="15" customHeight="1" x14ac:dyDescent="0.25">
      <c r="A212">
        <v>211</v>
      </c>
      <c r="B212">
        <v>73</v>
      </c>
      <c r="C212" t="str">
        <f t="shared" ca="1" si="15"/>
        <v>2016_03_01_CLE@BOS</v>
      </c>
      <c r="D212" s="8" t="s">
        <v>159</v>
      </c>
      <c r="E212" s="8" t="s">
        <v>6</v>
      </c>
      <c r="F212" s="1" t="str">
        <f t="shared" ca="1" si="16"/>
        <v>CLE</v>
      </c>
      <c r="G212" s="1">
        <f t="shared" ca="1" si="17"/>
        <v>1</v>
      </c>
      <c r="H212" s="8">
        <v>4</v>
      </c>
      <c r="I212" s="1">
        <f t="shared" ca="1" si="18"/>
        <v>5</v>
      </c>
      <c r="J212" s="1">
        <f t="shared" ca="1" si="19"/>
        <v>-1</v>
      </c>
    </row>
    <row r="213" spans="1:10" ht="15" customHeight="1" x14ac:dyDescent="0.25">
      <c r="A213">
        <v>212</v>
      </c>
      <c r="B213">
        <v>74</v>
      </c>
      <c r="C213" t="str">
        <f t="shared" ca="1" si="15"/>
        <v>2016_03_02_SAS@GSW</v>
      </c>
      <c r="D213" s="8" t="s">
        <v>157</v>
      </c>
      <c r="E213" s="8" t="s">
        <v>468</v>
      </c>
      <c r="F213" s="1" t="str">
        <f t="shared" ca="1" si="16"/>
        <v>GSW</v>
      </c>
      <c r="G213" s="1">
        <f t="shared" ca="1" si="17"/>
        <v>1</v>
      </c>
      <c r="H213" s="8">
        <v>5</v>
      </c>
      <c r="I213" s="1">
        <f t="shared" ca="1" si="18"/>
        <v>4</v>
      </c>
      <c r="J213" s="1">
        <f t="shared" ca="1" si="19"/>
        <v>1</v>
      </c>
    </row>
    <row r="214" spans="1:10" ht="15" customHeight="1" x14ac:dyDescent="0.25">
      <c r="A214">
        <v>213</v>
      </c>
      <c r="B214">
        <v>74</v>
      </c>
      <c r="C214" t="str">
        <f t="shared" ca="1" si="15"/>
        <v>2016_03_02_SAS@GSW</v>
      </c>
      <c r="D214" s="8" t="s">
        <v>158</v>
      </c>
      <c r="E214" s="8" t="s">
        <v>468</v>
      </c>
      <c r="F214" s="1" t="str">
        <f t="shared" ca="1" si="16"/>
        <v>GSW</v>
      </c>
      <c r="G214" s="1">
        <f t="shared" ca="1" si="17"/>
        <v>1</v>
      </c>
      <c r="H214" s="8">
        <v>5</v>
      </c>
      <c r="I214" s="1">
        <f t="shared" ca="1" si="18"/>
        <v>4</v>
      </c>
      <c r="J214" s="1">
        <f t="shared" ca="1" si="19"/>
        <v>1</v>
      </c>
    </row>
    <row r="215" spans="1:10" ht="15" customHeight="1" x14ac:dyDescent="0.25">
      <c r="A215">
        <v>214</v>
      </c>
      <c r="B215">
        <v>74</v>
      </c>
      <c r="C215" t="str">
        <f t="shared" ca="1" si="15"/>
        <v>2016_03_02_SAS@GSW</v>
      </c>
      <c r="D215" s="8" t="s">
        <v>159</v>
      </c>
      <c r="E215" s="8" t="s">
        <v>468</v>
      </c>
      <c r="F215" s="1" t="str">
        <f t="shared" ca="1" si="16"/>
        <v>GSW</v>
      </c>
      <c r="G215" s="1">
        <f t="shared" ca="1" si="17"/>
        <v>1</v>
      </c>
      <c r="H215" s="8">
        <v>5</v>
      </c>
      <c r="I215" s="1">
        <f t="shared" ca="1" si="18"/>
        <v>4</v>
      </c>
      <c r="J215" s="1">
        <f t="shared" ca="1" si="19"/>
        <v>1</v>
      </c>
    </row>
    <row r="216" spans="1:10" ht="15" customHeight="1" x14ac:dyDescent="0.25">
      <c r="A216">
        <v>215</v>
      </c>
      <c r="B216">
        <v>75</v>
      </c>
      <c r="C216" t="str">
        <f t="shared" ca="1" si="15"/>
        <v>2016_04_01_CLE@GSW</v>
      </c>
      <c r="D216" s="8" t="s">
        <v>157</v>
      </c>
      <c r="E216" s="8" t="s">
        <v>468</v>
      </c>
      <c r="F216" s="1" t="str">
        <f t="shared" ca="1" si="16"/>
        <v>GSW</v>
      </c>
      <c r="G216" s="1">
        <f t="shared" ca="1" si="17"/>
        <v>1</v>
      </c>
      <c r="H216" s="8">
        <v>6</v>
      </c>
      <c r="I216" s="1">
        <f t="shared" ca="1" si="18"/>
        <v>5</v>
      </c>
      <c r="J216" s="1">
        <f t="shared" ca="1" si="19"/>
        <v>1</v>
      </c>
    </row>
    <row r="217" spans="1:10" ht="15" customHeight="1" x14ac:dyDescent="0.25">
      <c r="A217">
        <v>216</v>
      </c>
      <c r="B217">
        <v>75</v>
      </c>
      <c r="C217" t="str">
        <f t="shared" ca="1" si="15"/>
        <v>2016_04_01_CLE@GSW</v>
      </c>
      <c r="D217" s="8" t="s">
        <v>158</v>
      </c>
      <c r="E217" s="8" t="s">
        <v>468</v>
      </c>
      <c r="F217" s="1" t="str">
        <f t="shared" ca="1" si="16"/>
        <v>GSW</v>
      </c>
      <c r="G217" s="1">
        <f t="shared" ca="1" si="17"/>
        <v>1</v>
      </c>
      <c r="H217" s="8">
        <v>6</v>
      </c>
      <c r="I217" s="1">
        <f t="shared" ca="1" si="18"/>
        <v>5</v>
      </c>
      <c r="J217" s="1">
        <f t="shared" ca="1" si="19"/>
        <v>1</v>
      </c>
    </row>
    <row r="218" spans="1:10" ht="15" customHeight="1" x14ac:dyDescent="0.25">
      <c r="A218">
        <v>217</v>
      </c>
      <c r="B218">
        <v>75</v>
      </c>
      <c r="C218" t="str">
        <f t="shared" ca="1" si="15"/>
        <v>2016_04_01_CLE@GSW</v>
      </c>
      <c r="D218" s="8" t="s">
        <v>159</v>
      </c>
      <c r="E218" s="8" t="s">
        <v>6</v>
      </c>
      <c r="F218" s="1" t="str">
        <f t="shared" ca="1" si="16"/>
        <v>GSW</v>
      </c>
      <c r="G218" s="1">
        <f t="shared" ca="1" si="17"/>
        <v>0</v>
      </c>
      <c r="H218" s="8">
        <v>7</v>
      </c>
      <c r="I218" s="1">
        <f t="shared" ca="1" si="18"/>
        <v>5</v>
      </c>
      <c r="J218" s="1">
        <f t="shared" ca="1" si="19"/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133"/>
  <sheetViews>
    <sheetView topLeftCell="A106" zoomScale="80" zoomScaleNormal="80" workbookViewId="0">
      <selection activeCell="D124" sqref="D124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4" width="23.85546875" customWidth="1"/>
    <col min="5" max="15" width="9.140625" customWidth="1"/>
  </cols>
  <sheetData>
    <row r="1" spans="1:17" ht="15" customHeight="1" x14ac:dyDescent="0.25">
      <c r="A1" s="8" t="s">
        <v>409</v>
      </c>
      <c r="B1" s="8" t="s">
        <v>430</v>
      </c>
      <c r="C1" s="14" t="s">
        <v>429</v>
      </c>
      <c r="D1" s="14" t="s">
        <v>433</v>
      </c>
      <c r="E1" s="14" t="s">
        <v>182</v>
      </c>
      <c r="F1" s="8" t="s">
        <v>95</v>
      </c>
      <c r="G1" s="8" t="s">
        <v>98</v>
      </c>
      <c r="H1" s="12" t="s">
        <v>418</v>
      </c>
      <c r="I1" s="14" t="s">
        <v>415</v>
      </c>
      <c r="J1" s="17" t="s">
        <v>443</v>
      </c>
      <c r="K1" s="8" t="s">
        <v>97</v>
      </c>
      <c r="L1" s="12" t="s">
        <v>419</v>
      </c>
      <c r="M1" s="14" t="s">
        <v>414</v>
      </c>
      <c r="N1" s="17" t="s">
        <v>442</v>
      </c>
      <c r="O1" s="12" t="s">
        <v>440</v>
      </c>
      <c r="P1" s="15" t="s">
        <v>417</v>
      </c>
      <c r="Q1" s="16" t="s">
        <v>441</v>
      </c>
    </row>
    <row r="2" spans="1:17" ht="15" customHeight="1" x14ac:dyDescent="0.25">
      <c r="A2" s="1">
        <v>1</v>
      </c>
      <c r="B2" s="1">
        <v>1</v>
      </c>
      <c r="C2" s="8" t="str">
        <f t="shared" ref="C2:C33" ca="1" si="0">IFERROR(VLOOKUP($B2,nba_plyff_results,MATCH(C$1,nba_plyff_results_header,0),FALSE),"error")</f>
        <v>2012_01_01_MIL@MIA</v>
      </c>
      <c r="D2" s="1" t="str">
        <f ca="1">LEFT(C2,10)</f>
        <v>2012_01_01</v>
      </c>
      <c r="E2" s="8" t="str">
        <f t="shared" ref="E2:E33" ca="1" si="1">IFERROR(IF(VLOOKUP($B2,nba_plyff_results,MATCH(E$1,nba_plyff_results_header,0),FALSE)="","",VLOOKUP($B2,nba_plyff_results,MATCH(E$1,nba_plyff_results_header,0),FALSE)),"error")</f>
        <v>East</v>
      </c>
      <c r="F2" s="8" t="s">
        <v>157</v>
      </c>
      <c r="G2">
        <v>1</v>
      </c>
      <c r="H2" s="1" t="s">
        <v>15</v>
      </c>
      <c r="I2" s="8" t="str">
        <f t="shared" ref="I2:I33" ca="1" si="2">IFERROR(IF(VLOOKUP($B2,nba_plyff_results,MATCH(I$1,nba_plyff_results_header,0),FALSE)="","",VLOOKUP($B2,nba_plyff_results,MATCH(I$1,nba_plyff_results_header,0),FALSE)),"error")</f>
        <v>MIA</v>
      </c>
      <c r="J2" s="1">
        <f ca="1">IF(OR(ISBLANK(H2),ISBLANK(I2),H2="",I2=""),"",IF(H2=I2,1,0))</f>
        <v>1</v>
      </c>
      <c r="K2">
        <v>8</v>
      </c>
      <c r="L2" s="1" t="s">
        <v>10</v>
      </c>
      <c r="M2" s="8" t="str">
        <f t="shared" ref="M2:M33" ca="1" si="3">IFERROR(IF(VLOOKUP($B2,nba_plyff_results,MATCH(M$1,nba_plyff_results_header,0),FALSE)="","",VLOOKUP($B2,nba_plyff_results,MATCH(M$1,nba_plyff_results_header,0),FALSE)),"error")</f>
        <v>MIL</v>
      </c>
      <c r="N2" s="1">
        <f ca="1">IF(OR(ISBLANK(L2),ISBLANK(M2),L2="",M2=""),"",IF(L2=M2,1,0))</f>
        <v>1</v>
      </c>
      <c r="O2" s="6" t="s">
        <v>186</v>
      </c>
      <c r="P2" s="8" t="str">
        <f t="shared" ref="P2:P33" ca="1" si="4">IFERROR(IF(VLOOKUP($B2,nba_plyff_results,MATCH(P$1,nba_plyff_results_header,0),FALSE)="","",VLOOKUP($B2,nba_plyff_results,MATCH(P$1,nba_plyff_results_header,0),FALSE)),"error")</f>
        <v>MIA</v>
      </c>
      <c r="Q2" s="1">
        <f t="shared" ref="Q2:Q33" ca="1" si="5">IF(O2="error","error",IF(OR(ISBLANK(O2),ISBLANK(P2),O2="",P2=""),"",IF(O2=P2,1,0)))</f>
        <v>0</v>
      </c>
    </row>
    <row r="3" spans="1:17" ht="15" customHeight="1" x14ac:dyDescent="0.25">
      <c r="A3" s="1">
        <v>2</v>
      </c>
      <c r="B3" s="1">
        <v>1</v>
      </c>
      <c r="C3" s="8" t="str">
        <f t="shared" ca="1" si="0"/>
        <v>2012_01_01_MIL@MIA</v>
      </c>
      <c r="D3" s="1" t="str">
        <f t="shared" ref="D3:D66" ca="1" si="6">LEFT(C3,10)</f>
        <v>2012_01_01</v>
      </c>
      <c r="E3" s="8" t="str">
        <f t="shared" ca="1" si="1"/>
        <v>East</v>
      </c>
      <c r="F3" s="8" t="s">
        <v>158</v>
      </c>
      <c r="G3">
        <v>1</v>
      </c>
      <c r="H3" s="1" t="s">
        <v>15</v>
      </c>
      <c r="I3" s="8" t="str">
        <f t="shared" ca="1" si="2"/>
        <v>MIA</v>
      </c>
      <c r="J3" s="1">
        <f t="shared" ref="J3:J66" ca="1" si="7">IF(OR(ISBLANK(H3),ISBLANK(I3),H3="",I3=""),"",IF(H3=I3,1,0))</f>
        <v>1</v>
      </c>
      <c r="K3">
        <v>8</v>
      </c>
      <c r="L3" s="1" t="s">
        <v>5</v>
      </c>
      <c r="M3" s="8" t="str">
        <f t="shared" ca="1" si="3"/>
        <v>MIL</v>
      </c>
      <c r="N3" s="1">
        <f t="shared" ref="N3:N66" ca="1" si="8">IF(OR(ISBLANK(L3),ISBLANK(M3),L3="",M3=""),"",IF(L3=M3,1,0))</f>
        <v>0</v>
      </c>
      <c r="O3" s="8" t="s">
        <v>186</v>
      </c>
      <c r="P3" s="8" t="str">
        <f t="shared" ca="1" si="4"/>
        <v>MIA</v>
      </c>
      <c r="Q3" s="1">
        <f t="shared" ca="1" si="5"/>
        <v>0</v>
      </c>
    </row>
    <row r="4" spans="1:17" ht="15" customHeight="1" x14ac:dyDescent="0.25">
      <c r="A4" s="1">
        <v>3</v>
      </c>
      <c r="B4" s="1">
        <v>2</v>
      </c>
      <c r="C4" s="8" t="str">
        <f t="shared" ca="1" si="0"/>
        <v>2012_01_02_BOS@NYK</v>
      </c>
      <c r="D4" s="1" t="str">
        <f t="shared" ca="1" si="6"/>
        <v>2012_01_02</v>
      </c>
      <c r="E4" s="8" t="str">
        <f t="shared" ca="1" si="1"/>
        <v>East</v>
      </c>
      <c r="F4" s="8" t="s">
        <v>157</v>
      </c>
      <c r="G4">
        <v>2</v>
      </c>
      <c r="H4" s="1" t="s">
        <v>17</v>
      </c>
      <c r="I4" s="8" t="str">
        <f t="shared" ca="1" si="2"/>
        <v>NYK</v>
      </c>
      <c r="J4" s="1">
        <f t="shared" ca="1" si="7"/>
        <v>0</v>
      </c>
      <c r="K4">
        <v>7</v>
      </c>
      <c r="L4" s="1" t="s">
        <v>80</v>
      </c>
      <c r="M4" s="8" t="str">
        <f t="shared" ca="1" si="3"/>
        <v>BOS</v>
      </c>
      <c r="N4" s="1">
        <f t="shared" ca="1" si="8"/>
        <v>0</v>
      </c>
      <c r="O4" s="8" t="s">
        <v>186</v>
      </c>
      <c r="P4" s="8" t="str">
        <f t="shared" ca="1" si="4"/>
        <v>NYK</v>
      </c>
      <c r="Q4" s="1">
        <f t="shared" ca="1" si="5"/>
        <v>0</v>
      </c>
    </row>
    <row r="5" spans="1:17" ht="15" customHeight="1" x14ac:dyDescent="0.25">
      <c r="A5" s="1">
        <v>4</v>
      </c>
      <c r="B5" s="1">
        <v>2</v>
      </c>
      <c r="C5" s="8" t="str">
        <f t="shared" ca="1" si="0"/>
        <v>2012_01_02_BOS@NYK</v>
      </c>
      <c r="D5" s="1" t="str">
        <f t="shared" ca="1" si="6"/>
        <v>2012_01_02</v>
      </c>
      <c r="E5" s="8" t="str">
        <f t="shared" ca="1" si="1"/>
        <v>East</v>
      </c>
      <c r="F5" s="8" t="s">
        <v>158</v>
      </c>
      <c r="G5">
        <v>2</v>
      </c>
      <c r="H5" s="1" t="s">
        <v>17</v>
      </c>
      <c r="I5" s="8" t="str">
        <f t="shared" ca="1" si="2"/>
        <v>NYK</v>
      </c>
      <c r="J5" s="1">
        <f t="shared" ca="1" si="7"/>
        <v>0</v>
      </c>
      <c r="K5">
        <v>7</v>
      </c>
      <c r="L5" s="1" t="s">
        <v>2</v>
      </c>
      <c r="M5" s="8" t="str">
        <f t="shared" ca="1" si="3"/>
        <v>BOS</v>
      </c>
      <c r="N5" s="1">
        <f t="shared" ca="1" si="8"/>
        <v>0</v>
      </c>
      <c r="O5" s="8" t="s">
        <v>186</v>
      </c>
      <c r="P5" s="8" t="str">
        <f t="shared" ca="1" si="4"/>
        <v>NYK</v>
      </c>
      <c r="Q5" s="1">
        <f t="shared" ca="1" si="5"/>
        <v>0</v>
      </c>
    </row>
    <row r="6" spans="1:17" ht="15" customHeight="1" x14ac:dyDescent="0.25">
      <c r="A6" s="1">
        <v>5</v>
      </c>
      <c r="B6" s="1">
        <v>3</v>
      </c>
      <c r="C6" s="8" t="str">
        <f t="shared" ca="1" si="0"/>
        <v>2012_01_03_ATL@IND</v>
      </c>
      <c r="D6" s="1" t="str">
        <f t="shared" ca="1" si="6"/>
        <v>2012_01_03</v>
      </c>
      <c r="E6" s="8" t="str">
        <f t="shared" ca="1" si="1"/>
        <v>East</v>
      </c>
      <c r="F6" s="8" t="s">
        <v>157</v>
      </c>
      <c r="G6">
        <v>3</v>
      </c>
      <c r="H6" s="1" t="s">
        <v>470</v>
      </c>
      <c r="I6" s="8" t="str">
        <f t="shared" ca="1" si="2"/>
        <v>IND</v>
      </c>
      <c r="J6" s="1">
        <f t="shared" ca="1" si="7"/>
        <v>0</v>
      </c>
      <c r="K6">
        <v>6</v>
      </c>
      <c r="L6" s="1" t="s">
        <v>0</v>
      </c>
      <c r="M6" s="8" t="str">
        <f t="shared" ca="1" si="3"/>
        <v>ATL</v>
      </c>
      <c r="N6" s="1">
        <f t="shared" ca="1" si="8"/>
        <v>0</v>
      </c>
      <c r="O6" s="8" t="s">
        <v>186</v>
      </c>
      <c r="P6" s="8" t="str">
        <f t="shared" ca="1" si="4"/>
        <v>IND</v>
      </c>
      <c r="Q6" s="1">
        <f t="shared" ca="1" si="5"/>
        <v>0</v>
      </c>
    </row>
    <row r="7" spans="1:17" ht="15" customHeight="1" x14ac:dyDescent="0.25">
      <c r="A7" s="1">
        <v>6</v>
      </c>
      <c r="B7" s="1">
        <v>3</v>
      </c>
      <c r="C7" s="8" t="str">
        <f t="shared" ca="1" si="0"/>
        <v>2012_01_03_ATL@IND</v>
      </c>
      <c r="D7" s="1" t="str">
        <f t="shared" ca="1" si="6"/>
        <v>2012_01_03</v>
      </c>
      <c r="E7" s="8" t="str">
        <f t="shared" ca="1" si="1"/>
        <v>East</v>
      </c>
      <c r="F7" s="8" t="s">
        <v>158</v>
      </c>
      <c r="G7">
        <v>3</v>
      </c>
      <c r="H7" s="1" t="s">
        <v>470</v>
      </c>
      <c r="I7" s="8" t="str">
        <f t="shared" ca="1" si="2"/>
        <v>IND</v>
      </c>
      <c r="J7" s="1">
        <f t="shared" ca="1" si="7"/>
        <v>0</v>
      </c>
      <c r="K7">
        <v>6</v>
      </c>
      <c r="L7" s="1" t="s">
        <v>80</v>
      </c>
      <c r="M7" s="8" t="str">
        <f t="shared" ca="1" si="3"/>
        <v>ATL</v>
      </c>
      <c r="N7" s="1">
        <f t="shared" ca="1" si="8"/>
        <v>0</v>
      </c>
      <c r="O7" s="8" t="s">
        <v>186</v>
      </c>
      <c r="P7" s="8" t="str">
        <f t="shared" ca="1" si="4"/>
        <v>IND</v>
      </c>
      <c r="Q7" s="1">
        <f t="shared" ca="1" si="5"/>
        <v>0</v>
      </c>
    </row>
    <row r="8" spans="1:17" ht="15" customHeight="1" x14ac:dyDescent="0.25">
      <c r="A8" s="1">
        <v>7</v>
      </c>
      <c r="B8" s="1">
        <v>4</v>
      </c>
      <c r="C8" s="8" t="str">
        <f t="shared" ca="1" si="0"/>
        <v>2012_01_04_CHI@BRK</v>
      </c>
      <c r="D8" s="1" t="str">
        <f t="shared" ca="1" si="6"/>
        <v>2012_01_04</v>
      </c>
      <c r="E8" s="8" t="str">
        <f t="shared" ca="1" si="1"/>
        <v>East</v>
      </c>
      <c r="F8" s="8" t="s">
        <v>157</v>
      </c>
      <c r="G8">
        <v>4</v>
      </c>
      <c r="H8" s="1" t="s">
        <v>13</v>
      </c>
      <c r="I8" s="8" t="str">
        <f t="shared" ca="1" si="2"/>
        <v>BRK</v>
      </c>
      <c r="J8" s="1">
        <f t="shared" ca="1" si="7"/>
        <v>0</v>
      </c>
      <c r="K8">
        <v>5</v>
      </c>
      <c r="L8" s="1" t="s">
        <v>5</v>
      </c>
      <c r="M8" s="8" t="str">
        <f t="shared" ca="1" si="3"/>
        <v>CHI</v>
      </c>
      <c r="N8" s="1">
        <f t="shared" ca="1" si="8"/>
        <v>0</v>
      </c>
      <c r="O8" s="8" t="s">
        <v>186</v>
      </c>
      <c r="P8" s="8" t="str">
        <f t="shared" ca="1" si="4"/>
        <v>CHI</v>
      </c>
      <c r="Q8" s="1">
        <f t="shared" ca="1" si="5"/>
        <v>0</v>
      </c>
    </row>
    <row r="9" spans="1:17" ht="15" customHeight="1" x14ac:dyDescent="0.25">
      <c r="A9" s="1">
        <v>8</v>
      </c>
      <c r="B9" s="1">
        <v>4</v>
      </c>
      <c r="C9" s="8" t="str">
        <f t="shared" ca="1" si="0"/>
        <v>2012_01_04_CHI@BRK</v>
      </c>
      <c r="D9" s="1" t="str">
        <f t="shared" ca="1" si="6"/>
        <v>2012_01_04</v>
      </c>
      <c r="E9" s="8" t="str">
        <f t="shared" ca="1" si="1"/>
        <v>East</v>
      </c>
      <c r="F9" s="8" t="s">
        <v>158</v>
      </c>
      <c r="G9">
        <v>4</v>
      </c>
      <c r="H9" s="1" t="s">
        <v>13</v>
      </c>
      <c r="I9" s="8" t="str">
        <f t="shared" ca="1" si="2"/>
        <v>BRK</v>
      </c>
      <c r="J9" s="1">
        <f t="shared" ca="1" si="7"/>
        <v>0</v>
      </c>
      <c r="K9">
        <v>5</v>
      </c>
      <c r="L9" s="1" t="s">
        <v>0</v>
      </c>
      <c r="M9" s="8" t="str">
        <f t="shared" ca="1" si="3"/>
        <v>CHI</v>
      </c>
      <c r="N9" s="1">
        <f t="shared" ca="1" si="8"/>
        <v>1</v>
      </c>
      <c r="O9" s="8" t="s">
        <v>186</v>
      </c>
      <c r="P9" s="8" t="str">
        <f t="shared" ca="1" si="4"/>
        <v>CHI</v>
      </c>
      <c r="Q9" s="1">
        <f t="shared" ca="1" si="5"/>
        <v>0</v>
      </c>
    </row>
    <row r="10" spans="1:17" ht="15" customHeight="1" x14ac:dyDescent="0.25">
      <c r="A10" s="1">
        <v>9</v>
      </c>
      <c r="B10" s="1">
        <v>5</v>
      </c>
      <c r="C10" s="8" t="str">
        <f t="shared" ca="1" si="0"/>
        <v>2012_01_05_HOU@OKC</v>
      </c>
      <c r="D10" s="1" t="str">
        <f t="shared" ca="1" si="6"/>
        <v>2012_01_05</v>
      </c>
      <c r="E10" s="8" t="str">
        <f t="shared" ca="1" si="1"/>
        <v>West</v>
      </c>
      <c r="F10" s="8" t="s">
        <v>157</v>
      </c>
      <c r="G10">
        <v>1</v>
      </c>
      <c r="H10" s="1" t="s">
        <v>472</v>
      </c>
      <c r="I10" s="8" t="str">
        <f t="shared" ca="1" si="2"/>
        <v>OKC</v>
      </c>
      <c r="J10" s="1">
        <f t="shared" ca="1" si="7"/>
        <v>0</v>
      </c>
      <c r="K10">
        <v>8</v>
      </c>
      <c r="L10" s="1" t="s">
        <v>3</v>
      </c>
      <c r="M10" s="8" t="str">
        <f t="shared" ca="1" si="3"/>
        <v>HOU</v>
      </c>
      <c r="N10" s="1">
        <f t="shared" ca="1" si="8"/>
        <v>0</v>
      </c>
      <c r="O10" s="8" t="s">
        <v>186</v>
      </c>
      <c r="P10" s="8" t="str">
        <f t="shared" ca="1" si="4"/>
        <v>OKC</v>
      </c>
      <c r="Q10" s="1">
        <f t="shared" ca="1" si="5"/>
        <v>0</v>
      </c>
    </row>
    <row r="11" spans="1:17" ht="15" customHeight="1" x14ac:dyDescent="0.25">
      <c r="A11" s="1">
        <v>10</v>
      </c>
      <c r="B11" s="1">
        <v>5</v>
      </c>
      <c r="C11" s="8" t="str">
        <f t="shared" ca="1" si="0"/>
        <v>2012_01_05_HOU@OKC</v>
      </c>
      <c r="D11" s="1" t="str">
        <f t="shared" ca="1" si="6"/>
        <v>2012_01_05</v>
      </c>
      <c r="E11" s="8" t="str">
        <f t="shared" ca="1" si="1"/>
        <v>West</v>
      </c>
      <c r="F11" s="8" t="s">
        <v>158</v>
      </c>
      <c r="G11">
        <v>1</v>
      </c>
      <c r="H11" s="1" t="s">
        <v>12</v>
      </c>
      <c r="I11" s="8" t="str">
        <f t="shared" ca="1" si="2"/>
        <v>OKC</v>
      </c>
      <c r="J11" s="1">
        <f t="shared" ca="1" si="7"/>
        <v>1</v>
      </c>
      <c r="K11">
        <v>8</v>
      </c>
      <c r="L11" s="1" t="s">
        <v>3</v>
      </c>
      <c r="M11" s="8" t="str">
        <f t="shared" ca="1" si="3"/>
        <v>HOU</v>
      </c>
      <c r="N11" s="1">
        <f t="shared" ca="1" si="8"/>
        <v>0</v>
      </c>
      <c r="O11" s="8" t="s">
        <v>186</v>
      </c>
      <c r="P11" s="8" t="str">
        <f t="shared" ca="1" si="4"/>
        <v>OKC</v>
      </c>
      <c r="Q11" s="1">
        <f t="shared" ca="1" si="5"/>
        <v>0</v>
      </c>
    </row>
    <row r="12" spans="1:17" ht="15" customHeight="1" x14ac:dyDescent="0.25">
      <c r="A12" s="1">
        <v>11</v>
      </c>
      <c r="B12" s="1">
        <v>6</v>
      </c>
      <c r="C12" s="8" t="str">
        <f t="shared" ca="1" si="0"/>
        <v>2012_01_06_LAL@SAS</v>
      </c>
      <c r="D12" s="1" t="str">
        <f t="shared" ca="1" si="6"/>
        <v>2012_01_06</v>
      </c>
      <c r="E12" s="8" t="str">
        <f t="shared" ca="1" si="1"/>
        <v>West</v>
      </c>
      <c r="F12" s="8" t="s">
        <v>157</v>
      </c>
      <c r="G12">
        <v>2</v>
      </c>
      <c r="H12" s="1" t="s">
        <v>12</v>
      </c>
      <c r="I12" s="8" t="str">
        <f t="shared" ca="1" si="2"/>
        <v>SAS</v>
      </c>
      <c r="J12" s="1">
        <f t="shared" ca="1" si="7"/>
        <v>0</v>
      </c>
      <c r="K12">
        <v>7</v>
      </c>
      <c r="L12" s="1" t="s">
        <v>9</v>
      </c>
      <c r="M12" s="8" t="str">
        <f t="shared" ca="1" si="3"/>
        <v>LAL</v>
      </c>
      <c r="N12" s="1">
        <f t="shared" ca="1" si="8"/>
        <v>0</v>
      </c>
      <c r="O12" s="8" t="s">
        <v>186</v>
      </c>
      <c r="P12" s="8" t="str">
        <f t="shared" ca="1" si="4"/>
        <v>SAS</v>
      </c>
      <c r="Q12" s="1">
        <f t="shared" ca="1" si="5"/>
        <v>0</v>
      </c>
    </row>
    <row r="13" spans="1:17" ht="15" customHeight="1" x14ac:dyDescent="0.25">
      <c r="A13" s="1">
        <v>12</v>
      </c>
      <c r="B13" s="1">
        <v>6</v>
      </c>
      <c r="C13" s="8" t="str">
        <f t="shared" ca="1" si="0"/>
        <v>2012_01_06_LAL@SAS</v>
      </c>
      <c r="D13" s="1" t="str">
        <f t="shared" ca="1" si="6"/>
        <v>2012_01_06</v>
      </c>
      <c r="E13" s="8" t="str">
        <f t="shared" ca="1" si="1"/>
        <v>West</v>
      </c>
      <c r="F13" s="8" t="s">
        <v>158</v>
      </c>
      <c r="G13">
        <v>2</v>
      </c>
      <c r="H13" s="1" t="s">
        <v>472</v>
      </c>
      <c r="I13" s="8" t="str">
        <f t="shared" ca="1" si="2"/>
        <v>SAS</v>
      </c>
      <c r="J13" s="1">
        <f t="shared" ca="1" si="7"/>
        <v>1</v>
      </c>
      <c r="K13">
        <v>7</v>
      </c>
      <c r="L13" s="1" t="s">
        <v>473</v>
      </c>
      <c r="M13" s="8" t="str">
        <f t="shared" ca="1" si="3"/>
        <v>LAL</v>
      </c>
      <c r="N13" s="1">
        <f t="shared" ca="1" si="8"/>
        <v>0</v>
      </c>
      <c r="O13" s="8" t="s">
        <v>186</v>
      </c>
      <c r="P13" s="8" t="str">
        <f t="shared" ca="1" si="4"/>
        <v>SAS</v>
      </c>
      <c r="Q13" s="1">
        <f t="shared" ca="1" si="5"/>
        <v>0</v>
      </c>
    </row>
    <row r="14" spans="1:17" ht="15" customHeight="1" x14ac:dyDescent="0.25">
      <c r="A14" s="1">
        <v>13</v>
      </c>
      <c r="B14" s="1">
        <v>7</v>
      </c>
      <c r="C14" s="8" t="str">
        <f t="shared" ca="1" si="0"/>
        <v>2012_01_07_GSW@DEN</v>
      </c>
      <c r="D14" s="1" t="str">
        <f t="shared" ca="1" si="6"/>
        <v>2012_01_07</v>
      </c>
      <c r="E14" s="8" t="str">
        <f t="shared" ca="1" si="1"/>
        <v>West</v>
      </c>
      <c r="F14" s="8" t="s">
        <v>157</v>
      </c>
      <c r="G14">
        <v>3</v>
      </c>
      <c r="H14" s="1" t="s">
        <v>18</v>
      </c>
      <c r="I14" s="8" t="str">
        <f t="shared" ca="1" si="2"/>
        <v>DEN</v>
      </c>
      <c r="J14" s="1">
        <f t="shared" ca="1" si="7"/>
        <v>0</v>
      </c>
      <c r="K14">
        <v>6</v>
      </c>
      <c r="L14" s="1" t="s">
        <v>473</v>
      </c>
      <c r="M14" s="8" t="str">
        <f t="shared" ca="1" si="3"/>
        <v>GSW</v>
      </c>
      <c r="N14" s="1">
        <f t="shared" ca="1" si="8"/>
        <v>0</v>
      </c>
      <c r="O14" s="8" t="s">
        <v>186</v>
      </c>
      <c r="P14" s="8" t="str">
        <f t="shared" ca="1" si="4"/>
        <v>GSW</v>
      </c>
      <c r="Q14" s="1">
        <f t="shared" ca="1" si="5"/>
        <v>0</v>
      </c>
    </row>
    <row r="15" spans="1:17" ht="15" customHeight="1" x14ac:dyDescent="0.25">
      <c r="A15" s="1">
        <v>14</v>
      </c>
      <c r="B15" s="1">
        <v>7</v>
      </c>
      <c r="C15" s="8" t="str">
        <f t="shared" ca="1" si="0"/>
        <v>2012_01_07_GSW@DEN</v>
      </c>
      <c r="D15" s="1" t="str">
        <f t="shared" ca="1" si="6"/>
        <v>2012_01_07</v>
      </c>
      <c r="E15" s="8" t="str">
        <f t="shared" ca="1" si="1"/>
        <v>West</v>
      </c>
      <c r="F15" s="8" t="s">
        <v>158</v>
      </c>
      <c r="G15">
        <v>3</v>
      </c>
      <c r="H15" s="1" t="s">
        <v>14</v>
      </c>
      <c r="I15" s="8" t="str">
        <f t="shared" ca="1" si="2"/>
        <v>DEN</v>
      </c>
      <c r="J15" s="1">
        <f t="shared" ca="1" si="7"/>
        <v>0</v>
      </c>
      <c r="K15">
        <v>6</v>
      </c>
      <c r="L15" s="1" t="s">
        <v>469</v>
      </c>
      <c r="M15" s="8" t="str">
        <f t="shared" ca="1" si="3"/>
        <v>GSW</v>
      </c>
      <c r="N15" s="1">
        <f t="shared" ca="1" si="8"/>
        <v>0</v>
      </c>
      <c r="O15" s="8" t="s">
        <v>186</v>
      </c>
      <c r="P15" s="8" t="str">
        <f t="shared" ca="1" si="4"/>
        <v>GSW</v>
      </c>
      <c r="Q15" s="1">
        <f t="shared" ca="1" si="5"/>
        <v>0</v>
      </c>
    </row>
    <row r="16" spans="1:17" ht="15" customHeight="1" x14ac:dyDescent="0.25">
      <c r="A16" s="1">
        <v>15</v>
      </c>
      <c r="B16" s="1">
        <v>8</v>
      </c>
      <c r="C16" s="8" t="str">
        <f t="shared" ca="1" si="0"/>
        <v>2012_01_08_MEM@LAC</v>
      </c>
      <c r="D16" s="1" t="str">
        <f t="shared" ca="1" si="6"/>
        <v>2012_01_08</v>
      </c>
      <c r="E16" s="8" t="str">
        <f t="shared" ca="1" si="1"/>
        <v>West</v>
      </c>
      <c r="F16" s="8" t="s">
        <v>157</v>
      </c>
      <c r="G16">
        <v>4</v>
      </c>
      <c r="H16" s="1" t="s">
        <v>23</v>
      </c>
      <c r="I16" s="8" t="str">
        <f t="shared" ca="1" si="2"/>
        <v>LAC</v>
      </c>
      <c r="J16" s="1">
        <f t="shared" ca="1" si="7"/>
        <v>0</v>
      </c>
      <c r="K16">
        <v>5</v>
      </c>
      <c r="L16" s="1" t="s">
        <v>14</v>
      </c>
      <c r="M16" s="8" t="str">
        <f t="shared" ca="1" si="3"/>
        <v>MEM</v>
      </c>
      <c r="N16" s="1">
        <f t="shared" ca="1" si="8"/>
        <v>0</v>
      </c>
      <c r="O16" s="8" t="s">
        <v>186</v>
      </c>
      <c r="P16" s="8" t="str">
        <f t="shared" ca="1" si="4"/>
        <v>MEM</v>
      </c>
      <c r="Q16" s="1">
        <f t="shared" ca="1" si="5"/>
        <v>0</v>
      </c>
    </row>
    <row r="17" spans="1:17" ht="15" customHeight="1" x14ac:dyDescent="0.25">
      <c r="A17" s="1">
        <v>16</v>
      </c>
      <c r="B17" s="1">
        <v>8</v>
      </c>
      <c r="C17" s="8" t="str">
        <f t="shared" ca="1" si="0"/>
        <v>2012_01_08_MEM@LAC</v>
      </c>
      <c r="D17" s="1" t="str">
        <f t="shared" ca="1" si="6"/>
        <v>2012_01_08</v>
      </c>
      <c r="E17" s="8" t="str">
        <f t="shared" ca="1" si="1"/>
        <v>West</v>
      </c>
      <c r="F17" s="8" t="s">
        <v>158</v>
      </c>
      <c r="G17">
        <v>4</v>
      </c>
      <c r="H17" s="1" t="s">
        <v>18</v>
      </c>
      <c r="I17" s="8" t="str">
        <f t="shared" ca="1" si="2"/>
        <v>LAC</v>
      </c>
      <c r="J17" s="1">
        <f t="shared" ca="1" si="7"/>
        <v>0</v>
      </c>
      <c r="K17">
        <v>5</v>
      </c>
      <c r="L17" s="1" t="s">
        <v>23</v>
      </c>
      <c r="M17" s="8" t="str">
        <f t="shared" ca="1" si="3"/>
        <v>MEM</v>
      </c>
      <c r="N17" s="1">
        <f t="shared" ca="1" si="8"/>
        <v>0</v>
      </c>
      <c r="O17" s="8" t="s">
        <v>186</v>
      </c>
      <c r="P17" s="8" t="str">
        <f t="shared" ca="1" si="4"/>
        <v>MEM</v>
      </c>
      <c r="Q17" s="1">
        <f t="shared" ca="1" si="5"/>
        <v>0</v>
      </c>
    </row>
    <row r="18" spans="1:17" ht="15" customHeight="1" x14ac:dyDescent="0.25">
      <c r="A18" s="1">
        <v>17</v>
      </c>
      <c r="B18" s="1">
        <v>13</v>
      </c>
      <c r="C18" s="8" t="str">
        <f t="shared" ca="1" si="0"/>
        <v>2012_03_01_IND@MIA</v>
      </c>
      <c r="D18" s="1" t="str">
        <f t="shared" ca="1" si="6"/>
        <v>2012_03_01</v>
      </c>
      <c r="E18" s="8" t="str">
        <f t="shared" ca="1" si="1"/>
        <v>East</v>
      </c>
      <c r="F18" s="8" t="s">
        <v>157</v>
      </c>
      <c r="G18" s="1"/>
      <c r="H18" s="1" t="s">
        <v>15</v>
      </c>
      <c r="I18" s="8" t="str">
        <f t="shared" ca="1" si="2"/>
        <v>MIA</v>
      </c>
      <c r="J18" s="1">
        <f t="shared" ca="1" si="7"/>
        <v>1</v>
      </c>
      <c r="K18" s="1"/>
      <c r="L18" s="1" t="s">
        <v>17</v>
      </c>
      <c r="M18" s="8" t="str">
        <f t="shared" ca="1" si="3"/>
        <v>IND</v>
      </c>
      <c r="N18" s="1">
        <f t="shared" ca="1" si="8"/>
        <v>0</v>
      </c>
      <c r="O18" s="8" t="s">
        <v>15</v>
      </c>
      <c r="P18" s="8" t="str">
        <f t="shared" ca="1" si="4"/>
        <v>MIA</v>
      </c>
      <c r="Q18" s="1">
        <f t="shared" ca="1" si="5"/>
        <v>1</v>
      </c>
    </row>
    <row r="19" spans="1:17" ht="15" customHeight="1" x14ac:dyDescent="0.25">
      <c r="A19" s="1">
        <v>18</v>
      </c>
      <c r="B19" s="1">
        <v>13</v>
      </c>
      <c r="C19" s="8" t="str">
        <f t="shared" ca="1" si="0"/>
        <v>2012_03_01_IND@MIA</v>
      </c>
      <c r="D19" s="1" t="str">
        <f t="shared" ca="1" si="6"/>
        <v>2012_03_01</v>
      </c>
      <c r="E19" s="8" t="str">
        <f t="shared" ca="1" si="1"/>
        <v>East</v>
      </c>
      <c r="F19" s="8" t="s">
        <v>158</v>
      </c>
      <c r="G19" s="1"/>
      <c r="H19" s="1" t="s">
        <v>15</v>
      </c>
      <c r="I19" s="8" t="str">
        <f t="shared" ca="1" si="2"/>
        <v>MIA</v>
      </c>
      <c r="J19" s="1">
        <f t="shared" ca="1" si="7"/>
        <v>1</v>
      </c>
      <c r="K19" s="1"/>
      <c r="L19" s="1" t="s">
        <v>17</v>
      </c>
      <c r="M19" s="8" t="str">
        <f t="shared" ca="1" si="3"/>
        <v>IND</v>
      </c>
      <c r="N19" s="1">
        <f t="shared" ca="1" si="8"/>
        <v>0</v>
      </c>
      <c r="O19" s="8" t="s">
        <v>15</v>
      </c>
      <c r="P19" s="8" t="str">
        <f t="shared" ca="1" si="4"/>
        <v>MIA</v>
      </c>
      <c r="Q19" s="1">
        <f t="shared" ca="1" si="5"/>
        <v>1</v>
      </c>
    </row>
    <row r="20" spans="1:17" ht="15" customHeight="1" x14ac:dyDescent="0.25">
      <c r="A20" s="1">
        <v>19</v>
      </c>
      <c r="B20" s="1">
        <v>14</v>
      </c>
      <c r="C20" s="8" t="str">
        <f t="shared" ca="1" si="0"/>
        <v>2012_03_02_MEM@SAS</v>
      </c>
      <c r="D20" s="1" t="str">
        <f t="shared" ca="1" si="6"/>
        <v>2012_03_02</v>
      </c>
      <c r="E20" s="8" t="str">
        <f t="shared" ca="1" si="1"/>
        <v>West</v>
      </c>
      <c r="F20" s="8" t="s">
        <v>157</v>
      </c>
      <c r="G20" s="1"/>
      <c r="H20" s="1" t="s">
        <v>472</v>
      </c>
      <c r="I20" s="8" t="str">
        <f t="shared" ca="1" si="2"/>
        <v>SAS</v>
      </c>
      <c r="J20" s="1">
        <f t="shared" ca="1" si="7"/>
        <v>1</v>
      </c>
      <c r="K20" s="1"/>
      <c r="L20" s="1" t="s">
        <v>12</v>
      </c>
      <c r="M20" s="8" t="str">
        <f t="shared" ca="1" si="3"/>
        <v>MEM</v>
      </c>
      <c r="N20" s="1">
        <f t="shared" ca="1" si="8"/>
        <v>0</v>
      </c>
      <c r="O20" s="8" t="s">
        <v>472</v>
      </c>
      <c r="P20" s="8" t="str">
        <f t="shared" ca="1" si="4"/>
        <v>SAS</v>
      </c>
      <c r="Q20" s="1">
        <f t="shared" ca="1" si="5"/>
        <v>1</v>
      </c>
    </row>
    <row r="21" spans="1:17" ht="15" customHeight="1" x14ac:dyDescent="0.25">
      <c r="A21" s="1">
        <v>20</v>
      </c>
      <c r="B21" s="1">
        <v>14</v>
      </c>
      <c r="C21" s="8" t="str">
        <f t="shared" ca="1" si="0"/>
        <v>2012_03_02_MEM@SAS</v>
      </c>
      <c r="D21" s="1" t="str">
        <f t="shared" ca="1" si="6"/>
        <v>2012_03_02</v>
      </c>
      <c r="E21" s="8" t="str">
        <f t="shared" ca="1" si="1"/>
        <v>West</v>
      </c>
      <c r="F21" s="8" t="s">
        <v>158</v>
      </c>
      <c r="G21" s="1"/>
      <c r="H21" s="8" t="s">
        <v>472</v>
      </c>
      <c r="I21" s="8" t="str">
        <f t="shared" ca="1" si="2"/>
        <v>SAS</v>
      </c>
      <c r="J21" s="1">
        <f t="shared" ca="1" si="7"/>
        <v>1</v>
      </c>
      <c r="K21" s="1"/>
      <c r="L21" s="8" t="s">
        <v>12</v>
      </c>
      <c r="M21" s="8" t="str">
        <f t="shared" ca="1" si="3"/>
        <v>MEM</v>
      </c>
      <c r="N21" s="1">
        <f t="shared" ca="1" si="8"/>
        <v>0</v>
      </c>
      <c r="O21" s="8" t="s">
        <v>472</v>
      </c>
      <c r="P21" s="8" t="str">
        <f t="shared" ca="1" si="4"/>
        <v>SAS</v>
      </c>
      <c r="Q21" s="1">
        <f t="shared" ca="1" si="5"/>
        <v>1</v>
      </c>
    </row>
    <row r="22" spans="1:17" ht="15" customHeight="1" x14ac:dyDescent="0.25">
      <c r="A22" s="1">
        <v>21</v>
      </c>
      <c r="B22" s="1">
        <v>15</v>
      </c>
      <c r="C22" s="8" t="str">
        <f t="shared" ca="1" si="0"/>
        <v>2012_04_01_SAS@MIA</v>
      </c>
      <c r="D22" s="1" t="str">
        <f t="shared" ca="1" si="6"/>
        <v>2012_04_01</v>
      </c>
      <c r="E22" s="8" t="str">
        <f t="shared" ca="1" si="1"/>
        <v>na</v>
      </c>
      <c r="F22" s="8" t="s">
        <v>157</v>
      </c>
      <c r="G22" s="1"/>
      <c r="H22" s="1" t="s">
        <v>15</v>
      </c>
      <c r="I22" s="8" t="str">
        <f t="shared" ca="1" si="2"/>
        <v>MIA</v>
      </c>
      <c r="J22" s="1">
        <f t="shared" ca="1" si="7"/>
        <v>1</v>
      </c>
      <c r="K22" s="1"/>
      <c r="L22" s="1" t="s">
        <v>472</v>
      </c>
      <c r="M22" s="8" t="str">
        <f t="shared" ca="1" si="3"/>
        <v>SAS</v>
      </c>
      <c r="N22" s="1">
        <f t="shared" ca="1" si="8"/>
        <v>1</v>
      </c>
      <c r="O22" s="8" t="s">
        <v>472</v>
      </c>
      <c r="P22" s="8" t="str">
        <f t="shared" ca="1" si="4"/>
        <v>MIA</v>
      </c>
      <c r="Q22" s="1">
        <f t="shared" ca="1" si="5"/>
        <v>0</v>
      </c>
    </row>
    <row r="23" spans="1:17" ht="15" customHeight="1" x14ac:dyDescent="0.25">
      <c r="A23" s="1">
        <v>22</v>
      </c>
      <c r="B23" s="1">
        <v>15</v>
      </c>
      <c r="C23" s="8" t="str">
        <f t="shared" ca="1" si="0"/>
        <v>2012_04_01_SAS@MIA</v>
      </c>
      <c r="D23" s="1" t="str">
        <f t="shared" ca="1" si="6"/>
        <v>2012_04_01</v>
      </c>
      <c r="E23" s="8" t="str">
        <f t="shared" ca="1" si="1"/>
        <v>na</v>
      </c>
      <c r="F23" s="8" t="s">
        <v>158</v>
      </c>
      <c r="G23" s="1"/>
      <c r="H23" s="1" t="s">
        <v>15</v>
      </c>
      <c r="I23" s="8" t="str">
        <f t="shared" ca="1" si="2"/>
        <v>MIA</v>
      </c>
      <c r="J23" s="1">
        <f t="shared" ca="1" si="7"/>
        <v>1</v>
      </c>
      <c r="K23" s="1"/>
      <c r="L23" s="1" t="s">
        <v>472</v>
      </c>
      <c r="M23" s="8" t="str">
        <f t="shared" ca="1" si="3"/>
        <v>SAS</v>
      </c>
      <c r="N23" s="1">
        <f t="shared" ca="1" si="8"/>
        <v>1</v>
      </c>
      <c r="O23" s="8" t="s">
        <v>472</v>
      </c>
      <c r="P23" s="8" t="str">
        <f t="shared" ca="1" si="4"/>
        <v>MIA</v>
      </c>
      <c r="Q23" s="1">
        <f t="shared" ca="1" si="5"/>
        <v>0</v>
      </c>
    </row>
    <row r="24" spans="1:17" ht="15" customHeight="1" x14ac:dyDescent="0.25">
      <c r="A24" s="1">
        <v>23</v>
      </c>
      <c r="B24" s="1">
        <v>16</v>
      </c>
      <c r="C24" s="8" t="str">
        <f t="shared" ca="1" si="0"/>
        <v>2013_01_01_ATL@IND</v>
      </c>
      <c r="D24" s="1" t="str">
        <f t="shared" ca="1" si="6"/>
        <v>2013_01_01</v>
      </c>
      <c r="E24" s="8" t="str">
        <f t="shared" ca="1" si="1"/>
        <v>East</v>
      </c>
      <c r="F24" s="8" t="s">
        <v>157</v>
      </c>
      <c r="G24">
        <v>1</v>
      </c>
      <c r="H24" s="1" t="s">
        <v>0</v>
      </c>
      <c r="I24" s="8" t="str">
        <f t="shared" ca="1" si="2"/>
        <v>IND</v>
      </c>
      <c r="J24" s="1">
        <f t="shared" ca="1" si="7"/>
        <v>0</v>
      </c>
      <c r="K24">
        <v>8</v>
      </c>
      <c r="L24" s="1" t="s">
        <v>474</v>
      </c>
      <c r="M24" s="8" t="str">
        <f t="shared" ca="1" si="3"/>
        <v>ATL</v>
      </c>
      <c r="N24" s="1">
        <f t="shared" ca="1" si="8"/>
        <v>0</v>
      </c>
      <c r="O24" s="8" t="s">
        <v>186</v>
      </c>
      <c r="P24" s="8" t="str">
        <f t="shared" ca="1" si="4"/>
        <v>IND</v>
      </c>
      <c r="Q24" s="1">
        <f t="shared" ca="1" si="5"/>
        <v>0</v>
      </c>
    </row>
    <row r="25" spans="1:17" ht="15" customHeight="1" x14ac:dyDescent="0.25">
      <c r="A25" s="1">
        <v>24</v>
      </c>
      <c r="B25" s="1">
        <v>16</v>
      </c>
      <c r="C25" s="8" t="str">
        <f t="shared" ca="1" si="0"/>
        <v>2013_01_01_ATL@IND</v>
      </c>
      <c r="D25" s="1" t="str">
        <f t="shared" ca="1" si="6"/>
        <v>2013_01_01</v>
      </c>
      <c r="E25" s="8" t="str">
        <f t="shared" ca="1" si="1"/>
        <v>East</v>
      </c>
      <c r="F25" s="8" t="s">
        <v>158</v>
      </c>
      <c r="G25">
        <v>1</v>
      </c>
      <c r="H25" s="1" t="s">
        <v>0</v>
      </c>
      <c r="I25" s="8" t="str">
        <f t="shared" ca="1" si="2"/>
        <v>IND</v>
      </c>
      <c r="J25" s="1">
        <f t="shared" ca="1" si="7"/>
        <v>0</v>
      </c>
      <c r="K25">
        <v>8</v>
      </c>
      <c r="L25" s="1" t="s">
        <v>10</v>
      </c>
      <c r="M25" s="8" t="str">
        <f t="shared" ca="1" si="3"/>
        <v>ATL</v>
      </c>
      <c r="N25" s="1">
        <f t="shared" ca="1" si="8"/>
        <v>0</v>
      </c>
      <c r="O25" s="8" t="s">
        <v>186</v>
      </c>
      <c r="P25" s="8" t="str">
        <f t="shared" ca="1" si="4"/>
        <v>IND</v>
      </c>
      <c r="Q25" s="1">
        <f t="shared" ca="1" si="5"/>
        <v>0</v>
      </c>
    </row>
    <row r="26" spans="1:17" ht="15" customHeight="1" x14ac:dyDescent="0.25">
      <c r="A26" s="1">
        <v>25</v>
      </c>
      <c r="B26" s="1">
        <v>17</v>
      </c>
      <c r="C26" s="8" t="str">
        <f t="shared" ca="1" si="0"/>
        <v>2013_01_02_CHO@MIA</v>
      </c>
      <c r="D26" s="1" t="str">
        <f t="shared" ca="1" si="6"/>
        <v>2013_01_02</v>
      </c>
      <c r="E26" s="8" t="str">
        <f t="shared" ca="1" si="1"/>
        <v>East</v>
      </c>
      <c r="F26" s="8" t="s">
        <v>157</v>
      </c>
      <c r="G26">
        <v>2</v>
      </c>
      <c r="H26" s="1" t="s">
        <v>15</v>
      </c>
      <c r="I26" s="8" t="str">
        <f t="shared" ca="1" si="2"/>
        <v>MIA</v>
      </c>
      <c r="J26" s="1">
        <f t="shared" ca="1" si="7"/>
        <v>1</v>
      </c>
      <c r="K26">
        <v>7</v>
      </c>
      <c r="L26" s="1" t="s">
        <v>7</v>
      </c>
      <c r="M26" s="8" t="str">
        <f t="shared" ca="1" si="3"/>
        <v>CHO</v>
      </c>
      <c r="N26" s="1">
        <f t="shared" ca="1" si="8"/>
        <v>0</v>
      </c>
      <c r="O26" s="8" t="s">
        <v>186</v>
      </c>
      <c r="P26" s="8" t="str">
        <f t="shared" ca="1" si="4"/>
        <v>MIA</v>
      </c>
      <c r="Q26" s="1">
        <f t="shared" ca="1" si="5"/>
        <v>0</v>
      </c>
    </row>
    <row r="27" spans="1:17" ht="15" customHeight="1" x14ac:dyDescent="0.25">
      <c r="A27" s="1">
        <v>26</v>
      </c>
      <c r="B27" s="1">
        <v>17</v>
      </c>
      <c r="C27" s="8" t="str">
        <f t="shared" ca="1" si="0"/>
        <v>2013_01_02_CHO@MIA</v>
      </c>
      <c r="D27" s="1" t="str">
        <f t="shared" ca="1" si="6"/>
        <v>2013_01_02</v>
      </c>
      <c r="E27" s="8" t="str">
        <f t="shared" ca="1" si="1"/>
        <v>East</v>
      </c>
      <c r="F27" s="8" t="s">
        <v>158</v>
      </c>
      <c r="G27">
        <v>2</v>
      </c>
      <c r="H27" s="1" t="s">
        <v>15</v>
      </c>
      <c r="I27" s="8" t="str">
        <f t="shared" ca="1" si="2"/>
        <v>MIA</v>
      </c>
      <c r="J27" s="1">
        <f t="shared" ca="1" si="7"/>
        <v>1</v>
      </c>
      <c r="K27">
        <v>7</v>
      </c>
      <c r="L27" s="1" t="s">
        <v>7</v>
      </c>
      <c r="M27" s="8" t="str">
        <f t="shared" ca="1" si="3"/>
        <v>CHO</v>
      </c>
      <c r="N27" s="1">
        <f t="shared" ca="1" si="8"/>
        <v>0</v>
      </c>
      <c r="O27" s="8" t="s">
        <v>186</v>
      </c>
      <c r="P27" s="8" t="str">
        <f t="shared" ca="1" si="4"/>
        <v>MIA</v>
      </c>
      <c r="Q27" s="1">
        <f t="shared" ca="1" si="5"/>
        <v>0</v>
      </c>
    </row>
    <row r="28" spans="1:17" ht="15" customHeight="1" x14ac:dyDescent="0.25">
      <c r="A28" s="1">
        <v>27</v>
      </c>
      <c r="B28" s="1">
        <v>18</v>
      </c>
      <c r="C28" s="8" t="str">
        <f t="shared" ca="1" si="0"/>
        <v>2013_01_03_BRK@TOR</v>
      </c>
      <c r="D28" s="1" t="str">
        <f t="shared" ca="1" si="6"/>
        <v>2013_01_03</v>
      </c>
      <c r="E28" s="8" t="str">
        <f t="shared" ca="1" si="1"/>
        <v>East</v>
      </c>
      <c r="F28" s="8" t="s">
        <v>157</v>
      </c>
      <c r="G28">
        <v>3</v>
      </c>
      <c r="H28" s="1" t="s">
        <v>80</v>
      </c>
      <c r="I28" s="8" t="str">
        <f t="shared" ca="1" si="2"/>
        <v>TOR</v>
      </c>
      <c r="J28" s="1">
        <f t="shared" ca="1" si="7"/>
        <v>0</v>
      </c>
      <c r="K28">
        <v>6</v>
      </c>
      <c r="L28" s="1" t="s">
        <v>5</v>
      </c>
      <c r="M28" s="8" t="str">
        <f t="shared" ca="1" si="3"/>
        <v>BRK</v>
      </c>
      <c r="N28" s="1">
        <f t="shared" ca="1" si="8"/>
        <v>0</v>
      </c>
      <c r="O28" s="8" t="s">
        <v>186</v>
      </c>
      <c r="P28" s="8" t="str">
        <f t="shared" ca="1" si="4"/>
        <v>BRK</v>
      </c>
      <c r="Q28" s="1">
        <f t="shared" ca="1" si="5"/>
        <v>0</v>
      </c>
    </row>
    <row r="29" spans="1:17" ht="15" customHeight="1" x14ac:dyDescent="0.25">
      <c r="A29" s="1">
        <v>28</v>
      </c>
      <c r="B29" s="1">
        <v>18</v>
      </c>
      <c r="C29" s="8" t="str">
        <f t="shared" ca="1" si="0"/>
        <v>2013_01_03_BRK@TOR</v>
      </c>
      <c r="D29" s="1" t="str">
        <f t="shared" ca="1" si="6"/>
        <v>2013_01_03</v>
      </c>
      <c r="E29" s="8" t="str">
        <f t="shared" ca="1" si="1"/>
        <v>East</v>
      </c>
      <c r="F29" s="8" t="s">
        <v>158</v>
      </c>
      <c r="G29">
        <v>3</v>
      </c>
      <c r="H29" s="1" t="s">
        <v>13</v>
      </c>
      <c r="I29" s="8" t="str">
        <f t="shared" ca="1" si="2"/>
        <v>TOR</v>
      </c>
      <c r="J29" s="1">
        <f t="shared" ca="1" si="7"/>
        <v>0</v>
      </c>
      <c r="K29">
        <v>6</v>
      </c>
      <c r="L29" s="1" t="s">
        <v>470</v>
      </c>
      <c r="M29" s="8" t="str">
        <f t="shared" ca="1" si="3"/>
        <v>BRK</v>
      </c>
      <c r="N29" s="1">
        <f t="shared" ca="1" si="8"/>
        <v>0</v>
      </c>
      <c r="O29" s="8" t="s">
        <v>186</v>
      </c>
      <c r="P29" s="8" t="str">
        <f t="shared" ca="1" si="4"/>
        <v>BRK</v>
      </c>
      <c r="Q29" s="1">
        <f t="shared" ca="1" si="5"/>
        <v>0</v>
      </c>
    </row>
    <row r="30" spans="1:17" ht="15" customHeight="1" x14ac:dyDescent="0.25">
      <c r="A30" s="1">
        <v>29</v>
      </c>
      <c r="B30" s="1">
        <v>19</v>
      </c>
      <c r="C30" s="8" t="str">
        <f t="shared" ca="1" si="0"/>
        <v>2013_01_04_WAS@CHI</v>
      </c>
      <c r="D30" s="1" t="str">
        <f t="shared" ca="1" si="6"/>
        <v>2013_01_04</v>
      </c>
      <c r="E30" s="8" t="str">
        <f t="shared" ca="1" si="1"/>
        <v>East</v>
      </c>
      <c r="F30" s="8" t="s">
        <v>157</v>
      </c>
      <c r="G30">
        <v>4</v>
      </c>
      <c r="H30" s="1" t="s">
        <v>13</v>
      </c>
      <c r="I30" s="8" t="str">
        <f t="shared" ca="1" si="2"/>
        <v>CHI</v>
      </c>
      <c r="J30" s="1">
        <f t="shared" ca="1" si="7"/>
        <v>0</v>
      </c>
      <c r="K30">
        <v>5</v>
      </c>
      <c r="L30" s="1" t="s">
        <v>470</v>
      </c>
      <c r="M30" s="8" t="str">
        <f t="shared" ca="1" si="3"/>
        <v>WAS</v>
      </c>
      <c r="N30" s="1">
        <f t="shared" ca="1" si="8"/>
        <v>0</v>
      </c>
      <c r="O30" s="8" t="s">
        <v>186</v>
      </c>
      <c r="P30" s="8" t="str">
        <f t="shared" ca="1" si="4"/>
        <v>WAS</v>
      </c>
      <c r="Q30" s="1">
        <f t="shared" ca="1" si="5"/>
        <v>0</v>
      </c>
    </row>
    <row r="31" spans="1:17" ht="15" customHeight="1" x14ac:dyDescent="0.25">
      <c r="A31" s="1">
        <v>30</v>
      </c>
      <c r="B31" s="1">
        <v>19</v>
      </c>
      <c r="C31" s="8" t="str">
        <f t="shared" ca="1" si="0"/>
        <v>2013_01_04_WAS@CHI</v>
      </c>
      <c r="D31" s="1" t="str">
        <f t="shared" ca="1" si="6"/>
        <v>2013_01_04</v>
      </c>
      <c r="E31" s="8" t="str">
        <f t="shared" ca="1" si="1"/>
        <v>East</v>
      </c>
      <c r="F31" s="8" t="s">
        <v>158</v>
      </c>
      <c r="G31">
        <v>4</v>
      </c>
      <c r="H31" s="1" t="s">
        <v>80</v>
      </c>
      <c r="I31" s="8" t="str">
        <f t="shared" ca="1" si="2"/>
        <v>CHI</v>
      </c>
      <c r="J31" s="1">
        <f t="shared" ca="1" si="7"/>
        <v>0</v>
      </c>
      <c r="K31">
        <v>5</v>
      </c>
      <c r="L31" s="1" t="s">
        <v>474</v>
      </c>
      <c r="M31" s="8" t="str">
        <f t="shared" ca="1" si="3"/>
        <v>WAS</v>
      </c>
      <c r="N31" s="1">
        <f t="shared" ca="1" si="8"/>
        <v>1</v>
      </c>
      <c r="O31" s="8" t="s">
        <v>186</v>
      </c>
      <c r="P31" s="8" t="str">
        <f t="shared" ca="1" si="4"/>
        <v>WAS</v>
      </c>
      <c r="Q31" s="1">
        <f t="shared" ca="1" si="5"/>
        <v>0</v>
      </c>
    </row>
    <row r="32" spans="1:17" ht="15" customHeight="1" x14ac:dyDescent="0.25">
      <c r="A32" s="1">
        <v>31</v>
      </c>
      <c r="B32" s="1">
        <v>20</v>
      </c>
      <c r="C32" s="8" t="str">
        <f t="shared" ca="1" si="0"/>
        <v>2013_01_05_DAL@SAS</v>
      </c>
      <c r="D32" s="1" t="str">
        <f t="shared" ca="1" si="6"/>
        <v>2013_01_05</v>
      </c>
      <c r="E32" s="8" t="str">
        <f t="shared" ca="1" si="1"/>
        <v>West</v>
      </c>
      <c r="F32" s="8" t="s">
        <v>157</v>
      </c>
      <c r="G32">
        <v>1</v>
      </c>
      <c r="H32" s="1" t="s">
        <v>14</v>
      </c>
      <c r="I32" s="8" t="str">
        <f t="shared" ca="1" si="2"/>
        <v>SAS</v>
      </c>
      <c r="J32" s="1">
        <f t="shared" ca="1" si="7"/>
        <v>0</v>
      </c>
      <c r="K32">
        <v>8</v>
      </c>
      <c r="L32" s="1" t="s">
        <v>3</v>
      </c>
      <c r="M32" s="8" t="str">
        <f t="shared" ca="1" si="3"/>
        <v>DAL</v>
      </c>
      <c r="N32" s="1">
        <f t="shared" ca="1" si="8"/>
        <v>0</v>
      </c>
      <c r="O32" s="8" t="s">
        <v>186</v>
      </c>
      <c r="P32" s="8" t="str">
        <f t="shared" ca="1" si="4"/>
        <v>SAS</v>
      </c>
      <c r="Q32" s="1">
        <f t="shared" ca="1" si="5"/>
        <v>0</v>
      </c>
    </row>
    <row r="33" spans="1:17" ht="15" customHeight="1" x14ac:dyDescent="0.25">
      <c r="A33" s="1">
        <v>32</v>
      </c>
      <c r="B33" s="1">
        <v>20</v>
      </c>
      <c r="C33" s="8" t="str">
        <f t="shared" ca="1" si="0"/>
        <v>2013_01_05_DAL@SAS</v>
      </c>
      <c r="D33" s="1" t="str">
        <f t="shared" ca="1" si="6"/>
        <v>2013_01_05</v>
      </c>
      <c r="E33" s="8" t="str">
        <f t="shared" ca="1" si="1"/>
        <v>West</v>
      </c>
      <c r="F33" s="8" t="s">
        <v>158</v>
      </c>
      <c r="G33">
        <v>1</v>
      </c>
      <c r="H33" s="1" t="s">
        <v>472</v>
      </c>
      <c r="I33" s="8" t="str">
        <f t="shared" ca="1" si="2"/>
        <v>SAS</v>
      </c>
      <c r="J33" s="1">
        <f t="shared" ca="1" si="7"/>
        <v>1</v>
      </c>
      <c r="K33">
        <v>8</v>
      </c>
      <c r="L33" s="1" t="s">
        <v>3</v>
      </c>
      <c r="M33" s="8" t="str">
        <f t="shared" ca="1" si="3"/>
        <v>DAL</v>
      </c>
      <c r="N33" s="1">
        <f t="shared" ca="1" si="8"/>
        <v>0</v>
      </c>
      <c r="O33" s="8" t="s">
        <v>186</v>
      </c>
      <c r="P33" s="8" t="str">
        <f t="shared" ca="1" si="4"/>
        <v>SAS</v>
      </c>
      <c r="Q33" s="1">
        <f t="shared" ca="1" si="5"/>
        <v>0</v>
      </c>
    </row>
    <row r="34" spans="1:17" ht="15" customHeight="1" x14ac:dyDescent="0.25">
      <c r="A34" s="1">
        <v>33</v>
      </c>
      <c r="B34" s="1">
        <v>21</v>
      </c>
      <c r="C34" s="8" t="str">
        <f t="shared" ref="C34:C65" ca="1" si="9">IFERROR(VLOOKUP($B34,nba_plyff_results,MATCH(C$1,nba_plyff_results_header,0),FALSE),"error")</f>
        <v>2013_01_06_MEM@OKC</v>
      </c>
      <c r="D34" s="1" t="str">
        <f t="shared" ca="1" si="6"/>
        <v>2013_01_06</v>
      </c>
      <c r="E34" s="8" t="str">
        <f t="shared" ref="E34:E65" ca="1" si="10">IFERROR(IF(VLOOKUP($B34,nba_plyff_results,MATCH(E$1,nba_plyff_results_header,0),FALSE)="","",VLOOKUP($B34,nba_plyff_results,MATCH(E$1,nba_plyff_results_header,0),FALSE)),"error")</f>
        <v>West</v>
      </c>
      <c r="F34" s="8" t="s">
        <v>157</v>
      </c>
      <c r="G34">
        <v>2</v>
      </c>
      <c r="H34" s="1" t="s">
        <v>472</v>
      </c>
      <c r="I34" s="8" t="str">
        <f t="shared" ref="I34:I65" ca="1" si="11">IFERROR(IF(VLOOKUP($B34,nba_plyff_results,MATCH(I$1,nba_plyff_results_header,0),FALSE)="","",VLOOKUP($B34,nba_plyff_results,MATCH(I$1,nba_plyff_results_header,0),FALSE)),"error")</f>
        <v>OKC</v>
      </c>
      <c r="J34" s="1">
        <f t="shared" ca="1" si="7"/>
        <v>0</v>
      </c>
      <c r="K34">
        <v>7</v>
      </c>
      <c r="L34" s="1" t="s">
        <v>1</v>
      </c>
      <c r="M34" s="8" t="str">
        <f t="shared" ref="M34:M65" ca="1" si="12">IFERROR(IF(VLOOKUP($B34,nba_plyff_results,MATCH(M$1,nba_plyff_results_header,0),FALSE)="","",VLOOKUP($B34,nba_plyff_results,MATCH(M$1,nba_plyff_results_header,0),FALSE)),"error")</f>
        <v>MEM</v>
      </c>
      <c r="N34" s="1">
        <f t="shared" ca="1" si="8"/>
        <v>0</v>
      </c>
      <c r="O34" s="8" t="s">
        <v>186</v>
      </c>
      <c r="P34" s="8" t="str">
        <f t="shared" ref="P34:P65" ca="1" si="13">IFERROR(IF(VLOOKUP($B34,nba_plyff_results,MATCH(P$1,nba_plyff_results_header,0),FALSE)="","",VLOOKUP($B34,nba_plyff_results,MATCH(P$1,nba_plyff_results_header,0),FALSE)),"error")</f>
        <v>OKC</v>
      </c>
      <c r="Q34" s="1">
        <f t="shared" ref="Q34:Q65" ca="1" si="14">IF(O34="error","error",IF(OR(ISBLANK(O34),ISBLANK(P34),O34="",P34=""),"",IF(O34=P34,1,0)))</f>
        <v>0</v>
      </c>
    </row>
    <row r="35" spans="1:17" ht="15" customHeight="1" x14ac:dyDescent="0.25">
      <c r="A35" s="1">
        <v>34</v>
      </c>
      <c r="B35" s="1">
        <v>21</v>
      </c>
      <c r="C35" s="8" t="str">
        <f t="shared" ca="1" si="9"/>
        <v>2013_01_06_MEM@OKC</v>
      </c>
      <c r="D35" s="1" t="str">
        <f t="shared" ca="1" si="6"/>
        <v>2013_01_06</v>
      </c>
      <c r="E35" s="8" t="str">
        <f t="shared" ca="1" si="10"/>
        <v>West</v>
      </c>
      <c r="F35" s="8" t="s">
        <v>158</v>
      </c>
      <c r="G35">
        <v>2</v>
      </c>
      <c r="H35" s="1" t="s">
        <v>14</v>
      </c>
      <c r="I35" s="8" t="str">
        <f t="shared" ca="1" si="11"/>
        <v>OKC</v>
      </c>
      <c r="J35" s="1">
        <f t="shared" ca="1" si="7"/>
        <v>0</v>
      </c>
      <c r="K35">
        <v>7</v>
      </c>
      <c r="L35" s="1" t="s">
        <v>1</v>
      </c>
      <c r="M35" s="8" t="str">
        <f t="shared" ca="1" si="12"/>
        <v>MEM</v>
      </c>
      <c r="N35" s="1">
        <f t="shared" ca="1" si="8"/>
        <v>0</v>
      </c>
      <c r="O35" s="8" t="s">
        <v>186</v>
      </c>
      <c r="P35" s="8" t="str">
        <f t="shared" ca="1" si="13"/>
        <v>OKC</v>
      </c>
      <c r="Q35" s="1">
        <f t="shared" ca="1" si="14"/>
        <v>0</v>
      </c>
    </row>
    <row r="36" spans="1:17" ht="15" customHeight="1" x14ac:dyDescent="0.25">
      <c r="A36" s="1">
        <v>35</v>
      </c>
      <c r="B36" s="1">
        <v>22</v>
      </c>
      <c r="C36" s="8" t="str">
        <f t="shared" ca="1" si="9"/>
        <v>2013_01_07_GSW@LAC</v>
      </c>
      <c r="D36" s="1" t="str">
        <f t="shared" ca="1" si="6"/>
        <v>2013_01_07</v>
      </c>
      <c r="E36" s="8" t="str">
        <f t="shared" ca="1" si="10"/>
        <v>West</v>
      </c>
      <c r="F36" s="8" t="s">
        <v>157</v>
      </c>
      <c r="G36">
        <v>3</v>
      </c>
      <c r="H36" s="1" t="s">
        <v>4</v>
      </c>
      <c r="I36" s="8" t="str">
        <f t="shared" ca="1" si="11"/>
        <v>LAC</v>
      </c>
      <c r="J36" s="1">
        <f t="shared" ca="1" si="7"/>
        <v>0</v>
      </c>
      <c r="K36">
        <v>6</v>
      </c>
      <c r="L36" s="1" t="s">
        <v>9</v>
      </c>
      <c r="M36" s="8" t="str">
        <f t="shared" ca="1" si="12"/>
        <v>GSW</v>
      </c>
      <c r="N36" s="1">
        <f t="shared" ca="1" si="8"/>
        <v>0</v>
      </c>
      <c r="O36" s="8" t="s">
        <v>186</v>
      </c>
      <c r="P36" s="8" t="str">
        <f t="shared" ca="1" si="13"/>
        <v>LAC</v>
      </c>
      <c r="Q36" s="1">
        <f t="shared" ca="1" si="14"/>
        <v>0</v>
      </c>
    </row>
    <row r="37" spans="1:17" ht="15" customHeight="1" x14ac:dyDescent="0.25">
      <c r="A37" s="1">
        <v>36</v>
      </c>
      <c r="B37" s="1">
        <v>22</v>
      </c>
      <c r="C37" s="8" t="str">
        <f t="shared" ca="1" si="9"/>
        <v>2013_01_07_GSW@LAC</v>
      </c>
      <c r="D37" s="1" t="str">
        <f t="shared" ca="1" si="6"/>
        <v>2013_01_07</v>
      </c>
      <c r="E37" s="8" t="str">
        <f t="shared" ca="1" si="10"/>
        <v>West</v>
      </c>
      <c r="F37" s="8" t="s">
        <v>158</v>
      </c>
      <c r="G37">
        <v>3</v>
      </c>
      <c r="H37" s="1" t="s">
        <v>4</v>
      </c>
      <c r="I37" s="8" t="str">
        <f t="shared" ca="1" si="11"/>
        <v>LAC</v>
      </c>
      <c r="J37" s="1">
        <f t="shared" ca="1" si="7"/>
        <v>0</v>
      </c>
      <c r="K37">
        <v>6</v>
      </c>
      <c r="L37" s="1" t="s">
        <v>468</v>
      </c>
      <c r="M37" s="8" t="str">
        <f t="shared" ca="1" si="12"/>
        <v>GSW</v>
      </c>
      <c r="N37" s="1">
        <f t="shared" ca="1" si="8"/>
        <v>1</v>
      </c>
      <c r="O37" s="8" t="s">
        <v>186</v>
      </c>
      <c r="P37" s="8" t="str">
        <f t="shared" ca="1" si="13"/>
        <v>LAC</v>
      </c>
      <c r="Q37" s="1">
        <f t="shared" ca="1" si="14"/>
        <v>0</v>
      </c>
    </row>
    <row r="38" spans="1:17" ht="15" customHeight="1" x14ac:dyDescent="0.25">
      <c r="A38" s="1">
        <v>37</v>
      </c>
      <c r="B38" s="1">
        <v>23</v>
      </c>
      <c r="C38" s="8" t="str">
        <f t="shared" ca="1" si="9"/>
        <v>2013_01_08_POR@HOU</v>
      </c>
      <c r="D38" s="1" t="str">
        <f t="shared" ca="1" si="6"/>
        <v>2013_01_08</v>
      </c>
      <c r="E38" s="8" t="str">
        <f t="shared" ca="1" si="10"/>
        <v>West</v>
      </c>
      <c r="F38" s="8" t="s">
        <v>157</v>
      </c>
      <c r="G38">
        <v>4</v>
      </c>
      <c r="H38" s="1" t="s">
        <v>12</v>
      </c>
      <c r="I38" s="8" t="str">
        <f t="shared" ca="1" si="11"/>
        <v>HOU</v>
      </c>
      <c r="J38" s="1">
        <f t="shared" ca="1" si="7"/>
        <v>0</v>
      </c>
      <c r="K38">
        <v>5</v>
      </c>
      <c r="L38" s="1" t="s">
        <v>468</v>
      </c>
      <c r="M38" s="8" t="str">
        <f t="shared" ca="1" si="12"/>
        <v>POR</v>
      </c>
      <c r="N38" s="1">
        <f t="shared" ca="1" si="8"/>
        <v>0</v>
      </c>
      <c r="O38" s="8" t="s">
        <v>186</v>
      </c>
      <c r="P38" s="8" t="str">
        <f t="shared" ca="1" si="13"/>
        <v>POR</v>
      </c>
      <c r="Q38" s="1">
        <f t="shared" ca="1" si="14"/>
        <v>0</v>
      </c>
    </row>
    <row r="39" spans="1:17" ht="15" customHeight="1" x14ac:dyDescent="0.25">
      <c r="A39" s="1">
        <v>38</v>
      </c>
      <c r="B39" s="1">
        <v>23</v>
      </c>
      <c r="C39" s="8" t="str">
        <f t="shared" ca="1" si="9"/>
        <v>2013_01_08_POR@HOU</v>
      </c>
      <c r="D39" s="1" t="str">
        <f t="shared" ca="1" si="6"/>
        <v>2013_01_08</v>
      </c>
      <c r="E39" s="8" t="str">
        <f t="shared" ca="1" si="10"/>
        <v>West</v>
      </c>
      <c r="F39" s="8" t="s">
        <v>158</v>
      </c>
      <c r="G39">
        <v>4</v>
      </c>
      <c r="H39" s="1" t="s">
        <v>12</v>
      </c>
      <c r="I39" s="8" t="str">
        <f t="shared" ca="1" si="11"/>
        <v>HOU</v>
      </c>
      <c r="J39" s="1">
        <f t="shared" ca="1" si="7"/>
        <v>0</v>
      </c>
      <c r="K39">
        <v>5</v>
      </c>
      <c r="L39" s="1" t="s">
        <v>9</v>
      </c>
      <c r="M39" s="8" t="str">
        <f t="shared" ca="1" si="12"/>
        <v>POR</v>
      </c>
      <c r="N39" s="1">
        <f t="shared" ca="1" si="8"/>
        <v>0</v>
      </c>
      <c r="O39" s="8" t="s">
        <v>186</v>
      </c>
      <c r="P39" s="8" t="str">
        <f t="shared" ca="1" si="13"/>
        <v>POR</v>
      </c>
      <c r="Q39" s="1">
        <f t="shared" ca="1" si="14"/>
        <v>0</v>
      </c>
    </row>
    <row r="40" spans="1:17" ht="15" customHeight="1" x14ac:dyDescent="0.25">
      <c r="A40" s="1">
        <v>39</v>
      </c>
      <c r="B40" s="1">
        <v>28</v>
      </c>
      <c r="C40" s="8" t="str">
        <f t="shared" ca="1" si="9"/>
        <v>2013_03_01_MIA@IND</v>
      </c>
      <c r="D40" s="1" t="str">
        <f t="shared" ca="1" si="6"/>
        <v>2013_03_01</v>
      </c>
      <c r="E40" s="8" t="str">
        <f t="shared" ca="1" si="10"/>
        <v>East</v>
      </c>
      <c r="F40" s="8" t="s">
        <v>157</v>
      </c>
      <c r="G40" s="7"/>
      <c r="H40" s="1" t="s">
        <v>0</v>
      </c>
      <c r="I40" s="8" t="str">
        <f t="shared" ca="1" si="11"/>
        <v>IND</v>
      </c>
      <c r="J40" s="1">
        <f t="shared" ca="1" si="7"/>
        <v>0</v>
      </c>
      <c r="K40" s="7"/>
      <c r="L40" s="1" t="s">
        <v>15</v>
      </c>
      <c r="M40" s="8" t="str">
        <f t="shared" ca="1" si="12"/>
        <v>MIA</v>
      </c>
      <c r="N40" s="1">
        <f t="shared" ca="1" si="8"/>
        <v>1</v>
      </c>
      <c r="O40" s="8" t="s">
        <v>0</v>
      </c>
      <c r="P40" s="8" t="str">
        <f t="shared" ca="1" si="13"/>
        <v>MIA</v>
      </c>
      <c r="Q40" s="1">
        <f t="shared" ca="1" si="14"/>
        <v>0</v>
      </c>
    </row>
    <row r="41" spans="1:17" ht="15" customHeight="1" x14ac:dyDescent="0.25">
      <c r="A41" s="1">
        <v>40</v>
      </c>
      <c r="B41" s="1">
        <v>28</v>
      </c>
      <c r="C41" s="8" t="str">
        <f t="shared" ca="1" si="9"/>
        <v>2013_03_01_MIA@IND</v>
      </c>
      <c r="D41" s="1" t="str">
        <f t="shared" ca="1" si="6"/>
        <v>2013_03_01</v>
      </c>
      <c r="E41" s="8" t="str">
        <f t="shared" ca="1" si="10"/>
        <v>East</v>
      </c>
      <c r="F41" s="8" t="s">
        <v>158</v>
      </c>
      <c r="G41" s="7"/>
      <c r="H41" s="1" t="s">
        <v>80</v>
      </c>
      <c r="I41" s="8" t="str">
        <f t="shared" ca="1" si="11"/>
        <v>IND</v>
      </c>
      <c r="J41" s="1">
        <f t="shared" ca="1" si="7"/>
        <v>0</v>
      </c>
      <c r="K41" s="7"/>
      <c r="L41" s="1" t="s">
        <v>15</v>
      </c>
      <c r="M41" s="8" t="str">
        <f t="shared" ca="1" si="12"/>
        <v>MIA</v>
      </c>
      <c r="N41" s="1">
        <f t="shared" ca="1" si="8"/>
        <v>1</v>
      </c>
      <c r="O41" s="8" t="s">
        <v>15</v>
      </c>
      <c r="P41" s="8" t="str">
        <f t="shared" ca="1" si="13"/>
        <v>MIA</v>
      </c>
      <c r="Q41" s="1">
        <f t="shared" ca="1" si="14"/>
        <v>1</v>
      </c>
    </row>
    <row r="42" spans="1:17" ht="15" customHeight="1" x14ac:dyDescent="0.25">
      <c r="A42" s="1">
        <v>41</v>
      </c>
      <c r="B42" s="1">
        <v>29</v>
      </c>
      <c r="C42" s="8" t="str">
        <f t="shared" ca="1" si="9"/>
        <v>2013_03_02_OKC@SAS</v>
      </c>
      <c r="D42" s="1" t="str">
        <f t="shared" ca="1" si="6"/>
        <v>2013_03_02</v>
      </c>
      <c r="E42" s="8" t="str">
        <f t="shared" ca="1" si="10"/>
        <v>West</v>
      </c>
      <c r="F42" s="8" t="s">
        <v>157</v>
      </c>
      <c r="G42" s="7"/>
      <c r="H42" s="1" t="s">
        <v>14</v>
      </c>
      <c r="I42" s="8" t="str">
        <f t="shared" ca="1" si="11"/>
        <v>SAS</v>
      </c>
      <c r="J42" s="1">
        <f t="shared" ca="1" si="7"/>
        <v>0</v>
      </c>
      <c r="K42" s="7"/>
      <c r="L42" s="1" t="s">
        <v>4</v>
      </c>
      <c r="M42" s="8" t="str">
        <f t="shared" ca="1" si="12"/>
        <v>OKC</v>
      </c>
      <c r="N42" s="1">
        <f t="shared" ca="1" si="8"/>
        <v>0</v>
      </c>
      <c r="O42" s="8" t="s">
        <v>472</v>
      </c>
      <c r="P42" s="8" t="str">
        <f t="shared" ca="1" si="13"/>
        <v>SAS</v>
      </c>
      <c r="Q42" s="1">
        <f t="shared" ca="1" si="14"/>
        <v>1</v>
      </c>
    </row>
    <row r="43" spans="1:17" ht="15" customHeight="1" x14ac:dyDescent="0.25">
      <c r="A43" s="1">
        <v>42</v>
      </c>
      <c r="B43" s="1">
        <v>29</v>
      </c>
      <c r="C43" s="8" t="str">
        <f t="shared" ca="1" si="9"/>
        <v>2013_03_02_OKC@SAS</v>
      </c>
      <c r="D43" s="1" t="str">
        <f t="shared" ca="1" si="6"/>
        <v>2013_03_02</v>
      </c>
      <c r="E43" s="8" t="str">
        <f t="shared" ca="1" si="10"/>
        <v>West</v>
      </c>
      <c r="F43" s="8" t="s">
        <v>158</v>
      </c>
      <c r="G43" s="7"/>
      <c r="H43" s="1" t="s">
        <v>472</v>
      </c>
      <c r="I43" s="8" t="str">
        <f t="shared" ca="1" si="11"/>
        <v>SAS</v>
      </c>
      <c r="J43" s="1">
        <f t="shared" ca="1" si="7"/>
        <v>1</v>
      </c>
      <c r="K43" s="7"/>
      <c r="L43" s="1" t="s">
        <v>4</v>
      </c>
      <c r="M43" s="8" t="str">
        <f t="shared" ca="1" si="12"/>
        <v>OKC</v>
      </c>
      <c r="N43" s="1">
        <f t="shared" ca="1" si="8"/>
        <v>0</v>
      </c>
      <c r="O43" s="8" t="s">
        <v>472</v>
      </c>
      <c r="P43" s="8" t="str">
        <f t="shared" ca="1" si="13"/>
        <v>SAS</v>
      </c>
      <c r="Q43" s="1">
        <f t="shared" ca="1" si="14"/>
        <v>1</v>
      </c>
    </row>
    <row r="44" spans="1:17" ht="15" customHeight="1" x14ac:dyDescent="0.25">
      <c r="A44" s="1">
        <v>43</v>
      </c>
      <c r="B44" s="1">
        <v>30</v>
      </c>
      <c r="C44" s="8" t="str">
        <f t="shared" ca="1" si="9"/>
        <v>2013_04_01_MIA@SAS</v>
      </c>
      <c r="D44" s="1" t="str">
        <f t="shared" ca="1" si="6"/>
        <v>2013_04_01</v>
      </c>
      <c r="E44" s="8" t="str">
        <f t="shared" ca="1" si="10"/>
        <v>na</v>
      </c>
      <c r="F44" s="8" t="s">
        <v>157</v>
      </c>
      <c r="G44" s="7"/>
      <c r="H44" s="8" t="s">
        <v>0</v>
      </c>
      <c r="I44" s="8" t="str">
        <f t="shared" ca="1" si="11"/>
        <v>SAS</v>
      </c>
      <c r="J44" s="1">
        <f t="shared" ca="1" si="7"/>
        <v>0</v>
      </c>
      <c r="K44" s="7"/>
      <c r="L44" s="8" t="s">
        <v>4</v>
      </c>
      <c r="M44" s="8" t="str">
        <f t="shared" ca="1" si="12"/>
        <v>MIA</v>
      </c>
      <c r="N44" s="1">
        <f t="shared" ca="1" si="8"/>
        <v>0</v>
      </c>
      <c r="O44" s="8" t="s">
        <v>0</v>
      </c>
      <c r="P44" s="8" t="str">
        <f t="shared" ca="1" si="13"/>
        <v>SAS</v>
      </c>
      <c r="Q44" s="1">
        <f t="shared" ca="1" si="14"/>
        <v>0</v>
      </c>
    </row>
    <row r="45" spans="1:17" ht="15" customHeight="1" x14ac:dyDescent="0.25">
      <c r="A45" s="1">
        <v>44</v>
      </c>
      <c r="B45" s="1">
        <v>30</v>
      </c>
      <c r="C45" s="8" t="str">
        <f t="shared" ca="1" si="9"/>
        <v>2013_04_01_MIA@SAS</v>
      </c>
      <c r="D45" s="1" t="str">
        <f t="shared" ca="1" si="6"/>
        <v>2013_04_01</v>
      </c>
      <c r="E45" s="8" t="str">
        <f t="shared" ca="1" si="10"/>
        <v>na</v>
      </c>
      <c r="F45" s="8" t="s">
        <v>158</v>
      </c>
      <c r="G45" s="7"/>
      <c r="H45" s="1" t="s">
        <v>15</v>
      </c>
      <c r="I45" s="8" t="str">
        <f t="shared" ca="1" si="11"/>
        <v>SAS</v>
      </c>
      <c r="J45" s="1">
        <f t="shared" ca="1" si="7"/>
        <v>0</v>
      </c>
      <c r="K45" s="1"/>
      <c r="L45" s="1" t="s">
        <v>472</v>
      </c>
      <c r="M45" s="8" t="str">
        <f t="shared" ca="1" si="12"/>
        <v>MIA</v>
      </c>
      <c r="N45" s="1">
        <f t="shared" ca="1" si="8"/>
        <v>0</v>
      </c>
      <c r="O45" s="8" t="s">
        <v>15</v>
      </c>
      <c r="P45" s="8" t="str">
        <f t="shared" ca="1" si="13"/>
        <v>SAS</v>
      </c>
      <c r="Q45" s="1">
        <f t="shared" ca="1" si="14"/>
        <v>0</v>
      </c>
    </row>
    <row r="46" spans="1:17" ht="15" customHeight="1" x14ac:dyDescent="0.25">
      <c r="A46" s="1">
        <v>45</v>
      </c>
      <c r="B46" s="1">
        <v>31</v>
      </c>
      <c r="C46" s="8" t="str">
        <f t="shared" ca="1" si="9"/>
        <v>2014_01_01_BRK@ATL</v>
      </c>
      <c r="D46" s="1" t="str">
        <f t="shared" ca="1" si="6"/>
        <v>2014_01_01</v>
      </c>
      <c r="E46" s="8" t="str">
        <f t="shared" ca="1" si="10"/>
        <v>East</v>
      </c>
      <c r="F46" s="8" t="s">
        <v>157</v>
      </c>
      <c r="G46">
        <v>1</v>
      </c>
      <c r="H46" s="8" t="s">
        <v>6</v>
      </c>
      <c r="I46" s="8" t="str">
        <f t="shared" ca="1" si="11"/>
        <v>ATL</v>
      </c>
      <c r="J46" s="1">
        <f t="shared" ca="1" si="7"/>
        <v>0</v>
      </c>
      <c r="K46">
        <v>8</v>
      </c>
      <c r="L46" s="8" t="s">
        <v>470</v>
      </c>
      <c r="M46" s="8" t="str">
        <f t="shared" ca="1" si="12"/>
        <v>BRK</v>
      </c>
      <c r="N46" s="1">
        <f t="shared" ca="1" si="8"/>
        <v>0</v>
      </c>
      <c r="O46" s="8" t="s">
        <v>186</v>
      </c>
      <c r="P46" s="8" t="str">
        <f t="shared" ca="1" si="13"/>
        <v>ATL</v>
      </c>
      <c r="Q46" s="1">
        <f t="shared" ca="1" si="14"/>
        <v>0</v>
      </c>
    </row>
    <row r="47" spans="1:17" ht="15" customHeight="1" x14ac:dyDescent="0.25">
      <c r="A47" s="1">
        <v>46</v>
      </c>
      <c r="B47" s="1">
        <v>31</v>
      </c>
      <c r="C47" s="8" t="str">
        <f t="shared" ca="1" si="9"/>
        <v>2014_01_01_BRK@ATL</v>
      </c>
      <c r="D47" s="1" t="str">
        <f t="shared" ca="1" si="6"/>
        <v>2014_01_01</v>
      </c>
      <c r="E47" s="8" t="str">
        <f t="shared" ca="1" si="10"/>
        <v>East</v>
      </c>
      <c r="F47" s="8" t="s">
        <v>158</v>
      </c>
      <c r="G47">
        <v>1</v>
      </c>
      <c r="H47" s="8" t="s">
        <v>0</v>
      </c>
      <c r="I47" s="8" t="str">
        <f t="shared" ca="1" si="11"/>
        <v>ATL</v>
      </c>
      <c r="J47" s="1">
        <f t="shared" ca="1" si="7"/>
        <v>0</v>
      </c>
      <c r="K47">
        <v>8</v>
      </c>
      <c r="L47" s="8" t="s">
        <v>15</v>
      </c>
      <c r="M47" s="8" t="str">
        <f t="shared" ca="1" si="12"/>
        <v>BRK</v>
      </c>
      <c r="N47" s="1">
        <f t="shared" ca="1" si="8"/>
        <v>0</v>
      </c>
      <c r="O47" s="8" t="s">
        <v>186</v>
      </c>
      <c r="P47" s="8" t="str">
        <f t="shared" ca="1" si="13"/>
        <v>ATL</v>
      </c>
      <c r="Q47" s="1">
        <f t="shared" ca="1" si="14"/>
        <v>0</v>
      </c>
    </row>
    <row r="48" spans="1:17" ht="15" customHeight="1" x14ac:dyDescent="0.25">
      <c r="A48" s="1">
        <v>47</v>
      </c>
      <c r="B48" s="1">
        <v>32</v>
      </c>
      <c r="C48" s="8" t="str">
        <f t="shared" ca="1" si="9"/>
        <v>2014_01_02_BOS@CLE</v>
      </c>
      <c r="D48" s="1" t="str">
        <f t="shared" ca="1" si="6"/>
        <v>2014_01_02</v>
      </c>
      <c r="E48" s="8" t="str">
        <f t="shared" ca="1" si="10"/>
        <v>East</v>
      </c>
      <c r="F48" s="8" t="s">
        <v>157</v>
      </c>
      <c r="G48">
        <v>2</v>
      </c>
      <c r="H48" s="8" t="s">
        <v>0</v>
      </c>
      <c r="I48" s="8" t="str">
        <f t="shared" ca="1" si="11"/>
        <v>CLE</v>
      </c>
      <c r="J48" s="1">
        <f t="shared" ca="1" si="7"/>
        <v>0</v>
      </c>
      <c r="K48">
        <v>7</v>
      </c>
      <c r="L48" s="8" t="s">
        <v>15</v>
      </c>
      <c r="M48" s="8" t="str">
        <f t="shared" ca="1" si="12"/>
        <v>BOS</v>
      </c>
      <c r="N48" s="1">
        <f t="shared" ca="1" si="8"/>
        <v>0</v>
      </c>
      <c r="O48" s="8" t="s">
        <v>186</v>
      </c>
      <c r="P48" s="8" t="str">
        <f t="shared" ca="1" si="13"/>
        <v>CLE</v>
      </c>
      <c r="Q48" s="1">
        <f t="shared" ca="1" si="14"/>
        <v>0</v>
      </c>
    </row>
    <row r="49" spans="1:17" ht="15" customHeight="1" x14ac:dyDescent="0.25">
      <c r="A49" s="1">
        <v>48</v>
      </c>
      <c r="B49" s="1">
        <v>32</v>
      </c>
      <c r="C49" s="8" t="str">
        <f t="shared" ca="1" si="9"/>
        <v>2014_01_02_BOS@CLE</v>
      </c>
      <c r="D49" s="1" t="str">
        <f t="shared" ca="1" si="6"/>
        <v>2014_01_02</v>
      </c>
      <c r="E49" s="8" t="str">
        <f t="shared" ca="1" si="10"/>
        <v>East</v>
      </c>
      <c r="F49" s="8" t="s">
        <v>158</v>
      </c>
      <c r="G49">
        <v>2</v>
      </c>
      <c r="H49" s="8" t="s">
        <v>6</v>
      </c>
      <c r="I49" s="8" t="str">
        <f t="shared" ca="1" si="11"/>
        <v>CLE</v>
      </c>
      <c r="J49" s="1">
        <f t="shared" ca="1" si="7"/>
        <v>1</v>
      </c>
      <c r="K49">
        <v>7</v>
      </c>
      <c r="L49" s="8" t="s">
        <v>470</v>
      </c>
      <c r="M49" s="8" t="str">
        <f t="shared" ca="1" si="12"/>
        <v>BOS</v>
      </c>
      <c r="N49" s="1">
        <f t="shared" ca="1" si="8"/>
        <v>0</v>
      </c>
      <c r="O49" s="8" t="s">
        <v>186</v>
      </c>
      <c r="P49" s="8" t="str">
        <f t="shared" ca="1" si="13"/>
        <v>CLE</v>
      </c>
      <c r="Q49" s="1">
        <f t="shared" ca="1" si="14"/>
        <v>0</v>
      </c>
    </row>
    <row r="50" spans="1:17" ht="15" customHeight="1" x14ac:dyDescent="0.25">
      <c r="A50" s="1">
        <v>49</v>
      </c>
      <c r="B50" s="1">
        <v>33</v>
      </c>
      <c r="C50" s="8" t="str">
        <f t="shared" ca="1" si="9"/>
        <v>2014_01_03_MIL@CHI</v>
      </c>
      <c r="D50" s="1" t="str">
        <f t="shared" ca="1" si="6"/>
        <v>2014_01_03</v>
      </c>
      <c r="E50" s="8" t="str">
        <f t="shared" ca="1" si="10"/>
        <v>East</v>
      </c>
      <c r="F50" s="8" t="s">
        <v>157</v>
      </c>
      <c r="G50">
        <v>3</v>
      </c>
      <c r="H50" s="8" t="s">
        <v>2</v>
      </c>
      <c r="I50" s="8" t="str">
        <f t="shared" ca="1" si="11"/>
        <v>CHI</v>
      </c>
      <c r="J50" s="1">
        <f t="shared" ca="1" si="7"/>
        <v>0</v>
      </c>
      <c r="K50">
        <v>6</v>
      </c>
      <c r="L50" s="8" t="s">
        <v>474</v>
      </c>
      <c r="M50" s="8" t="str">
        <f t="shared" ca="1" si="12"/>
        <v>MIL</v>
      </c>
      <c r="N50" s="1">
        <f t="shared" ca="1" si="8"/>
        <v>0</v>
      </c>
      <c r="O50" s="8" t="s">
        <v>186</v>
      </c>
      <c r="P50" s="8" t="str">
        <f t="shared" ca="1" si="13"/>
        <v>CHI</v>
      </c>
      <c r="Q50" s="1">
        <f t="shared" ca="1" si="14"/>
        <v>0</v>
      </c>
    </row>
    <row r="51" spans="1:17" ht="15" customHeight="1" x14ac:dyDescent="0.25">
      <c r="A51" s="1">
        <v>50</v>
      </c>
      <c r="B51" s="1">
        <v>33</v>
      </c>
      <c r="C51" s="8" t="str">
        <f t="shared" ca="1" si="9"/>
        <v>2014_01_03_MIL@CHI</v>
      </c>
      <c r="D51" s="1" t="str">
        <f t="shared" ca="1" si="6"/>
        <v>2014_01_03</v>
      </c>
      <c r="E51" s="8" t="str">
        <f t="shared" ca="1" si="10"/>
        <v>East</v>
      </c>
      <c r="F51" s="8" t="s">
        <v>158</v>
      </c>
      <c r="G51">
        <v>3</v>
      </c>
      <c r="H51" s="8" t="s">
        <v>474</v>
      </c>
      <c r="I51" s="8" t="str">
        <f t="shared" ca="1" si="11"/>
        <v>CHI</v>
      </c>
      <c r="J51" s="1">
        <f t="shared" ca="1" si="7"/>
        <v>0</v>
      </c>
      <c r="K51">
        <v>6</v>
      </c>
      <c r="L51" s="8" t="s">
        <v>467</v>
      </c>
      <c r="M51" s="8" t="str">
        <f t="shared" ca="1" si="12"/>
        <v>MIL</v>
      </c>
      <c r="N51" s="1">
        <f t="shared" ca="1" si="8"/>
        <v>0</v>
      </c>
      <c r="O51" s="8" t="s">
        <v>186</v>
      </c>
      <c r="P51" s="8" t="str">
        <f t="shared" ca="1" si="13"/>
        <v>CHI</v>
      </c>
      <c r="Q51" s="1">
        <f t="shared" ca="1" si="14"/>
        <v>0</v>
      </c>
    </row>
    <row r="52" spans="1:17" ht="15" customHeight="1" x14ac:dyDescent="0.25">
      <c r="A52" s="1">
        <v>51</v>
      </c>
      <c r="B52" s="1">
        <v>34</v>
      </c>
      <c r="C52" s="8" t="str">
        <f t="shared" ca="1" si="9"/>
        <v>2014_01_04_WAS@TOR</v>
      </c>
      <c r="D52" s="1" t="str">
        <f t="shared" ca="1" si="6"/>
        <v>2014_01_04</v>
      </c>
      <c r="E52" s="8" t="str">
        <f t="shared" ca="1" si="10"/>
        <v>East</v>
      </c>
      <c r="F52" s="8" t="s">
        <v>157</v>
      </c>
      <c r="G52">
        <v>4</v>
      </c>
      <c r="H52" s="8" t="s">
        <v>467</v>
      </c>
      <c r="I52" s="8" t="str">
        <f t="shared" ca="1" si="11"/>
        <v>TOR</v>
      </c>
      <c r="J52" s="1">
        <f t="shared" ca="1" si="7"/>
        <v>0</v>
      </c>
      <c r="K52">
        <v>5</v>
      </c>
      <c r="L52" s="8" t="s">
        <v>5</v>
      </c>
      <c r="M52" s="8" t="str">
        <f t="shared" ca="1" si="12"/>
        <v>WAS</v>
      </c>
      <c r="N52" s="1">
        <f t="shared" ca="1" si="8"/>
        <v>0</v>
      </c>
      <c r="O52" s="8" t="s">
        <v>186</v>
      </c>
      <c r="P52" s="8" t="str">
        <f t="shared" ca="1" si="13"/>
        <v>WAS</v>
      </c>
      <c r="Q52" s="1">
        <f t="shared" ca="1" si="14"/>
        <v>0</v>
      </c>
    </row>
    <row r="53" spans="1:17" ht="15" customHeight="1" x14ac:dyDescent="0.25">
      <c r="A53" s="1">
        <v>52</v>
      </c>
      <c r="B53" s="1">
        <v>34</v>
      </c>
      <c r="C53" s="8" t="str">
        <f t="shared" ca="1" si="9"/>
        <v>2014_01_04_WAS@TOR</v>
      </c>
      <c r="D53" s="1" t="str">
        <f t="shared" ca="1" si="6"/>
        <v>2014_01_04</v>
      </c>
      <c r="E53" s="8" t="str">
        <f t="shared" ca="1" si="10"/>
        <v>East</v>
      </c>
      <c r="F53" s="8" t="s">
        <v>158</v>
      </c>
      <c r="G53">
        <v>4</v>
      </c>
      <c r="H53" s="8" t="s">
        <v>2</v>
      </c>
      <c r="I53" s="8" t="str">
        <f t="shared" ca="1" si="11"/>
        <v>TOR</v>
      </c>
      <c r="J53" s="1">
        <f t="shared" ca="1" si="7"/>
        <v>1</v>
      </c>
      <c r="K53">
        <v>5</v>
      </c>
      <c r="L53" s="8" t="s">
        <v>5</v>
      </c>
      <c r="M53" s="8" t="str">
        <f t="shared" ca="1" si="12"/>
        <v>WAS</v>
      </c>
      <c r="N53" s="1">
        <f t="shared" ca="1" si="8"/>
        <v>0</v>
      </c>
      <c r="O53" s="8" t="s">
        <v>186</v>
      </c>
      <c r="P53" s="8" t="str">
        <f t="shared" ca="1" si="13"/>
        <v>WAS</v>
      </c>
      <c r="Q53" s="1">
        <f t="shared" ca="1" si="14"/>
        <v>0</v>
      </c>
    </row>
    <row r="54" spans="1:17" ht="15" customHeight="1" x14ac:dyDescent="0.25">
      <c r="A54" s="1">
        <v>53</v>
      </c>
      <c r="B54" s="1">
        <v>35</v>
      </c>
      <c r="C54" s="8" t="str">
        <f t="shared" ca="1" si="9"/>
        <v>2014_01_05_NOP@GSW</v>
      </c>
      <c r="D54" s="1" t="str">
        <f t="shared" ca="1" si="6"/>
        <v>2014_01_05</v>
      </c>
      <c r="E54" s="8" t="str">
        <f t="shared" ca="1" si="10"/>
        <v>West</v>
      </c>
      <c r="F54" s="8" t="s">
        <v>157</v>
      </c>
      <c r="G54">
        <v>1</v>
      </c>
      <c r="H54" s="8" t="s">
        <v>14</v>
      </c>
      <c r="I54" s="8" t="str">
        <f t="shared" ca="1" si="11"/>
        <v>GSW</v>
      </c>
      <c r="J54" s="1">
        <f t="shared" ca="1" si="7"/>
        <v>0</v>
      </c>
      <c r="K54">
        <v>8</v>
      </c>
      <c r="L54" s="8" t="s">
        <v>1</v>
      </c>
      <c r="M54" s="8" t="str">
        <f t="shared" ca="1" si="12"/>
        <v>NOP</v>
      </c>
      <c r="N54" s="1">
        <f t="shared" ca="1" si="8"/>
        <v>0</v>
      </c>
      <c r="O54" s="8" t="s">
        <v>186</v>
      </c>
      <c r="P54" s="8" t="str">
        <f t="shared" ca="1" si="13"/>
        <v>GSW</v>
      </c>
      <c r="Q54" s="1">
        <f t="shared" ca="1" si="14"/>
        <v>0</v>
      </c>
    </row>
    <row r="55" spans="1:17" ht="15" customHeight="1" x14ac:dyDescent="0.25">
      <c r="A55" s="1">
        <v>54</v>
      </c>
      <c r="B55" s="1">
        <v>35</v>
      </c>
      <c r="C55" s="8" t="str">
        <f t="shared" ca="1" si="9"/>
        <v>2014_01_05_NOP@GSW</v>
      </c>
      <c r="D55" s="1" t="str">
        <f t="shared" ca="1" si="6"/>
        <v>2014_01_05</v>
      </c>
      <c r="E55" s="8" t="str">
        <f t="shared" ca="1" si="10"/>
        <v>West</v>
      </c>
      <c r="F55" s="8" t="s">
        <v>158</v>
      </c>
      <c r="G55">
        <v>1</v>
      </c>
      <c r="H55" s="8" t="s">
        <v>14</v>
      </c>
      <c r="I55" s="8" t="str">
        <f t="shared" ca="1" si="11"/>
        <v>GSW</v>
      </c>
      <c r="J55" s="1">
        <f t="shared" ca="1" si="7"/>
        <v>0</v>
      </c>
      <c r="K55">
        <v>8</v>
      </c>
      <c r="L55" s="8" t="s">
        <v>469</v>
      </c>
      <c r="M55" s="8" t="str">
        <f t="shared" ca="1" si="12"/>
        <v>NOP</v>
      </c>
      <c r="N55" s="1">
        <f t="shared" ca="1" si="8"/>
        <v>1</v>
      </c>
      <c r="O55" s="8" t="s">
        <v>186</v>
      </c>
      <c r="P55" s="8" t="str">
        <f t="shared" ca="1" si="13"/>
        <v>GSW</v>
      </c>
      <c r="Q55" s="1">
        <f t="shared" ca="1" si="14"/>
        <v>0</v>
      </c>
    </row>
    <row r="56" spans="1:17" ht="15" customHeight="1" x14ac:dyDescent="0.25">
      <c r="A56" s="1">
        <v>55</v>
      </c>
      <c r="B56" s="1">
        <v>36</v>
      </c>
      <c r="C56" s="8" t="str">
        <f t="shared" ca="1" si="9"/>
        <v>2014_01_06_DAL@HOU</v>
      </c>
      <c r="D56" s="1" t="str">
        <f t="shared" ca="1" si="6"/>
        <v>2014_01_06</v>
      </c>
      <c r="E56" s="8" t="str">
        <f t="shared" ca="1" si="10"/>
        <v>West</v>
      </c>
      <c r="F56" s="8" t="s">
        <v>157</v>
      </c>
      <c r="G56">
        <v>2</v>
      </c>
      <c r="H56" s="8" t="s">
        <v>472</v>
      </c>
      <c r="I56" s="8" t="str">
        <f t="shared" ca="1" si="11"/>
        <v>HOU</v>
      </c>
      <c r="J56" s="1">
        <f t="shared" ca="1" si="7"/>
        <v>0</v>
      </c>
      <c r="K56">
        <v>7</v>
      </c>
      <c r="L56" s="8" t="s">
        <v>4</v>
      </c>
      <c r="M56" s="8" t="str">
        <f t="shared" ca="1" si="12"/>
        <v>DAL</v>
      </c>
      <c r="N56" s="1">
        <f t="shared" ca="1" si="8"/>
        <v>0</v>
      </c>
      <c r="O56" s="8" t="s">
        <v>186</v>
      </c>
      <c r="P56" s="8" t="str">
        <f t="shared" ca="1" si="13"/>
        <v>HOU</v>
      </c>
      <c r="Q56" s="1">
        <f t="shared" ca="1" si="14"/>
        <v>0</v>
      </c>
    </row>
    <row r="57" spans="1:17" ht="15" customHeight="1" x14ac:dyDescent="0.25">
      <c r="A57" s="1">
        <v>56</v>
      </c>
      <c r="B57" s="1">
        <v>36</v>
      </c>
      <c r="C57" s="8" t="str">
        <f t="shared" ca="1" si="9"/>
        <v>2014_01_06_DAL@HOU</v>
      </c>
      <c r="D57" s="1" t="str">
        <f t="shared" ca="1" si="6"/>
        <v>2014_01_06</v>
      </c>
      <c r="E57" s="8" t="str">
        <f t="shared" ca="1" si="10"/>
        <v>West</v>
      </c>
      <c r="F57" s="8" t="s">
        <v>158</v>
      </c>
      <c r="G57">
        <v>2</v>
      </c>
      <c r="H57" s="8" t="s">
        <v>16</v>
      </c>
      <c r="I57" s="8" t="str">
        <f t="shared" ca="1" si="11"/>
        <v>HOU</v>
      </c>
      <c r="J57" s="1">
        <f t="shared" ca="1" si="7"/>
        <v>0</v>
      </c>
      <c r="K57">
        <v>7</v>
      </c>
      <c r="L57" s="8" t="s">
        <v>9</v>
      </c>
      <c r="M57" s="8" t="str">
        <f t="shared" ca="1" si="12"/>
        <v>DAL</v>
      </c>
      <c r="N57" s="1">
        <f t="shared" ca="1" si="8"/>
        <v>0</v>
      </c>
      <c r="O57" s="8" t="s">
        <v>186</v>
      </c>
      <c r="P57" s="8" t="str">
        <f t="shared" ca="1" si="13"/>
        <v>HOU</v>
      </c>
      <c r="Q57" s="1">
        <f t="shared" ca="1" si="14"/>
        <v>0</v>
      </c>
    </row>
    <row r="58" spans="1:17" ht="15" customHeight="1" x14ac:dyDescent="0.25">
      <c r="A58" s="1">
        <v>57</v>
      </c>
      <c r="B58" s="1">
        <v>37</v>
      </c>
      <c r="C58" s="8" t="str">
        <f t="shared" ca="1" si="9"/>
        <v>2014_01_07_SAS@LAC</v>
      </c>
      <c r="D58" s="1" t="str">
        <f t="shared" ca="1" si="6"/>
        <v>2014_01_07</v>
      </c>
      <c r="E58" s="8" t="str">
        <f t="shared" ca="1" si="10"/>
        <v>West</v>
      </c>
      <c r="F58" s="8" t="s">
        <v>157</v>
      </c>
      <c r="G58">
        <v>3</v>
      </c>
      <c r="H58" s="8" t="s">
        <v>16</v>
      </c>
      <c r="I58" s="8" t="str">
        <f t="shared" ca="1" si="11"/>
        <v>LAC</v>
      </c>
      <c r="J58" s="1">
        <f t="shared" ca="1" si="7"/>
        <v>0</v>
      </c>
      <c r="K58">
        <v>6</v>
      </c>
      <c r="L58" s="8" t="s">
        <v>9</v>
      </c>
      <c r="M58" s="8" t="str">
        <f t="shared" ca="1" si="12"/>
        <v>SAS</v>
      </c>
      <c r="N58" s="1">
        <f t="shared" ca="1" si="8"/>
        <v>0</v>
      </c>
      <c r="O58" s="8" t="s">
        <v>186</v>
      </c>
      <c r="P58" s="8" t="str">
        <f t="shared" ca="1" si="13"/>
        <v>LAC</v>
      </c>
      <c r="Q58" s="1">
        <f t="shared" ca="1" si="14"/>
        <v>0</v>
      </c>
    </row>
    <row r="59" spans="1:17" ht="15" customHeight="1" x14ac:dyDescent="0.25">
      <c r="A59" s="1">
        <v>58</v>
      </c>
      <c r="B59" s="1">
        <v>37</v>
      </c>
      <c r="C59" s="8" t="str">
        <f t="shared" ca="1" si="9"/>
        <v>2014_01_07_SAS@LAC</v>
      </c>
      <c r="D59" s="1" t="str">
        <f t="shared" ca="1" si="6"/>
        <v>2014_01_07</v>
      </c>
      <c r="E59" s="8" t="str">
        <f t="shared" ca="1" si="10"/>
        <v>West</v>
      </c>
      <c r="F59" s="8" t="s">
        <v>158</v>
      </c>
      <c r="G59">
        <v>3</v>
      </c>
      <c r="H59" s="8" t="s">
        <v>472</v>
      </c>
      <c r="I59" s="8" t="str">
        <f t="shared" ca="1" si="11"/>
        <v>LAC</v>
      </c>
      <c r="J59" s="1">
        <f t="shared" ca="1" si="7"/>
        <v>0</v>
      </c>
      <c r="K59">
        <v>6</v>
      </c>
      <c r="L59" s="8" t="s">
        <v>4</v>
      </c>
      <c r="M59" s="8" t="str">
        <f t="shared" ca="1" si="12"/>
        <v>SAS</v>
      </c>
      <c r="N59" s="1">
        <f t="shared" ca="1" si="8"/>
        <v>0</v>
      </c>
      <c r="O59" s="8" t="s">
        <v>186</v>
      </c>
      <c r="P59" s="8" t="str">
        <f t="shared" ca="1" si="13"/>
        <v>LAC</v>
      </c>
      <c r="Q59" s="1">
        <f t="shared" ca="1" si="14"/>
        <v>0</v>
      </c>
    </row>
    <row r="60" spans="1:17" ht="15" customHeight="1" x14ac:dyDescent="0.25">
      <c r="A60" s="1">
        <v>59</v>
      </c>
      <c r="B60" s="1">
        <v>38</v>
      </c>
      <c r="C60" s="8" t="str">
        <f t="shared" ca="1" si="9"/>
        <v>2014_01_08_MEM@POR</v>
      </c>
      <c r="D60" s="1" t="str">
        <f t="shared" ca="1" si="6"/>
        <v>2014_01_08</v>
      </c>
      <c r="E60" s="8" t="str">
        <f t="shared" ca="1" si="10"/>
        <v>West</v>
      </c>
      <c r="F60" s="8" t="s">
        <v>157</v>
      </c>
      <c r="G60">
        <v>4</v>
      </c>
      <c r="H60" s="8" t="s">
        <v>12</v>
      </c>
      <c r="I60" s="8" t="str">
        <f t="shared" ca="1" si="11"/>
        <v>POR</v>
      </c>
      <c r="J60" s="1">
        <f t="shared" ca="1" si="7"/>
        <v>0</v>
      </c>
      <c r="K60">
        <v>5</v>
      </c>
      <c r="L60" s="8" t="s">
        <v>468</v>
      </c>
      <c r="M60" s="8" t="str">
        <f t="shared" ca="1" si="12"/>
        <v>MEM</v>
      </c>
      <c r="N60" s="1">
        <f t="shared" ca="1" si="8"/>
        <v>0</v>
      </c>
      <c r="O60" s="8" t="s">
        <v>186</v>
      </c>
      <c r="P60" s="8" t="str">
        <f t="shared" ca="1" si="13"/>
        <v>MEM</v>
      </c>
      <c r="Q60" s="1">
        <f t="shared" ca="1" si="14"/>
        <v>0</v>
      </c>
    </row>
    <row r="61" spans="1:17" ht="15" customHeight="1" x14ac:dyDescent="0.25">
      <c r="A61" s="1">
        <v>60</v>
      </c>
      <c r="B61" s="1">
        <v>38</v>
      </c>
      <c r="C61" s="8" t="str">
        <f t="shared" ca="1" si="9"/>
        <v>2014_01_08_MEM@POR</v>
      </c>
      <c r="D61" s="1" t="str">
        <f t="shared" ca="1" si="6"/>
        <v>2014_01_08</v>
      </c>
      <c r="E61" s="8" t="str">
        <f t="shared" ca="1" si="10"/>
        <v>West</v>
      </c>
      <c r="F61" s="8" t="s">
        <v>158</v>
      </c>
      <c r="G61">
        <v>4</v>
      </c>
      <c r="H61" s="8" t="s">
        <v>12</v>
      </c>
      <c r="I61" s="8" t="str">
        <f t="shared" ca="1" si="11"/>
        <v>POR</v>
      </c>
      <c r="J61" s="1">
        <f t="shared" ca="1" si="7"/>
        <v>0</v>
      </c>
      <c r="K61">
        <v>5</v>
      </c>
      <c r="L61" s="8" t="s">
        <v>468</v>
      </c>
      <c r="M61" s="8" t="str">
        <f t="shared" ca="1" si="12"/>
        <v>MEM</v>
      </c>
      <c r="N61" s="1">
        <f t="shared" ca="1" si="8"/>
        <v>0</v>
      </c>
      <c r="O61" s="8" t="s">
        <v>186</v>
      </c>
      <c r="P61" s="8" t="str">
        <f t="shared" ca="1" si="13"/>
        <v>MEM</v>
      </c>
      <c r="Q61" s="1">
        <f t="shared" ca="1" si="14"/>
        <v>0</v>
      </c>
    </row>
    <row r="62" spans="1:17" ht="15" customHeight="1" x14ac:dyDescent="0.25">
      <c r="A62" s="1">
        <v>61</v>
      </c>
      <c r="B62" s="1">
        <v>43</v>
      </c>
      <c r="C62" s="8" t="str">
        <f t="shared" ca="1" si="9"/>
        <v>2014_03_01_CLE@ATL</v>
      </c>
      <c r="D62" s="1" t="str">
        <f t="shared" ca="1" si="6"/>
        <v>2014_03_01</v>
      </c>
      <c r="E62" s="8" t="str">
        <f t="shared" ca="1" si="10"/>
        <v>East</v>
      </c>
      <c r="F62" s="8" t="s">
        <v>157</v>
      </c>
      <c r="G62" s="8"/>
      <c r="H62" s="8" t="s">
        <v>6</v>
      </c>
      <c r="I62" s="8" t="str">
        <f t="shared" ca="1" si="11"/>
        <v>ATL</v>
      </c>
      <c r="J62" s="1">
        <f t="shared" ca="1" si="7"/>
        <v>0</v>
      </c>
      <c r="K62" s="8"/>
      <c r="L62" s="8" t="s">
        <v>0</v>
      </c>
      <c r="M62" s="8" t="str">
        <f t="shared" ca="1" si="12"/>
        <v>CLE</v>
      </c>
      <c r="N62" s="1">
        <f t="shared" ca="1" si="8"/>
        <v>0</v>
      </c>
      <c r="O62" s="8" t="s">
        <v>6</v>
      </c>
      <c r="P62" s="8" t="str">
        <f t="shared" ca="1" si="13"/>
        <v>CLE</v>
      </c>
      <c r="Q62" s="1">
        <f t="shared" ca="1" si="14"/>
        <v>1</v>
      </c>
    </row>
    <row r="63" spans="1:17" ht="15" customHeight="1" x14ac:dyDescent="0.25">
      <c r="A63" s="1">
        <v>62</v>
      </c>
      <c r="B63" s="1">
        <v>43</v>
      </c>
      <c r="C63" s="8" t="str">
        <f t="shared" ca="1" si="9"/>
        <v>2014_03_01_CLE@ATL</v>
      </c>
      <c r="D63" s="1" t="str">
        <f t="shared" ca="1" si="6"/>
        <v>2014_03_01</v>
      </c>
      <c r="E63" s="8" t="str">
        <f t="shared" ca="1" si="10"/>
        <v>East</v>
      </c>
      <c r="F63" s="8" t="s">
        <v>158</v>
      </c>
      <c r="G63" s="8"/>
      <c r="H63" s="8" t="s">
        <v>0</v>
      </c>
      <c r="I63" s="8" t="str">
        <f t="shared" ca="1" si="11"/>
        <v>ATL</v>
      </c>
      <c r="J63" s="1">
        <f t="shared" ca="1" si="7"/>
        <v>0</v>
      </c>
      <c r="K63" s="8"/>
      <c r="L63" s="8" t="s">
        <v>6</v>
      </c>
      <c r="M63" s="8" t="str">
        <f t="shared" ca="1" si="12"/>
        <v>CLE</v>
      </c>
      <c r="N63" s="1">
        <f t="shared" ca="1" si="8"/>
        <v>1</v>
      </c>
      <c r="O63" s="8" t="s">
        <v>6</v>
      </c>
      <c r="P63" s="8" t="str">
        <f t="shared" ca="1" si="13"/>
        <v>CLE</v>
      </c>
      <c r="Q63" s="1">
        <f t="shared" ca="1" si="14"/>
        <v>1</v>
      </c>
    </row>
    <row r="64" spans="1:17" ht="15" customHeight="1" x14ac:dyDescent="0.25">
      <c r="A64" s="1">
        <v>63</v>
      </c>
      <c r="B64" s="1">
        <v>44</v>
      </c>
      <c r="C64" s="8" t="str">
        <f t="shared" ca="1" si="9"/>
        <v>2014_03_02_HOU@GSW</v>
      </c>
      <c r="D64" s="1" t="str">
        <f t="shared" ca="1" si="6"/>
        <v>2014_03_02</v>
      </c>
      <c r="E64" s="8" t="str">
        <f t="shared" ca="1" si="10"/>
        <v>West</v>
      </c>
      <c r="F64" s="8" t="s">
        <v>157</v>
      </c>
      <c r="G64" s="8"/>
      <c r="H64" s="8" t="s">
        <v>14</v>
      </c>
      <c r="I64" s="8" t="str">
        <f t="shared" ca="1" si="11"/>
        <v>GSW</v>
      </c>
      <c r="J64" s="1">
        <f t="shared" ca="1" si="7"/>
        <v>0</v>
      </c>
      <c r="K64" s="8"/>
      <c r="L64" s="8" t="s">
        <v>16</v>
      </c>
      <c r="M64" s="8" t="str">
        <f t="shared" ca="1" si="12"/>
        <v>HOU</v>
      </c>
      <c r="N64" s="1">
        <f t="shared" ca="1" si="8"/>
        <v>0</v>
      </c>
      <c r="O64" s="8" t="s">
        <v>468</v>
      </c>
      <c r="P64" s="8" t="str">
        <f t="shared" ca="1" si="13"/>
        <v>GSW</v>
      </c>
      <c r="Q64" s="1">
        <f t="shared" ca="1" si="14"/>
        <v>1</v>
      </c>
    </row>
    <row r="65" spans="1:17" ht="15" customHeight="1" x14ac:dyDescent="0.25">
      <c r="A65" s="1">
        <v>64</v>
      </c>
      <c r="B65" s="1">
        <v>44</v>
      </c>
      <c r="C65" s="8" t="str">
        <f t="shared" ca="1" si="9"/>
        <v>2014_03_02_HOU@GSW</v>
      </c>
      <c r="D65" s="1" t="str">
        <f t="shared" ca="1" si="6"/>
        <v>2014_03_02</v>
      </c>
      <c r="E65" s="8" t="str">
        <f t="shared" ca="1" si="10"/>
        <v>West</v>
      </c>
      <c r="F65" s="8" t="s">
        <v>158</v>
      </c>
      <c r="G65" s="8"/>
      <c r="H65" s="8" t="s">
        <v>14</v>
      </c>
      <c r="I65" s="8" t="str">
        <f t="shared" ca="1" si="11"/>
        <v>GSW</v>
      </c>
      <c r="J65" s="1">
        <f t="shared" ca="1" si="7"/>
        <v>0</v>
      </c>
      <c r="K65" s="8"/>
      <c r="L65" s="8" t="s">
        <v>472</v>
      </c>
      <c r="M65" s="8" t="str">
        <f t="shared" ca="1" si="12"/>
        <v>HOU</v>
      </c>
      <c r="N65" s="1">
        <f t="shared" ca="1" si="8"/>
        <v>0</v>
      </c>
      <c r="O65" s="8" t="s">
        <v>468</v>
      </c>
      <c r="P65" s="8" t="str">
        <f t="shared" ca="1" si="13"/>
        <v>GSW</v>
      </c>
      <c r="Q65" s="1">
        <f t="shared" ca="1" si="14"/>
        <v>1</v>
      </c>
    </row>
    <row r="66" spans="1:17" ht="15" customHeight="1" x14ac:dyDescent="0.25">
      <c r="A66" s="1">
        <v>65</v>
      </c>
      <c r="B66" s="1">
        <v>45</v>
      </c>
      <c r="C66" s="8" t="str">
        <f t="shared" ref="C66:C97" ca="1" si="15">IFERROR(VLOOKUP($B66,nba_plyff_results,MATCH(C$1,nba_plyff_results_header,0),FALSE),"error")</f>
        <v>2014_04_01_CLE@GSW</v>
      </c>
      <c r="D66" s="1" t="str">
        <f t="shared" ca="1" si="6"/>
        <v>2014_04_01</v>
      </c>
      <c r="E66" s="8" t="str">
        <f t="shared" ref="E66:E97" ca="1" si="16">IFERROR(IF(VLOOKUP($B66,nba_plyff_results,MATCH(E$1,nba_plyff_results_header,0),FALSE)="","",VLOOKUP($B66,nba_plyff_results,MATCH(E$1,nba_plyff_results_header,0),FALSE)),"error")</f>
        <v>na</v>
      </c>
      <c r="F66" s="8" t="s">
        <v>157</v>
      </c>
      <c r="G66" s="8"/>
      <c r="H66" s="8" t="s">
        <v>6</v>
      </c>
      <c r="I66" s="8" t="str">
        <f t="shared" ref="I66:I97" ca="1" si="17">IFERROR(IF(VLOOKUP($B66,nba_plyff_results,MATCH(I$1,nba_plyff_results_header,0),FALSE)="","",VLOOKUP($B66,nba_plyff_results,MATCH(I$1,nba_plyff_results_header,0),FALSE)),"error")</f>
        <v>GSW</v>
      </c>
      <c r="J66" s="1">
        <f t="shared" ca="1" si="7"/>
        <v>0</v>
      </c>
      <c r="K66" s="8"/>
      <c r="L66" s="8" t="s">
        <v>16</v>
      </c>
      <c r="M66" s="8" t="str">
        <f t="shared" ref="M66:M97" ca="1" si="18">IFERROR(IF(VLOOKUP($B66,nba_plyff_results,MATCH(M$1,nba_plyff_results_header,0),FALSE)="","",VLOOKUP($B66,nba_plyff_results,MATCH(M$1,nba_plyff_results_header,0),FALSE)),"error")</f>
        <v>CLE</v>
      </c>
      <c r="N66" s="1">
        <f t="shared" ca="1" si="8"/>
        <v>0</v>
      </c>
      <c r="O66" s="8" t="s">
        <v>16</v>
      </c>
      <c r="P66" s="8" t="str">
        <f t="shared" ref="P66:P97" ca="1" si="19">IFERROR(IF(VLOOKUP($B66,nba_plyff_results,MATCH(P$1,nba_plyff_results_header,0),FALSE)="","",VLOOKUP($B66,nba_plyff_results,MATCH(P$1,nba_plyff_results_header,0),FALSE)),"error")</f>
        <v>GSW</v>
      </c>
      <c r="Q66" s="1">
        <f t="shared" ref="Q66:Q97" ca="1" si="20">IF(O66="error","error",IF(OR(ISBLANK(O66),ISBLANK(P66),O66="",P66=""),"",IF(O66=P66,1,0)))</f>
        <v>0</v>
      </c>
    </row>
    <row r="67" spans="1:17" ht="15" customHeight="1" x14ac:dyDescent="0.25">
      <c r="A67" s="1">
        <v>66</v>
      </c>
      <c r="B67" s="1">
        <v>45</v>
      </c>
      <c r="C67" s="8" t="str">
        <f t="shared" ca="1" si="15"/>
        <v>2014_04_01_CLE@GSW</v>
      </c>
      <c r="D67" s="1" t="str">
        <f t="shared" ref="D67:D130" ca="1" si="21">LEFT(C67,10)</f>
        <v>2014_04_01</v>
      </c>
      <c r="E67" s="8" t="str">
        <f t="shared" ca="1" si="16"/>
        <v>na</v>
      </c>
      <c r="F67" s="8" t="s">
        <v>158</v>
      </c>
      <c r="G67" s="8"/>
      <c r="H67" s="8" t="s">
        <v>6</v>
      </c>
      <c r="I67" s="8" t="str">
        <f t="shared" ca="1" si="17"/>
        <v>GSW</v>
      </c>
      <c r="J67" s="1">
        <f t="shared" ref="J67:J122" ca="1" si="22">IF(OR(ISBLANK(H67),ISBLANK(I67),H67="",I67=""),"",IF(H67=I67,1,0))</f>
        <v>0</v>
      </c>
      <c r="K67" s="8"/>
      <c r="L67" s="8" t="s">
        <v>14</v>
      </c>
      <c r="M67" s="8" t="str">
        <f t="shared" ca="1" si="18"/>
        <v>CLE</v>
      </c>
      <c r="N67" s="1">
        <f t="shared" ref="N67:N122" ca="1" si="23">IF(OR(ISBLANK(L67),ISBLANK(M67),L67="",M67=""),"",IF(L67=M67,1,0))</f>
        <v>0</v>
      </c>
      <c r="O67" s="8" t="s">
        <v>6</v>
      </c>
      <c r="P67" s="8" t="str">
        <f t="shared" ca="1" si="19"/>
        <v>GSW</v>
      </c>
      <c r="Q67" s="1">
        <f t="shared" ca="1" si="20"/>
        <v>0</v>
      </c>
    </row>
    <row r="68" spans="1:17" ht="15" customHeight="1" x14ac:dyDescent="0.25">
      <c r="A68" s="1">
        <v>67</v>
      </c>
      <c r="B68" s="1">
        <v>46</v>
      </c>
      <c r="C68" s="8" t="str">
        <f t="shared" ca="1" si="15"/>
        <v>2015_01_01_DET@CLE</v>
      </c>
      <c r="D68" s="1" t="str">
        <f t="shared" ca="1" si="21"/>
        <v>2015_01_01</v>
      </c>
      <c r="E68" s="8" t="str">
        <f t="shared" ca="1" si="16"/>
        <v>East</v>
      </c>
      <c r="F68" s="8" t="s">
        <v>157</v>
      </c>
      <c r="G68">
        <v>1</v>
      </c>
      <c r="H68" s="8" t="s">
        <v>0</v>
      </c>
      <c r="I68" s="8" t="str">
        <f t="shared" ca="1" si="17"/>
        <v>CLE</v>
      </c>
      <c r="J68" s="1">
        <f t="shared" ca="1" si="22"/>
        <v>0</v>
      </c>
      <c r="K68">
        <v>8</v>
      </c>
      <c r="L68" s="8" t="s">
        <v>13</v>
      </c>
      <c r="M68" s="8" t="str">
        <f t="shared" ca="1" si="18"/>
        <v>DET</v>
      </c>
      <c r="N68" s="1">
        <f t="shared" ca="1" si="23"/>
        <v>0</v>
      </c>
      <c r="O68" s="8" t="s">
        <v>186</v>
      </c>
      <c r="P68" s="8" t="str">
        <f t="shared" ca="1" si="19"/>
        <v>CLE</v>
      </c>
      <c r="Q68" s="1">
        <f t="shared" ca="1" si="20"/>
        <v>0</v>
      </c>
    </row>
    <row r="69" spans="1:17" ht="15" customHeight="1" x14ac:dyDescent="0.25">
      <c r="A69" s="1">
        <v>68</v>
      </c>
      <c r="B69" s="1">
        <v>46</v>
      </c>
      <c r="C69" s="8" t="str">
        <f t="shared" ca="1" si="15"/>
        <v>2015_01_01_DET@CLE</v>
      </c>
      <c r="D69" s="1" t="str">
        <f t="shared" ca="1" si="21"/>
        <v>2015_01_01</v>
      </c>
      <c r="E69" s="8" t="str">
        <f t="shared" ca="1" si="16"/>
        <v>East</v>
      </c>
      <c r="F69" s="8" t="s">
        <v>158</v>
      </c>
      <c r="G69">
        <v>1</v>
      </c>
      <c r="H69" s="6" t="s">
        <v>6</v>
      </c>
      <c r="I69" s="8" t="str">
        <f t="shared" ca="1" si="17"/>
        <v>CLE</v>
      </c>
      <c r="J69" s="1">
        <f t="shared" ca="1" si="22"/>
        <v>1</v>
      </c>
      <c r="K69">
        <v>8</v>
      </c>
      <c r="L69" s="6" t="s">
        <v>10</v>
      </c>
      <c r="M69" s="8" t="str">
        <f t="shared" ca="1" si="18"/>
        <v>DET</v>
      </c>
      <c r="N69" s="1">
        <f t="shared" ca="1" si="23"/>
        <v>0</v>
      </c>
      <c r="O69" s="8" t="s">
        <v>186</v>
      </c>
      <c r="P69" s="8" t="str">
        <f t="shared" ca="1" si="19"/>
        <v>CLE</v>
      </c>
      <c r="Q69" s="1">
        <f t="shared" ca="1" si="20"/>
        <v>0</v>
      </c>
    </row>
    <row r="70" spans="1:17" ht="15" customHeight="1" x14ac:dyDescent="0.25">
      <c r="A70" s="1">
        <v>69</v>
      </c>
      <c r="B70" s="1">
        <v>47</v>
      </c>
      <c r="C70" s="8" t="str">
        <f t="shared" ca="1" si="15"/>
        <v>2015_01_02_IND@TOR</v>
      </c>
      <c r="D70" s="1" t="str">
        <f t="shared" ca="1" si="21"/>
        <v>2015_01_02</v>
      </c>
      <c r="E70" s="8" t="str">
        <f t="shared" ca="1" si="16"/>
        <v>East</v>
      </c>
      <c r="F70" s="8" t="s">
        <v>157</v>
      </c>
      <c r="G70">
        <v>2</v>
      </c>
      <c r="H70" s="8" t="s">
        <v>6</v>
      </c>
      <c r="I70" s="8" t="str">
        <f t="shared" ca="1" si="17"/>
        <v>TOR</v>
      </c>
      <c r="J70" s="1">
        <f t="shared" ca="1" si="22"/>
        <v>0</v>
      </c>
      <c r="K70">
        <v>7</v>
      </c>
      <c r="L70" s="8" t="s">
        <v>2</v>
      </c>
      <c r="M70" s="8" t="str">
        <f t="shared" ca="1" si="18"/>
        <v>IND</v>
      </c>
      <c r="N70" s="1">
        <f t="shared" ca="1" si="23"/>
        <v>0</v>
      </c>
      <c r="O70" s="8" t="s">
        <v>186</v>
      </c>
      <c r="P70" s="8" t="str">
        <f t="shared" ca="1" si="19"/>
        <v>TOR</v>
      </c>
      <c r="Q70" s="1">
        <f t="shared" ca="1" si="20"/>
        <v>0</v>
      </c>
    </row>
    <row r="71" spans="1:17" ht="15" customHeight="1" x14ac:dyDescent="0.25">
      <c r="A71" s="1">
        <v>70</v>
      </c>
      <c r="B71" s="1">
        <v>47</v>
      </c>
      <c r="C71" s="8" t="str">
        <f t="shared" ca="1" si="15"/>
        <v>2015_01_02_IND@TOR</v>
      </c>
      <c r="D71" s="1" t="str">
        <f t="shared" ca="1" si="21"/>
        <v>2015_01_02</v>
      </c>
      <c r="E71" s="8" t="str">
        <f t="shared" ca="1" si="16"/>
        <v>East</v>
      </c>
      <c r="F71" s="8" t="s">
        <v>158</v>
      </c>
      <c r="G71">
        <v>2</v>
      </c>
      <c r="H71" s="6" t="s">
        <v>5</v>
      </c>
      <c r="I71" s="8" t="str">
        <f t="shared" ca="1" si="17"/>
        <v>TOR</v>
      </c>
      <c r="J71" s="1">
        <f t="shared" ca="1" si="22"/>
        <v>0</v>
      </c>
      <c r="K71">
        <v>7</v>
      </c>
      <c r="L71" s="6" t="s">
        <v>2</v>
      </c>
      <c r="M71" s="8" t="str">
        <f t="shared" ca="1" si="18"/>
        <v>IND</v>
      </c>
      <c r="N71" s="1">
        <f t="shared" ca="1" si="23"/>
        <v>0</v>
      </c>
      <c r="O71" s="8" t="s">
        <v>186</v>
      </c>
      <c r="P71" s="8" t="str">
        <f t="shared" ca="1" si="19"/>
        <v>TOR</v>
      </c>
      <c r="Q71" s="1">
        <f t="shared" ca="1" si="20"/>
        <v>0</v>
      </c>
    </row>
    <row r="72" spans="1:17" ht="15" customHeight="1" x14ac:dyDescent="0.25">
      <c r="A72" s="1">
        <v>71</v>
      </c>
      <c r="B72" s="1">
        <v>48</v>
      </c>
      <c r="C72" s="8" t="str">
        <f t="shared" ca="1" si="15"/>
        <v>2015_01_03_CHO@MIA</v>
      </c>
      <c r="D72" s="1" t="str">
        <f t="shared" ca="1" si="21"/>
        <v>2015_01_03</v>
      </c>
      <c r="E72" s="8" t="str">
        <f t="shared" ca="1" si="16"/>
        <v>East</v>
      </c>
      <c r="F72" s="8" t="s">
        <v>157</v>
      </c>
      <c r="G72">
        <v>3</v>
      </c>
      <c r="H72" s="8" t="s">
        <v>474</v>
      </c>
      <c r="I72" s="8" t="str">
        <f t="shared" ca="1" si="17"/>
        <v>MIA</v>
      </c>
      <c r="J72" s="1">
        <f t="shared" ca="1" si="22"/>
        <v>0</v>
      </c>
      <c r="K72">
        <v>6</v>
      </c>
      <c r="L72" s="8" t="s">
        <v>15</v>
      </c>
      <c r="M72" s="8" t="str">
        <f t="shared" ca="1" si="18"/>
        <v>CHO</v>
      </c>
      <c r="N72" s="1">
        <f t="shared" ca="1" si="23"/>
        <v>0</v>
      </c>
      <c r="O72" s="8" t="s">
        <v>186</v>
      </c>
      <c r="P72" s="8" t="str">
        <f t="shared" ca="1" si="19"/>
        <v>MIA</v>
      </c>
      <c r="Q72" s="1">
        <f t="shared" ca="1" si="20"/>
        <v>0</v>
      </c>
    </row>
    <row r="73" spans="1:17" ht="15" customHeight="1" x14ac:dyDescent="0.25">
      <c r="A73" s="1">
        <v>72</v>
      </c>
      <c r="B73" s="1">
        <v>48</v>
      </c>
      <c r="C73" s="8" t="str">
        <f t="shared" ca="1" si="15"/>
        <v>2015_01_03_CHO@MIA</v>
      </c>
      <c r="D73" s="1" t="str">
        <f t="shared" ca="1" si="21"/>
        <v>2015_01_03</v>
      </c>
      <c r="E73" s="8" t="str">
        <f t="shared" ca="1" si="16"/>
        <v>East</v>
      </c>
      <c r="F73" s="8" t="s">
        <v>158</v>
      </c>
      <c r="G73">
        <v>3</v>
      </c>
      <c r="H73" s="6" t="s">
        <v>0</v>
      </c>
      <c r="I73" s="8" t="str">
        <f t="shared" ca="1" si="17"/>
        <v>MIA</v>
      </c>
      <c r="J73" s="1">
        <f t="shared" ca="1" si="22"/>
        <v>0</v>
      </c>
      <c r="K73">
        <v>6</v>
      </c>
      <c r="L73" s="6" t="s">
        <v>17</v>
      </c>
      <c r="M73" s="8" t="str">
        <f t="shared" ca="1" si="18"/>
        <v>CHO</v>
      </c>
      <c r="N73" s="1">
        <f t="shared" ca="1" si="23"/>
        <v>0</v>
      </c>
      <c r="O73" s="8" t="s">
        <v>186</v>
      </c>
      <c r="P73" s="8" t="str">
        <f t="shared" ca="1" si="19"/>
        <v>MIA</v>
      </c>
      <c r="Q73" s="1">
        <f t="shared" ca="1" si="20"/>
        <v>0</v>
      </c>
    </row>
    <row r="74" spans="1:17" ht="15" customHeight="1" x14ac:dyDescent="0.25">
      <c r="A74" s="1">
        <v>73</v>
      </c>
      <c r="B74" s="1">
        <v>49</v>
      </c>
      <c r="C74" s="8" t="str">
        <f t="shared" ca="1" si="15"/>
        <v>2015_01_04_BOS@ATL</v>
      </c>
      <c r="D74" s="1" t="str">
        <f t="shared" ca="1" si="21"/>
        <v>2015_01_04</v>
      </c>
      <c r="E74" s="8" t="str">
        <f t="shared" ca="1" si="16"/>
        <v>East</v>
      </c>
      <c r="F74" s="8" t="s">
        <v>157</v>
      </c>
      <c r="G74">
        <v>4</v>
      </c>
      <c r="H74" s="8" t="s">
        <v>5</v>
      </c>
      <c r="I74" s="8" t="str">
        <f t="shared" ca="1" si="17"/>
        <v>ATL</v>
      </c>
      <c r="J74" s="1">
        <f t="shared" ca="1" si="22"/>
        <v>1</v>
      </c>
      <c r="K74">
        <v>5</v>
      </c>
      <c r="L74" s="8" t="s">
        <v>17</v>
      </c>
      <c r="M74" s="8" t="str">
        <f t="shared" ca="1" si="18"/>
        <v>BOS</v>
      </c>
      <c r="N74" s="1">
        <f t="shared" ca="1" si="23"/>
        <v>1</v>
      </c>
      <c r="O74" s="8" t="s">
        <v>186</v>
      </c>
      <c r="P74" s="8" t="str">
        <f t="shared" ca="1" si="19"/>
        <v>ATL</v>
      </c>
      <c r="Q74" s="1">
        <f t="shared" ca="1" si="20"/>
        <v>0</v>
      </c>
    </row>
    <row r="75" spans="1:17" ht="15" customHeight="1" x14ac:dyDescent="0.25">
      <c r="A75" s="1">
        <v>74</v>
      </c>
      <c r="B75" s="1">
        <v>49</v>
      </c>
      <c r="C75" s="8" t="str">
        <f t="shared" ca="1" si="15"/>
        <v>2015_01_04_BOS@ATL</v>
      </c>
      <c r="D75" s="1" t="str">
        <f t="shared" ca="1" si="21"/>
        <v>2015_01_04</v>
      </c>
      <c r="E75" s="8" t="str">
        <f t="shared" ca="1" si="16"/>
        <v>East</v>
      </c>
      <c r="F75" s="8" t="s">
        <v>158</v>
      </c>
      <c r="G75">
        <v>4</v>
      </c>
      <c r="H75" s="6" t="s">
        <v>474</v>
      </c>
      <c r="I75" s="8" t="str">
        <f t="shared" ca="1" si="17"/>
        <v>ATL</v>
      </c>
      <c r="J75" s="1">
        <f t="shared" ca="1" si="22"/>
        <v>0</v>
      </c>
      <c r="K75">
        <v>5</v>
      </c>
      <c r="L75" s="6" t="s">
        <v>15</v>
      </c>
      <c r="M75" s="8" t="str">
        <f t="shared" ca="1" si="18"/>
        <v>BOS</v>
      </c>
      <c r="N75" s="1">
        <f t="shared" ca="1" si="23"/>
        <v>0</v>
      </c>
      <c r="O75" s="8" t="s">
        <v>186</v>
      </c>
      <c r="P75" s="8" t="str">
        <f t="shared" ca="1" si="19"/>
        <v>ATL</v>
      </c>
      <c r="Q75" s="1">
        <f t="shared" ca="1" si="20"/>
        <v>0</v>
      </c>
    </row>
    <row r="76" spans="1:17" ht="15" customHeight="1" x14ac:dyDescent="0.25">
      <c r="A76" s="1">
        <v>75</v>
      </c>
      <c r="B76" s="1">
        <v>50</v>
      </c>
      <c r="C76" s="8" t="str">
        <f t="shared" ca="1" si="15"/>
        <v>2015_01_05_HOU@GSW</v>
      </c>
      <c r="D76" s="1" t="str">
        <f t="shared" ca="1" si="21"/>
        <v>2015_01_05</v>
      </c>
      <c r="E76" s="8" t="str">
        <f t="shared" ca="1" si="16"/>
        <v>West</v>
      </c>
      <c r="F76" s="8" t="s">
        <v>157</v>
      </c>
      <c r="G76">
        <v>1</v>
      </c>
      <c r="H76" s="8" t="s">
        <v>4</v>
      </c>
      <c r="I76" s="8" t="str">
        <f t="shared" ca="1" si="17"/>
        <v>GSW</v>
      </c>
      <c r="J76" s="1">
        <f t="shared" ca="1" si="22"/>
        <v>0</v>
      </c>
      <c r="K76">
        <v>8</v>
      </c>
      <c r="L76" s="8" t="s">
        <v>473</v>
      </c>
      <c r="M76" s="8" t="str">
        <f t="shared" ca="1" si="18"/>
        <v>HOU</v>
      </c>
      <c r="N76" s="1">
        <f t="shared" ca="1" si="23"/>
        <v>0</v>
      </c>
      <c r="O76" s="8" t="s">
        <v>186</v>
      </c>
      <c r="P76" s="8" t="str">
        <f t="shared" ca="1" si="19"/>
        <v>GSW</v>
      </c>
      <c r="Q76" s="1">
        <f t="shared" ca="1" si="20"/>
        <v>0</v>
      </c>
    </row>
    <row r="77" spans="1:17" ht="15" customHeight="1" x14ac:dyDescent="0.25">
      <c r="A77" s="1">
        <v>76</v>
      </c>
      <c r="B77" s="1">
        <v>50</v>
      </c>
      <c r="C77" s="8" t="str">
        <f t="shared" ca="1" si="15"/>
        <v>2015_01_05_HOU@GSW</v>
      </c>
      <c r="D77" s="1" t="str">
        <f t="shared" ca="1" si="21"/>
        <v>2015_01_05</v>
      </c>
      <c r="E77" s="8" t="str">
        <f t="shared" ca="1" si="16"/>
        <v>West</v>
      </c>
      <c r="F77" s="8" t="s">
        <v>158</v>
      </c>
      <c r="G77">
        <v>1</v>
      </c>
      <c r="H77" s="6" t="s">
        <v>468</v>
      </c>
      <c r="I77" s="8" t="str">
        <f t="shared" ca="1" si="17"/>
        <v>GSW</v>
      </c>
      <c r="J77" s="1">
        <f t="shared" ca="1" si="22"/>
        <v>1</v>
      </c>
      <c r="K77">
        <v>8</v>
      </c>
      <c r="L77" s="6" t="s">
        <v>469</v>
      </c>
      <c r="M77" s="8" t="str">
        <f t="shared" ca="1" si="18"/>
        <v>HOU</v>
      </c>
      <c r="N77" s="1">
        <f t="shared" ca="1" si="23"/>
        <v>0</v>
      </c>
      <c r="O77" s="8" t="s">
        <v>186</v>
      </c>
      <c r="P77" s="8" t="str">
        <f t="shared" ca="1" si="19"/>
        <v>GSW</v>
      </c>
      <c r="Q77" s="1">
        <f t="shared" ca="1" si="20"/>
        <v>0</v>
      </c>
    </row>
    <row r="78" spans="1:17" ht="15" customHeight="1" x14ac:dyDescent="0.25">
      <c r="A78" s="1">
        <v>77</v>
      </c>
      <c r="B78" s="1">
        <v>51</v>
      </c>
      <c r="C78" s="8" t="str">
        <f t="shared" ca="1" si="15"/>
        <v>2015_01_06_MEM@SAS</v>
      </c>
      <c r="D78" s="1" t="str">
        <f t="shared" ca="1" si="21"/>
        <v>2015_01_06</v>
      </c>
      <c r="E78" s="8" t="str">
        <f t="shared" ca="1" si="16"/>
        <v>West</v>
      </c>
      <c r="F78" s="8" t="s">
        <v>157</v>
      </c>
      <c r="G78">
        <v>2</v>
      </c>
      <c r="H78" s="8" t="s">
        <v>468</v>
      </c>
      <c r="I78" s="8" t="str">
        <f t="shared" ca="1" si="17"/>
        <v>SAS</v>
      </c>
      <c r="J78" s="1">
        <f t="shared" ca="1" si="22"/>
        <v>0</v>
      </c>
      <c r="K78">
        <v>7</v>
      </c>
      <c r="L78" s="8" t="s">
        <v>469</v>
      </c>
      <c r="M78" s="8" t="str">
        <f t="shared" ca="1" si="18"/>
        <v>MEM</v>
      </c>
      <c r="N78" s="1">
        <f t="shared" ca="1" si="23"/>
        <v>0</v>
      </c>
      <c r="O78" s="8" t="s">
        <v>186</v>
      </c>
      <c r="P78" s="8" t="str">
        <f t="shared" ca="1" si="19"/>
        <v>SAS</v>
      </c>
      <c r="Q78" s="1">
        <f t="shared" ca="1" si="20"/>
        <v>0</v>
      </c>
    </row>
    <row r="79" spans="1:17" ht="15" customHeight="1" x14ac:dyDescent="0.25">
      <c r="A79" s="1">
        <v>78</v>
      </c>
      <c r="B79" s="1">
        <v>51</v>
      </c>
      <c r="C79" s="8" t="str">
        <f t="shared" ca="1" si="15"/>
        <v>2015_01_06_MEM@SAS</v>
      </c>
      <c r="D79" s="1" t="str">
        <f t="shared" ca="1" si="21"/>
        <v>2015_01_06</v>
      </c>
      <c r="E79" s="8" t="str">
        <f t="shared" ca="1" si="16"/>
        <v>West</v>
      </c>
      <c r="F79" s="8" t="s">
        <v>158</v>
      </c>
      <c r="G79">
        <v>2</v>
      </c>
      <c r="H79" s="6" t="s">
        <v>4</v>
      </c>
      <c r="I79" s="8" t="str">
        <f t="shared" ca="1" si="17"/>
        <v>SAS</v>
      </c>
      <c r="J79" s="1">
        <f t="shared" ca="1" si="22"/>
        <v>0</v>
      </c>
      <c r="K79">
        <v>7</v>
      </c>
      <c r="L79" s="6" t="s">
        <v>473</v>
      </c>
      <c r="M79" s="8" t="str">
        <f t="shared" ca="1" si="18"/>
        <v>MEM</v>
      </c>
      <c r="N79" s="1">
        <f t="shared" ca="1" si="23"/>
        <v>0</v>
      </c>
      <c r="O79" s="8" t="s">
        <v>186</v>
      </c>
      <c r="P79" s="8" t="str">
        <f t="shared" ca="1" si="19"/>
        <v>SAS</v>
      </c>
      <c r="Q79" s="1">
        <f t="shared" ca="1" si="20"/>
        <v>0</v>
      </c>
    </row>
    <row r="80" spans="1:17" ht="15" customHeight="1" x14ac:dyDescent="0.25">
      <c r="A80" s="1">
        <v>79</v>
      </c>
      <c r="B80" s="1">
        <v>52</v>
      </c>
      <c r="C80" s="8" t="str">
        <f t="shared" ca="1" si="15"/>
        <v>2015_01_07_DAL@OKC</v>
      </c>
      <c r="D80" s="1" t="str">
        <f t="shared" ca="1" si="21"/>
        <v>2015_01_07</v>
      </c>
      <c r="E80" s="8" t="str">
        <f t="shared" ca="1" si="16"/>
        <v>West</v>
      </c>
      <c r="F80" s="8" t="s">
        <v>157</v>
      </c>
      <c r="G80">
        <v>3</v>
      </c>
      <c r="H80" s="8" t="s">
        <v>12</v>
      </c>
      <c r="I80" s="8" t="str">
        <f t="shared" ca="1" si="17"/>
        <v>OKC</v>
      </c>
      <c r="J80" s="1">
        <f t="shared" ca="1" si="22"/>
        <v>1</v>
      </c>
      <c r="K80">
        <v>6</v>
      </c>
      <c r="L80" s="8" t="s">
        <v>9</v>
      </c>
      <c r="M80" s="8" t="str">
        <f t="shared" ca="1" si="18"/>
        <v>DAL</v>
      </c>
      <c r="N80" s="1">
        <f t="shared" ca="1" si="23"/>
        <v>0</v>
      </c>
      <c r="O80" s="8" t="s">
        <v>186</v>
      </c>
      <c r="P80" s="8" t="str">
        <f t="shared" ca="1" si="19"/>
        <v>OKC</v>
      </c>
      <c r="Q80" s="1">
        <f t="shared" ca="1" si="20"/>
        <v>0</v>
      </c>
    </row>
    <row r="81" spans="1:17" ht="15" customHeight="1" x14ac:dyDescent="0.25">
      <c r="A81" s="1">
        <v>80</v>
      </c>
      <c r="B81" s="1">
        <v>52</v>
      </c>
      <c r="C81" s="8" t="str">
        <f t="shared" ca="1" si="15"/>
        <v>2015_01_07_DAL@OKC</v>
      </c>
      <c r="D81" s="1" t="str">
        <f t="shared" ca="1" si="21"/>
        <v>2015_01_07</v>
      </c>
      <c r="E81" s="8" t="str">
        <f t="shared" ca="1" si="16"/>
        <v>West</v>
      </c>
      <c r="F81" s="8" t="s">
        <v>158</v>
      </c>
      <c r="G81">
        <v>3</v>
      </c>
      <c r="H81" s="6" t="s">
        <v>14</v>
      </c>
      <c r="I81" s="8" t="str">
        <f t="shared" ca="1" si="17"/>
        <v>OKC</v>
      </c>
      <c r="J81" s="1">
        <f t="shared" ca="1" si="22"/>
        <v>0</v>
      </c>
      <c r="K81">
        <v>6</v>
      </c>
      <c r="L81" s="6" t="s">
        <v>9</v>
      </c>
      <c r="M81" s="8" t="str">
        <f t="shared" ca="1" si="18"/>
        <v>DAL</v>
      </c>
      <c r="N81" s="1">
        <f t="shared" ca="1" si="23"/>
        <v>0</v>
      </c>
      <c r="O81" s="8" t="s">
        <v>186</v>
      </c>
      <c r="P81" s="8" t="str">
        <f t="shared" ca="1" si="19"/>
        <v>OKC</v>
      </c>
      <c r="Q81" s="1">
        <f t="shared" ca="1" si="20"/>
        <v>0</v>
      </c>
    </row>
    <row r="82" spans="1:17" ht="15" customHeight="1" x14ac:dyDescent="0.25">
      <c r="A82" s="1">
        <v>81</v>
      </c>
      <c r="B82" s="1">
        <v>53</v>
      </c>
      <c r="C82" s="8" t="str">
        <f t="shared" ca="1" si="15"/>
        <v>2015_01_08_POR@LAC</v>
      </c>
      <c r="D82" s="1" t="str">
        <f t="shared" ca="1" si="21"/>
        <v>2015_01_08</v>
      </c>
      <c r="E82" s="8" t="str">
        <f t="shared" ca="1" si="16"/>
        <v>West</v>
      </c>
      <c r="F82" s="8" t="s">
        <v>157</v>
      </c>
      <c r="G82">
        <v>4</v>
      </c>
      <c r="H82" s="8" t="s">
        <v>14</v>
      </c>
      <c r="I82" s="8" t="str">
        <f t="shared" ca="1" si="17"/>
        <v>LAC</v>
      </c>
      <c r="J82" s="1">
        <f t="shared" ca="1" si="22"/>
        <v>1</v>
      </c>
      <c r="K82">
        <v>5</v>
      </c>
      <c r="L82" s="8" t="s">
        <v>472</v>
      </c>
      <c r="M82" s="8" t="str">
        <f t="shared" ca="1" si="18"/>
        <v>POR</v>
      </c>
      <c r="N82" s="1">
        <f t="shared" ca="1" si="23"/>
        <v>0</v>
      </c>
      <c r="O82" s="8" t="s">
        <v>186</v>
      </c>
      <c r="P82" s="8" t="str">
        <f t="shared" ca="1" si="19"/>
        <v>POR</v>
      </c>
      <c r="Q82" s="1">
        <f t="shared" ca="1" si="20"/>
        <v>0</v>
      </c>
    </row>
    <row r="83" spans="1:17" ht="15" customHeight="1" x14ac:dyDescent="0.25">
      <c r="A83" s="1">
        <v>82</v>
      </c>
      <c r="B83" s="1">
        <v>53</v>
      </c>
      <c r="C83" s="8" t="str">
        <f t="shared" ca="1" si="15"/>
        <v>2015_01_08_POR@LAC</v>
      </c>
      <c r="D83" s="1" t="str">
        <f t="shared" ca="1" si="21"/>
        <v>2015_01_08</v>
      </c>
      <c r="E83" s="8" t="str">
        <f t="shared" ca="1" si="16"/>
        <v>West</v>
      </c>
      <c r="F83" s="8" t="s">
        <v>158</v>
      </c>
      <c r="G83">
        <v>4</v>
      </c>
      <c r="H83" s="6" t="s">
        <v>472</v>
      </c>
      <c r="I83" s="8" t="str">
        <f t="shared" ca="1" si="17"/>
        <v>LAC</v>
      </c>
      <c r="J83" s="1">
        <f t="shared" ca="1" si="22"/>
        <v>0</v>
      </c>
      <c r="K83">
        <v>5</v>
      </c>
      <c r="L83" s="6" t="s">
        <v>12</v>
      </c>
      <c r="M83" s="8" t="str">
        <f t="shared" ca="1" si="18"/>
        <v>POR</v>
      </c>
      <c r="N83" s="1">
        <f t="shared" ca="1" si="23"/>
        <v>0</v>
      </c>
      <c r="O83" s="8" t="s">
        <v>186</v>
      </c>
      <c r="P83" s="8" t="str">
        <f t="shared" ca="1" si="19"/>
        <v>POR</v>
      </c>
      <c r="Q83" s="1">
        <f t="shared" ca="1" si="20"/>
        <v>0</v>
      </c>
    </row>
    <row r="84" spans="1:17" ht="15" customHeight="1" x14ac:dyDescent="0.25">
      <c r="A84" s="1">
        <v>83</v>
      </c>
      <c r="B84" s="1">
        <v>58</v>
      </c>
      <c r="C84" s="8" t="str">
        <f t="shared" ca="1" si="15"/>
        <v>2015_03_01_TOR@CLE</v>
      </c>
      <c r="D84" s="1" t="str">
        <f t="shared" ca="1" si="21"/>
        <v>2015_03_01</v>
      </c>
      <c r="E84" s="8" t="str">
        <f t="shared" ca="1" si="16"/>
        <v>East</v>
      </c>
      <c r="F84" s="8" t="s">
        <v>157</v>
      </c>
      <c r="G84" s="8"/>
      <c r="H84" s="8" t="s">
        <v>0</v>
      </c>
      <c r="I84" s="8" t="str">
        <f t="shared" ca="1" si="17"/>
        <v>CLE</v>
      </c>
      <c r="J84" s="1">
        <f t="shared" ca="1" si="22"/>
        <v>0</v>
      </c>
      <c r="K84" s="8"/>
      <c r="L84" s="8" t="s">
        <v>6</v>
      </c>
      <c r="M84" s="8" t="str">
        <f t="shared" ca="1" si="18"/>
        <v>TOR</v>
      </c>
      <c r="N84" s="1">
        <f t="shared" ca="1" si="23"/>
        <v>0</v>
      </c>
      <c r="O84" s="8" t="s">
        <v>6</v>
      </c>
      <c r="P84" s="8" t="str">
        <f t="shared" ca="1" si="19"/>
        <v>CLE</v>
      </c>
      <c r="Q84" s="1">
        <f t="shared" ca="1" si="20"/>
        <v>1</v>
      </c>
    </row>
    <row r="85" spans="1:17" ht="15" customHeight="1" x14ac:dyDescent="0.25">
      <c r="A85" s="1">
        <v>84</v>
      </c>
      <c r="B85" s="1">
        <v>58</v>
      </c>
      <c r="C85" s="8" t="str">
        <f t="shared" ca="1" si="15"/>
        <v>2015_03_01_TOR@CLE</v>
      </c>
      <c r="D85" s="1" t="str">
        <f t="shared" ca="1" si="21"/>
        <v>2015_03_01</v>
      </c>
      <c r="E85" s="8" t="str">
        <f t="shared" ca="1" si="16"/>
        <v>East</v>
      </c>
      <c r="F85" s="8" t="s">
        <v>158</v>
      </c>
      <c r="G85" s="8"/>
      <c r="H85" s="6" t="s">
        <v>6</v>
      </c>
      <c r="I85" s="8" t="str">
        <f t="shared" ca="1" si="17"/>
        <v>CLE</v>
      </c>
      <c r="J85" s="1">
        <f t="shared" ca="1" si="22"/>
        <v>1</v>
      </c>
      <c r="K85" s="8"/>
      <c r="L85" s="6" t="s">
        <v>0</v>
      </c>
      <c r="M85" s="8" t="str">
        <f t="shared" ca="1" si="18"/>
        <v>TOR</v>
      </c>
      <c r="N85" s="1">
        <f t="shared" ca="1" si="23"/>
        <v>0</v>
      </c>
      <c r="O85" s="8" t="s">
        <v>6</v>
      </c>
      <c r="P85" s="8" t="str">
        <f t="shared" ca="1" si="19"/>
        <v>CLE</v>
      </c>
      <c r="Q85" s="1">
        <f t="shared" ca="1" si="20"/>
        <v>1</v>
      </c>
    </row>
    <row r="86" spans="1:17" ht="15" customHeight="1" x14ac:dyDescent="0.25">
      <c r="A86" s="1">
        <v>85</v>
      </c>
      <c r="B86" s="1">
        <v>59</v>
      </c>
      <c r="C86" s="8" t="str">
        <f t="shared" ca="1" si="15"/>
        <v>2015_03_02_OKC@GSW</v>
      </c>
      <c r="D86" s="1" t="str">
        <f t="shared" ca="1" si="21"/>
        <v>2015_03_02</v>
      </c>
      <c r="E86" s="8" t="str">
        <f t="shared" ca="1" si="16"/>
        <v>West</v>
      </c>
      <c r="F86" s="8" t="s">
        <v>157</v>
      </c>
      <c r="G86" s="8"/>
      <c r="H86" s="8" t="s">
        <v>468</v>
      </c>
      <c r="I86" s="8" t="str">
        <f t="shared" ca="1" si="17"/>
        <v>GSW</v>
      </c>
      <c r="J86" s="1">
        <f t="shared" ca="1" si="22"/>
        <v>1</v>
      </c>
      <c r="K86" s="8"/>
      <c r="L86" s="8" t="s">
        <v>14</v>
      </c>
      <c r="M86" s="8" t="str">
        <f t="shared" ca="1" si="18"/>
        <v>OKC</v>
      </c>
      <c r="N86" s="1">
        <f t="shared" ca="1" si="23"/>
        <v>0</v>
      </c>
      <c r="O86" s="8" t="s">
        <v>468</v>
      </c>
      <c r="P86" s="8" t="str">
        <f t="shared" ca="1" si="19"/>
        <v>GSW</v>
      </c>
      <c r="Q86" s="1">
        <f t="shared" ca="1" si="20"/>
        <v>1</v>
      </c>
    </row>
    <row r="87" spans="1:17" ht="15" customHeight="1" x14ac:dyDescent="0.25">
      <c r="A87" s="1">
        <v>86</v>
      </c>
      <c r="B87" s="1">
        <v>59</v>
      </c>
      <c r="C87" s="8" t="str">
        <f t="shared" ca="1" si="15"/>
        <v>2015_03_02_OKC@GSW</v>
      </c>
      <c r="D87" s="1" t="str">
        <f t="shared" ca="1" si="21"/>
        <v>2015_03_02</v>
      </c>
      <c r="E87" s="8" t="str">
        <f t="shared" ca="1" si="16"/>
        <v>West</v>
      </c>
      <c r="F87" s="8" t="s">
        <v>158</v>
      </c>
      <c r="G87" s="8"/>
      <c r="H87" s="6" t="s">
        <v>468</v>
      </c>
      <c r="I87" s="8" t="str">
        <f t="shared" ca="1" si="17"/>
        <v>GSW</v>
      </c>
      <c r="J87" s="1">
        <f t="shared" ca="1" si="22"/>
        <v>1</v>
      </c>
      <c r="K87" s="8"/>
      <c r="L87" s="6" t="s">
        <v>14</v>
      </c>
      <c r="M87" s="8" t="str">
        <f t="shared" ca="1" si="18"/>
        <v>OKC</v>
      </c>
      <c r="N87" s="1">
        <f t="shared" ca="1" si="23"/>
        <v>0</v>
      </c>
      <c r="O87" s="8" t="s">
        <v>468</v>
      </c>
      <c r="P87" s="8" t="str">
        <f t="shared" ca="1" si="19"/>
        <v>GSW</v>
      </c>
      <c r="Q87" s="1">
        <f t="shared" ca="1" si="20"/>
        <v>1</v>
      </c>
    </row>
    <row r="88" spans="1:17" ht="15" customHeight="1" x14ac:dyDescent="0.25">
      <c r="A88" s="1">
        <v>87</v>
      </c>
      <c r="B88" s="1">
        <v>60</v>
      </c>
      <c r="C88" s="8" t="str">
        <f t="shared" ca="1" si="15"/>
        <v>2015_04_01_CLE@GSW</v>
      </c>
      <c r="D88" s="1" t="str">
        <f t="shared" ca="1" si="21"/>
        <v>2015_04_01</v>
      </c>
      <c r="E88" s="8" t="str">
        <f t="shared" ca="1" si="16"/>
        <v>na</v>
      </c>
      <c r="F88" s="8" t="s">
        <v>157</v>
      </c>
      <c r="G88" s="8"/>
      <c r="H88" s="8" t="s">
        <v>6</v>
      </c>
      <c r="I88" s="8" t="str">
        <f t="shared" ca="1" si="17"/>
        <v>GSW</v>
      </c>
      <c r="J88" s="1">
        <f t="shared" ca="1" si="22"/>
        <v>0</v>
      </c>
      <c r="K88" s="8"/>
      <c r="L88" s="8" t="s">
        <v>468</v>
      </c>
      <c r="M88" s="8" t="str">
        <f t="shared" ca="1" si="18"/>
        <v>CLE</v>
      </c>
      <c r="N88" s="1">
        <f t="shared" ca="1" si="23"/>
        <v>0</v>
      </c>
      <c r="O88" s="8" t="s">
        <v>468</v>
      </c>
      <c r="P88" s="8" t="str">
        <f t="shared" ca="1" si="19"/>
        <v>CLE</v>
      </c>
      <c r="Q88" s="1">
        <f t="shared" ca="1" si="20"/>
        <v>0</v>
      </c>
    </row>
    <row r="89" spans="1:17" ht="15" customHeight="1" x14ac:dyDescent="0.25">
      <c r="A89" s="1">
        <v>88</v>
      </c>
      <c r="B89" s="1">
        <v>60</v>
      </c>
      <c r="C89" s="8" t="str">
        <f t="shared" ca="1" si="15"/>
        <v>2015_04_01_CLE@GSW</v>
      </c>
      <c r="D89" s="1" t="str">
        <f t="shared" ca="1" si="21"/>
        <v>2015_04_01</v>
      </c>
      <c r="E89" s="8" t="str">
        <f t="shared" ca="1" si="16"/>
        <v>na</v>
      </c>
      <c r="F89" s="8" t="s">
        <v>158</v>
      </c>
      <c r="G89" s="8"/>
      <c r="H89" s="8" t="s">
        <v>6</v>
      </c>
      <c r="I89" s="8" t="str">
        <f t="shared" ca="1" si="17"/>
        <v>GSW</v>
      </c>
      <c r="J89" s="1">
        <f t="shared" ca="1" si="22"/>
        <v>0</v>
      </c>
      <c r="K89" s="8"/>
      <c r="L89" s="8" t="s">
        <v>468</v>
      </c>
      <c r="M89" s="8" t="str">
        <f t="shared" ca="1" si="18"/>
        <v>CLE</v>
      </c>
      <c r="N89" s="1">
        <f t="shared" ca="1" si="23"/>
        <v>0</v>
      </c>
      <c r="O89" s="8" t="s">
        <v>468</v>
      </c>
      <c r="P89" s="8" t="str">
        <f t="shared" ca="1" si="19"/>
        <v>CLE</v>
      </c>
      <c r="Q89" s="1">
        <f t="shared" ca="1" si="20"/>
        <v>0</v>
      </c>
    </row>
    <row r="90" spans="1:17" ht="15" customHeight="1" x14ac:dyDescent="0.25">
      <c r="A90" s="1">
        <v>89</v>
      </c>
      <c r="B90" s="1">
        <v>61</v>
      </c>
      <c r="C90" s="8" t="str">
        <f t="shared" ca="1" si="15"/>
        <v>2016_01_01_CHI@BOS</v>
      </c>
      <c r="D90" s="1" t="str">
        <f t="shared" ca="1" si="21"/>
        <v>2016_01_01</v>
      </c>
      <c r="E90" s="8" t="str">
        <f t="shared" ca="1" si="16"/>
        <v>East</v>
      </c>
      <c r="F90" s="8" t="s">
        <v>157</v>
      </c>
      <c r="G90">
        <v>1</v>
      </c>
      <c r="H90" s="8" t="s">
        <v>6</v>
      </c>
      <c r="I90" s="8" t="str">
        <f t="shared" ca="1" si="17"/>
        <v>BOS</v>
      </c>
      <c r="J90" s="1">
        <f t="shared" ca="1" si="22"/>
        <v>0</v>
      </c>
      <c r="K90">
        <v>8</v>
      </c>
      <c r="L90" s="8" t="s">
        <v>474</v>
      </c>
      <c r="M90" s="8" t="str">
        <f t="shared" ca="1" si="18"/>
        <v>CHI</v>
      </c>
      <c r="N90" s="1">
        <f t="shared" ca="1" si="23"/>
        <v>0</v>
      </c>
      <c r="O90" s="8" t="s">
        <v>186</v>
      </c>
      <c r="P90" s="8" t="str">
        <f t="shared" ca="1" si="19"/>
        <v>BOS</v>
      </c>
      <c r="Q90" s="1">
        <f t="shared" ca="1" si="20"/>
        <v>0</v>
      </c>
    </row>
    <row r="91" spans="1:17" ht="15" customHeight="1" x14ac:dyDescent="0.25">
      <c r="A91" s="1">
        <v>90</v>
      </c>
      <c r="B91" s="1">
        <v>61</v>
      </c>
      <c r="C91" s="8" t="str">
        <f t="shared" ca="1" si="15"/>
        <v>2016_01_01_CHI@BOS</v>
      </c>
      <c r="D91" s="1" t="str">
        <f t="shared" ca="1" si="21"/>
        <v>2016_01_01</v>
      </c>
      <c r="E91" s="8" t="str">
        <f t="shared" ca="1" si="16"/>
        <v>East</v>
      </c>
      <c r="F91" s="8" t="s">
        <v>158</v>
      </c>
      <c r="G91">
        <v>1</v>
      </c>
      <c r="H91" s="6" t="s">
        <v>6</v>
      </c>
      <c r="I91" s="8" t="str">
        <f t="shared" ca="1" si="17"/>
        <v>BOS</v>
      </c>
      <c r="J91" s="1">
        <f t="shared" ca="1" si="22"/>
        <v>0</v>
      </c>
      <c r="K91">
        <v>8</v>
      </c>
      <c r="L91" s="6" t="s">
        <v>11</v>
      </c>
      <c r="M91" s="8" t="str">
        <f t="shared" ca="1" si="18"/>
        <v>CHI</v>
      </c>
      <c r="N91" s="1">
        <f t="shared" ca="1" si="23"/>
        <v>0</v>
      </c>
      <c r="O91" s="8" t="s">
        <v>186</v>
      </c>
      <c r="P91" s="8" t="str">
        <f t="shared" ca="1" si="19"/>
        <v>BOS</v>
      </c>
      <c r="Q91" s="1">
        <f t="shared" ca="1" si="20"/>
        <v>0</v>
      </c>
    </row>
    <row r="92" spans="1:17" ht="15" customHeight="1" x14ac:dyDescent="0.25">
      <c r="A92" s="1">
        <v>91</v>
      </c>
      <c r="B92" s="1">
        <v>62</v>
      </c>
      <c r="C92" s="8" t="str">
        <f t="shared" ca="1" si="15"/>
        <v>2016_01_02_IND@CLE</v>
      </c>
      <c r="D92" s="1" t="str">
        <f t="shared" ca="1" si="21"/>
        <v>2016_01_02</v>
      </c>
      <c r="E92" s="8" t="str">
        <f t="shared" ca="1" si="16"/>
        <v>East</v>
      </c>
      <c r="F92" s="8" t="s">
        <v>157</v>
      </c>
      <c r="G92">
        <v>2</v>
      </c>
      <c r="H92" s="8" t="s">
        <v>17</v>
      </c>
      <c r="I92" s="8" t="str">
        <f t="shared" ca="1" si="17"/>
        <v>CLE</v>
      </c>
      <c r="J92" s="1">
        <f t="shared" ca="1" si="22"/>
        <v>0</v>
      </c>
      <c r="K92">
        <v>7</v>
      </c>
      <c r="L92" s="8" t="s">
        <v>13</v>
      </c>
      <c r="M92" s="8" t="str">
        <f t="shared" ca="1" si="18"/>
        <v>IND</v>
      </c>
      <c r="N92" s="1">
        <f t="shared" ca="1" si="23"/>
        <v>1</v>
      </c>
      <c r="O92" s="8" t="s">
        <v>186</v>
      </c>
      <c r="P92" s="8" t="str">
        <f t="shared" ca="1" si="19"/>
        <v>CLE</v>
      </c>
      <c r="Q92" s="1">
        <f t="shared" ca="1" si="20"/>
        <v>0</v>
      </c>
    </row>
    <row r="93" spans="1:17" ht="15" customHeight="1" x14ac:dyDescent="0.25">
      <c r="A93" s="1">
        <v>92</v>
      </c>
      <c r="B93" s="1">
        <v>62</v>
      </c>
      <c r="C93" s="8" t="str">
        <f t="shared" ca="1" si="15"/>
        <v>2016_01_02_IND@CLE</v>
      </c>
      <c r="D93" s="1" t="str">
        <f t="shared" ca="1" si="21"/>
        <v>2016_01_02</v>
      </c>
      <c r="E93" s="8" t="str">
        <f t="shared" ca="1" si="16"/>
        <v>East</v>
      </c>
      <c r="F93" s="8" t="s">
        <v>158</v>
      </c>
      <c r="G93">
        <v>2</v>
      </c>
      <c r="H93" s="6" t="s">
        <v>17</v>
      </c>
      <c r="I93" s="8" t="str">
        <f t="shared" ca="1" si="17"/>
        <v>CLE</v>
      </c>
      <c r="J93" s="1">
        <f t="shared" ca="1" si="22"/>
        <v>0</v>
      </c>
      <c r="K93">
        <v>7</v>
      </c>
      <c r="L93" s="6" t="s">
        <v>474</v>
      </c>
      <c r="M93" s="8" t="str">
        <f t="shared" ca="1" si="18"/>
        <v>IND</v>
      </c>
      <c r="N93" s="1">
        <f t="shared" ca="1" si="23"/>
        <v>0</v>
      </c>
      <c r="O93" s="8" t="s">
        <v>186</v>
      </c>
      <c r="P93" s="8" t="str">
        <f t="shared" ca="1" si="19"/>
        <v>CLE</v>
      </c>
      <c r="Q93" s="1">
        <f t="shared" ca="1" si="20"/>
        <v>0</v>
      </c>
    </row>
    <row r="94" spans="1:17" ht="15" customHeight="1" x14ac:dyDescent="0.25">
      <c r="A94" s="1">
        <v>93</v>
      </c>
      <c r="B94" s="1">
        <v>63</v>
      </c>
      <c r="C94" s="8" t="str">
        <f t="shared" ca="1" si="15"/>
        <v>2016_01_03_MIL@TOR</v>
      </c>
      <c r="D94" s="1" t="str">
        <f t="shared" ca="1" si="21"/>
        <v>2016_01_03</v>
      </c>
      <c r="E94" s="8" t="str">
        <f t="shared" ca="1" si="16"/>
        <v>East</v>
      </c>
      <c r="F94" s="8" t="s">
        <v>157</v>
      </c>
      <c r="G94">
        <v>3</v>
      </c>
      <c r="H94" s="8" t="s">
        <v>2</v>
      </c>
      <c r="I94" s="8" t="str">
        <f t="shared" ca="1" si="17"/>
        <v>TOR</v>
      </c>
      <c r="J94" s="1">
        <f t="shared" ca="1" si="22"/>
        <v>1</v>
      </c>
      <c r="K94">
        <v>6</v>
      </c>
      <c r="L94" s="8" t="s">
        <v>467</v>
      </c>
      <c r="M94" s="8" t="str">
        <f t="shared" ca="1" si="18"/>
        <v>MIL</v>
      </c>
      <c r="N94" s="1">
        <f t="shared" ca="1" si="23"/>
        <v>0</v>
      </c>
      <c r="O94" s="8" t="s">
        <v>186</v>
      </c>
      <c r="P94" s="8" t="str">
        <f t="shared" ca="1" si="19"/>
        <v>TOR</v>
      </c>
      <c r="Q94" s="1">
        <f t="shared" ca="1" si="20"/>
        <v>0</v>
      </c>
    </row>
    <row r="95" spans="1:17" ht="15" customHeight="1" x14ac:dyDescent="0.25">
      <c r="A95" s="1">
        <v>94</v>
      </c>
      <c r="B95" s="1">
        <v>63</v>
      </c>
      <c r="C95" s="8" t="str">
        <f t="shared" ca="1" si="15"/>
        <v>2016_01_03_MIL@TOR</v>
      </c>
      <c r="D95" s="1" t="str">
        <f t="shared" ca="1" si="21"/>
        <v>2016_01_03</v>
      </c>
      <c r="E95" s="8" t="str">
        <f t="shared" ca="1" si="16"/>
        <v>East</v>
      </c>
      <c r="F95" s="8" t="s">
        <v>158</v>
      </c>
      <c r="G95">
        <v>3</v>
      </c>
      <c r="H95" s="6" t="s">
        <v>2</v>
      </c>
      <c r="I95" s="8" t="str">
        <f t="shared" ca="1" si="17"/>
        <v>TOR</v>
      </c>
      <c r="J95" s="1">
        <f t="shared" ca="1" si="22"/>
        <v>1</v>
      </c>
      <c r="K95">
        <v>6</v>
      </c>
      <c r="L95" s="6" t="s">
        <v>7</v>
      </c>
      <c r="M95" s="8" t="str">
        <f t="shared" ca="1" si="18"/>
        <v>MIL</v>
      </c>
      <c r="N95" s="1">
        <f t="shared" ca="1" si="23"/>
        <v>0</v>
      </c>
      <c r="O95" s="8" t="s">
        <v>186</v>
      </c>
      <c r="P95" s="8" t="str">
        <f t="shared" ca="1" si="19"/>
        <v>TOR</v>
      </c>
      <c r="Q95" s="1">
        <f t="shared" ca="1" si="20"/>
        <v>0</v>
      </c>
    </row>
    <row r="96" spans="1:17" ht="15" customHeight="1" x14ac:dyDescent="0.25">
      <c r="A96" s="1">
        <v>95</v>
      </c>
      <c r="B96" s="1">
        <v>64</v>
      </c>
      <c r="C96" s="8" t="str">
        <f t="shared" ca="1" si="15"/>
        <v>2016_01_04_ATL@WAS</v>
      </c>
      <c r="D96" s="1" t="str">
        <f t="shared" ca="1" si="21"/>
        <v>2016_01_04</v>
      </c>
      <c r="E96" s="8" t="str">
        <f t="shared" ca="1" si="16"/>
        <v>East</v>
      </c>
      <c r="F96" s="8" t="s">
        <v>157</v>
      </c>
      <c r="G96">
        <v>4</v>
      </c>
      <c r="H96" s="8" t="s">
        <v>5</v>
      </c>
      <c r="I96" s="8" t="str">
        <f t="shared" ca="1" si="17"/>
        <v>WAS</v>
      </c>
      <c r="J96" s="1">
        <f t="shared" ca="1" si="22"/>
        <v>0</v>
      </c>
      <c r="K96">
        <v>5</v>
      </c>
      <c r="L96" s="8" t="s">
        <v>7</v>
      </c>
      <c r="M96" s="8" t="str">
        <f t="shared" ca="1" si="18"/>
        <v>ATL</v>
      </c>
      <c r="N96" s="1">
        <f t="shared" ca="1" si="23"/>
        <v>0</v>
      </c>
      <c r="O96" s="8" t="s">
        <v>186</v>
      </c>
      <c r="P96" s="8" t="str">
        <f t="shared" ca="1" si="19"/>
        <v>WAS</v>
      </c>
      <c r="Q96" s="1">
        <f t="shared" ca="1" si="20"/>
        <v>0</v>
      </c>
    </row>
    <row r="97" spans="1:17" ht="15" customHeight="1" x14ac:dyDescent="0.25">
      <c r="A97" s="1">
        <v>96</v>
      </c>
      <c r="B97" s="1">
        <v>64</v>
      </c>
      <c r="C97" s="8" t="str">
        <f t="shared" ca="1" si="15"/>
        <v>2016_01_04_ATL@WAS</v>
      </c>
      <c r="D97" s="1" t="str">
        <f t="shared" ca="1" si="21"/>
        <v>2016_01_04</v>
      </c>
      <c r="E97" s="8" t="str">
        <f t="shared" ca="1" si="16"/>
        <v>East</v>
      </c>
      <c r="F97" s="8" t="s">
        <v>158</v>
      </c>
      <c r="G97">
        <v>4</v>
      </c>
      <c r="H97" s="6" t="s">
        <v>467</v>
      </c>
      <c r="I97" s="8" t="str">
        <f t="shared" ca="1" si="17"/>
        <v>WAS</v>
      </c>
      <c r="J97" s="1">
        <f t="shared" ca="1" si="22"/>
        <v>0</v>
      </c>
      <c r="K97">
        <v>5</v>
      </c>
      <c r="L97" s="6" t="s">
        <v>5</v>
      </c>
      <c r="M97" s="8" t="str">
        <f t="shared" ca="1" si="18"/>
        <v>ATL</v>
      </c>
      <c r="N97" s="1">
        <f t="shared" ca="1" si="23"/>
        <v>1</v>
      </c>
      <c r="O97" s="8" t="s">
        <v>186</v>
      </c>
      <c r="P97" s="8" t="str">
        <f t="shared" ca="1" si="19"/>
        <v>WAS</v>
      </c>
      <c r="Q97" s="1">
        <f t="shared" ca="1" si="20"/>
        <v>0</v>
      </c>
    </row>
    <row r="98" spans="1:17" ht="15" customHeight="1" x14ac:dyDescent="0.25">
      <c r="A98" s="1">
        <v>97</v>
      </c>
      <c r="B98" s="1">
        <v>65</v>
      </c>
      <c r="C98" s="8" t="str">
        <f t="shared" ref="C98:C133" ca="1" si="24">IFERROR(VLOOKUP($B98,nba_plyff_results,MATCH(C$1,nba_plyff_results_header,0),FALSE),"error")</f>
        <v>2016_01_05_POR@GSW</v>
      </c>
      <c r="D98" s="1" t="str">
        <f t="shared" ca="1" si="21"/>
        <v>2016_01_05</v>
      </c>
      <c r="E98" s="8" t="str">
        <f t="shared" ref="E98:E133" ca="1" si="25">IFERROR(IF(VLOOKUP($B98,nba_plyff_results,MATCH(E$1,nba_plyff_results_header,0),FALSE)="","",VLOOKUP($B98,nba_plyff_results,MATCH(E$1,nba_plyff_results_header,0),FALSE)),"error")</f>
        <v>West</v>
      </c>
      <c r="F98" s="8" t="s">
        <v>157</v>
      </c>
      <c r="G98">
        <v>1</v>
      </c>
      <c r="H98" s="8" t="s">
        <v>468</v>
      </c>
      <c r="I98" s="8" t="str">
        <f t="shared" ref="I98:I122" ca="1" si="26">IFERROR(IF(VLOOKUP($B98,nba_plyff_results,MATCH(I$1,nba_plyff_results_header,0),FALSE)="","",VLOOKUP($B98,nba_plyff_results,MATCH(I$1,nba_plyff_results_header,0),FALSE)),"error")</f>
        <v>GSW</v>
      </c>
      <c r="J98" s="1">
        <f t="shared" ca="1" si="22"/>
        <v>1</v>
      </c>
      <c r="K98">
        <v>8</v>
      </c>
      <c r="L98" s="8" t="s">
        <v>473</v>
      </c>
      <c r="M98" s="8" t="str">
        <f t="shared" ref="M98:M122" ca="1" si="27">IFERROR(IF(VLOOKUP($B98,nba_plyff_results,MATCH(M$1,nba_plyff_results_header,0),FALSE)="","",VLOOKUP($B98,nba_plyff_results,MATCH(M$1,nba_plyff_results_header,0),FALSE)),"error")</f>
        <v>POR</v>
      </c>
      <c r="N98" s="1">
        <f t="shared" ca="1" si="23"/>
        <v>0</v>
      </c>
      <c r="O98" s="8" t="s">
        <v>186</v>
      </c>
      <c r="P98" s="8" t="str">
        <f t="shared" ref="P98:P122" ca="1" si="28">IFERROR(IF(VLOOKUP($B98,nba_plyff_results,MATCH(P$1,nba_plyff_results_header,0),FALSE)="","",VLOOKUP($B98,nba_plyff_results,MATCH(P$1,nba_plyff_results_header,0),FALSE)),"error")</f>
        <v>GSW</v>
      </c>
      <c r="Q98" s="1">
        <f t="shared" ref="Q98:Q122" ca="1" si="29">IF(O98="error","error",IF(OR(ISBLANK(O98),ISBLANK(P98),O98="",P98=""),"",IF(O98=P98,1,0)))</f>
        <v>0</v>
      </c>
    </row>
    <row r="99" spans="1:17" ht="15" customHeight="1" x14ac:dyDescent="0.25">
      <c r="A99" s="1">
        <v>98</v>
      </c>
      <c r="B99" s="1">
        <v>65</v>
      </c>
      <c r="C99" s="8" t="str">
        <f t="shared" ca="1" si="24"/>
        <v>2016_01_05_POR@GSW</v>
      </c>
      <c r="D99" s="1" t="str">
        <f t="shared" ca="1" si="21"/>
        <v>2016_01_05</v>
      </c>
      <c r="E99" s="8" t="str">
        <f t="shared" ca="1" si="25"/>
        <v>West</v>
      </c>
      <c r="F99" s="8" t="s">
        <v>158</v>
      </c>
      <c r="G99">
        <v>1</v>
      </c>
      <c r="H99" s="6" t="s">
        <v>468</v>
      </c>
      <c r="I99" s="8" t="str">
        <f t="shared" ca="1" si="26"/>
        <v>GSW</v>
      </c>
      <c r="J99" s="1">
        <f t="shared" ca="1" si="22"/>
        <v>1</v>
      </c>
      <c r="K99">
        <v>8</v>
      </c>
      <c r="L99" s="6" t="s">
        <v>12</v>
      </c>
      <c r="M99" s="8" t="str">
        <f t="shared" ca="1" si="27"/>
        <v>POR</v>
      </c>
      <c r="N99" s="1">
        <f t="shared" ca="1" si="23"/>
        <v>0</v>
      </c>
      <c r="O99" s="8" t="s">
        <v>186</v>
      </c>
      <c r="P99" s="8" t="str">
        <f t="shared" ca="1" si="28"/>
        <v>GSW</v>
      </c>
      <c r="Q99" s="1">
        <f t="shared" ca="1" si="29"/>
        <v>0</v>
      </c>
    </row>
    <row r="100" spans="1:17" ht="15" customHeight="1" x14ac:dyDescent="0.25">
      <c r="A100" s="1">
        <v>99</v>
      </c>
      <c r="B100" s="1">
        <v>66</v>
      </c>
      <c r="C100" s="8" t="str">
        <f t="shared" ca="1" si="24"/>
        <v>2016_01_06_MEM@SAS</v>
      </c>
      <c r="D100" s="1" t="str">
        <f t="shared" ca="1" si="21"/>
        <v>2016_01_06</v>
      </c>
      <c r="E100" s="8" t="str">
        <f t="shared" ca="1" si="25"/>
        <v>West</v>
      </c>
      <c r="F100" s="8" t="s">
        <v>157</v>
      </c>
      <c r="G100">
        <v>2</v>
      </c>
      <c r="H100" s="8" t="s">
        <v>14</v>
      </c>
      <c r="I100" s="8" t="str">
        <f t="shared" ca="1" si="26"/>
        <v>SAS</v>
      </c>
      <c r="J100" s="1">
        <f t="shared" ca="1" si="22"/>
        <v>0</v>
      </c>
      <c r="K100">
        <v>7</v>
      </c>
      <c r="L100" s="8" t="s">
        <v>4</v>
      </c>
      <c r="M100" s="8" t="str">
        <f t="shared" ca="1" si="27"/>
        <v>MEM</v>
      </c>
      <c r="N100" s="1">
        <f t="shared" ca="1" si="23"/>
        <v>0</v>
      </c>
      <c r="O100" s="8" t="s">
        <v>186</v>
      </c>
      <c r="P100" s="8" t="str">
        <f t="shared" ca="1" si="28"/>
        <v>SAS</v>
      </c>
      <c r="Q100" s="1">
        <f t="shared" ca="1" si="29"/>
        <v>0</v>
      </c>
    </row>
    <row r="101" spans="1:17" ht="15" customHeight="1" x14ac:dyDescent="0.25">
      <c r="A101" s="1">
        <v>100</v>
      </c>
      <c r="B101" s="1">
        <v>66</v>
      </c>
      <c r="C101" s="8" t="str">
        <f t="shared" ca="1" si="24"/>
        <v>2016_01_06_MEM@SAS</v>
      </c>
      <c r="D101" s="1" t="str">
        <f t="shared" ca="1" si="21"/>
        <v>2016_01_06</v>
      </c>
      <c r="E101" s="8" t="str">
        <f t="shared" ca="1" si="25"/>
        <v>West</v>
      </c>
      <c r="F101" s="8" t="s">
        <v>158</v>
      </c>
      <c r="G101">
        <v>2</v>
      </c>
      <c r="H101" s="6" t="s">
        <v>14</v>
      </c>
      <c r="I101" s="8" t="str">
        <f t="shared" ca="1" si="26"/>
        <v>SAS</v>
      </c>
      <c r="J101" s="1">
        <f t="shared" ca="1" si="22"/>
        <v>0</v>
      </c>
      <c r="K101">
        <v>7</v>
      </c>
      <c r="L101" s="6" t="s">
        <v>4</v>
      </c>
      <c r="M101" s="8" t="str">
        <f t="shared" ca="1" si="27"/>
        <v>MEM</v>
      </c>
      <c r="N101" s="1">
        <f t="shared" ca="1" si="23"/>
        <v>0</v>
      </c>
      <c r="O101" s="8" t="s">
        <v>186</v>
      </c>
      <c r="P101" s="8" t="str">
        <f t="shared" ca="1" si="28"/>
        <v>SAS</v>
      </c>
      <c r="Q101" s="1">
        <f t="shared" ca="1" si="29"/>
        <v>0</v>
      </c>
    </row>
    <row r="102" spans="1:17" ht="15" customHeight="1" x14ac:dyDescent="0.25">
      <c r="A102" s="1">
        <v>101</v>
      </c>
      <c r="B102" s="1">
        <v>67</v>
      </c>
      <c r="C102" s="8" t="str">
        <f t="shared" ca="1" si="24"/>
        <v>2016_01_07_OKC@HOU</v>
      </c>
      <c r="D102" s="1" t="str">
        <f t="shared" ca="1" si="21"/>
        <v>2016_01_07</v>
      </c>
      <c r="E102" s="8" t="str">
        <f t="shared" ca="1" si="25"/>
        <v>West</v>
      </c>
      <c r="F102" s="8" t="s">
        <v>157</v>
      </c>
      <c r="G102">
        <v>3</v>
      </c>
      <c r="H102" s="8" t="s">
        <v>472</v>
      </c>
      <c r="I102" s="8" t="str">
        <f t="shared" ca="1" si="26"/>
        <v>HOU</v>
      </c>
      <c r="J102" s="1">
        <f t="shared" ca="1" si="22"/>
        <v>0</v>
      </c>
      <c r="K102">
        <v>6</v>
      </c>
      <c r="L102" s="8" t="s">
        <v>9</v>
      </c>
      <c r="M102" s="8" t="str">
        <f t="shared" ca="1" si="27"/>
        <v>OKC</v>
      </c>
      <c r="N102" s="1">
        <f t="shared" ca="1" si="23"/>
        <v>0</v>
      </c>
      <c r="O102" s="8" t="s">
        <v>186</v>
      </c>
      <c r="P102" s="8" t="str">
        <f t="shared" ca="1" si="28"/>
        <v>HOU</v>
      </c>
      <c r="Q102" s="1">
        <f t="shared" ca="1" si="29"/>
        <v>0</v>
      </c>
    </row>
    <row r="103" spans="1:17" ht="15" customHeight="1" x14ac:dyDescent="0.25">
      <c r="A103" s="1">
        <v>102</v>
      </c>
      <c r="B103" s="1">
        <v>67</v>
      </c>
      <c r="C103" s="8" t="str">
        <f t="shared" ca="1" si="24"/>
        <v>2016_01_07_OKC@HOU</v>
      </c>
      <c r="D103" s="1" t="str">
        <f t="shared" ca="1" si="21"/>
        <v>2016_01_07</v>
      </c>
      <c r="E103" s="8" t="str">
        <f t="shared" ca="1" si="25"/>
        <v>West</v>
      </c>
      <c r="F103" s="8" t="s">
        <v>158</v>
      </c>
      <c r="G103">
        <v>3</v>
      </c>
      <c r="H103" s="6" t="s">
        <v>472</v>
      </c>
      <c r="I103" s="8" t="str">
        <f t="shared" ca="1" si="26"/>
        <v>HOU</v>
      </c>
      <c r="J103" s="1">
        <f t="shared" ca="1" si="22"/>
        <v>0</v>
      </c>
      <c r="K103">
        <v>6</v>
      </c>
      <c r="L103" s="6" t="s">
        <v>9</v>
      </c>
      <c r="M103" s="8" t="str">
        <f t="shared" ca="1" si="27"/>
        <v>OKC</v>
      </c>
      <c r="N103" s="1">
        <f t="shared" ca="1" si="23"/>
        <v>0</v>
      </c>
      <c r="O103" s="8" t="s">
        <v>186</v>
      </c>
      <c r="P103" s="8" t="str">
        <f t="shared" ca="1" si="28"/>
        <v>HOU</v>
      </c>
      <c r="Q103" s="1">
        <f t="shared" ca="1" si="29"/>
        <v>0</v>
      </c>
    </row>
    <row r="104" spans="1:17" ht="15" customHeight="1" x14ac:dyDescent="0.25">
      <c r="A104" s="1">
        <v>103</v>
      </c>
      <c r="B104" s="1">
        <v>68</v>
      </c>
      <c r="C104" s="8" t="str">
        <f t="shared" ca="1" si="24"/>
        <v>2016_01_08_UTA@LAC</v>
      </c>
      <c r="D104" s="1" t="str">
        <f t="shared" ca="1" si="21"/>
        <v>2016_01_08</v>
      </c>
      <c r="E104" s="8" t="str">
        <f t="shared" ca="1" si="25"/>
        <v>West</v>
      </c>
      <c r="F104" s="8" t="s">
        <v>157</v>
      </c>
      <c r="G104">
        <v>4</v>
      </c>
      <c r="H104" s="8" t="s">
        <v>1</v>
      </c>
      <c r="I104" s="8" t="str">
        <f t="shared" ca="1" si="26"/>
        <v>LAC</v>
      </c>
      <c r="J104" s="1">
        <f t="shared" ca="1" si="22"/>
        <v>0</v>
      </c>
      <c r="K104">
        <v>5</v>
      </c>
      <c r="L104" s="8" t="s">
        <v>16</v>
      </c>
      <c r="M104" s="8" t="str">
        <f t="shared" ca="1" si="27"/>
        <v>UTA</v>
      </c>
      <c r="N104" s="1">
        <f t="shared" ca="1" si="23"/>
        <v>0</v>
      </c>
      <c r="O104" s="8" t="s">
        <v>186</v>
      </c>
      <c r="P104" s="8" t="str">
        <f t="shared" ca="1" si="28"/>
        <v>UTA</v>
      </c>
      <c r="Q104" s="1">
        <f t="shared" ca="1" si="29"/>
        <v>0</v>
      </c>
    </row>
    <row r="105" spans="1:17" ht="15" customHeight="1" x14ac:dyDescent="0.25">
      <c r="A105" s="1">
        <v>104</v>
      </c>
      <c r="B105" s="1">
        <v>68</v>
      </c>
      <c r="C105" s="8" t="str">
        <f t="shared" ca="1" si="24"/>
        <v>2016_01_08_UTA@LAC</v>
      </c>
      <c r="D105" s="1" t="str">
        <f t="shared" ca="1" si="21"/>
        <v>2016_01_08</v>
      </c>
      <c r="E105" s="8" t="str">
        <f t="shared" ca="1" si="25"/>
        <v>West</v>
      </c>
      <c r="F105" s="8" t="s">
        <v>158</v>
      </c>
      <c r="G105">
        <v>4</v>
      </c>
      <c r="H105" s="6" t="s">
        <v>1</v>
      </c>
      <c r="I105" s="8" t="str">
        <f t="shared" ca="1" si="26"/>
        <v>LAC</v>
      </c>
      <c r="J105" s="1">
        <f t="shared" ca="1" si="22"/>
        <v>0</v>
      </c>
      <c r="K105">
        <v>5</v>
      </c>
      <c r="L105" s="6" t="s">
        <v>473</v>
      </c>
      <c r="M105" s="8" t="str">
        <f t="shared" ca="1" si="27"/>
        <v>UTA</v>
      </c>
      <c r="N105" s="1">
        <f t="shared" ca="1" si="23"/>
        <v>1</v>
      </c>
      <c r="O105" s="8" t="s">
        <v>186</v>
      </c>
      <c r="P105" s="8" t="str">
        <f t="shared" ca="1" si="28"/>
        <v>UTA</v>
      </c>
      <c r="Q105" s="1">
        <f t="shared" ca="1" si="29"/>
        <v>0</v>
      </c>
    </row>
    <row r="106" spans="1:17" ht="15" customHeight="1" x14ac:dyDescent="0.25">
      <c r="A106" s="1">
        <v>105</v>
      </c>
      <c r="B106" s="1">
        <v>73</v>
      </c>
      <c r="C106" s="8" t="str">
        <f t="shared" ca="1" si="24"/>
        <v>2016_03_01_CLE@BOS</v>
      </c>
      <c r="D106" s="1" t="str">
        <f t="shared" ca="1" si="21"/>
        <v>2016_03_01</v>
      </c>
      <c r="E106" s="8" t="str">
        <f t="shared" ca="1" si="25"/>
        <v>East</v>
      </c>
      <c r="F106" s="8" t="s">
        <v>157</v>
      </c>
      <c r="H106" s="8" t="s">
        <v>6</v>
      </c>
      <c r="I106" s="8" t="str">
        <f t="shared" ca="1" si="26"/>
        <v>BOS</v>
      </c>
      <c r="J106" s="1">
        <f t="shared" ca="1" si="22"/>
        <v>0</v>
      </c>
      <c r="L106" s="8" t="s">
        <v>17</v>
      </c>
      <c r="M106" s="8" t="str">
        <f t="shared" ca="1" si="27"/>
        <v>CLE</v>
      </c>
      <c r="N106" s="1">
        <f t="shared" ca="1" si="23"/>
        <v>0</v>
      </c>
      <c r="O106" s="8" t="s">
        <v>6</v>
      </c>
      <c r="P106" s="8" t="str">
        <f t="shared" ca="1" si="28"/>
        <v>CLE</v>
      </c>
      <c r="Q106" s="1">
        <f t="shared" ca="1" si="29"/>
        <v>1</v>
      </c>
    </row>
    <row r="107" spans="1:17" ht="15" customHeight="1" x14ac:dyDescent="0.25">
      <c r="A107" s="1">
        <v>106</v>
      </c>
      <c r="B107" s="1">
        <v>74</v>
      </c>
      <c r="C107" s="8" t="str">
        <f t="shared" ca="1" si="24"/>
        <v>2016_03_02_SAS@GSW</v>
      </c>
      <c r="D107" s="1" t="str">
        <f t="shared" ca="1" si="21"/>
        <v>2016_03_02</v>
      </c>
      <c r="E107" s="8" t="str">
        <f t="shared" ca="1" si="25"/>
        <v>West</v>
      </c>
      <c r="F107" s="8" t="s">
        <v>157</v>
      </c>
      <c r="H107" s="8" t="s">
        <v>468</v>
      </c>
      <c r="I107" s="8" t="str">
        <f t="shared" ca="1" si="26"/>
        <v>GSW</v>
      </c>
      <c r="J107" s="1">
        <f t="shared" ca="1" si="22"/>
        <v>1</v>
      </c>
      <c r="L107" s="8" t="s">
        <v>14</v>
      </c>
      <c r="M107" s="8" t="str">
        <f t="shared" ca="1" si="27"/>
        <v>SAS</v>
      </c>
      <c r="N107" s="1">
        <f t="shared" ca="1" si="23"/>
        <v>0</v>
      </c>
      <c r="O107" s="8" t="s">
        <v>468</v>
      </c>
      <c r="P107" s="8" t="str">
        <f t="shared" ca="1" si="28"/>
        <v>GSW</v>
      </c>
      <c r="Q107" s="1">
        <f t="shared" ca="1" si="29"/>
        <v>1</v>
      </c>
    </row>
    <row r="108" spans="1:17" ht="15" customHeight="1" x14ac:dyDescent="0.25">
      <c r="A108" s="1">
        <v>107</v>
      </c>
      <c r="B108" s="1">
        <v>73</v>
      </c>
      <c r="C108" s="8" t="str">
        <f t="shared" ca="1" si="24"/>
        <v>2016_03_01_CLE@BOS</v>
      </c>
      <c r="D108" s="1" t="str">
        <f t="shared" ca="1" si="21"/>
        <v>2016_03_01</v>
      </c>
      <c r="E108" s="8" t="str">
        <f t="shared" ca="1" si="25"/>
        <v>East</v>
      </c>
      <c r="F108" s="8" t="s">
        <v>158</v>
      </c>
      <c r="H108" s="6" t="s">
        <v>6</v>
      </c>
      <c r="I108" s="8" t="str">
        <f t="shared" ca="1" si="26"/>
        <v>BOS</v>
      </c>
      <c r="J108" s="1">
        <f t="shared" ca="1" si="22"/>
        <v>0</v>
      </c>
      <c r="L108" s="6" t="s">
        <v>17</v>
      </c>
      <c r="M108" s="8" t="str">
        <f t="shared" ca="1" si="27"/>
        <v>CLE</v>
      </c>
      <c r="N108" s="1">
        <f t="shared" ca="1" si="23"/>
        <v>0</v>
      </c>
      <c r="O108" s="8" t="s">
        <v>6</v>
      </c>
      <c r="P108" s="8" t="str">
        <f t="shared" ca="1" si="28"/>
        <v>CLE</v>
      </c>
      <c r="Q108" s="1">
        <f t="shared" ca="1" si="29"/>
        <v>1</v>
      </c>
    </row>
    <row r="109" spans="1:17" ht="15" customHeight="1" x14ac:dyDescent="0.25">
      <c r="A109" s="1">
        <v>108</v>
      </c>
      <c r="B109" s="1">
        <v>74</v>
      </c>
      <c r="C109" s="8" t="str">
        <f t="shared" ca="1" si="24"/>
        <v>2016_03_02_SAS@GSW</v>
      </c>
      <c r="D109" s="1" t="str">
        <f t="shared" ca="1" si="21"/>
        <v>2016_03_02</v>
      </c>
      <c r="E109" s="8" t="str">
        <f t="shared" ca="1" si="25"/>
        <v>West</v>
      </c>
      <c r="F109" s="8" t="s">
        <v>158</v>
      </c>
      <c r="H109" s="6" t="s">
        <v>468</v>
      </c>
      <c r="I109" s="8" t="str">
        <f t="shared" ca="1" si="26"/>
        <v>GSW</v>
      </c>
      <c r="J109" s="1">
        <f t="shared" ca="1" si="22"/>
        <v>1</v>
      </c>
      <c r="L109" s="6" t="s">
        <v>14</v>
      </c>
      <c r="M109" s="8" t="str">
        <f t="shared" ca="1" si="27"/>
        <v>SAS</v>
      </c>
      <c r="N109" s="1">
        <f t="shared" ca="1" si="23"/>
        <v>0</v>
      </c>
      <c r="O109" s="8" t="s">
        <v>468</v>
      </c>
      <c r="P109" s="8" t="str">
        <f t="shared" ca="1" si="28"/>
        <v>GSW</v>
      </c>
      <c r="Q109" s="1">
        <f t="shared" ca="1" si="29"/>
        <v>1</v>
      </c>
    </row>
    <row r="110" spans="1:17" ht="15" customHeight="1" x14ac:dyDescent="0.25">
      <c r="A110" s="1">
        <v>109</v>
      </c>
      <c r="B110" s="1">
        <v>75</v>
      </c>
      <c r="C110" s="8" t="str">
        <f t="shared" ca="1" si="24"/>
        <v>2016_04_01_CLE@GSW</v>
      </c>
      <c r="D110" s="1" t="str">
        <f t="shared" ca="1" si="21"/>
        <v>2016_04_01</v>
      </c>
      <c r="E110" s="8" t="str">
        <f t="shared" ca="1" si="25"/>
        <v>na</v>
      </c>
      <c r="F110" s="8" t="s">
        <v>157</v>
      </c>
      <c r="G110" s="1"/>
      <c r="H110" s="8" t="s">
        <v>6</v>
      </c>
      <c r="I110" s="8" t="str">
        <f t="shared" ca="1" si="26"/>
        <v>GSW</v>
      </c>
      <c r="J110" s="1">
        <f t="shared" ca="1" si="22"/>
        <v>0</v>
      </c>
      <c r="K110" s="1"/>
      <c r="L110" s="8" t="s">
        <v>468</v>
      </c>
      <c r="M110" s="8" t="str">
        <f t="shared" ca="1" si="27"/>
        <v>CLE</v>
      </c>
      <c r="N110" s="1">
        <f t="shared" ca="1" si="23"/>
        <v>0</v>
      </c>
      <c r="O110" s="8" t="s">
        <v>468</v>
      </c>
      <c r="P110" s="8" t="str">
        <f t="shared" ca="1" si="28"/>
        <v>GSW</v>
      </c>
      <c r="Q110" s="1">
        <f t="shared" ca="1" si="29"/>
        <v>1</v>
      </c>
    </row>
    <row r="111" spans="1:17" ht="15" customHeight="1" x14ac:dyDescent="0.25">
      <c r="A111" s="1">
        <v>110</v>
      </c>
      <c r="B111" s="1">
        <v>75</v>
      </c>
      <c r="C111" s="8" t="str">
        <f t="shared" ca="1" si="24"/>
        <v>2016_04_01_CLE@GSW</v>
      </c>
      <c r="D111" s="1" t="str">
        <f t="shared" ca="1" si="21"/>
        <v>2016_04_01</v>
      </c>
      <c r="E111" s="8" t="str">
        <f t="shared" ca="1" si="25"/>
        <v>na</v>
      </c>
      <c r="F111" s="8" t="s">
        <v>158</v>
      </c>
      <c r="G111" s="1"/>
      <c r="H111" s="8" t="s">
        <v>6</v>
      </c>
      <c r="I111" s="8" t="str">
        <f t="shared" ca="1" si="26"/>
        <v>GSW</v>
      </c>
      <c r="J111" s="1">
        <f t="shared" ca="1" si="22"/>
        <v>0</v>
      </c>
      <c r="K111" s="1"/>
      <c r="L111" s="8" t="s">
        <v>468</v>
      </c>
      <c r="M111" s="8" t="str">
        <f t="shared" ca="1" si="27"/>
        <v>CLE</v>
      </c>
      <c r="N111" s="1">
        <f t="shared" ca="1" si="23"/>
        <v>0</v>
      </c>
      <c r="O111" s="8" t="s">
        <v>468</v>
      </c>
      <c r="P111" s="8" t="str">
        <f t="shared" ca="1" si="28"/>
        <v>GSW</v>
      </c>
      <c r="Q111" s="1">
        <f t="shared" ca="1" si="29"/>
        <v>1</v>
      </c>
    </row>
    <row r="112" spans="1:17" ht="15" customHeight="1" x14ac:dyDescent="0.25">
      <c r="A112" s="1">
        <v>111</v>
      </c>
      <c r="B112">
        <v>76</v>
      </c>
      <c r="C112" s="8" t="str">
        <f t="shared" ca="1" si="24"/>
        <v>2016_01_01_@</v>
      </c>
      <c r="D112" s="1" t="str">
        <f t="shared" ca="1" si="21"/>
        <v>2016_01_01</v>
      </c>
      <c r="E112" s="8" t="str">
        <f t="shared" ca="1" si="25"/>
        <v>East</v>
      </c>
      <c r="F112" s="8" t="s">
        <v>157</v>
      </c>
      <c r="G112">
        <v>1</v>
      </c>
      <c r="H112" t="s">
        <v>6</v>
      </c>
      <c r="I112" s="8" t="str">
        <f t="shared" ca="1" si="26"/>
        <v/>
      </c>
      <c r="J112" s="1" t="str">
        <f t="shared" ca="1" si="22"/>
        <v/>
      </c>
      <c r="K112">
        <v>8</v>
      </c>
      <c r="L112" s="8" t="s">
        <v>20</v>
      </c>
      <c r="M112" s="8" t="str">
        <f t="shared" ca="1" si="27"/>
        <v/>
      </c>
      <c r="N112" s="1" t="str">
        <f t="shared" ca="1" si="23"/>
        <v/>
      </c>
      <c r="P112" s="8" t="str">
        <f t="shared" ca="1" si="28"/>
        <v/>
      </c>
      <c r="Q112" s="1" t="str">
        <f t="shared" ca="1" si="29"/>
        <v/>
      </c>
    </row>
    <row r="113" spans="1:17" ht="15" customHeight="1" x14ac:dyDescent="0.25">
      <c r="A113" s="1">
        <v>112</v>
      </c>
      <c r="B113">
        <v>77</v>
      </c>
      <c r="C113" s="8" t="str">
        <f t="shared" ca="1" si="24"/>
        <v>2016_01_02_@</v>
      </c>
      <c r="D113" s="1" t="str">
        <f t="shared" ca="1" si="21"/>
        <v>2016_01_02</v>
      </c>
      <c r="E113" s="8" t="str">
        <f t="shared" ca="1" si="25"/>
        <v>East</v>
      </c>
      <c r="F113" s="8" t="s">
        <v>157</v>
      </c>
      <c r="G113">
        <v>2</v>
      </c>
      <c r="H113" t="s">
        <v>2</v>
      </c>
      <c r="I113" s="8" t="str">
        <f t="shared" ca="1" si="26"/>
        <v/>
      </c>
      <c r="J113" s="1" t="str">
        <f t="shared" ca="1" si="22"/>
        <v/>
      </c>
      <c r="K113">
        <v>7</v>
      </c>
      <c r="L113" t="s">
        <v>467</v>
      </c>
      <c r="M113" s="8" t="str">
        <f t="shared" ca="1" si="27"/>
        <v/>
      </c>
      <c r="N113" s="1" t="str">
        <f t="shared" ca="1" si="23"/>
        <v/>
      </c>
      <c r="P113" s="8" t="str">
        <f t="shared" ca="1" si="28"/>
        <v/>
      </c>
      <c r="Q113" s="1" t="str">
        <f t="shared" ca="1" si="29"/>
        <v/>
      </c>
    </row>
    <row r="114" spans="1:17" ht="15" customHeight="1" x14ac:dyDescent="0.25">
      <c r="A114" s="1">
        <v>113</v>
      </c>
      <c r="B114">
        <v>78</v>
      </c>
      <c r="C114" s="8" t="str">
        <f t="shared" ca="1" si="24"/>
        <v>2016_01_03_@</v>
      </c>
      <c r="D114" s="1" t="str">
        <f t="shared" ca="1" si="21"/>
        <v>2016_01_03</v>
      </c>
      <c r="E114" s="8" t="str">
        <f t="shared" ca="1" si="25"/>
        <v>East</v>
      </c>
      <c r="F114" s="8" t="s">
        <v>157</v>
      </c>
      <c r="G114">
        <v>3</v>
      </c>
      <c r="H114" t="s">
        <v>17</v>
      </c>
      <c r="I114" s="8" t="str">
        <f t="shared" ca="1" si="26"/>
        <v/>
      </c>
      <c r="J114" s="1" t="str">
        <f t="shared" ca="1" si="22"/>
        <v/>
      </c>
      <c r="K114">
        <v>6</v>
      </c>
      <c r="L114" t="s">
        <v>474</v>
      </c>
      <c r="M114" s="8" t="str">
        <f t="shared" ca="1" si="27"/>
        <v/>
      </c>
      <c r="N114" s="1" t="str">
        <f t="shared" ca="1" si="23"/>
        <v/>
      </c>
      <c r="P114" s="8" t="str">
        <f t="shared" ca="1" si="28"/>
        <v/>
      </c>
      <c r="Q114" s="1" t="str">
        <f t="shared" ca="1" si="29"/>
        <v/>
      </c>
    </row>
    <row r="115" spans="1:17" ht="15" customHeight="1" x14ac:dyDescent="0.25">
      <c r="A115" s="1">
        <v>114</v>
      </c>
      <c r="B115">
        <v>79</v>
      </c>
      <c r="C115" s="8" t="str">
        <f t="shared" ca="1" si="24"/>
        <v>2016_01_04_@</v>
      </c>
      <c r="D115" s="1" t="str">
        <f t="shared" ca="1" si="21"/>
        <v>2016_01_04</v>
      </c>
      <c r="E115" s="8" t="str">
        <f t="shared" ca="1" si="25"/>
        <v>East</v>
      </c>
      <c r="F115" t="s">
        <v>157</v>
      </c>
      <c r="G115">
        <v>4</v>
      </c>
      <c r="H115" t="s">
        <v>15</v>
      </c>
      <c r="I115" s="8" t="str">
        <f t="shared" ca="1" si="26"/>
        <v/>
      </c>
      <c r="J115" s="1" t="str">
        <f t="shared" ca="1" si="22"/>
        <v/>
      </c>
      <c r="K115">
        <v>5</v>
      </c>
      <c r="L115" t="s">
        <v>10</v>
      </c>
      <c r="M115" s="8" t="str">
        <f t="shared" ca="1" si="27"/>
        <v/>
      </c>
      <c r="N115" s="1" t="str">
        <f t="shared" ca="1" si="23"/>
        <v/>
      </c>
      <c r="P115" s="8" t="str">
        <f t="shared" ca="1" si="28"/>
        <v/>
      </c>
      <c r="Q115" s="1" t="str">
        <f t="shared" ca="1" si="29"/>
        <v/>
      </c>
    </row>
    <row r="116" spans="1:17" ht="15" customHeight="1" x14ac:dyDescent="0.25">
      <c r="A116" s="1">
        <v>115</v>
      </c>
      <c r="B116">
        <v>80</v>
      </c>
      <c r="C116" s="8" t="str">
        <f t="shared" ca="1" si="24"/>
        <v>2016_01_05_@</v>
      </c>
      <c r="D116" s="1" t="str">
        <f t="shared" ca="1" si="21"/>
        <v>2016_01_05</v>
      </c>
      <c r="E116" s="8" t="str">
        <f t="shared" ca="1" si="25"/>
        <v>West</v>
      </c>
      <c r="F116" t="s">
        <v>157</v>
      </c>
      <c r="G116">
        <v>1</v>
      </c>
      <c r="H116" t="s">
        <v>468</v>
      </c>
      <c r="I116" s="8" t="str">
        <f t="shared" ca="1" si="26"/>
        <v/>
      </c>
      <c r="J116" s="1" t="str">
        <f t="shared" ca="1" si="22"/>
        <v/>
      </c>
      <c r="K116">
        <v>8</v>
      </c>
      <c r="L116" t="s">
        <v>473</v>
      </c>
      <c r="M116" s="8" t="str">
        <f t="shared" ca="1" si="27"/>
        <v/>
      </c>
      <c r="N116" s="1" t="str">
        <f t="shared" ca="1" si="23"/>
        <v/>
      </c>
      <c r="P116" s="8" t="str">
        <f t="shared" ca="1" si="28"/>
        <v/>
      </c>
      <c r="Q116" s="1" t="str">
        <f t="shared" ca="1" si="29"/>
        <v/>
      </c>
    </row>
    <row r="117" spans="1:17" ht="15" customHeight="1" x14ac:dyDescent="0.25">
      <c r="A117" s="1">
        <v>116</v>
      </c>
      <c r="B117">
        <v>81</v>
      </c>
      <c r="C117" s="8" t="str">
        <f t="shared" ca="1" si="24"/>
        <v>2016_01_06_@</v>
      </c>
      <c r="D117" s="1" t="str">
        <f t="shared" ca="1" si="21"/>
        <v>2016_01_06</v>
      </c>
      <c r="E117" s="8" t="str">
        <f t="shared" ca="1" si="25"/>
        <v>West</v>
      </c>
      <c r="F117" t="s">
        <v>157</v>
      </c>
      <c r="G117">
        <v>2</v>
      </c>
      <c r="H117" t="s">
        <v>4</v>
      </c>
      <c r="I117" s="8" t="str">
        <f t="shared" ca="1" si="26"/>
        <v/>
      </c>
      <c r="J117" s="1" t="str">
        <f t="shared" ca="1" si="22"/>
        <v/>
      </c>
      <c r="K117">
        <v>7</v>
      </c>
      <c r="L117" t="s">
        <v>23</v>
      </c>
      <c r="M117" s="8" t="str">
        <f t="shared" ca="1" si="27"/>
        <v/>
      </c>
      <c r="N117" s="1" t="str">
        <f t="shared" ca="1" si="23"/>
        <v/>
      </c>
      <c r="P117" s="8" t="str">
        <f t="shared" ca="1" si="28"/>
        <v/>
      </c>
      <c r="Q117" s="1" t="str">
        <f t="shared" ca="1" si="29"/>
        <v/>
      </c>
    </row>
    <row r="118" spans="1:17" ht="15" customHeight="1" x14ac:dyDescent="0.25">
      <c r="A118" s="1">
        <v>117</v>
      </c>
      <c r="B118">
        <v>82</v>
      </c>
      <c r="C118" s="8" t="str">
        <f t="shared" ca="1" si="24"/>
        <v>2016_01_07_@</v>
      </c>
      <c r="D118" s="1" t="str">
        <f t="shared" ca="1" si="21"/>
        <v>2016_01_07</v>
      </c>
      <c r="E118" s="8" t="str">
        <f t="shared" ca="1" si="25"/>
        <v>West</v>
      </c>
      <c r="F118" t="s">
        <v>157</v>
      </c>
      <c r="G118">
        <v>3</v>
      </c>
      <c r="H118" t="s">
        <v>472</v>
      </c>
      <c r="I118" s="8" t="str">
        <f t="shared" ca="1" si="26"/>
        <v/>
      </c>
      <c r="J118" s="1" t="str">
        <f t="shared" ca="1" si="22"/>
        <v/>
      </c>
      <c r="K118">
        <v>6</v>
      </c>
      <c r="L118" t="s">
        <v>3</v>
      </c>
      <c r="M118" s="8" t="str">
        <f t="shared" ca="1" si="27"/>
        <v/>
      </c>
      <c r="N118" s="1" t="str">
        <f t="shared" ca="1" si="23"/>
        <v/>
      </c>
      <c r="P118" s="8" t="str">
        <f t="shared" ca="1" si="28"/>
        <v/>
      </c>
      <c r="Q118" s="1" t="str">
        <f t="shared" ca="1" si="29"/>
        <v/>
      </c>
    </row>
    <row r="119" spans="1:17" ht="15" customHeight="1" x14ac:dyDescent="0.25">
      <c r="A119" s="1">
        <v>118</v>
      </c>
      <c r="B119">
        <v>83</v>
      </c>
      <c r="C119" s="8" t="str">
        <f t="shared" ca="1" si="24"/>
        <v>2016_01_08_@</v>
      </c>
      <c r="D119" s="1" t="str">
        <f t="shared" ca="1" si="21"/>
        <v>2016_01_08</v>
      </c>
      <c r="E119" s="8" t="str">
        <f t="shared" ca="1" si="25"/>
        <v>West</v>
      </c>
      <c r="F119" t="s">
        <v>157</v>
      </c>
      <c r="G119">
        <v>4</v>
      </c>
      <c r="H119" t="s">
        <v>12</v>
      </c>
      <c r="I119" s="8" t="str">
        <f t="shared" ca="1" si="26"/>
        <v/>
      </c>
      <c r="J119" s="1" t="str">
        <f t="shared" ca="1" si="22"/>
        <v/>
      </c>
      <c r="K119">
        <v>5</v>
      </c>
      <c r="L119" t="s">
        <v>14</v>
      </c>
      <c r="M119" s="8" t="str">
        <f t="shared" ca="1" si="27"/>
        <v/>
      </c>
      <c r="N119" s="1" t="str">
        <f t="shared" ca="1" si="23"/>
        <v/>
      </c>
      <c r="P119" s="8" t="str">
        <f t="shared" ca="1" si="28"/>
        <v/>
      </c>
      <c r="Q119" s="1" t="str">
        <f t="shared" ca="1" si="29"/>
        <v/>
      </c>
    </row>
    <row r="120" spans="1:17" ht="15" customHeight="1" x14ac:dyDescent="0.25">
      <c r="A120" s="1">
        <v>119</v>
      </c>
      <c r="B120">
        <v>88</v>
      </c>
      <c r="C120" s="8" t="str">
        <f t="shared" ca="1" si="24"/>
        <v>2016_03_01_@</v>
      </c>
      <c r="D120" s="1" t="str">
        <f t="shared" ca="1" si="21"/>
        <v>2016_03_01</v>
      </c>
      <c r="E120" s="8" t="str">
        <f t="shared" ca="1" si="25"/>
        <v>East</v>
      </c>
      <c r="F120" t="s">
        <v>157</v>
      </c>
      <c r="H120" t="s">
        <v>6</v>
      </c>
      <c r="I120" s="8" t="str">
        <f t="shared" ca="1" si="26"/>
        <v/>
      </c>
      <c r="J120" s="1" t="str">
        <f t="shared" ca="1" si="22"/>
        <v/>
      </c>
      <c r="L120" t="s">
        <v>17</v>
      </c>
      <c r="M120" s="8" t="str">
        <f t="shared" ca="1" si="27"/>
        <v/>
      </c>
      <c r="N120" s="1" t="str">
        <f t="shared" ca="1" si="23"/>
        <v/>
      </c>
      <c r="P120" s="8" t="str">
        <f t="shared" ca="1" si="28"/>
        <v/>
      </c>
      <c r="Q120" s="1" t="str">
        <f t="shared" ca="1" si="29"/>
        <v/>
      </c>
    </row>
    <row r="121" spans="1:17" ht="15" customHeight="1" x14ac:dyDescent="0.25">
      <c r="A121" s="1">
        <v>120</v>
      </c>
      <c r="B121">
        <v>89</v>
      </c>
      <c r="C121" s="8" t="str">
        <f t="shared" ca="1" si="24"/>
        <v>2016_03_02_@</v>
      </c>
      <c r="D121" s="1" t="str">
        <f t="shared" ca="1" si="21"/>
        <v>2016_03_02</v>
      </c>
      <c r="E121" s="8" t="str">
        <f t="shared" ca="1" si="25"/>
        <v>West</v>
      </c>
      <c r="F121" t="s">
        <v>157</v>
      </c>
      <c r="H121" t="s">
        <v>468</v>
      </c>
      <c r="I121" s="8" t="str">
        <f t="shared" ca="1" si="26"/>
        <v/>
      </c>
      <c r="J121" s="1" t="str">
        <f t="shared" ca="1" si="22"/>
        <v/>
      </c>
      <c r="L121" t="s">
        <v>12</v>
      </c>
      <c r="M121" s="8" t="str">
        <f t="shared" ca="1" si="27"/>
        <v/>
      </c>
      <c r="N121" s="1" t="str">
        <f t="shared" ca="1" si="23"/>
        <v/>
      </c>
      <c r="P121" s="8" t="str">
        <f t="shared" ca="1" si="28"/>
        <v/>
      </c>
      <c r="Q121" s="1" t="str">
        <f t="shared" ca="1" si="29"/>
        <v/>
      </c>
    </row>
    <row r="122" spans="1:17" ht="15" customHeight="1" x14ac:dyDescent="0.25">
      <c r="A122" s="1">
        <v>121</v>
      </c>
      <c r="B122">
        <v>90</v>
      </c>
      <c r="C122" s="8" t="str">
        <f t="shared" ca="1" si="24"/>
        <v>2016_04_01_@</v>
      </c>
      <c r="D122" s="1" t="str">
        <f t="shared" ca="1" si="21"/>
        <v>2016_04_01</v>
      </c>
      <c r="E122" s="8" t="str">
        <f t="shared" ca="1" si="25"/>
        <v>na</v>
      </c>
      <c r="F122" t="s">
        <v>157</v>
      </c>
      <c r="H122" t="s">
        <v>6</v>
      </c>
      <c r="I122" s="8" t="str">
        <f t="shared" ca="1" si="26"/>
        <v/>
      </c>
      <c r="J122" s="1" t="str">
        <f t="shared" ca="1" si="22"/>
        <v/>
      </c>
      <c r="L122" t="s">
        <v>468</v>
      </c>
      <c r="M122" s="8" t="str">
        <f t="shared" ca="1" si="27"/>
        <v/>
      </c>
      <c r="N122" s="1" t="str">
        <f t="shared" ca="1" si="23"/>
        <v/>
      </c>
      <c r="O122" t="s">
        <v>468</v>
      </c>
      <c r="P122" s="8" t="str">
        <f t="shared" ca="1" si="28"/>
        <v/>
      </c>
      <c r="Q122" s="1" t="str">
        <f t="shared" ca="1" si="29"/>
        <v/>
      </c>
    </row>
    <row r="123" spans="1:17" ht="15" customHeight="1" x14ac:dyDescent="0.25">
      <c r="A123" s="1">
        <v>122</v>
      </c>
      <c r="B123" s="18">
        <v>76</v>
      </c>
      <c r="C123" s="8" t="str">
        <f t="shared" ca="1" si="24"/>
        <v>2016_01_01_@</v>
      </c>
      <c r="D123" s="1" t="str">
        <f t="shared" ca="1" si="21"/>
        <v>2016_01_01</v>
      </c>
      <c r="E123" s="8" t="str">
        <f t="shared" ca="1" si="25"/>
        <v>East</v>
      </c>
      <c r="F123" t="s">
        <v>158</v>
      </c>
      <c r="H123" t="s">
        <v>17</v>
      </c>
      <c r="L123" t="s">
        <v>20</v>
      </c>
    </row>
    <row r="124" spans="1:17" ht="15" customHeight="1" x14ac:dyDescent="0.25">
      <c r="A124" s="1">
        <v>123</v>
      </c>
      <c r="B124" s="18">
        <v>77</v>
      </c>
      <c r="C124" s="8" t="str">
        <f t="shared" ca="1" si="24"/>
        <v>2016_01_02_@</v>
      </c>
      <c r="D124" s="1" t="str">
        <f t="shared" ca="1" si="21"/>
        <v>2016_01_02</v>
      </c>
      <c r="E124" s="8" t="str">
        <f t="shared" ca="1" si="25"/>
        <v>East</v>
      </c>
      <c r="F124" s="18" t="s">
        <v>158</v>
      </c>
      <c r="H124" t="s">
        <v>6</v>
      </c>
      <c r="L124" t="s">
        <v>467</v>
      </c>
    </row>
    <row r="125" spans="1:17" ht="15" customHeight="1" x14ac:dyDescent="0.25">
      <c r="A125" s="1">
        <v>124</v>
      </c>
      <c r="B125" s="18">
        <v>78</v>
      </c>
      <c r="C125" s="8" t="str">
        <f t="shared" ca="1" si="24"/>
        <v>2016_01_03_@</v>
      </c>
      <c r="D125" s="1" t="str">
        <f t="shared" ca="1" si="21"/>
        <v>2016_01_03</v>
      </c>
      <c r="E125" s="8" t="str">
        <f t="shared" ca="1" si="25"/>
        <v>East</v>
      </c>
      <c r="F125" s="18" t="s">
        <v>158</v>
      </c>
      <c r="H125" t="s">
        <v>474</v>
      </c>
      <c r="L125" t="s">
        <v>15</v>
      </c>
    </row>
    <row r="126" spans="1:17" ht="15" customHeight="1" x14ac:dyDescent="0.25">
      <c r="A126" s="1">
        <v>125</v>
      </c>
      <c r="B126" s="18">
        <v>79</v>
      </c>
      <c r="C126" s="8" t="str">
        <f t="shared" ca="1" si="24"/>
        <v>2016_01_04_@</v>
      </c>
      <c r="D126" s="1" t="str">
        <f t="shared" ca="1" si="21"/>
        <v>2016_01_04</v>
      </c>
      <c r="E126" s="8" t="str">
        <f t="shared" ca="1" si="25"/>
        <v>East</v>
      </c>
      <c r="F126" s="18" t="s">
        <v>158</v>
      </c>
      <c r="H126" t="s">
        <v>2</v>
      </c>
      <c r="L126" t="s">
        <v>10</v>
      </c>
    </row>
    <row r="127" spans="1:17" ht="15" customHeight="1" x14ac:dyDescent="0.25">
      <c r="A127" s="1">
        <v>126</v>
      </c>
      <c r="B127" s="18">
        <v>80</v>
      </c>
      <c r="C127" s="8" t="str">
        <f t="shared" ca="1" si="24"/>
        <v>2016_01_05_@</v>
      </c>
      <c r="D127" s="1" t="str">
        <f t="shared" ca="1" si="21"/>
        <v>2016_01_05</v>
      </c>
      <c r="E127" s="8" t="str">
        <f t="shared" ca="1" si="25"/>
        <v>West</v>
      </c>
      <c r="F127" s="18" t="s">
        <v>158</v>
      </c>
      <c r="H127" t="s">
        <v>468</v>
      </c>
      <c r="L127" t="s">
        <v>473</v>
      </c>
    </row>
    <row r="128" spans="1:17" ht="15" customHeight="1" x14ac:dyDescent="0.25">
      <c r="A128" s="1">
        <v>127</v>
      </c>
      <c r="B128" s="18">
        <v>81</v>
      </c>
      <c r="C128" s="8" t="str">
        <f t="shared" ca="1" si="24"/>
        <v>2016_01_06_@</v>
      </c>
      <c r="D128" s="1" t="str">
        <f t="shared" ca="1" si="21"/>
        <v>2016_01_06</v>
      </c>
      <c r="E128" s="8" t="str">
        <f t="shared" ca="1" si="25"/>
        <v>West</v>
      </c>
      <c r="F128" s="18" t="s">
        <v>158</v>
      </c>
      <c r="H128" t="s">
        <v>4</v>
      </c>
      <c r="L128" t="s">
        <v>23</v>
      </c>
    </row>
    <row r="129" spans="1:15" ht="15" customHeight="1" x14ac:dyDescent="0.25">
      <c r="A129" s="1">
        <v>128</v>
      </c>
      <c r="B129" s="18">
        <v>82</v>
      </c>
      <c r="C129" s="8" t="str">
        <f t="shared" ca="1" si="24"/>
        <v>2016_01_07_@</v>
      </c>
      <c r="D129" s="1" t="str">
        <f t="shared" ca="1" si="21"/>
        <v>2016_01_07</v>
      </c>
      <c r="E129" s="8" t="str">
        <f t="shared" ca="1" si="25"/>
        <v>West</v>
      </c>
      <c r="F129" s="18" t="s">
        <v>158</v>
      </c>
      <c r="H129" t="s">
        <v>12</v>
      </c>
      <c r="L129" t="s">
        <v>14</v>
      </c>
    </row>
    <row r="130" spans="1:15" ht="15" customHeight="1" x14ac:dyDescent="0.25">
      <c r="A130" s="1">
        <v>129</v>
      </c>
      <c r="B130" s="18">
        <v>83</v>
      </c>
      <c r="C130" s="8" t="str">
        <f t="shared" ca="1" si="24"/>
        <v>2016_01_08_@</v>
      </c>
      <c r="D130" s="1" t="str">
        <f t="shared" ca="1" si="21"/>
        <v>2016_01_08</v>
      </c>
      <c r="E130" s="8" t="str">
        <f t="shared" ca="1" si="25"/>
        <v>West</v>
      </c>
      <c r="F130" s="18" t="s">
        <v>158</v>
      </c>
      <c r="H130" t="s">
        <v>472</v>
      </c>
      <c r="L130" t="s">
        <v>3</v>
      </c>
    </row>
    <row r="131" spans="1:15" ht="15" customHeight="1" x14ac:dyDescent="0.25">
      <c r="A131" s="1">
        <v>130</v>
      </c>
      <c r="B131" s="18">
        <v>88</v>
      </c>
      <c r="C131" s="8" t="str">
        <f t="shared" ca="1" si="24"/>
        <v>2016_03_01_@</v>
      </c>
      <c r="D131" s="1" t="str">
        <f t="shared" ref="D131:D133" ca="1" si="30">LEFT(C131,10)</f>
        <v>2016_03_01</v>
      </c>
      <c r="E131" s="8" t="str">
        <f t="shared" ca="1" si="25"/>
        <v>East</v>
      </c>
      <c r="F131" s="18" t="s">
        <v>158</v>
      </c>
      <c r="H131" t="s">
        <v>17</v>
      </c>
      <c r="L131" t="s">
        <v>6</v>
      </c>
    </row>
    <row r="132" spans="1:15" ht="15" customHeight="1" x14ac:dyDescent="0.25">
      <c r="A132" s="1">
        <v>131</v>
      </c>
      <c r="B132" s="18">
        <v>89</v>
      </c>
      <c r="C132" s="8" t="str">
        <f t="shared" ca="1" si="24"/>
        <v>2016_03_02_@</v>
      </c>
      <c r="D132" s="1" t="str">
        <f t="shared" ca="1" si="30"/>
        <v>2016_03_02</v>
      </c>
      <c r="E132" s="8" t="str">
        <f t="shared" ca="1" si="25"/>
        <v>West</v>
      </c>
      <c r="F132" s="18" t="s">
        <v>158</v>
      </c>
      <c r="H132" t="s">
        <v>468</v>
      </c>
      <c r="L132" t="s">
        <v>4</v>
      </c>
    </row>
    <row r="133" spans="1:15" ht="15" customHeight="1" x14ac:dyDescent="0.25">
      <c r="A133" s="1">
        <v>132</v>
      </c>
      <c r="B133" s="18">
        <v>90</v>
      </c>
      <c r="C133" s="8" t="str">
        <f t="shared" ca="1" si="24"/>
        <v>2016_04_01_@</v>
      </c>
      <c r="D133" s="1" t="str">
        <f t="shared" ca="1" si="30"/>
        <v>2016_04_01</v>
      </c>
      <c r="E133" s="8" t="str">
        <f t="shared" ca="1" si="25"/>
        <v>na</v>
      </c>
      <c r="F133" s="18" t="s">
        <v>158</v>
      </c>
      <c r="H133" t="s">
        <v>6</v>
      </c>
      <c r="L133" t="s">
        <v>468</v>
      </c>
      <c r="O133" t="s">
        <v>468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9"/>
  <sheetViews>
    <sheetView zoomScale="80" zoomScaleNormal="80" workbookViewId="0">
      <selection activeCell="G47" sqref="G47"/>
    </sheetView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s="8" t="s">
        <v>409</v>
      </c>
      <c r="B1" s="8" t="s">
        <v>423</v>
      </c>
      <c r="C1" s="8" t="s">
        <v>213</v>
      </c>
    </row>
    <row r="2" spans="1:3" ht="15" customHeight="1" x14ac:dyDescent="0.25">
      <c r="A2" s="7">
        <v>1</v>
      </c>
      <c r="B2" s="7" t="s">
        <v>29</v>
      </c>
      <c r="C2" s="8" t="s">
        <v>168</v>
      </c>
    </row>
    <row r="3" spans="1:3" ht="15" customHeight="1" x14ac:dyDescent="0.25">
      <c r="A3" s="7">
        <v>2</v>
      </c>
      <c r="B3" s="7" t="s">
        <v>30</v>
      </c>
      <c r="C3" s="8" t="s">
        <v>174</v>
      </c>
    </row>
    <row r="4" spans="1:3" ht="15" customHeight="1" x14ac:dyDescent="0.25">
      <c r="A4" s="7">
        <v>3</v>
      </c>
      <c r="B4" s="7" t="s">
        <v>32</v>
      </c>
      <c r="C4" s="8" t="s">
        <v>170</v>
      </c>
    </row>
    <row r="5" spans="1:3" ht="15" customHeight="1" x14ac:dyDescent="0.25">
      <c r="A5" s="7">
        <v>4</v>
      </c>
      <c r="B5" s="7" t="s">
        <v>33</v>
      </c>
      <c r="C5" s="8" t="s">
        <v>175</v>
      </c>
    </row>
    <row r="6" spans="1:3" ht="15" customHeight="1" x14ac:dyDescent="0.25">
      <c r="A6" s="7">
        <v>5</v>
      </c>
      <c r="B6" s="7" t="s">
        <v>31</v>
      </c>
      <c r="C6" s="8" t="s">
        <v>169</v>
      </c>
    </row>
    <row r="7" spans="1:3" ht="15" customHeight="1" x14ac:dyDescent="0.25">
      <c r="A7" s="7">
        <v>6</v>
      </c>
      <c r="B7" s="7" t="s">
        <v>34</v>
      </c>
      <c r="C7" s="8" t="s">
        <v>171</v>
      </c>
    </row>
    <row r="8" spans="1:3" ht="15" customHeight="1" x14ac:dyDescent="0.25">
      <c r="A8" s="7">
        <v>7</v>
      </c>
      <c r="B8" s="7" t="s">
        <v>35</v>
      </c>
      <c r="C8" s="8" t="s">
        <v>172</v>
      </c>
    </row>
    <row r="9" spans="1:3" ht="15" customHeight="1" x14ac:dyDescent="0.25">
      <c r="A9" s="7">
        <v>8</v>
      </c>
      <c r="B9" s="7" t="s">
        <v>36</v>
      </c>
      <c r="C9" s="8" t="s">
        <v>173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zoomScale="80" zoomScaleNormal="80" workbookViewId="0">
      <selection activeCell="F1" sqref="F1"/>
    </sheetView>
  </sheetViews>
  <sheetFormatPr defaultRowHeight="15" customHeight="1" x14ac:dyDescent="0.25"/>
  <cols>
    <col min="1" max="1" width="9.140625" style="7" customWidth="1"/>
    <col min="2" max="2" width="19.5703125" style="7" bestFit="1" customWidth="1"/>
    <col min="3" max="4" width="9.140625" style="7" customWidth="1"/>
    <col min="5" max="5" width="25.5703125" style="7" bestFit="1" customWidth="1"/>
    <col min="6" max="16384" width="9.140625" style="7"/>
  </cols>
  <sheetData>
    <row r="1" spans="1:5" ht="15" customHeight="1" x14ac:dyDescent="0.25">
      <c r="A1" s="8" t="s">
        <v>409</v>
      </c>
      <c r="B1" s="14" t="s">
        <v>431</v>
      </c>
      <c r="C1" s="8" t="s">
        <v>424</v>
      </c>
      <c r="D1" s="8" t="s">
        <v>213</v>
      </c>
      <c r="E1" s="8" t="s">
        <v>167</v>
      </c>
    </row>
    <row r="2" spans="1:5" ht="15" customHeight="1" x14ac:dyDescent="0.25">
      <c r="A2" s="7">
        <v>1</v>
      </c>
      <c r="B2" s="7" t="str">
        <f>CONCATENATE(C2,"_",D2)</f>
        <v>2013_mvp</v>
      </c>
      <c r="C2" s="7">
        <v>2013</v>
      </c>
      <c r="D2" s="8" t="s">
        <v>168</v>
      </c>
      <c r="E2" s="7" t="s">
        <v>37</v>
      </c>
    </row>
    <row r="3" spans="1:5" ht="15" customHeight="1" x14ac:dyDescent="0.25">
      <c r="A3" s="7">
        <v>2</v>
      </c>
      <c r="B3" s="7" t="str">
        <f t="shared" ref="B3:B41" si="0">CONCATENATE(C3,"_",D3)</f>
        <v>2013_score_champ</v>
      </c>
      <c r="C3" s="7">
        <v>2013</v>
      </c>
      <c r="D3" s="8" t="s">
        <v>174</v>
      </c>
      <c r="E3" s="7" t="s">
        <v>37</v>
      </c>
    </row>
    <row r="4" spans="1:5" ht="15" customHeight="1" x14ac:dyDescent="0.25">
      <c r="A4" s="7">
        <v>3</v>
      </c>
      <c r="B4" s="7" t="str">
        <f t="shared" si="0"/>
        <v>2013_dpoy</v>
      </c>
      <c r="C4" s="7">
        <v>2013</v>
      </c>
      <c r="D4" s="8" t="s">
        <v>170</v>
      </c>
      <c r="E4" s="7" t="s">
        <v>38</v>
      </c>
    </row>
    <row r="5" spans="1:5" ht="15" customHeight="1" x14ac:dyDescent="0.25">
      <c r="A5" s="7">
        <v>4</v>
      </c>
      <c r="B5" s="7" t="str">
        <f t="shared" si="0"/>
        <v>2013_sixth_man</v>
      </c>
      <c r="C5" s="7">
        <v>2013</v>
      </c>
      <c r="D5" s="8" t="s">
        <v>175</v>
      </c>
      <c r="E5" s="7" t="s">
        <v>39</v>
      </c>
    </row>
    <row r="6" spans="1:5" ht="15" customHeight="1" x14ac:dyDescent="0.25">
      <c r="A6" s="7">
        <v>5</v>
      </c>
      <c r="B6" s="7" t="str">
        <f t="shared" si="0"/>
        <v>2013_mip</v>
      </c>
      <c r="C6" s="7">
        <v>2013</v>
      </c>
      <c r="D6" s="8" t="s">
        <v>169</v>
      </c>
      <c r="E6" s="7" t="s">
        <v>40</v>
      </c>
    </row>
    <row r="7" spans="1:5" ht="15" customHeight="1" x14ac:dyDescent="0.25">
      <c r="A7" s="7">
        <v>6</v>
      </c>
      <c r="B7" s="7" t="str">
        <f t="shared" si="0"/>
        <v>2013_roy</v>
      </c>
      <c r="C7" s="7">
        <v>2013</v>
      </c>
      <c r="D7" s="8" t="s">
        <v>171</v>
      </c>
      <c r="E7" s="7" t="s">
        <v>41</v>
      </c>
    </row>
    <row r="8" spans="1:5" ht="15" customHeight="1" x14ac:dyDescent="0.25">
      <c r="A8" s="7">
        <v>7</v>
      </c>
      <c r="B8" s="7" t="str">
        <f t="shared" si="0"/>
        <v>2013_coy</v>
      </c>
      <c r="C8" s="7">
        <v>2013</v>
      </c>
      <c r="D8" s="8" t="s">
        <v>172</v>
      </c>
      <c r="E8" s="7" t="s">
        <v>184</v>
      </c>
    </row>
    <row r="9" spans="1:5" ht="15" customHeight="1" x14ac:dyDescent="0.25">
      <c r="A9" s="7">
        <v>8</v>
      </c>
      <c r="B9" s="7" t="str">
        <f t="shared" si="0"/>
        <v>2013_gmoy</v>
      </c>
      <c r="C9" s="7">
        <v>2013</v>
      </c>
      <c r="D9" s="8" t="s">
        <v>173</v>
      </c>
      <c r="E9" s="7" t="s">
        <v>42</v>
      </c>
    </row>
    <row r="10" spans="1:5" ht="15" customHeight="1" x14ac:dyDescent="0.25">
      <c r="A10" s="7">
        <v>9</v>
      </c>
      <c r="B10" s="7" t="str">
        <f t="shared" si="0"/>
        <v>2014_mvp</v>
      </c>
      <c r="C10" s="7">
        <v>2014</v>
      </c>
      <c r="D10" s="8" t="s">
        <v>168</v>
      </c>
      <c r="E10" s="8" t="s">
        <v>81</v>
      </c>
    </row>
    <row r="11" spans="1:5" ht="15" customHeight="1" x14ac:dyDescent="0.25">
      <c r="A11" s="7">
        <v>10</v>
      </c>
      <c r="B11" s="7" t="str">
        <f t="shared" si="0"/>
        <v>2014_score_champ</v>
      </c>
      <c r="C11" s="7">
        <v>2014</v>
      </c>
      <c r="D11" s="8" t="s">
        <v>174</v>
      </c>
      <c r="E11" s="8" t="s">
        <v>64</v>
      </c>
    </row>
    <row r="12" spans="1:5" ht="15" customHeight="1" x14ac:dyDescent="0.25">
      <c r="A12" s="7">
        <v>11</v>
      </c>
      <c r="B12" s="7" t="str">
        <f t="shared" si="0"/>
        <v>2014_dpoy</v>
      </c>
      <c r="C12" s="7">
        <v>2014</v>
      </c>
      <c r="D12" s="8" t="s">
        <v>170</v>
      </c>
      <c r="E12" s="8" t="s">
        <v>67</v>
      </c>
    </row>
    <row r="13" spans="1:5" ht="15" customHeight="1" x14ac:dyDescent="0.25">
      <c r="A13" s="7">
        <v>12</v>
      </c>
      <c r="B13" s="7" t="str">
        <f t="shared" si="0"/>
        <v>2014_sixth_man</v>
      </c>
      <c r="C13" s="7">
        <v>2014</v>
      </c>
      <c r="D13" s="8" t="s">
        <v>175</v>
      </c>
      <c r="E13" s="8" t="s">
        <v>65</v>
      </c>
    </row>
    <row r="14" spans="1:5" ht="15" customHeight="1" x14ac:dyDescent="0.25">
      <c r="A14" s="7">
        <v>13</v>
      </c>
      <c r="B14" s="7" t="str">
        <f t="shared" si="0"/>
        <v>2014_mip</v>
      </c>
      <c r="C14" s="7">
        <v>2014</v>
      </c>
      <c r="D14" s="8" t="s">
        <v>169</v>
      </c>
      <c r="E14" s="8" t="s">
        <v>70</v>
      </c>
    </row>
    <row r="15" spans="1:5" ht="15" customHeight="1" x14ac:dyDescent="0.25">
      <c r="A15" s="7">
        <v>14</v>
      </c>
      <c r="B15" s="7" t="str">
        <f t="shared" si="0"/>
        <v>2014_roy</v>
      </c>
      <c r="C15" s="7">
        <v>2014</v>
      </c>
      <c r="D15" s="8" t="s">
        <v>171</v>
      </c>
      <c r="E15" s="8" t="s">
        <v>68</v>
      </c>
    </row>
    <row r="16" spans="1:5" ht="15" customHeight="1" x14ac:dyDescent="0.25">
      <c r="A16" s="7">
        <v>15</v>
      </c>
      <c r="B16" s="7" t="str">
        <f t="shared" si="0"/>
        <v>2014_coy</v>
      </c>
      <c r="C16" s="7">
        <v>2014</v>
      </c>
      <c r="D16" s="8" t="s">
        <v>172</v>
      </c>
      <c r="E16" s="8" t="s">
        <v>66</v>
      </c>
    </row>
    <row r="17" spans="1:5" ht="15" customHeight="1" x14ac:dyDescent="0.25">
      <c r="A17" s="7">
        <v>16</v>
      </c>
      <c r="B17" s="7" t="str">
        <f t="shared" si="0"/>
        <v>2014_gmoy</v>
      </c>
      <c r="C17" s="7">
        <v>2014</v>
      </c>
      <c r="D17" s="8" t="s">
        <v>173</v>
      </c>
      <c r="E17" s="8" t="s">
        <v>69</v>
      </c>
    </row>
    <row r="18" spans="1:5" ht="15" customHeight="1" x14ac:dyDescent="0.25">
      <c r="A18" s="7">
        <v>17</v>
      </c>
      <c r="B18" s="7" t="str">
        <f t="shared" si="0"/>
        <v>2015_mvp</v>
      </c>
      <c r="C18" s="7">
        <v>2015</v>
      </c>
      <c r="D18" s="8" t="s">
        <v>168</v>
      </c>
      <c r="E18" s="8" t="s">
        <v>81</v>
      </c>
    </row>
    <row r="19" spans="1:5" ht="15" customHeight="1" x14ac:dyDescent="0.25">
      <c r="A19" s="7">
        <v>18</v>
      </c>
      <c r="B19" s="7" t="str">
        <f t="shared" si="0"/>
        <v>2015_score_champ</v>
      </c>
      <c r="C19" s="7">
        <v>2015</v>
      </c>
      <c r="D19" s="8" t="s">
        <v>174</v>
      </c>
      <c r="E19" s="8" t="s">
        <v>81</v>
      </c>
    </row>
    <row r="20" spans="1:5" ht="15" customHeight="1" x14ac:dyDescent="0.25">
      <c r="A20" s="7">
        <v>19</v>
      </c>
      <c r="B20" s="7" t="str">
        <f t="shared" si="0"/>
        <v>2015_dpoy</v>
      </c>
      <c r="C20" s="7">
        <v>2015</v>
      </c>
      <c r="D20" s="8" t="s">
        <v>170</v>
      </c>
      <c r="E20" s="8" t="s">
        <v>67</v>
      </c>
    </row>
    <row r="21" spans="1:5" ht="15" customHeight="1" x14ac:dyDescent="0.25">
      <c r="A21" s="7">
        <v>20</v>
      </c>
      <c r="B21" s="7" t="str">
        <f t="shared" si="0"/>
        <v>2015_sixth_man</v>
      </c>
      <c r="C21" s="7">
        <v>2015</v>
      </c>
      <c r="D21" s="8" t="s">
        <v>175</v>
      </c>
      <c r="E21" s="8" t="s">
        <v>39</v>
      </c>
    </row>
    <row r="22" spans="1:5" ht="15" customHeight="1" x14ac:dyDescent="0.25">
      <c r="A22" s="7">
        <v>21</v>
      </c>
      <c r="B22" s="7" t="str">
        <f t="shared" si="0"/>
        <v>2015_mip</v>
      </c>
      <c r="C22" s="7">
        <v>2015</v>
      </c>
      <c r="D22" s="8" t="s">
        <v>169</v>
      </c>
      <c r="E22" s="8" t="s">
        <v>82</v>
      </c>
    </row>
    <row r="23" spans="1:5" ht="15" customHeight="1" x14ac:dyDescent="0.25">
      <c r="A23" s="7">
        <v>22</v>
      </c>
      <c r="B23" s="7" t="str">
        <f t="shared" si="0"/>
        <v>2015_roy</v>
      </c>
      <c r="C23" s="7">
        <v>2015</v>
      </c>
      <c r="D23" s="8" t="s">
        <v>171</v>
      </c>
      <c r="E23" s="8" t="s">
        <v>86</v>
      </c>
    </row>
    <row r="24" spans="1:5" ht="15" customHeight="1" x14ac:dyDescent="0.25">
      <c r="A24" s="7">
        <v>23</v>
      </c>
      <c r="B24" s="7" t="str">
        <f t="shared" si="0"/>
        <v>2015_coy</v>
      </c>
      <c r="C24" s="7">
        <v>2015</v>
      </c>
      <c r="D24" s="8" t="s">
        <v>172</v>
      </c>
      <c r="E24" s="8" t="s">
        <v>83</v>
      </c>
    </row>
    <row r="25" spans="1:5" ht="15" customHeight="1" x14ac:dyDescent="0.25">
      <c r="A25" s="7">
        <v>24</v>
      </c>
      <c r="B25" s="7" t="str">
        <f t="shared" si="0"/>
        <v>2015_gmoy</v>
      </c>
      <c r="C25" s="7">
        <v>2015</v>
      </c>
      <c r="D25" s="8" t="s">
        <v>173</v>
      </c>
      <c r="E25" s="8" t="s">
        <v>42</v>
      </c>
    </row>
    <row r="26" spans="1:5" ht="15" customHeight="1" x14ac:dyDescent="0.25">
      <c r="A26" s="7">
        <v>25</v>
      </c>
      <c r="B26" s="7" t="str">
        <f t="shared" si="0"/>
        <v>2016_mvp</v>
      </c>
      <c r="C26" s="8">
        <v>2016</v>
      </c>
      <c r="D26" s="8" t="s">
        <v>168</v>
      </c>
      <c r="E26" s="8" t="s">
        <v>64</v>
      </c>
    </row>
    <row r="27" spans="1:5" ht="15" customHeight="1" x14ac:dyDescent="0.25">
      <c r="A27" s="7">
        <v>26</v>
      </c>
      <c r="B27" s="7" t="str">
        <f t="shared" si="0"/>
        <v>2016_score_champ</v>
      </c>
      <c r="C27" s="8">
        <v>2016</v>
      </c>
      <c r="D27" s="8" t="s">
        <v>174</v>
      </c>
      <c r="E27" s="8" t="s">
        <v>64</v>
      </c>
    </row>
    <row r="28" spans="1:5" ht="15" customHeight="1" x14ac:dyDescent="0.25">
      <c r="A28" s="7">
        <v>27</v>
      </c>
      <c r="B28" s="7" t="str">
        <f t="shared" si="0"/>
        <v>2016_dpoy</v>
      </c>
      <c r="C28" s="8">
        <v>2016</v>
      </c>
      <c r="D28" s="8" t="s">
        <v>170</v>
      </c>
      <c r="E28" s="8" t="s">
        <v>434</v>
      </c>
    </row>
    <row r="29" spans="1:5" ht="15" customHeight="1" x14ac:dyDescent="0.25">
      <c r="A29" s="7">
        <v>28</v>
      </c>
      <c r="B29" s="7" t="str">
        <f t="shared" si="0"/>
        <v>2016_sixth_man</v>
      </c>
      <c r="C29" s="8">
        <v>2016</v>
      </c>
      <c r="D29" s="8" t="s">
        <v>175</v>
      </c>
      <c r="E29" s="8" t="s">
        <v>435</v>
      </c>
    </row>
    <row r="30" spans="1:5" ht="15" customHeight="1" x14ac:dyDescent="0.25">
      <c r="A30" s="7">
        <v>29</v>
      </c>
      <c r="B30" s="7" t="str">
        <f t="shared" si="0"/>
        <v>2016_mip</v>
      </c>
      <c r="C30" s="8">
        <v>2016</v>
      </c>
      <c r="D30" s="8" t="s">
        <v>169</v>
      </c>
      <c r="E30" s="7" t="s">
        <v>58</v>
      </c>
    </row>
    <row r="31" spans="1:5" ht="15" customHeight="1" x14ac:dyDescent="0.25">
      <c r="A31" s="7">
        <v>30</v>
      </c>
      <c r="B31" s="7" t="str">
        <f t="shared" si="0"/>
        <v>2016_roy</v>
      </c>
      <c r="C31" s="8">
        <v>2016</v>
      </c>
      <c r="D31" s="8" t="s">
        <v>171</v>
      </c>
      <c r="E31" s="8" t="s">
        <v>183</v>
      </c>
    </row>
    <row r="32" spans="1:5" ht="15" customHeight="1" x14ac:dyDescent="0.25">
      <c r="A32" s="7">
        <v>31</v>
      </c>
      <c r="B32" s="7" t="str">
        <f t="shared" si="0"/>
        <v>2016_coy</v>
      </c>
      <c r="C32" s="8">
        <v>2016</v>
      </c>
      <c r="D32" s="8" t="s">
        <v>172</v>
      </c>
      <c r="E32" s="8" t="s">
        <v>436</v>
      </c>
    </row>
    <row r="33" spans="1:5" ht="15" customHeight="1" x14ac:dyDescent="0.25">
      <c r="A33" s="7">
        <v>32</v>
      </c>
      <c r="B33" s="7" t="str">
        <f t="shared" si="0"/>
        <v>2016_gmoy</v>
      </c>
      <c r="C33" s="8">
        <v>2016</v>
      </c>
      <c r="D33" s="8" t="s">
        <v>173</v>
      </c>
      <c r="E33" s="8" t="s">
        <v>69</v>
      </c>
    </row>
    <row r="34" spans="1:5" ht="15" customHeight="1" x14ac:dyDescent="0.25">
      <c r="A34" s="7">
        <v>33</v>
      </c>
      <c r="B34" s="7" t="str">
        <f t="shared" si="0"/>
        <v>2017_mvp</v>
      </c>
      <c r="C34" s="8">
        <v>2017</v>
      </c>
      <c r="D34" s="8" t="s">
        <v>168</v>
      </c>
    </row>
    <row r="35" spans="1:5" ht="15" customHeight="1" x14ac:dyDescent="0.25">
      <c r="A35" s="7">
        <v>34</v>
      </c>
      <c r="B35" s="7" t="str">
        <f t="shared" si="0"/>
        <v>2017_score_champ</v>
      </c>
      <c r="C35" s="8">
        <v>2017</v>
      </c>
      <c r="D35" s="8" t="s">
        <v>174</v>
      </c>
    </row>
    <row r="36" spans="1:5" ht="15" customHeight="1" x14ac:dyDescent="0.25">
      <c r="A36" s="7">
        <v>35</v>
      </c>
      <c r="B36" s="7" t="str">
        <f t="shared" si="0"/>
        <v>2017_dpoy</v>
      </c>
      <c r="C36" s="8">
        <v>2017</v>
      </c>
      <c r="D36" s="8" t="s">
        <v>170</v>
      </c>
    </row>
    <row r="37" spans="1:5" ht="15" customHeight="1" x14ac:dyDescent="0.25">
      <c r="A37" s="7">
        <v>36</v>
      </c>
      <c r="B37" s="7" t="str">
        <f t="shared" si="0"/>
        <v>2017_sixth_man</v>
      </c>
      <c r="C37" s="8">
        <v>2017</v>
      </c>
      <c r="D37" s="8" t="s">
        <v>175</v>
      </c>
    </row>
    <row r="38" spans="1:5" ht="15" customHeight="1" x14ac:dyDescent="0.25">
      <c r="A38" s="7">
        <v>37</v>
      </c>
      <c r="B38" s="7" t="str">
        <f t="shared" si="0"/>
        <v>2017_mip</v>
      </c>
      <c r="C38" s="8">
        <v>2017</v>
      </c>
      <c r="D38" s="8" t="s">
        <v>169</v>
      </c>
    </row>
    <row r="39" spans="1:5" ht="15" customHeight="1" x14ac:dyDescent="0.25">
      <c r="A39" s="7">
        <v>38</v>
      </c>
      <c r="B39" s="7" t="str">
        <f t="shared" si="0"/>
        <v>2017_roy</v>
      </c>
      <c r="C39" s="8">
        <v>2017</v>
      </c>
      <c r="D39" s="8" t="s">
        <v>171</v>
      </c>
    </row>
    <row r="40" spans="1:5" ht="15" customHeight="1" x14ac:dyDescent="0.25">
      <c r="A40" s="7">
        <v>39</v>
      </c>
      <c r="B40" s="7" t="str">
        <f t="shared" si="0"/>
        <v>2017_coy</v>
      </c>
      <c r="C40" s="8">
        <v>2017</v>
      </c>
      <c r="D40" s="8" t="s">
        <v>172</v>
      </c>
    </row>
    <row r="41" spans="1:5" ht="15" customHeight="1" x14ac:dyDescent="0.25">
      <c r="A41" s="7">
        <v>40</v>
      </c>
      <c r="B41" s="7" t="str">
        <f t="shared" si="0"/>
        <v>2017_gmoy</v>
      </c>
      <c r="C41" s="8">
        <v>2017</v>
      </c>
      <c r="D41" s="8" t="s">
        <v>173</v>
      </c>
    </row>
    <row r="42" spans="1:5" ht="15" customHeight="1" x14ac:dyDescent="0.25">
      <c r="D42" s="8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7"/>
  <sheetViews>
    <sheetView topLeftCell="A67" zoomScale="80" zoomScaleNormal="80" workbookViewId="0">
      <selection activeCell="G83" sqref="G83"/>
    </sheetView>
  </sheetViews>
  <sheetFormatPr defaultRowHeight="15" customHeight="1" x14ac:dyDescent="0.25"/>
  <cols>
    <col min="1" max="2" width="9.140625" style="7" customWidth="1"/>
    <col min="3" max="3" width="22.140625" style="7" bestFit="1" customWidth="1"/>
    <col min="4" max="4" width="9.140625" style="7" customWidth="1"/>
    <col min="5" max="5" width="9.140625" style="2" customWidth="1"/>
    <col min="6" max="6" width="25.5703125" style="7" bestFit="1" customWidth="1"/>
    <col min="7" max="7" width="9.140625" style="7" customWidth="1"/>
    <col min="8" max="8" width="9.140625" style="2" customWidth="1"/>
    <col min="9" max="16384" width="9.140625" style="2"/>
  </cols>
  <sheetData>
    <row r="1" spans="1:8" ht="15" customHeight="1" x14ac:dyDescent="0.25">
      <c r="A1" s="8" t="s">
        <v>409</v>
      </c>
      <c r="B1" s="8" t="s">
        <v>432</v>
      </c>
      <c r="C1" s="15" t="s">
        <v>431</v>
      </c>
      <c r="D1" s="8" t="s">
        <v>95</v>
      </c>
      <c r="E1" s="12" t="s">
        <v>102</v>
      </c>
      <c r="F1" s="15" t="s">
        <v>167</v>
      </c>
      <c r="G1" s="15" t="s">
        <v>447</v>
      </c>
      <c r="H1" s="17" t="s">
        <v>426</v>
      </c>
    </row>
    <row r="2" spans="1:8" ht="15" customHeight="1" x14ac:dyDescent="0.25">
      <c r="A2" s="7">
        <v>1</v>
      </c>
      <c r="B2" s="7">
        <v>1</v>
      </c>
      <c r="C2" s="7" t="str">
        <f t="shared" ref="C2:C33" ca="1" si="0">IFERROR(VLOOKUP($B2,nba_award_results,MATCH(C$1,nba_award_results_header,0),FALSE),"error")</f>
        <v>2013_mvp</v>
      </c>
      <c r="D2" s="8" t="s">
        <v>158</v>
      </c>
      <c r="E2" s="2" t="s">
        <v>63</v>
      </c>
      <c r="F2" s="7" t="str">
        <f t="shared" ref="F2:F33" ca="1" si="1">IFERROR(IF(VLOOKUP($B2,nba_award_results,MATCH(F$1,nba_award_results_header,0),FALSE)="","",VLOOKUP($B2,nba_award_results,MATCH(F$1,nba_award_results_header,0),FALSE)),"error")</f>
        <v>Kevin Durant</v>
      </c>
      <c r="G2" s="7">
        <v>1</v>
      </c>
      <c r="H2" s="2">
        <f ca="1">IF(OR(ISBLANK(E2),ISBLANK(F2),E2="",F2=""),"",IF(E2=F2,1,0))</f>
        <v>0</v>
      </c>
    </row>
    <row r="3" spans="1:8" ht="15" customHeight="1" x14ac:dyDescent="0.25">
      <c r="A3" s="7">
        <v>2</v>
      </c>
      <c r="B3" s="7">
        <v>2</v>
      </c>
      <c r="C3" s="7" t="str">
        <f t="shared" ca="1" si="0"/>
        <v>2013_score_champ</v>
      </c>
      <c r="D3" s="8" t="s">
        <v>158</v>
      </c>
      <c r="E3" s="2" t="s">
        <v>37</v>
      </c>
      <c r="F3" s="7" t="str">
        <f t="shared" ca="1" si="1"/>
        <v>Kevin Durant</v>
      </c>
      <c r="G3" s="7">
        <v>1</v>
      </c>
      <c r="H3" s="7">
        <f t="shared" ref="H3:H66" ca="1" si="2">IF(OR(ISBLANK(E3),ISBLANK(F3),E3="",F3=""),"",IF(E3=F3,1,0))</f>
        <v>1</v>
      </c>
    </row>
    <row r="4" spans="1:8" ht="15" customHeight="1" x14ac:dyDescent="0.25">
      <c r="A4" s="7">
        <v>3</v>
      </c>
      <c r="B4" s="7">
        <v>3</v>
      </c>
      <c r="C4" s="7" t="str">
        <f t="shared" ca="1" si="0"/>
        <v>2013_dpoy</v>
      </c>
      <c r="D4" s="8" t="s">
        <v>158</v>
      </c>
      <c r="E4" s="2" t="s">
        <v>49</v>
      </c>
      <c r="F4" s="7" t="str">
        <f t="shared" ca="1" si="1"/>
        <v>Joakim Noah</v>
      </c>
      <c r="G4" s="7">
        <v>1</v>
      </c>
      <c r="H4" s="7">
        <f t="shared" ca="1" si="2"/>
        <v>0</v>
      </c>
    </row>
    <row r="5" spans="1:8" ht="15" customHeight="1" x14ac:dyDescent="0.25">
      <c r="A5" s="7">
        <v>4</v>
      </c>
      <c r="B5" s="7">
        <v>4</v>
      </c>
      <c r="C5" s="7" t="str">
        <f t="shared" ca="1" si="0"/>
        <v>2013_sixth_man</v>
      </c>
      <c r="D5" s="8" t="s">
        <v>158</v>
      </c>
      <c r="E5" s="2" t="s">
        <v>50</v>
      </c>
      <c r="F5" s="7" t="str">
        <f t="shared" ca="1" si="1"/>
        <v>Jamal Crawford</v>
      </c>
      <c r="G5" s="7">
        <v>1</v>
      </c>
      <c r="H5" s="7">
        <f t="shared" ca="1" si="2"/>
        <v>0</v>
      </c>
    </row>
    <row r="6" spans="1:8" ht="15" customHeight="1" x14ac:dyDescent="0.25">
      <c r="A6" s="7">
        <v>5</v>
      </c>
      <c r="B6" s="7">
        <v>5</v>
      </c>
      <c r="C6" s="7" t="str">
        <f t="shared" ca="1" si="0"/>
        <v>2013_mip</v>
      </c>
      <c r="D6" s="8" t="s">
        <v>158</v>
      </c>
      <c r="E6" s="2" t="s">
        <v>51</v>
      </c>
      <c r="F6" s="7" t="str">
        <f t="shared" ca="1" si="1"/>
        <v>Goran Dragic</v>
      </c>
      <c r="G6" s="7">
        <v>1</v>
      </c>
      <c r="H6" s="7">
        <f t="shared" ca="1" si="2"/>
        <v>0</v>
      </c>
    </row>
    <row r="7" spans="1:8" ht="15" customHeight="1" x14ac:dyDescent="0.25">
      <c r="A7" s="7">
        <v>6</v>
      </c>
      <c r="B7" s="7">
        <v>6</v>
      </c>
      <c r="C7" s="7" t="str">
        <f t="shared" ca="1" si="0"/>
        <v>2013_roy</v>
      </c>
      <c r="D7" s="8" t="s">
        <v>158</v>
      </c>
      <c r="E7" s="2" t="s">
        <v>52</v>
      </c>
      <c r="F7" s="7" t="str">
        <f t="shared" ca="1" si="1"/>
        <v>Michael Carter-Williams</v>
      </c>
      <c r="G7" s="7">
        <v>1</v>
      </c>
      <c r="H7" s="7">
        <f t="shared" ca="1" si="2"/>
        <v>0</v>
      </c>
    </row>
    <row r="8" spans="1:8" ht="15" customHeight="1" x14ac:dyDescent="0.25">
      <c r="A8" s="7">
        <v>7</v>
      </c>
      <c r="B8" s="7">
        <v>7</v>
      </c>
      <c r="C8" s="7" t="str">
        <f t="shared" ca="1" si="0"/>
        <v>2013_coy</v>
      </c>
      <c r="D8" s="8" t="s">
        <v>158</v>
      </c>
      <c r="E8" s="2" t="s">
        <v>47</v>
      </c>
      <c r="F8" s="7" t="str">
        <f t="shared" ca="1" si="1"/>
        <v>Gregg Popovich</v>
      </c>
      <c r="G8" s="7">
        <v>1</v>
      </c>
      <c r="H8" s="7">
        <f t="shared" ca="1" si="2"/>
        <v>0</v>
      </c>
    </row>
    <row r="9" spans="1:8" ht="15" customHeight="1" x14ac:dyDescent="0.25">
      <c r="A9" s="7">
        <v>8</v>
      </c>
      <c r="B9" s="7">
        <v>8</v>
      </c>
      <c r="C9" s="7" t="str">
        <f t="shared" ca="1" si="0"/>
        <v>2013_gmoy</v>
      </c>
      <c r="D9" s="8" t="s">
        <v>158</v>
      </c>
      <c r="E9" s="2" t="s">
        <v>53</v>
      </c>
      <c r="F9" s="7" t="str">
        <f t="shared" ca="1" si="1"/>
        <v>R.C. Buford</v>
      </c>
      <c r="G9" s="7">
        <v>1</v>
      </c>
      <c r="H9" s="7">
        <f t="shared" ca="1" si="2"/>
        <v>0</v>
      </c>
    </row>
    <row r="10" spans="1:8" ht="15" customHeight="1" x14ac:dyDescent="0.25">
      <c r="A10" s="7">
        <v>9</v>
      </c>
      <c r="B10" s="7">
        <v>9</v>
      </c>
      <c r="C10" s="7" t="str">
        <f t="shared" ca="1" si="0"/>
        <v>2014_mvp</v>
      </c>
      <c r="D10" s="8" t="s">
        <v>158</v>
      </c>
      <c r="E10" s="2" t="s">
        <v>63</v>
      </c>
      <c r="F10" s="7" t="str">
        <f t="shared" ca="1" si="1"/>
        <v>Stephen Curry</v>
      </c>
      <c r="G10" s="7">
        <v>1</v>
      </c>
      <c r="H10" s="7">
        <f t="shared" ca="1" si="2"/>
        <v>0</v>
      </c>
    </row>
    <row r="11" spans="1:8" ht="15" customHeight="1" x14ac:dyDescent="0.25">
      <c r="A11" s="7">
        <v>10</v>
      </c>
      <c r="B11" s="7">
        <v>10</v>
      </c>
      <c r="C11" s="7" t="str">
        <f t="shared" ca="1" si="0"/>
        <v>2014_score_champ</v>
      </c>
      <c r="D11" s="8" t="s">
        <v>158</v>
      </c>
      <c r="E11" s="2" t="s">
        <v>54</v>
      </c>
      <c r="F11" s="7" t="str">
        <f t="shared" ca="1" si="1"/>
        <v>Russell Westbrook</v>
      </c>
      <c r="G11" s="7">
        <v>1</v>
      </c>
      <c r="H11" s="7">
        <f t="shared" ca="1" si="2"/>
        <v>0</v>
      </c>
    </row>
    <row r="12" spans="1:8" ht="15" customHeight="1" x14ac:dyDescent="0.25">
      <c r="A12" s="7">
        <v>11</v>
      </c>
      <c r="B12" s="7">
        <v>11</v>
      </c>
      <c r="C12" s="7" t="str">
        <f t="shared" ca="1" si="0"/>
        <v>2014_dpoy</v>
      </c>
      <c r="D12" s="8" t="s">
        <v>158</v>
      </c>
      <c r="E12" s="2" t="s">
        <v>43</v>
      </c>
      <c r="F12" s="7" t="str">
        <f t="shared" ca="1" si="1"/>
        <v>Kawhi Leanard</v>
      </c>
      <c r="G12" s="7">
        <v>1</v>
      </c>
      <c r="H12" s="7">
        <f t="shared" ca="1" si="2"/>
        <v>0</v>
      </c>
    </row>
    <row r="13" spans="1:8" ht="15" customHeight="1" x14ac:dyDescent="0.25">
      <c r="A13" s="7">
        <v>12</v>
      </c>
      <c r="B13" s="7">
        <v>12</v>
      </c>
      <c r="C13" s="7" t="str">
        <f t="shared" ca="1" si="0"/>
        <v>2014_sixth_man</v>
      </c>
      <c r="D13" s="8" t="s">
        <v>158</v>
      </c>
      <c r="E13" s="2" t="s">
        <v>61</v>
      </c>
      <c r="F13" s="7" t="str">
        <f t="shared" ca="1" si="1"/>
        <v>Lou Williams</v>
      </c>
      <c r="G13" s="7">
        <v>1</v>
      </c>
      <c r="H13" s="7">
        <f t="shared" ca="1" si="2"/>
        <v>0</v>
      </c>
    </row>
    <row r="14" spans="1:8" ht="15" customHeight="1" x14ac:dyDescent="0.25">
      <c r="A14" s="7">
        <v>13</v>
      </c>
      <c r="B14" s="7">
        <v>13</v>
      </c>
      <c r="C14" s="7" t="str">
        <f t="shared" ca="1" si="0"/>
        <v>2014_mip</v>
      </c>
      <c r="D14" s="8" t="s">
        <v>158</v>
      </c>
      <c r="E14" s="2" t="s">
        <v>62</v>
      </c>
      <c r="F14" s="7" t="str">
        <f t="shared" ca="1" si="1"/>
        <v>Jimmy Butler</v>
      </c>
      <c r="G14" s="7">
        <v>1</v>
      </c>
      <c r="H14" s="7">
        <f t="shared" ca="1" si="2"/>
        <v>0</v>
      </c>
    </row>
    <row r="15" spans="1:8" ht="15" customHeight="1" x14ac:dyDescent="0.25">
      <c r="A15" s="7">
        <v>14</v>
      </c>
      <c r="B15" s="7">
        <v>14</v>
      </c>
      <c r="C15" s="7" t="str">
        <f t="shared" ca="1" si="0"/>
        <v>2014_roy</v>
      </c>
      <c r="D15" s="8" t="s">
        <v>158</v>
      </c>
      <c r="E15" s="2" t="s">
        <v>56</v>
      </c>
      <c r="F15" s="7" t="str">
        <f t="shared" ca="1" si="1"/>
        <v>Andrew Wiggins</v>
      </c>
      <c r="G15" s="7">
        <v>1</v>
      </c>
      <c r="H15" s="7">
        <f t="shared" ca="1" si="2"/>
        <v>0</v>
      </c>
    </row>
    <row r="16" spans="1:8" ht="15" customHeight="1" x14ac:dyDescent="0.25">
      <c r="A16" s="7">
        <v>15</v>
      </c>
      <c r="B16" s="7">
        <v>15</v>
      </c>
      <c r="C16" s="7" t="str">
        <f t="shared" ca="1" si="0"/>
        <v>2014_coy</v>
      </c>
      <c r="D16" s="8" t="s">
        <v>158</v>
      </c>
      <c r="E16" s="2" t="s">
        <v>60</v>
      </c>
      <c r="F16" s="7" t="str">
        <f t="shared" ca="1" si="1"/>
        <v>Mike Budenholzer</v>
      </c>
      <c r="G16" s="7">
        <v>1</v>
      </c>
      <c r="H16" s="7">
        <f t="shared" ca="1" si="2"/>
        <v>0</v>
      </c>
    </row>
    <row r="17" spans="1:8" ht="15" customHeight="1" x14ac:dyDescent="0.25">
      <c r="A17" s="7">
        <v>16</v>
      </c>
      <c r="B17" s="7">
        <v>16</v>
      </c>
      <c r="C17" s="7" t="str">
        <f t="shared" ca="1" si="0"/>
        <v>2014_gmoy</v>
      </c>
      <c r="D17" s="8" t="s">
        <v>158</v>
      </c>
      <c r="E17" s="2" t="s">
        <v>57</v>
      </c>
      <c r="F17" s="7" t="str">
        <f t="shared" ca="1" si="1"/>
        <v>Bob Myers</v>
      </c>
      <c r="G17" s="7">
        <v>1</v>
      </c>
      <c r="H17" s="7">
        <f t="shared" ca="1" si="2"/>
        <v>0</v>
      </c>
    </row>
    <row r="18" spans="1:8" ht="15" customHeight="1" x14ac:dyDescent="0.25">
      <c r="A18" s="7">
        <v>17</v>
      </c>
      <c r="B18" s="7">
        <v>17</v>
      </c>
      <c r="C18" s="7" t="str">
        <f t="shared" ca="1" si="0"/>
        <v>2015_mvp</v>
      </c>
      <c r="D18" s="8" t="s">
        <v>158</v>
      </c>
      <c r="E18" s="9" t="s">
        <v>76</v>
      </c>
      <c r="F18" s="7" t="str">
        <f t="shared" ca="1" si="1"/>
        <v>Stephen Curry</v>
      </c>
      <c r="G18" s="7">
        <v>1</v>
      </c>
      <c r="H18" s="7">
        <f t="shared" ca="1" si="2"/>
        <v>0</v>
      </c>
    </row>
    <row r="19" spans="1:8" ht="15" customHeight="1" x14ac:dyDescent="0.25">
      <c r="A19" s="7">
        <v>18</v>
      </c>
      <c r="B19" s="7">
        <v>18</v>
      </c>
      <c r="C19" s="7" t="str">
        <f t="shared" ca="1" si="0"/>
        <v>2015_score_champ</v>
      </c>
      <c r="D19" s="8" t="s">
        <v>158</v>
      </c>
      <c r="E19" s="9" t="s">
        <v>37</v>
      </c>
      <c r="F19" s="7" t="str">
        <f t="shared" ca="1" si="1"/>
        <v>Stephen Curry</v>
      </c>
      <c r="G19" s="7">
        <v>1</v>
      </c>
      <c r="H19" s="7">
        <f t="shared" ca="1" si="2"/>
        <v>0</v>
      </c>
    </row>
    <row r="20" spans="1:8" ht="15" customHeight="1" x14ac:dyDescent="0.25">
      <c r="A20" s="7">
        <v>19</v>
      </c>
      <c r="B20" s="7">
        <v>19</v>
      </c>
      <c r="C20" s="7" t="str">
        <f t="shared" ca="1" si="0"/>
        <v>2015_dpoy</v>
      </c>
      <c r="D20" s="8" t="s">
        <v>158</v>
      </c>
      <c r="E20" s="9" t="s">
        <v>77</v>
      </c>
      <c r="F20" s="7" t="str">
        <f t="shared" ca="1" si="1"/>
        <v>Kawhi Leanard</v>
      </c>
      <c r="G20" s="7">
        <v>1</v>
      </c>
      <c r="H20" s="7">
        <f t="shared" ca="1" si="2"/>
        <v>0</v>
      </c>
    </row>
    <row r="21" spans="1:8" ht="15" customHeight="1" x14ac:dyDescent="0.25">
      <c r="A21" s="7">
        <v>20</v>
      </c>
      <c r="B21" s="7">
        <v>20</v>
      </c>
      <c r="C21" s="7" t="str">
        <f t="shared" ca="1" si="0"/>
        <v>2015_sixth_man</v>
      </c>
      <c r="D21" s="8" t="s">
        <v>158</v>
      </c>
      <c r="E21" s="9" t="s">
        <v>61</v>
      </c>
      <c r="F21" s="7" t="str">
        <f t="shared" ca="1" si="1"/>
        <v>Jamal Crawford</v>
      </c>
      <c r="G21" s="7">
        <v>1</v>
      </c>
      <c r="H21" s="7">
        <f t="shared" ca="1" si="2"/>
        <v>0</v>
      </c>
    </row>
    <row r="22" spans="1:8" ht="15" customHeight="1" x14ac:dyDescent="0.25">
      <c r="A22" s="7">
        <v>21</v>
      </c>
      <c r="B22" s="7">
        <v>21</v>
      </c>
      <c r="C22" s="7" t="str">
        <f t="shared" ca="1" si="0"/>
        <v>2015_mip</v>
      </c>
      <c r="D22" s="8" t="s">
        <v>158</v>
      </c>
      <c r="E22" s="9" t="s">
        <v>46</v>
      </c>
      <c r="F22" s="7" t="str">
        <f t="shared" ca="1" si="1"/>
        <v>C.J. McCollum</v>
      </c>
      <c r="G22" s="7">
        <v>1</v>
      </c>
      <c r="H22" s="7">
        <f t="shared" ca="1" si="2"/>
        <v>0</v>
      </c>
    </row>
    <row r="23" spans="1:8" ht="15" customHeight="1" x14ac:dyDescent="0.25">
      <c r="A23" s="7">
        <v>22</v>
      </c>
      <c r="B23" s="7">
        <v>22</v>
      </c>
      <c r="C23" s="7" t="str">
        <f t="shared" ca="1" si="0"/>
        <v>2015_roy</v>
      </c>
      <c r="D23" s="8" t="s">
        <v>158</v>
      </c>
      <c r="E23" s="9" t="s">
        <v>78</v>
      </c>
      <c r="F23" s="7" t="str">
        <f t="shared" ca="1" si="1"/>
        <v>Karl-Anthony Towns</v>
      </c>
      <c r="G23" s="7">
        <v>1</v>
      </c>
      <c r="H23" s="7">
        <f t="shared" ca="1" si="2"/>
        <v>0</v>
      </c>
    </row>
    <row r="24" spans="1:8" ht="15" customHeight="1" x14ac:dyDescent="0.25">
      <c r="A24" s="7">
        <v>23</v>
      </c>
      <c r="B24" s="7">
        <v>23</v>
      </c>
      <c r="C24" s="7" t="str">
        <f t="shared" ca="1" si="0"/>
        <v>2015_coy</v>
      </c>
      <c r="D24" s="8" t="s">
        <v>158</v>
      </c>
      <c r="E24" s="9" t="s">
        <v>79</v>
      </c>
      <c r="F24" s="7" t="str">
        <f t="shared" ca="1" si="1"/>
        <v>Steve Kerr</v>
      </c>
      <c r="G24" s="7">
        <v>1</v>
      </c>
      <c r="H24" s="7">
        <f t="shared" ca="1" si="2"/>
        <v>0</v>
      </c>
    </row>
    <row r="25" spans="1:8" ht="15" customHeight="1" x14ac:dyDescent="0.25">
      <c r="A25" s="7">
        <v>24</v>
      </c>
      <c r="B25" s="7">
        <v>24</v>
      </c>
      <c r="C25" s="7" t="str">
        <f t="shared" ca="1" si="0"/>
        <v>2015_gmoy</v>
      </c>
      <c r="D25" s="8" t="s">
        <v>158</v>
      </c>
      <c r="E25" s="6" t="s">
        <v>84</v>
      </c>
      <c r="F25" s="7" t="str">
        <f t="shared" ca="1" si="1"/>
        <v>R.C. Buford</v>
      </c>
      <c r="G25" s="7">
        <v>1</v>
      </c>
      <c r="H25" s="7">
        <f t="shared" ca="1" si="2"/>
        <v>0</v>
      </c>
    </row>
    <row r="26" spans="1:8" ht="15" customHeight="1" x14ac:dyDescent="0.25">
      <c r="A26" s="7">
        <v>25</v>
      </c>
      <c r="B26" s="7">
        <v>25</v>
      </c>
      <c r="C26" s="7" t="str">
        <f t="shared" ca="1" si="0"/>
        <v>2016_mvp</v>
      </c>
      <c r="D26" s="8" t="s">
        <v>158</v>
      </c>
      <c r="E26" s="2" t="s">
        <v>63</v>
      </c>
      <c r="F26" s="7" t="str">
        <f t="shared" ca="1" si="1"/>
        <v>Russell Westbrook</v>
      </c>
      <c r="G26" s="7">
        <v>1</v>
      </c>
      <c r="H26" s="7">
        <f t="shared" ca="1" si="2"/>
        <v>0</v>
      </c>
    </row>
    <row r="27" spans="1:8" ht="15" customHeight="1" x14ac:dyDescent="0.25">
      <c r="A27" s="7">
        <v>26</v>
      </c>
      <c r="B27" s="7">
        <v>26</v>
      </c>
      <c r="C27" s="7" t="str">
        <f t="shared" ca="1" si="0"/>
        <v>2016_score_champ</v>
      </c>
      <c r="D27" s="8" t="s">
        <v>158</v>
      </c>
      <c r="E27" s="2" t="s">
        <v>54</v>
      </c>
      <c r="F27" s="7" t="str">
        <f t="shared" ca="1" si="1"/>
        <v>Russell Westbrook</v>
      </c>
      <c r="G27" s="7">
        <v>1</v>
      </c>
      <c r="H27" s="7">
        <f t="shared" ca="1" si="2"/>
        <v>0</v>
      </c>
    </row>
    <row r="28" spans="1:8" ht="15" customHeight="1" x14ac:dyDescent="0.25">
      <c r="A28" s="7">
        <v>27</v>
      </c>
      <c r="B28" s="7">
        <v>27</v>
      </c>
      <c r="C28" s="7" t="str">
        <f t="shared" ca="1" si="0"/>
        <v>2016_dpoy</v>
      </c>
      <c r="D28" s="8" t="s">
        <v>158</v>
      </c>
      <c r="E28" s="2" t="s">
        <v>89</v>
      </c>
      <c r="F28" s="7" t="str">
        <f t="shared" ca="1" si="1"/>
        <v>Draymond Green</v>
      </c>
      <c r="G28" s="7">
        <v>1</v>
      </c>
      <c r="H28" s="7">
        <f t="shared" ca="1" si="2"/>
        <v>0</v>
      </c>
    </row>
    <row r="29" spans="1:8" ht="15" customHeight="1" x14ac:dyDescent="0.25">
      <c r="A29" s="7">
        <v>28</v>
      </c>
      <c r="B29" s="7">
        <v>28</v>
      </c>
      <c r="C29" s="7" t="str">
        <f t="shared" ca="1" si="0"/>
        <v>2016_sixth_man</v>
      </c>
      <c r="D29" s="8" t="s">
        <v>158</v>
      </c>
      <c r="E29" s="2" t="s">
        <v>90</v>
      </c>
      <c r="F29" s="7" t="str">
        <f t="shared" ca="1" si="1"/>
        <v>Eric Gordon</v>
      </c>
      <c r="G29" s="7">
        <v>1</v>
      </c>
      <c r="H29" s="7">
        <f t="shared" ca="1" si="2"/>
        <v>0</v>
      </c>
    </row>
    <row r="30" spans="1:8" ht="15" customHeight="1" x14ac:dyDescent="0.25">
      <c r="A30" s="7">
        <v>29</v>
      </c>
      <c r="B30" s="7">
        <v>29</v>
      </c>
      <c r="C30" s="7" t="str">
        <f t="shared" ca="1" si="0"/>
        <v>2016_mip</v>
      </c>
      <c r="D30" s="8" t="s">
        <v>158</v>
      </c>
      <c r="E30" s="2" t="s">
        <v>91</v>
      </c>
      <c r="F30" s="7" t="str">
        <f t="shared" ca="1" si="1"/>
        <v>Giannis Antetokounmpo</v>
      </c>
      <c r="G30" s="7">
        <v>1</v>
      </c>
      <c r="H30" s="7">
        <f t="shared" ca="1" si="2"/>
        <v>0</v>
      </c>
    </row>
    <row r="31" spans="1:8" ht="15" customHeight="1" x14ac:dyDescent="0.25">
      <c r="A31" s="7">
        <v>30</v>
      </c>
      <c r="B31" s="7">
        <v>30</v>
      </c>
      <c r="C31" s="7" t="str">
        <f t="shared" ca="1" si="0"/>
        <v>2016_roy</v>
      </c>
      <c r="D31" s="8" t="s">
        <v>158</v>
      </c>
      <c r="E31" s="2" t="s">
        <v>92</v>
      </c>
      <c r="F31" s="7" t="str">
        <f t="shared" ca="1" si="1"/>
        <v>Malcom Brogdon</v>
      </c>
      <c r="G31" s="7">
        <v>1</v>
      </c>
      <c r="H31" s="7">
        <f t="shared" ca="1" si="2"/>
        <v>0</v>
      </c>
    </row>
    <row r="32" spans="1:8" ht="15" customHeight="1" x14ac:dyDescent="0.25">
      <c r="A32" s="7">
        <v>31</v>
      </c>
      <c r="B32" s="7">
        <v>31</v>
      </c>
      <c r="C32" s="7" t="str">
        <f t="shared" ca="1" si="0"/>
        <v>2016_coy</v>
      </c>
      <c r="D32" s="8" t="s">
        <v>158</v>
      </c>
      <c r="E32" s="2" t="s">
        <v>47</v>
      </c>
      <c r="F32" s="7" t="str">
        <f t="shared" ca="1" si="1"/>
        <v>Mike D'Antoni</v>
      </c>
      <c r="G32" s="7">
        <v>1</v>
      </c>
      <c r="H32" s="7">
        <f t="shared" ca="1" si="2"/>
        <v>0</v>
      </c>
    </row>
    <row r="33" spans="1:8" ht="15" customHeight="1" x14ac:dyDescent="0.25">
      <c r="A33" s="7">
        <v>32</v>
      </c>
      <c r="B33" s="7">
        <v>32</v>
      </c>
      <c r="C33" s="7" t="str">
        <f t="shared" ca="1" si="0"/>
        <v>2016_gmoy</v>
      </c>
      <c r="D33" s="8" t="s">
        <v>158</v>
      </c>
      <c r="E33" s="2" t="s">
        <v>69</v>
      </c>
      <c r="F33" s="7" t="str">
        <f t="shared" ca="1" si="1"/>
        <v>Bob Myers</v>
      </c>
      <c r="G33" s="7">
        <v>1</v>
      </c>
      <c r="H33" s="7">
        <f t="shared" ca="1" si="2"/>
        <v>1</v>
      </c>
    </row>
    <row r="34" spans="1:8" ht="15" customHeight="1" x14ac:dyDescent="0.25">
      <c r="A34" s="7">
        <v>33</v>
      </c>
      <c r="B34" s="7">
        <v>1</v>
      </c>
      <c r="C34" s="7" t="str">
        <f t="shared" ref="C34:C65" ca="1" si="3">IFERROR(VLOOKUP($B34,nba_award_results,MATCH(C$1,nba_award_results_header,0),FALSE),"error")</f>
        <v>2013_mvp</v>
      </c>
      <c r="D34" s="8" t="s">
        <v>157</v>
      </c>
      <c r="E34" s="2" t="s">
        <v>63</v>
      </c>
      <c r="F34" s="7" t="str">
        <f t="shared" ref="F34:F65" ca="1" si="4">IFERROR(IF(VLOOKUP($B34,nba_award_results,MATCH(F$1,nba_award_results_header,0),FALSE)="","",VLOOKUP($B34,nba_award_results,MATCH(F$1,nba_award_results_header,0),FALSE)),"error")</f>
        <v>Kevin Durant</v>
      </c>
      <c r="G34" s="7">
        <v>1</v>
      </c>
      <c r="H34" s="7">
        <f t="shared" ca="1" si="2"/>
        <v>0</v>
      </c>
    </row>
    <row r="35" spans="1:8" ht="15" customHeight="1" x14ac:dyDescent="0.25">
      <c r="A35" s="7">
        <v>34</v>
      </c>
      <c r="B35" s="7">
        <v>2</v>
      </c>
      <c r="C35" s="7" t="str">
        <f t="shared" ca="1" si="3"/>
        <v>2013_score_champ</v>
      </c>
      <c r="D35" s="8" t="s">
        <v>157</v>
      </c>
      <c r="E35" s="2" t="s">
        <v>37</v>
      </c>
      <c r="F35" s="7" t="str">
        <f t="shared" ca="1" si="4"/>
        <v>Kevin Durant</v>
      </c>
      <c r="G35" s="7">
        <v>1</v>
      </c>
      <c r="H35" s="7">
        <f t="shared" ca="1" si="2"/>
        <v>1</v>
      </c>
    </row>
    <row r="36" spans="1:8" ht="15" customHeight="1" x14ac:dyDescent="0.25">
      <c r="A36" s="7">
        <v>35</v>
      </c>
      <c r="B36" s="7">
        <v>3</v>
      </c>
      <c r="C36" s="7" t="str">
        <f t="shared" ca="1" si="3"/>
        <v>2013_dpoy</v>
      </c>
      <c r="D36" s="8" t="s">
        <v>157</v>
      </c>
      <c r="E36" s="2" t="s">
        <v>43</v>
      </c>
      <c r="F36" s="7" t="str">
        <f t="shared" ca="1" si="4"/>
        <v>Joakim Noah</v>
      </c>
      <c r="G36" s="7">
        <v>1</v>
      </c>
      <c r="H36" s="7">
        <f t="shared" ca="1" si="2"/>
        <v>0</v>
      </c>
    </row>
    <row r="37" spans="1:8" ht="15" customHeight="1" x14ac:dyDescent="0.25">
      <c r="A37" s="7">
        <v>36</v>
      </c>
      <c r="B37" s="7">
        <v>4</v>
      </c>
      <c r="C37" s="7" t="str">
        <f t="shared" ca="1" si="3"/>
        <v>2013_sixth_man</v>
      </c>
      <c r="D37" s="8" t="s">
        <v>157</v>
      </c>
      <c r="E37" s="2" t="s">
        <v>44</v>
      </c>
      <c r="F37" s="7" t="str">
        <f t="shared" ca="1" si="4"/>
        <v>Jamal Crawford</v>
      </c>
      <c r="G37" s="7">
        <v>1</v>
      </c>
      <c r="H37" s="7">
        <f t="shared" ca="1" si="2"/>
        <v>0</v>
      </c>
    </row>
    <row r="38" spans="1:8" ht="15" customHeight="1" x14ac:dyDescent="0.25">
      <c r="A38" s="7">
        <v>37</v>
      </c>
      <c r="B38" s="7">
        <v>5</v>
      </c>
      <c r="C38" s="7" t="str">
        <f t="shared" ca="1" si="3"/>
        <v>2013_mip</v>
      </c>
      <c r="D38" s="8" t="s">
        <v>157</v>
      </c>
      <c r="E38" s="2" t="s">
        <v>45</v>
      </c>
      <c r="F38" s="7" t="str">
        <f t="shared" ca="1" si="4"/>
        <v>Goran Dragic</v>
      </c>
      <c r="G38" s="7">
        <v>1</v>
      </c>
      <c r="H38" s="7">
        <f t="shared" ca="1" si="2"/>
        <v>0</v>
      </c>
    </row>
    <row r="39" spans="1:8" ht="15" customHeight="1" x14ac:dyDescent="0.25">
      <c r="A39" s="7">
        <v>38</v>
      </c>
      <c r="B39" s="7">
        <v>6</v>
      </c>
      <c r="C39" s="7" t="str">
        <f t="shared" ca="1" si="3"/>
        <v>2013_roy</v>
      </c>
      <c r="D39" s="8" t="s">
        <v>157</v>
      </c>
      <c r="E39" s="2" t="s">
        <v>46</v>
      </c>
      <c r="F39" s="7" t="str">
        <f t="shared" ca="1" si="4"/>
        <v>Michael Carter-Williams</v>
      </c>
      <c r="G39" s="7">
        <v>1</v>
      </c>
      <c r="H39" s="7">
        <f t="shared" ca="1" si="2"/>
        <v>0</v>
      </c>
    </row>
    <row r="40" spans="1:8" ht="15" customHeight="1" x14ac:dyDescent="0.25">
      <c r="A40" s="7">
        <v>39</v>
      </c>
      <c r="B40" s="7">
        <v>7</v>
      </c>
      <c r="C40" s="7" t="str">
        <f t="shared" ca="1" si="3"/>
        <v>2013_coy</v>
      </c>
      <c r="D40" s="8" t="s">
        <v>157</v>
      </c>
      <c r="E40" s="2" t="s">
        <v>47</v>
      </c>
      <c r="F40" s="7" t="str">
        <f t="shared" ca="1" si="4"/>
        <v>Gregg Popovich</v>
      </c>
      <c r="G40" s="7">
        <v>1</v>
      </c>
      <c r="H40" s="7">
        <f t="shared" ca="1" si="2"/>
        <v>0</v>
      </c>
    </row>
    <row r="41" spans="1:8" ht="15" customHeight="1" x14ac:dyDescent="0.25">
      <c r="A41" s="7">
        <v>40</v>
      </c>
      <c r="B41" s="7">
        <v>8</v>
      </c>
      <c r="C41" s="7" t="str">
        <f t="shared" ca="1" si="3"/>
        <v>2013_gmoy</v>
      </c>
      <c r="D41" s="8" t="s">
        <v>157</v>
      </c>
      <c r="E41" s="2" t="s">
        <v>48</v>
      </c>
      <c r="F41" s="7" t="str">
        <f t="shared" ca="1" si="4"/>
        <v>R.C. Buford</v>
      </c>
      <c r="G41" s="7">
        <v>1</v>
      </c>
      <c r="H41" s="7">
        <f t="shared" ca="1" si="2"/>
        <v>0</v>
      </c>
    </row>
    <row r="42" spans="1:8" ht="15" customHeight="1" x14ac:dyDescent="0.25">
      <c r="A42" s="7">
        <v>41</v>
      </c>
      <c r="B42" s="7">
        <v>9</v>
      </c>
      <c r="C42" s="7" t="str">
        <f t="shared" ca="1" si="3"/>
        <v>2014_mvp</v>
      </c>
      <c r="D42" s="8" t="s">
        <v>157</v>
      </c>
      <c r="E42" s="2" t="s">
        <v>63</v>
      </c>
      <c r="F42" s="7" t="str">
        <f t="shared" ca="1" si="4"/>
        <v>Stephen Curry</v>
      </c>
      <c r="G42" s="7">
        <v>1</v>
      </c>
      <c r="H42" s="7">
        <f t="shared" ca="1" si="2"/>
        <v>0</v>
      </c>
    </row>
    <row r="43" spans="1:8" ht="15" customHeight="1" x14ac:dyDescent="0.25">
      <c r="A43" s="7">
        <v>42</v>
      </c>
      <c r="B43" s="7">
        <v>10</v>
      </c>
      <c r="C43" s="7" t="str">
        <f t="shared" ca="1" si="3"/>
        <v>2014_score_champ</v>
      </c>
      <c r="D43" s="8" t="s">
        <v>157</v>
      </c>
      <c r="E43" s="2" t="s">
        <v>54</v>
      </c>
      <c r="F43" s="7" t="str">
        <f t="shared" ca="1" si="4"/>
        <v>Russell Westbrook</v>
      </c>
      <c r="G43" s="7">
        <v>1</v>
      </c>
      <c r="H43" s="7">
        <f t="shared" ca="1" si="2"/>
        <v>0</v>
      </c>
    </row>
    <row r="44" spans="1:8" ht="15" customHeight="1" x14ac:dyDescent="0.25">
      <c r="A44" s="7">
        <v>43</v>
      </c>
      <c r="B44" s="7">
        <v>11</v>
      </c>
      <c r="C44" s="7" t="str">
        <f t="shared" ca="1" si="3"/>
        <v>2014_dpoy</v>
      </c>
      <c r="D44" s="8" t="s">
        <v>157</v>
      </c>
      <c r="E44" s="2" t="s">
        <v>55</v>
      </c>
      <c r="F44" s="7" t="str">
        <f t="shared" ca="1" si="4"/>
        <v>Kawhi Leanard</v>
      </c>
      <c r="G44" s="7">
        <v>1</v>
      </c>
      <c r="H44" s="7">
        <f t="shared" ca="1" si="2"/>
        <v>0</v>
      </c>
    </row>
    <row r="45" spans="1:8" ht="15" customHeight="1" x14ac:dyDescent="0.25">
      <c r="A45" s="7">
        <v>44</v>
      </c>
      <c r="B45" s="7">
        <v>12</v>
      </c>
      <c r="C45" s="7" t="str">
        <f t="shared" ca="1" si="3"/>
        <v>2014_sixth_man</v>
      </c>
      <c r="D45" s="8" t="s">
        <v>157</v>
      </c>
      <c r="E45" s="2" t="s">
        <v>59</v>
      </c>
      <c r="F45" s="7" t="str">
        <f t="shared" ca="1" si="4"/>
        <v>Lou Williams</v>
      </c>
      <c r="G45" s="7">
        <v>1</v>
      </c>
      <c r="H45" s="7">
        <f t="shared" ca="1" si="2"/>
        <v>0</v>
      </c>
    </row>
    <row r="46" spans="1:8" ht="15" customHeight="1" x14ac:dyDescent="0.25">
      <c r="A46" s="7">
        <v>45</v>
      </c>
      <c r="B46" s="7">
        <v>13</v>
      </c>
      <c r="C46" s="7" t="str">
        <f t="shared" ca="1" si="3"/>
        <v>2014_mip</v>
      </c>
      <c r="D46" s="8" t="s">
        <v>157</v>
      </c>
      <c r="E46" s="2" t="s">
        <v>58</v>
      </c>
      <c r="F46" s="7" t="str">
        <f t="shared" ca="1" si="4"/>
        <v>Jimmy Butler</v>
      </c>
      <c r="G46" s="7">
        <v>1</v>
      </c>
      <c r="H46" s="7">
        <f t="shared" ca="1" si="2"/>
        <v>0</v>
      </c>
    </row>
    <row r="47" spans="1:8" ht="15" customHeight="1" x14ac:dyDescent="0.25">
      <c r="A47" s="7">
        <v>46</v>
      </c>
      <c r="B47" s="7">
        <v>14</v>
      </c>
      <c r="C47" s="7" t="str">
        <f t="shared" ca="1" si="3"/>
        <v>2014_roy</v>
      </c>
      <c r="D47" s="8" t="s">
        <v>157</v>
      </c>
      <c r="E47" s="2" t="s">
        <v>56</v>
      </c>
      <c r="F47" s="7" t="str">
        <f t="shared" ca="1" si="4"/>
        <v>Andrew Wiggins</v>
      </c>
      <c r="G47" s="7">
        <v>1</v>
      </c>
      <c r="H47" s="7">
        <f t="shared" ca="1" si="2"/>
        <v>0</v>
      </c>
    </row>
    <row r="48" spans="1:8" ht="15" customHeight="1" x14ac:dyDescent="0.25">
      <c r="A48" s="7">
        <v>47</v>
      </c>
      <c r="B48" s="7">
        <v>15</v>
      </c>
      <c r="C48" s="7" t="str">
        <f t="shared" ca="1" si="3"/>
        <v>2014_coy</v>
      </c>
      <c r="D48" s="8" t="s">
        <v>157</v>
      </c>
      <c r="E48" s="2" t="s">
        <v>60</v>
      </c>
      <c r="F48" s="7" t="str">
        <f t="shared" ca="1" si="4"/>
        <v>Mike Budenholzer</v>
      </c>
      <c r="G48" s="7">
        <v>1</v>
      </c>
      <c r="H48" s="7">
        <f t="shared" ca="1" si="2"/>
        <v>0</v>
      </c>
    </row>
    <row r="49" spans="1:8" ht="15" customHeight="1" x14ac:dyDescent="0.25">
      <c r="A49" s="7">
        <v>48</v>
      </c>
      <c r="B49" s="7">
        <v>16</v>
      </c>
      <c r="C49" s="7" t="str">
        <f t="shared" ca="1" si="3"/>
        <v>2014_gmoy</v>
      </c>
      <c r="D49" s="8" t="s">
        <v>157</v>
      </c>
      <c r="E49" s="2" t="s">
        <v>57</v>
      </c>
      <c r="F49" s="7" t="str">
        <f t="shared" ca="1" si="4"/>
        <v>Bob Myers</v>
      </c>
      <c r="G49" s="7">
        <v>1</v>
      </c>
      <c r="H49" s="7">
        <f t="shared" ca="1" si="2"/>
        <v>0</v>
      </c>
    </row>
    <row r="50" spans="1:8" ht="15" customHeight="1" x14ac:dyDescent="0.25">
      <c r="A50" s="7">
        <v>49</v>
      </c>
      <c r="B50" s="7">
        <v>17</v>
      </c>
      <c r="C50" s="7" t="str">
        <f t="shared" ca="1" si="3"/>
        <v>2015_mvp</v>
      </c>
      <c r="D50" s="8" t="s">
        <v>157</v>
      </c>
      <c r="E50" s="5" t="s">
        <v>45</v>
      </c>
      <c r="F50" s="7" t="str">
        <f t="shared" ca="1" si="4"/>
        <v>Stephen Curry</v>
      </c>
      <c r="G50" s="7">
        <v>1</v>
      </c>
      <c r="H50" s="7">
        <f t="shared" ca="1" si="2"/>
        <v>0</v>
      </c>
    </row>
    <row r="51" spans="1:8" ht="15" customHeight="1" x14ac:dyDescent="0.25">
      <c r="A51" s="7">
        <v>50</v>
      </c>
      <c r="B51" s="7">
        <v>18</v>
      </c>
      <c r="C51" s="7" t="str">
        <f t="shared" ca="1" si="3"/>
        <v>2015_score_champ</v>
      </c>
      <c r="D51" s="8" t="s">
        <v>157</v>
      </c>
      <c r="E51" s="2" t="s">
        <v>54</v>
      </c>
      <c r="F51" s="7" t="str">
        <f t="shared" ca="1" si="4"/>
        <v>Stephen Curry</v>
      </c>
      <c r="G51" s="7">
        <v>1</v>
      </c>
      <c r="H51" s="7">
        <f t="shared" ca="1" si="2"/>
        <v>0</v>
      </c>
    </row>
    <row r="52" spans="1:8" ht="15" customHeight="1" x14ac:dyDescent="0.25">
      <c r="A52" s="7">
        <v>51</v>
      </c>
      <c r="B52" s="7">
        <v>19</v>
      </c>
      <c r="C52" s="7" t="str">
        <f t="shared" ca="1" si="3"/>
        <v>2015_dpoy</v>
      </c>
      <c r="D52" s="8" t="s">
        <v>157</v>
      </c>
      <c r="E52" s="8" t="s">
        <v>77</v>
      </c>
      <c r="F52" s="7" t="str">
        <f t="shared" ca="1" si="4"/>
        <v>Kawhi Leanard</v>
      </c>
      <c r="G52" s="7">
        <v>1</v>
      </c>
      <c r="H52" s="7">
        <f t="shared" ca="1" si="2"/>
        <v>0</v>
      </c>
    </row>
    <row r="53" spans="1:8" ht="15" customHeight="1" x14ac:dyDescent="0.25">
      <c r="A53" s="7">
        <v>52</v>
      </c>
      <c r="B53" s="7">
        <v>20</v>
      </c>
      <c r="C53" s="7" t="str">
        <f t="shared" ca="1" si="3"/>
        <v>2015_sixth_man</v>
      </c>
      <c r="D53" s="8" t="s">
        <v>157</v>
      </c>
      <c r="E53" s="5" t="s">
        <v>75</v>
      </c>
      <c r="F53" s="7" t="str">
        <f t="shared" ca="1" si="4"/>
        <v>Jamal Crawford</v>
      </c>
      <c r="G53" s="7">
        <v>1</v>
      </c>
      <c r="H53" s="7">
        <f t="shared" ca="1" si="2"/>
        <v>0</v>
      </c>
    </row>
    <row r="54" spans="1:8" ht="15" customHeight="1" x14ac:dyDescent="0.25">
      <c r="A54" s="7">
        <v>53</v>
      </c>
      <c r="B54" s="7">
        <v>21</v>
      </c>
      <c r="C54" s="7" t="str">
        <f t="shared" ca="1" si="3"/>
        <v>2015_mip</v>
      </c>
      <c r="D54" s="8" t="s">
        <v>157</v>
      </c>
      <c r="E54" s="5" t="s">
        <v>74</v>
      </c>
      <c r="F54" s="7" t="str">
        <f t="shared" ca="1" si="4"/>
        <v>C.J. McCollum</v>
      </c>
      <c r="G54" s="7">
        <v>1</v>
      </c>
      <c r="H54" s="7">
        <f t="shared" ca="1" si="2"/>
        <v>0</v>
      </c>
    </row>
    <row r="55" spans="1:8" ht="15" customHeight="1" x14ac:dyDescent="0.25">
      <c r="A55" s="7">
        <v>54</v>
      </c>
      <c r="B55" s="7">
        <v>22</v>
      </c>
      <c r="C55" s="7" t="str">
        <f t="shared" ca="1" si="3"/>
        <v>2015_roy</v>
      </c>
      <c r="D55" s="8" t="s">
        <v>157</v>
      </c>
      <c r="E55" s="5" t="s">
        <v>73</v>
      </c>
      <c r="F55" s="7" t="str">
        <f t="shared" ca="1" si="4"/>
        <v>Karl-Anthony Towns</v>
      </c>
      <c r="G55" s="7">
        <v>1</v>
      </c>
      <c r="H55" s="7">
        <f t="shared" ca="1" si="2"/>
        <v>0</v>
      </c>
    </row>
    <row r="56" spans="1:8" ht="15" customHeight="1" x14ac:dyDescent="0.25">
      <c r="A56" s="7">
        <v>55</v>
      </c>
      <c r="B56" s="7">
        <v>23</v>
      </c>
      <c r="C56" s="7" t="str">
        <f t="shared" ca="1" si="3"/>
        <v>2015_coy</v>
      </c>
      <c r="D56" s="8" t="s">
        <v>157</v>
      </c>
      <c r="E56" s="5" t="s">
        <v>71</v>
      </c>
      <c r="F56" s="7" t="str">
        <f t="shared" ca="1" si="4"/>
        <v>Steve Kerr</v>
      </c>
      <c r="G56" s="7">
        <v>1</v>
      </c>
      <c r="H56" s="7">
        <f t="shared" ca="1" si="2"/>
        <v>0</v>
      </c>
    </row>
    <row r="57" spans="1:8" ht="15" customHeight="1" x14ac:dyDescent="0.25">
      <c r="A57" s="7">
        <v>56</v>
      </c>
      <c r="B57" s="7">
        <v>24</v>
      </c>
      <c r="C57" s="7" t="str">
        <f t="shared" ca="1" si="3"/>
        <v>2015_gmoy</v>
      </c>
      <c r="D57" s="8" t="s">
        <v>157</v>
      </c>
      <c r="E57" s="5" t="s">
        <v>72</v>
      </c>
      <c r="F57" s="7" t="str">
        <f t="shared" ca="1" si="4"/>
        <v>R.C. Buford</v>
      </c>
      <c r="G57" s="7">
        <v>1</v>
      </c>
      <c r="H57" s="7">
        <f t="shared" ca="1" si="2"/>
        <v>0</v>
      </c>
    </row>
    <row r="58" spans="1:8" ht="15" customHeight="1" x14ac:dyDescent="0.25">
      <c r="A58" s="7">
        <v>57</v>
      </c>
      <c r="B58" s="7">
        <v>25</v>
      </c>
      <c r="C58" s="7" t="str">
        <f t="shared" ca="1" si="3"/>
        <v>2016_mvp</v>
      </c>
      <c r="D58" s="8" t="s">
        <v>157</v>
      </c>
      <c r="E58" s="8" t="s">
        <v>63</v>
      </c>
      <c r="F58" s="7" t="str">
        <f t="shared" ca="1" si="4"/>
        <v>Russell Westbrook</v>
      </c>
      <c r="G58" s="7">
        <v>1</v>
      </c>
      <c r="H58" s="7">
        <f t="shared" ca="1" si="2"/>
        <v>0</v>
      </c>
    </row>
    <row r="59" spans="1:8" ht="15" customHeight="1" x14ac:dyDescent="0.25">
      <c r="A59" s="7">
        <v>58</v>
      </c>
      <c r="B59" s="7">
        <v>26</v>
      </c>
      <c r="C59" s="7" t="str">
        <f t="shared" ca="1" si="3"/>
        <v>2016_score_champ</v>
      </c>
      <c r="D59" s="8" t="s">
        <v>157</v>
      </c>
      <c r="E59" s="8" t="s">
        <v>64</v>
      </c>
      <c r="F59" s="7" t="str">
        <f t="shared" ca="1" si="4"/>
        <v>Russell Westbrook</v>
      </c>
      <c r="G59" s="7">
        <v>1</v>
      </c>
      <c r="H59" s="7">
        <f t="shared" ca="1" si="2"/>
        <v>1</v>
      </c>
    </row>
    <row r="60" spans="1:8" ht="15" customHeight="1" x14ac:dyDescent="0.25">
      <c r="A60" s="7">
        <v>59</v>
      </c>
      <c r="B60" s="7">
        <v>27</v>
      </c>
      <c r="C60" s="7" t="str">
        <f t="shared" ca="1" si="3"/>
        <v>2016_dpoy</v>
      </c>
      <c r="D60" s="8" t="s">
        <v>157</v>
      </c>
      <c r="E60" s="8" t="s">
        <v>77</v>
      </c>
      <c r="F60" s="7" t="str">
        <f t="shared" ca="1" si="4"/>
        <v>Draymond Green</v>
      </c>
      <c r="G60" s="7">
        <v>1</v>
      </c>
      <c r="H60" s="7">
        <f t="shared" ca="1" si="2"/>
        <v>0</v>
      </c>
    </row>
    <row r="61" spans="1:8" ht="15" customHeight="1" x14ac:dyDescent="0.25">
      <c r="A61" s="7">
        <v>60</v>
      </c>
      <c r="B61" s="7">
        <v>28</v>
      </c>
      <c r="C61" s="7" t="str">
        <f t="shared" ca="1" si="3"/>
        <v>2016_sixth_man</v>
      </c>
      <c r="D61" s="8" t="s">
        <v>157</v>
      </c>
      <c r="E61" s="8" t="s">
        <v>88</v>
      </c>
      <c r="F61" s="7" t="str">
        <f t="shared" ca="1" si="4"/>
        <v>Eric Gordon</v>
      </c>
      <c r="G61" s="7">
        <v>1</v>
      </c>
      <c r="H61" s="7">
        <f t="shared" ca="1" si="2"/>
        <v>0</v>
      </c>
    </row>
    <row r="62" spans="1:8" ht="15" customHeight="1" x14ac:dyDescent="0.25">
      <c r="A62" s="7">
        <v>61</v>
      </c>
      <c r="B62" s="7">
        <v>29</v>
      </c>
      <c r="C62" s="7" t="str">
        <f t="shared" ca="1" si="3"/>
        <v>2016_mip</v>
      </c>
      <c r="D62" s="8" t="s">
        <v>157</v>
      </c>
      <c r="E62" s="8" t="s">
        <v>85</v>
      </c>
      <c r="F62" s="7" t="str">
        <f t="shared" ca="1" si="4"/>
        <v>Giannis Antetokounmpo</v>
      </c>
      <c r="G62" s="7">
        <v>1</v>
      </c>
      <c r="H62" s="7">
        <f t="shared" ca="1" si="2"/>
        <v>0</v>
      </c>
    </row>
    <row r="63" spans="1:8" ht="15" customHeight="1" x14ac:dyDescent="0.25">
      <c r="A63" s="7">
        <v>62</v>
      </c>
      <c r="B63" s="7">
        <v>30</v>
      </c>
      <c r="C63" s="7" t="str">
        <f t="shared" ca="1" si="3"/>
        <v>2016_roy</v>
      </c>
      <c r="D63" s="8" t="s">
        <v>157</v>
      </c>
      <c r="E63" s="8" t="s">
        <v>87</v>
      </c>
      <c r="F63" s="7" t="str">
        <f t="shared" ca="1" si="4"/>
        <v>Malcom Brogdon</v>
      </c>
      <c r="G63" s="7">
        <v>1</v>
      </c>
      <c r="H63" s="7">
        <f t="shared" ca="1" si="2"/>
        <v>0</v>
      </c>
    </row>
    <row r="64" spans="1:8" ht="15" customHeight="1" x14ac:dyDescent="0.25">
      <c r="A64" s="7">
        <v>63</v>
      </c>
      <c r="B64" s="7">
        <v>31</v>
      </c>
      <c r="C64" s="7" t="str">
        <f t="shared" ca="1" si="3"/>
        <v>2016_coy</v>
      </c>
      <c r="D64" s="8" t="s">
        <v>157</v>
      </c>
      <c r="E64" s="8" t="s">
        <v>60</v>
      </c>
      <c r="F64" s="7" t="str">
        <f t="shared" ca="1" si="4"/>
        <v>Mike D'Antoni</v>
      </c>
      <c r="G64" s="7">
        <v>1</v>
      </c>
      <c r="H64" s="7">
        <f t="shared" ca="1" si="2"/>
        <v>0</v>
      </c>
    </row>
    <row r="65" spans="1:8" ht="15" customHeight="1" x14ac:dyDescent="0.25">
      <c r="A65" s="7">
        <v>64</v>
      </c>
      <c r="B65" s="7">
        <v>32</v>
      </c>
      <c r="C65" s="7" t="str">
        <f t="shared" ca="1" si="3"/>
        <v>2016_gmoy</v>
      </c>
      <c r="D65" s="8" t="s">
        <v>157</v>
      </c>
      <c r="E65" s="8" t="s">
        <v>69</v>
      </c>
      <c r="F65" s="7" t="str">
        <f t="shared" ca="1" si="4"/>
        <v>Bob Myers</v>
      </c>
      <c r="G65" s="7">
        <v>1</v>
      </c>
      <c r="H65" s="7">
        <f t="shared" ca="1" si="2"/>
        <v>1</v>
      </c>
    </row>
    <row r="66" spans="1:8" ht="15" customHeight="1" x14ac:dyDescent="0.25">
      <c r="A66" s="7">
        <v>65</v>
      </c>
      <c r="B66" s="8">
        <v>33</v>
      </c>
      <c r="C66" s="7" t="str">
        <f t="shared" ref="C66:C79" ca="1" si="5">IFERROR(VLOOKUP($B66,nba_award_results,MATCH(C$1,nba_award_results_header,0),FALSE),"error")</f>
        <v>2017_mvp</v>
      </c>
      <c r="D66" s="8" t="s">
        <v>157</v>
      </c>
      <c r="E66" s="8" t="s">
        <v>89</v>
      </c>
      <c r="G66" s="7">
        <v>1</v>
      </c>
      <c r="H66" s="7" t="str">
        <f t="shared" si="2"/>
        <v/>
      </c>
    </row>
    <row r="67" spans="1:8" ht="15" customHeight="1" x14ac:dyDescent="0.25">
      <c r="A67" s="7">
        <v>66</v>
      </c>
      <c r="B67" s="8">
        <v>34</v>
      </c>
      <c r="C67" s="7" t="str">
        <f t="shared" ca="1" si="5"/>
        <v>2017_score_champ</v>
      </c>
      <c r="D67" s="8" t="s">
        <v>157</v>
      </c>
      <c r="E67" s="8" t="s">
        <v>54</v>
      </c>
      <c r="G67" s="7">
        <v>1</v>
      </c>
      <c r="H67" s="7" t="str">
        <f t="shared" ref="H67:H73" si="6">IF(OR(ISBLANK(E67),ISBLANK(F67),E67="",F67=""),"",IF(E67=F67,1,0))</f>
        <v/>
      </c>
    </row>
    <row r="68" spans="1:8" ht="15" customHeight="1" x14ac:dyDescent="0.25">
      <c r="A68" s="7">
        <v>67</v>
      </c>
      <c r="B68" s="8">
        <v>35</v>
      </c>
      <c r="C68" s="7" t="str">
        <f t="shared" ca="1" si="5"/>
        <v>2017_dpoy</v>
      </c>
      <c r="D68" s="8" t="s">
        <v>157</v>
      </c>
      <c r="E68" s="8" t="s">
        <v>77</v>
      </c>
      <c r="G68" s="7">
        <v>1</v>
      </c>
      <c r="H68" s="7" t="str">
        <f t="shared" si="6"/>
        <v/>
      </c>
    </row>
    <row r="69" spans="1:8" ht="15" customHeight="1" x14ac:dyDescent="0.25">
      <c r="A69" s="7">
        <v>68</v>
      </c>
      <c r="B69" s="8">
        <v>36</v>
      </c>
      <c r="C69" s="7" t="str">
        <f t="shared" ca="1" si="5"/>
        <v>2017_sixth_man</v>
      </c>
      <c r="D69" s="8" t="s">
        <v>157</v>
      </c>
      <c r="E69" s="8" t="s">
        <v>439</v>
      </c>
      <c r="G69" s="7">
        <v>1</v>
      </c>
      <c r="H69" s="7" t="str">
        <f t="shared" si="6"/>
        <v/>
      </c>
    </row>
    <row r="70" spans="1:8" ht="15" customHeight="1" x14ac:dyDescent="0.25">
      <c r="A70" s="7">
        <v>69</v>
      </c>
      <c r="B70" s="8">
        <v>37</v>
      </c>
      <c r="C70" s="7" t="str">
        <f t="shared" ca="1" si="5"/>
        <v>2017_mip</v>
      </c>
      <c r="D70" s="8" t="s">
        <v>157</v>
      </c>
      <c r="E70" s="8" t="s">
        <v>438</v>
      </c>
      <c r="G70" s="7">
        <v>1</v>
      </c>
      <c r="H70" s="7" t="str">
        <f t="shared" si="6"/>
        <v/>
      </c>
    </row>
    <row r="71" spans="1:8" ht="15" customHeight="1" x14ac:dyDescent="0.25">
      <c r="A71" s="7">
        <v>70</v>
      </c>
      <c r="B71" s="8">
        <v>38</v>
      </c>
      <c r="C71" s="7" t="str">
        <f t="shared" ca="1" si="5"/>
        <v>2017_roy</v>
      </c>
      <c r="D71" s="8" t="s">
        <v>157</v>
      </c>
      <c r="E71" s="8" t="s">
        <v>437</v>
      </c>
      <c r="G71" s="7">
        <v>1</v>
      </c>
      <c r="H71" s="7" t="str">
        <f t="shared" si="6"/>
        <v/>
      </c>
    </row>
    <row r="72" spans="1:8" ht="15" customHeight="1" x14ac:dyDescent="0.25">
      <c r="A72" s="7">
        <v>71</v>
      </c>
      <c r="B72" s="8">
        <v>39</v>
      </c>
      <c r="C72" s="7" t="str">
        <f t="shared" ca="1" si="5"/>
        <v>2017_coy</v>
      </c>
      <c r="D72" s="8" t="s">
        <v>157</v>
      </c>
      <c r="E72" s="8" t="s">
        <v>79</v>
      </c>
      <c r="G72" s="7">
        <v>1</v>
      </c>
      <c r="H72" s="7" t="str">
        <f t="shared" si="6"/>
        <v/>
      </c>
    </row>
    <row r="73" spans="1:8" ht="15" customHeight="1" x14ac:dyDescent="0.25">
      <c r="A73" s="7">
        <v>72</v>
      </c>
      <c r="B73" s="8">
        <v>40</v>
      </c>
      <c r="C73" s="7" t="str">
        <f t="shared" ca="1" si="5"/>
        <v>2017_gmoy</v>
      </c>
      <c r="D73" s="8" t="s">
        <v>157</v>
      </c>
      <c r="E73" s="8" t="s">
        <v>456</v>
      </c>
      <c r="G73" s="7">
        <v>1</v>
      </c>
      <c r="H73" s="7" t="str">
        <f t="shared" si="6"/>
        <v/>
      </c>
    </row>
    <row r="74" spans="1:8" ht="15" customHeight="1" x14ac:dyDescent="0.25">
      <c r="A74" s="7">
        <v>73</v>
      </c>
      <c r="B74" s="8">
        <v>33</v>
      </c>
      <c r="C74" s="7" t="str">
        <f t="shared" ca="1" si="5"/>
        <v>2017_mvp</v>
      </c>
      <c r="D74" s="8" t="s">
        <v>157</v>
      </c>
      <c r="E74" s="8" t="s">
        <v>76</v>
      </c>
      <c r="G74" s="7">
        <v>2</v>
      </c>
    </row>
    <row r="75" spans="1:8" ht="15" customHeight="1" x14ac:dyDescent="0.25">
      <c r="A75" s="7">
        <v>74</v>
      </c>
      <c r="B75" s="8">
        <v>33</v>
      </c>
      <c r="C75" s="7" t="str">
        <f t="shared" ca="1" si="5"/>
        <v>2017_mvp</v>
      </c>
      <c r="D75" s="8" t="s">
        <v>157</v>
      </c>
      <c r="E75" s="8" t="s">
        <v>54</v>
      </c>
      <c r="G75" s="8">
        <v>3</v>
      </c>
    </row>
    <row r="76" spans="1:8" ht="15" customHeight="1" x14ac:dyDescent="0.25">
      <c r="A76" s="7">
        <v>75</v>
      </c>
      <c r="B76" s="8">
        <v>33</v>
      </c>
      <c r="C76" s="7" t="str">
        <f t="shared" ca="1" si="5"/>
        <v>2017_mvp</v>
      </c>
      <c r="D76" s="8" t="s">
        <v>157</v>
      </c>
      <c r="E76" s="8" t="s">
        <v>63</v>
      </c>
      <c r="G76" s="8">
        <v>4</v>
      </c>
    </row>
    <row r="77" spans="1:8" ht="15" customHeight="1" x14ac:dyDescent="0.25">
      <c r="A77" s="7">
        <v>76</v>
      </c>
      <c r="B77" s="8">
        <v>33</v>
      </c>
      <c r="C77" s="7" t="str">
        <f t="shared" ca="1" si="5"/>
        <v>2017_mvp</v>
      </c>
      <c r="D77" s="8" t="s">
        <v>157</v>
      </c>
      <c r="E77" s="8" t="s">
        <v>37</v>
      </c>
      <c r="G77" s="8">
        <v>5</v>
      </c>
    </row>
    <row r="78" spans="1:8" ht="15" customHeight="1" x14ac:dyDescent="0.25">
      <c r="A78" s="7">
        <v>77</v>
      </c>
      <c r="B78" s="8">
        <v>34</v>
      </c>
      <c r="C78" s="7" t="str">
        <f t="shared" ca="1" si="5"/>
        <v>2017_score_champ</v>
      </c>
      <c r="D78" s="8" t="s">
        <v>157</v>
      </c>
      <c r="E78" s="8" t="s">
        <v>448</v>
      </c>
      <c r="G78" s="8">
        <v>2</v>
      </c>
    </row>
    <row r="79" spans="1:8" ht="15" customHeight="1" x14ac:dyDescent="0.25">
      <c r="A79" s="7">
        <v>78</v>
      </c>
      <c r="B79" s="8">
        <v>35</v>
      </c>
      <c r="C79" s="7" t="str">
        <f t="shared" ca="1" si="5"/>
        <v>2017_dpoy</v>
      </c>
      <c r="D79" s="8" t="s">
        <v>157</v>
      </c>
      <c r="E79" s="8" t="s">
        <v>449</v>
      </c>
      <c r="G79" s="8">
        <v>3</v>
      </c>
    </row>
    <row r="80" spans="1:8" ht="15" customHeight="1" x14ac:dyDescent="0.25">
      <c r="A80" s="7">
        <v>79</v>
      </c>
      <c r="B80" s="8">
        <v>35</v>
      </c>
      <c r="C80" s="7" t="str">
        <f ca="1">IFERROR(VLOOKUP($B80,nba_award_results,MATCH(C$1,nba_award_results_header,0),FALSE),"error")</f>
        <v>2017_dpoy</v>
      </c>
      <c r="D80" s="8" t="s">
        <v>157</v>
      </c>
      <c r="E80" s="8" t="s">
        <v>434</v>
      </c>
      <c r="G80" s="8">
        <v>2</v>
      </c>
    </row>
    <row r="81" spans="1:7" ht="15" customHeight="1" x14ac:dyDescent="0.25">
      <c r="A81" s="7">
        <v>80</v>
      </c>
      <c r="B81" s="8">
        <v>36</v>
      </c>
      <c r="C81" s="7" t="str">
        <f ca="1">IFERROR(VLOOKUP($B81,nba_award_results,MATCH(C$1,nba_award_results_header,0),FALSE),"error")</f>
        <v>2017_sixth_man</v>
      </c>
      <c r="D81" s="8" t="s">
        <v>157</v>
      </c>
      <c r="E81" s="8" t="s">
        <v>89</v>
      </c>
      <c r="G81" s="8">
        <v>3</v>
      </c>
    </row>
    <row r="82" spans="1:7" ht="15" customHeight="1" x14ac:dyDescent="0.25">
      <c r="A82" s="7">
        <v>81</v>
      </c>
      <c r="B82" s="8">
        <v>37</v>
      </c>
      <c r="C82" s="7" t="str">
        <f ca="1">IFERROR(VLOOKUP($B82,nba_award_results,MATCH(C$1,nba_award_results_header,0),FALSE),"error")</f>
        <v>2017_mip</v>
      </c>
      <c r="D82" s="8" t="s">
        <v>157</v>
      </c>
      <c r="E82" s="8" t="s">
        <v>451</v>
      </c>
      <c r="G82" s="8">
        <v>2</v>
      </c>
    </row>
    <row r="83" spans="1:7" ht="15" customHeight="1" x14ac:dyDescent="0.25">
      <c r="A83" s="7">
        <v>82</v>
      </c>
      <c r="B83" s="8">
        <v>37</v>
      </c>
      <c r="C83" s="7" t="str">
        <f ca="1">IFERROR(VLOOKUP($B83,nba_award_results,MATCH(C$1,nba_award_results_header,0),FALSE),"error")</f>
        <v>2017_mip</v>
      </c>
      <c r="D83" s="8" t="s">
        <v>157</v>
      </c>
      <c r="E83" s="8" t="s">
        <v>450</v>
      </c>
      <c r="G83" s="8">
        <v>3</v>
      </c>
    </row>
    <row r="84" spans="1:7" ht="15" customHeight="1" x14ac:dyDescent="0.25">
      <c r="A84" s="7">
        <v>83</v>
      </c>
      <c r="B84" s="8">
        <v>38</v>
      </c>
      <c r="C84" s="7" t="str">
        <f t="shared" ref="C84:C97" ca="1" si="7">IFERROR(VLOOKUP($B84,nba_award_results,MATCH(C$1,nba_award_results_header,0),FALSE),"error")</f>
        <v>2017_roy</v>
      </c>
      <c r="D84" s="8" t="s">
        <v>157</v>
      </c>
      <c r="E84" s="8" t="s">
        <v>452</v>
      </c>
      <c r="G84" s="8">
        <v>2</v>
      </c>
    </row>
    <row r="85" spans="1:7" ht="15" customHeight="1" x14ac:dyDescent="0.25">
      <c r="A85" s="7">
        <v>84</v>
      </c>
      <c r="B85" s="8">
        <v>38</v>
      </c>
      <c r="C85" s="7" t="str">
        <f t="shared" ca="1" si="7"/>
        <v>2017_roy</v>
      </c>
      <c r="D85" s="8" t="s">
        <v>157</v>
      </c>
      <c r="E85" s="8" t="s">
        <v>453</v>
      </c>
      <c r="G85" s="8">
        <v>3</v>
      </c>
    </row>
    <row r="86" spans="1:7" ht="15" customHeight="1" x14ac:dyDescent="0.25">
      <c r="A86" s="7">
        <v>85</v>
      </c>
      <c r="B86" s="8">
        <v>39</v>
      </c>
      <c r="C86" s="7" t="str">
        <f t="shared" ca="1" si="7"/>
        <v>2017_coy</v>
      </c>
      <c r="D86" s="8" t="s">
        <v>157</v>
      </c>
      <c r="E86" s="8" t="s">
        <v>454</v>
      </c>
      <c r="G86" s="8">
        <v>2</v>
      </c>
    </row>
    <row r="87" spans="1:7" ht="15" customHeight="1" x14ac:dyDescent="0.25">
      <c r="A87" s="7">
        <v>86</v>
      </c>
      <c r="B87" s="8">
        <v>39</v>
      </c>
      <c r="C87" s="7" t="str">
        <f t="shared" ca="1" si="7"/>
        <v>2017_coy</v>
      </c>
      <c r="D87" s="8" t="s">
        <v>157</v>
      </c>
      <c r="E87" s="8" t="s">
        <v>455</v>
      </c>
      <c r="G87" s="8">
        <v>3</v>
      </c>
    </row>
    <row r="88" spans="1:7" ht="15" customHeight="1" x14ac:dyDescent="0.25">
      <c r="A88" s="7">
        <v>87</v>
      </c>
      <c r="B88" s="8">
        <v>40</v>
      </c>
      <c r="C88" s="7" t="str">
        <f t="shared" ca="1" si="7"/>
        <v>2017_gmoy</v>
      </c>
      <c r="D88" s="8" t="s">
        <v>157</v>
      </c>
      <c r="E88" s="8" t="s">
        <v>457</v>
      </c>
      <c r="G88" s="8">
        <v>2</v>
      </c>
    </row>
    <row r="89" spans="1:7" ht="15" customHeight="1" x14ac:dyDescent="0.25">
      <c r="A89" s="7">
        <v>88</v>
      </c>
      <c r="B89" s="8">
        <v>40</v>
      </c>
      <c r="C89" s="7" t="str">
        <f t="shared" ca="1" si="7"/>
        <v>2017_gmoy</v>
      </c>
      <c r="D89" s="8" t="s">
        <v>157</v>
      </c>
      <c r="E89" s="8" t="s">
        <v>458</v>
      </c>
      <c r="G89" s="8">
        <v>3</v>
      </c>
    </row>
    <row r="90" spans="1:7" ht="15" customHeight="1" x14ac:dyDescent="0.25">
      <c r="B90" s="8">
        <v>33</v>
      </c>
      <c r="C90" s="7" t="str">
        <f t="shared" ca="1" si="7"/>
        <v>2017_mvp</v>
      </c>
      <c r="D90" s="8" t="s">
        <v>158</v>
      </c>
      <c r="E90" s="8" t="s">
        <v>76</v>
      </c>
    </row>
    <row r="91" spans="1:7" ht="15" customHeight="1" x14ac:dyDescent="0.25">
      <c r="B91" s="8">
        <v>34</v>
      </c>
      <c r="C91" s="7" t="str">
        <f t="shared" ca="1" si="7"/>
        <v>2017_score_champ</v>
      </c>
      <c r="D91" s="8" t="s">
        <v>158</v>
      </c>
      <c r="E91" s="8" t="s">
        <v>54</v>
      </c>
    </row>
    <row r="92" spans="1:7" ht="15" customHeight="1" x14ac:dyDescent="0.25">
      <c r="B92" s="8">
        <v>35</v>
      </c>
      <c r="C92" s="7" t="str">
        <f t="shared" ca="1" si="7"/>
        <v>2017_dpoy</v>
      </c>
      <c r="D92" s="8" t="s">
        <v>158</v>
      </c>
      <c r="E92" s="8" t="s">
        <v>77</v>
      </c>
    </row>
    <row r="93" spans="1:7" ht="15" customHeight="1" x14ac:dyDescent="0.25">
      <c r="B93" s="8">
        <v>36</v>
      </c>
      <c r="C93" s="7" t="str">
        <f t="shared" ca="1" si="7"/>
        <v>2017_sixth_man</v>
      </c>
      <c r="D93" s="8" t="s">
        <v>158</v>
      </c>
      <c r="E93" s="8" t="s">
        <v>459</v>
      </c>
    </row>
    <row r="94" spans="1:7" ht="15" customHeight="1" x14ac:dyDescent="0.25">
      <c r="B94" s="8">
        <v>37</v>
      </c>
      <c r="C94" s="7" t="str">
        <f t="shared" ca="1" si="7"/>
        <v>2017_mip</v>
      </c>
      <c r="D94" s="8" t="s">
        <v>158</v>
      </c>
      <c r="E94" s="8" t="s">
        <v>451</v>
      </c>
    </row>
    <row r="95" spans="1:7" ht="15" customHeight="1" x14ac:dyDescent="0.25">
      <c r="B95" s="8">
        <v>38</v>
      </c>
      <c r="C95" s="7" t="str">
        <f t="shared" ca="1" si="7"/>
        <v>2017_roy</v>
      </c>
      <c r="D95" s="8" t="s">
        <v>158</v>
      </c>
      <c r="E95" s="8" t="s">
        <v>453</v>
      </c>
    </row>
    <row r="96" spans="1:7" ht="15" customHeight="1" x14ac:dyDescent="0.25">
      <c r="B96" s="8">
        <v>39</v>
      </c>
      <c r="C96" s="7" t="str">
        <f t="shared" ca="1" si="7"/>
        <v>2017_coy</v>
      </c>
      <c r="D96" s="8" t="s">
        <v>158</v>
      </c>
      <c r="E96" s="8" t="s">
        <v>71</v>
      </c>
    </row>
    <row r="97" spans="2:5" ht="15" customHeight="1" x14ac:dyDescent="0.25">
      <c r="B97" s="8">
        <v>40</v>
      </c>
      <c r="C97" s="7" t="str">
        <f t="shared" ca="1" si="7"/>
        <v>2017_gmoy</v>
      </c>
      <c r="D97" s="8" t="s">
        <v>158</v>
      </c>
      <c r="E97" s="8" t="s">
        <v>456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persons</vt:lpstr>
      <vt:lpstr>nba_time_periods</vt:lpstr>
      <vt:lpstr>nba_plyff_rounds</vt:lpstr>
      <vt:lpstr>nba_confs</vt:lpstr>
      <vt:lpstr>nba_divs</vt:lpstr>
      <vt:lpstr>nba_tms</vt:lpstr>
      <vt:lpstr>nba_tms_extra</vt:lpstr>
      <vt:lpstr>nba_win_total_sources</vt:lpstr>
      <vt:lpstr>nba_win_totals_results_old</vt:lpstr>
      <vt:lpstr>nba_win_total_results</vt:lpstr>
      <vt:lpstr>nba_win_total_picks</vt:lpstr>
      <vt:lpstr>nba_game_results_old</vt:lpstr>
      <vt:lpstr>nba_plyff_results</vt:lpstr>
      <vt:lpstr>nba_plyff_picks_post_rs</vt:lpstr>
      <vt:lpstr>nba_plyffs_picks_pre_rs</vt:lpstr>
      <vt:lpstr>nba_awards</vt:lpstr>
      <vt:lpstr>nba_award_results</vt:lpstr>
      <vt:lpstr>nba_award_picks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ElHabr, Anthony</cp:lastModifiedBy>
  <dcterms:created xsi:type="dcterms:W3CDTF">2014-05-12T01:01:41Z</dcterms:created>
  <dcterms:modified xsi:type="dcterms:W3CDTF">2018-02-05T14:45:47Z</dcterms:modified>
</cp:coreProperties>
</file>